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Portfolio Proekti\Coffee Shop\"/>
    </mc:Choice>
  </mc:AlternateContent>
  <xr:revisionPtr revIDLastSave="0" documentId="13_ncr:1_{4FB9B513-5235-43EA-9B79-329F8A5FF98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ustomers" sheetId="13" r:id="rId1"/>
    <sheet name="products" sheetId="2" r:id="rId2"/>
    <sheet name="orders" sheetId="19" r:id="rId3"/>
    <sheet name="RFM" sheetId="21" r:id="rId4"/>
  </sheets>
  <definedNames>
    <definedName name="_xlnm._FilterDatabase" localSheetId="1" hidden="1">products!$A$1:$G$49</definedName>
    <definedName name="ExternalData_1" localSheetId="2" hidden="1">orders!$A$1:$J$5501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1" l="1" a="1"/>
  <c r="I3" i="21" s="1"/>
  <c r="I4" i="21" a="1"/>
  <c r="I4" i="21" s="1"/>
  <c r="I5" i="21" a="1"/>
  <c r="I5" i="21"/>
  <c r="I6" i="21" a="1"/>
  <c r="I6" i="21"/>
  <c r="I7" i="21" a="1"/>
  <c r="I7" i="21"/>
  <c r="I8" i="21" a="1"/>
  <c r="I8" i="21"/>
  <c r="I9" i="21" a="1"/>
  <c r="I9" i="21" s="1"/>
  <c r="I10" i="21" a="1"/>
  <c r="I10" i="21"/>
  <c r="I11" i="21" a="1"/>
  <c r="I11" i="21" s="1"/>
  <c r="I12" i="21" a="1"/>
  <c r="I12" i="21" s="1"/>
  <c r="I13" i="21" a="1"/>
  <c r="I13" i="21" s="1"/>
  <c r="I14" i="21" a="1"/>
  <c r="I14" i="21"/>
  <c r="I15" i="21" a="1"/>
  <c r="I15" i="21"/>
  <c r="I16" i="21" a="1"/>
  <c r="I16" i="21"/>
  <c r="I17" i="21" a="1"/>
  <c r="I17" i="21" s="1"/>
  <c r="I18" i="21" a="1"/>
  <c r="I18" i="21"/>
  <c r="I19" i="21" a="1"/>
  <c r="I19" i="21" s="1"/>
  <c r="I20" i="21" a="1"/>
  <c r="I20" i="21" s="1"/>
  <c r="I21" i="21" a="1"/>
  <c r="I21" i="21" s="1"/>
  <c r="I22" i="21" a="1"/>
  <c r="I22" i="21"/>
  <c r="I23" i="21" a="1"/>
  <c r="I23" i="21"/>
  <c r="I24" i="21" a="1"/>
  <c r="I24" i="21"/>
  <c r="I25" i="21" a="1"/>
  <c r="I25" i="21" s="1"/>
  <c r="I26" i="21" a="1"/>
  <c r="I26" i="21"/>
  <c r="I27" i="21" a="1"/>
  <c r="I27" i="21" s="1"/>
  <c r="I28" i="21" a="1"/>
  <c r="I28" i="21" s="1"/>
  <c r="I29" i="21" a="1"/>
  <c r="I29" i="21" s="1"/>
  <c r="I30" i="21" a="1"/>
  <c r="I30" i="21"/>
  <c r="I31" i="21" a="1"/>
  <c r="I31" i="21"/>
  <c r="I32" i="21" a="1"/>
  <c r="I32" i="21" s="1"/>
  <c r="I33" i="21" a="1"/>
  <c r="I33" i="21" s="1"/>
  <c r="I34" i="21" a="1"/>
  <c r="I34" i="21"/>
  <c r="I35" i="21" a="1"/>
  <c r="I35" i="21" s="1"/>
  <c r="I36" i="21" a="1"/>
  <c r="I36" i="21" s="1"/>
  <c r="I37" i="21" a="1"/>
  <c r="I37" i="21"/>
  <c r="I38" i="21" a="1"/>
  <c r="I38" i="21"/>
  <c r="I39" i="21" a="1"/>
  <c r="I39" i="21"/>
  <c r="I40" i="21" a="1"/>
  <c r="I40" i="21" s="1"/>
  <c r="I41" i="21" a="1"/>
  <c r="I41" i="21" s="1"/>
  <c r="I42" i="21" a="1"/>
  <c r="I42" i="21"/>
  <c r="I43" i="21" a="1"/>
  <c r="I43" i="21" s="1"/>
  <c r="I44" i="21" a="1"/>
  <c r="I44" i="21" s="1"/>
  <c r="I45" i="21" a="1"/>
  <c r="I45" i="21" s="1"/>
  <c r="I46" i="21" a="1"/>
  <c r="I46" i="21"/>
  <c r="I47" i="21" a="1"/>
  <c r="I47" i="21"/>
  <c r="I48" i="21" a="1"/>
  <c r="I48" i="21" s="1"/>
  <c r="I49" i="21" a="1"/>
  <c r="I49" i="21" s="1"/>
  <c r="I50" i="21" a="1"/>
  <c r="I50" i="21" s="1"/>
  <c r="I51" i="21" a="1"/>
  <c r="I51" i="21" s="1"/>
  <c r="I52" i="21" a="1"/>
  <c r="I52" i="21" s="1"/>
  <c r="I53" i="21" a="1"/>
  <c r="I53" i="21"/>
  <c r="I54" i="21" a="1"/>
  <c r="I54" i="21"/>
  <c r="I55" i="21" a="1"/>
  <c r="I55" i="21"/>
  <c r="I56" i="21" a="1"/>
  <c r="I56" i="21"/>
  <c r="I57" i="21" a="1"/>
  <c r="I57" i="21" s="1"/>
  <c r="I58" i="21" a="1"/>
  <c r="I58" i="21" s="1"/>
  <c r="I59" i="21" a="1"/>
  <c r="I59" i="21" s="1"/>
  <c r="I60" i="21" a="1"/>
  <c r="I60" i="21" s="1"/>
  <c r="I61" i="21" a="1"/>
  <c r="I61" i="21" s="1"/>
  <c r="I62" i="21" a="1"/>
  <c r="I62" i="21"/>
  <c r="I63" i="21" a="1"/>
  <c r="I63" i="21" s="1"/>
  <c r="I64" i="21" a="1"/>
  <c r="I64" i="21"/>
  <c r="I65" i="21" a="1"/>
  <c r="I65" i="21" s="1"/>
  <c r="I66" i="21" a="1"/>
  <c r="I66" i="21"/>
  <c r="I67" i="21" a="1"/>
  <c r="I67" i="21" s="1"/>
  <c r="I68" i="21" a="1"/>
  <c r="I68" i="21" s="1"/>
  <c r="I69" i="21" a="1"/>
  <c r="I69" i="21" s="1"/>
  <c r="I70" i="21" a="1"/>
  <c r="I70" i="21"/>
  <c r="I71" i="21" a="1"/>
  <c r="I71" i="21"/>
  <c r="I72" i="21" a="1"/>
  <c r="I72" i="21"/>
  <c r="I73" i="21" a="1"/>
  <c r="I73" i="21" s="1"/>
  <c r="I74" i="21" a="1"/>
  <c r="I74" i="21"/>
  <c r="I75" i="21" a="1"/>
  <c r="I75" i="21" s="1"/>
  <c r="I76" i="21" a="1"/>
  <c r="I76" i="21" s="1"/>
  <c r="I77" i="21" a="1"/>
  <c r="I77" i="21"/>
  <c r="I78" i="21" a="1"/>
  <c r="I78" i="21"/>
  <c r="I79" i="21" a="1"/>
  <c r="I79" i="21"/>
  <c r="I80" i="21" a="1"/>
  <c r="I80" i="21" s="1"/>
  <c r="I81" i="21" a="1"/>
  <c r="I81" i="21" s="1"/>
  <c r="I82" i="21" a="1"/>
  <c r="I82" i="21"/>
  <c r="I83" i="21" a="1"/>
  <c r="I83" i="21" s="1"/>
  <c r="I84" i="21" a="1"/>
  <c r="I84" i="21" s="1"/>
  <c r="I85" i="21" a="1"/>
  <c r="I85" i="21"/>
  <c r="I86" i="21" a="1"/>
  <c r="I86" i="21"/>
  <c r="I87" i="21" a="1"/>
  <c r="I87" i="21"/>
  <c r="I88" i="21" a="1"/>
  <c r="I88" i="21"/>
  <c r="I89" i="21" a="1"/>
  <c r="I89" i="21" s="1"/>
  <c r="I90" i="21" a="1"/>
  <c r="I90" i="21" s="1"/>
  <c r="I91" i="21" a="1"/>
  <c r="I91" i="21" s="1"/>
  <c r="I92" i="21" a="1"/>
  <c r="I92" i="21" s="1"/>
  <c r="I93" i="21" a="1"/>
  <c r="I93" i="21" s="1"/>
  <c r="I94" i="21" a="1"/>
  <c r="I94" i="21"/>
  <c r="I95" i="21" a="1"/>
  <c r="I95" i="21"/>
  <c r="I96" i="21" a="1"/>
  <c r="I96" i="21"/>
  <c r="I97" i="21" a="1"/>
  <c r="I97" i="21" s="1"/>
  <c r="I98" i="21" a="1"/>
  <c r="I98" i="21" s="1"/>
  <c r="I99" i="21" a="1"/>
  <c r="I99" i="21" s="1"/>
  <c r="I100" i="21" a="1"/>
  <c r="I100" i="21" s="1"/>
  <c r="I101" i="21" a="1"/>
  <c r="I101" i="21"/>
  <c r="I102" i="21" a="1"/>
  <c r="I102" i="21"/>
  <c r="I103" i="21" a="1"/>
  <c r="I103" i="21"/>
  <c r="I104" i="21" a="1"/>
  <c r="I104" i="21"/>
  <c r="I105" i="21" a="1"/>
  <c r="I105" i="21" s="1"/>
  <c r="I106" i="21" a="1"/>
  <c r="I106" i="21"/>
  <c r="I107" i="21" a="1"/>
  <c r="I107" i="21" s="1"/>
  <c r="I108" i="21" a="1"/>
  <c r="I108" i="21" s="1"/>
  <c r="I109" i="21" a="1"/>
  <c r="I109" i="21"/>
  <c r="I110" i="21" a="1"/>
  <c r="I110" i="21"/>
  <c r="I111" i="21" a="1"/>
  <c r="I111" i="21" s="1"/>
  <c r="I112" i="21" a="1"/>
  <c r="I112" i="21" s="1"/>
  <c r="I113" i="21" a="1"/>
  <c r="I113" i="21" s="1"/>
  <c r="I114" i="21" a="1"/>
  <c r="I114" i="21"/>
  <c r="I115" i="21" a="1"/>
  <c r="I115" i="21" s="1"/>
  <c r="I116" i="21" a="1"/>
  <c r="I116" i="21" s="1"/>
  <c r="I117" i="21" a="1"/>
  <c r="I117" i="21"/>
  <c r="I118" i="21" a="1"/>
  <c r="I118" i="21"/>
  <c r="I119" i="21" a="1"/>
  <c r="I119" i="21" s="1"/>
  <c r="I120" i="21" a="1"/>
  <c r="I120" i="21"/>
  <c r="I121" i="21" a="1"/>
  <c r="I121" i="21" s="1"/>
  <c r="I122" i="21" a="1"/>
  <c r="I122" i="21" s="1"/>
  <c r="I123" i="21" a="1"/>
  <c r="I123" i="21" s="1"/>
  <c r="I124" i="21" a="1"/>
  <c r="I124" i="21" s="1"/>
  <c r="I125" i="21" a="1"/>
  <c r="I125" i="21"/>
  <c r="I126" i="21" a="1"/>
  <c r="I126" i="21"/>
  <c r="I127" i="21" a="1"/>
  <c r="I127" i="21" s="1"/>
  <c r="I128" i="21" a="1"/>
  <c r="I128" i="21"/>
  <c r="I129" i="21" a="1"/>
  <c r="I129" i="21" s="1"/>
  <c r="I130" i="21" a="1"/>
  <c r="I130" i="21"/>
  <c r="I131" i="21" a="1"/>
  <c r="I131" i="21" s="1"/>
  <c r="I132" i="21" a="1"/>
  <c r="I132" i="21" s="1"/>
  <c r="I133" i="21" a="1"/>
  <c r="I133" i="21"/>
  <c r="I134" i="21" a="1"/>
  <c r="I134" i="21"/>
  <c r="I135" i="21" a="1"/>
  <c r="I135" i="21"/>
  <c r="I136" i="21" a="1"/>
  <c r="I136" i="21"/>
  <c r="I137" i="21" a="1"/>
  <c r="I137" i="21" s="1"/>
  <c r="I138" i="21" a="1"/>
  <c r="I138" i="21"/>
  <c r="I139" i="21" a="1"/>
  <c r="I139" i="21" s="1"/>
  <c r="I140" i="21" a="1"/>
  <c r="I140" i="21" s="1"/>
  <c r="I141" i="21" a="1"/>
  <c r="I141" i="21" s="1"/>
  <c r="I142" i="21" a="1"/>
  <c r="I142" i="21"/>
  <c r="I143" i="21" a="1"/>
  <c r="I143" i="21"/>
  <c r="I144" i="21" a="1"/>
  <c r="I144" i="21"/>
  <c r="I145" i="21" a="1"/>
  <c r="I145" i="21" s="1"/>
  <c r="I146" i="21" a="1"/>
  <c r="I146" i="21"/>
  <c r="I147" i="21" a="1"/>
  <c r="I147" i="21" s="1"/>
  <c r="I148" i="21" a="1"/>
  <c r="I148" i="21" s="1"/>
  <c r="I149" i="21" a="1"/>
  <c r="I149" i="21" s="1"/>
  <c r="I150" i="21" a="1"/>
  <c r="I150" i="21"/>
  <c r="I151" i="21" a="1"/>
  <c r="I151" i="21"/>
  <c r="I152" i="21" a="1"/>
  <c r="I152" i="21"/>
  <c r="I153" i="21" a="1"/>
  <c r="I153" i="21" s="1"/>
  <c r="I154" i="21" a="1"/>
  <c r="I154" i="21"/>
  <c r="I155" i="21" a="1"/>
  <c r="I155" i="21" s="1"/>
  <c r="I156" i="21" a="1"/>
  <c r="I156" i="21" s="1"/>
  <c r="I157" i="21" a="1"/>
  <c r="I157" i="21" s="1"/>
  <c r="I158" i="21" a="1"/>
  <c r="I158" i="21"/>
  <c r="I159" i="21" a="1"/>
  <c r="I159" i="21" s="1"/>
  <c r="I160" i="21" a="1"/>
  <c r="I160" i="21" s="1"/>
  <c r="I161" i="21" a="1"/>
  <c r="I161" i="21" s="1"/>
  <c r="I162" i="21" a="1"/>
  <c r="I162" i="21"/>
  <c r="I163" i="21" a="1"/>
  <c r="I163" i="21" s="1"/>
  <c r="I164" i="21" a="1"/>
  <c r="I164" i="21" s="1"/>
  <c r="I165" i="21" a="1"/>
  <c r="I165" i="21"/>
  <c r="I166" i="21" a="1"/>
  <c r="I166" i="21"/>
  <c r="I167" i="21" a="1"/>
  <c r="I167" i="21" s="1"/>
  <c r="I168" i="21" a="1"/>
  <c r="I168" i="21" s="1"/>
  <c r="I169" i="21" a="1"/>
  <c r="I169" i="21" s="1"/>
  <c r="I170" i="21" a="1"/>
  <c r="I170" i="21" s="1"/>
  <c r="I171" i="21" a="1"/>
  <c r="I171" i="21" s="1"/>
  <c r="I172" i="21" a="1"/>
  <c r="I172" i="21" s="1"/>
  <c r="I173" i="21" a="1"/>
  <c r="I173" i="21"/>
  <c r="I174" i="21" a="1"/>
  <c r="I174" i="21"/>
  <c r="I175" i="21" a="1"/>
  <c r="I175" i="21"/>
  <c r="I176" i="21" a="1"/>
  <c r="I176" i="21" s="1"/>
  <c r="I177" i="21" a="1"/>
  <c r="I177" i="21" s="1"/>
  <c r="I178" i="21" a="1"/>
  <c r="I178" i="21" s="1"/>
  <c r="I179" i="21" a="1"/>
  <c r="I179" i="21" s="1"/>
  <c r="I180" i="21" a="1"/>
  <c r="I180" i="21" s="1"/>
  <c r="I181" i="21" a="1"/>
  <c r="I181" i="21"/>
  <c r="I182" i="21" a="1"/>
  <c r="I182" i="21"/>
  <c r="I183" i="21" a="1"/>
  <c r="I183" i="21"/>
  <c r="I184" i="21" a="1"/>
  <c r="I184" i="21"/>
  <c r="I185" i="21" a="1"/>
  <c r="I185" i="21" s="1"/>
  <c r="I186" i="21" a="1"/>
  <c r="I186" i="21" s="1"/>
  <c r="I187" i="21" a="1"/>
  <c r="I187" i="21" s="1"/>
  <c r="I188" i="21" a="1"/>
  <c r="I188" i="21" s="1"/>
  <c r="I189" i="21" a="1"/>
  <c r="I189" i="21" s="1"/>
  <c r="I190" i="21" a="1"/>
  <c r="I190" i="21"/>
  <c r="I191" i="21" a="1"/>
  <c r="I191" i="21" s="1"/>
  <c r="I192" i="21" a="1"/>
  <c r="I192" i="21"/>
  <c r="I193" i="21" a="1"/>
  <c r="I193" i="21" s="1"/>
  <c r="I194" i="21" a="1"/>
  <c r="I194" i="21"/>
  <c r="I195" i="21" a="1"/>
  <c r="I195" i="21" s="1"/>
  <c r="I196" i="21" a="1"/>
  <c r="I196" i="21" s="1"/>
  <c r="I197" i="21" a="1"/>
  <c r="I197" i="21"/>
  <c r="I198" i="21" a="1"/>
  <c r="I198" i="21"/>
  <c r="I199" i="21" a="1"/>
  <c r="I199" i="21"/>
  <c r="I200" i="21" a="1"/>
  <c r="I200" i="21"/>
  <c r="I201" i="21" a="1"/>
  <c r="I201" i="21" s="1"/>
  <c r="I202" i="21" a="1"/>
  <c r="I202" i="21"/>
  <c r="I203" i="21" a="1"/>
  <c r="I203" i="21" s="1"/>
  <c r="I204" i="21" a="1"/>
  <c r="I204" i="21" s="1"/>
  <c r="I205" i="21" a="1"/>
  <c r="I205" i="21"/>
  <c r="I206" i="21" a="1"/>
  <c r="I206" i="21"/>
  <c r="I207" i="21" a="1"/>
  <c r="I207" i="21"/>
  <c r="I208" i="21" a="1"/>
  <c r="I208" i="21" s="1"/>
  <c r="I209" i="21" a="1"/>
  <c r="I209" i="21" s="1"/>
  <c r="I210" i="21" a="1"/>
  <c r="I210" i="21"/>
  <c r="I211" i="21" a="1"/>
  <c r="I211" i="21" s="1"/>
  <c r="I212" i="21" a="1"/>
  <c r="I212" i="21" s="1"/>
  <c r="I213" i="21" a="1"/>
  <c r="I213" i="21"/>
  <c r="I214" i="21" a="1"/>
  <c r="I214" i="21"/>
  <c r="I215" i="21" a="1"/>
  <c r="I215" i="21"/>
  <c r="I216" i="21" a="1"/>
  <c r="I216" i="21"/>
  <c r="I217" i="21" a="1"/>
  <c r="I217" i="21" s="1"/>
  <c r="I218" i="21" a="1"/>
  <c r="I218" i="21" s="1"/>
  <c r="I219" i="21" a="1"/>
  <c r="I219" i="21" s="1"/>
  <c r="I220" i="21" a="1"/>
  <c r="I220" i="21" s="1"/>
  <c r="I221" i="21" a="1"/>
  <c r="I221" i="21" s="1"/>
  <c r="I222" i="21" a="1"/>
  <c r="I222" i="21"/>
  <c r="I223" i="21" a="1"/>
  <c r="I223" i="21"/>
  <c r="I224" i="21" a="1"/>
  <c r="I224" i="21"/>
  <c r="I225" i="21" a="1"/>
  <c r="I225" i="21" s="1"/>
  <c r="I226" i="21" a="1"/>
  <c r="I226" i="21" s="1"/>
  <c r="I227" i="21" a="1"/>
  <c r="I227" i="21" s="1"/>
  <c r="I228" i="21" a="1"/>
  <c r="I228" i="21" s="1"/>
  <c r="I229" i="21" a="1"/>
  <c r="I229" i="21"/>
  <c r="I230" i="21" a="1"/>
  <c r="I230" i="21"/>
  <c r="I231" i="21" a="1"/>
  <c r="I231" i="21"/>
  <c r="I232" i="21" a="1"/>
  <c r="I232" i="21"/>
  <c r="I233" i="21" a="1"/>
  <c r="I233" i="21" s="1"/>
  <c r="I234" i="21" a="1"/>
  <c r="I234" i="21"/>
  <c r="I235" i="21" a="1"/>
  <c r="I235" i="21" s="1"/>
  <c r="I236" i="21" a="1"/>
  <c r="I236" i="21" s="1"/>
  <c r="I237" i="21" a="1"/>
  <c r="I237" i="21"/>
  <c r="I238" i="21" a="1"/>
  <c r="I238" i="21"/>
  <c r="I239" i="21" a="1"/>
  <c r="I239" i="21" s="1"/>
  <c r="I240" i="21" a="1"/>
  <c r="I240" i="21" s="1"/>
  <c r="I241" i="21" a="1"/>
  <c r="I241" i="21" s="1"/>
  <c r="I242" i="21" a="1"/>
  <c r="I242" i="21"/>
  <c r="I243" i="21" a="1"/>
  <c r="I243" i="21" s="1"/>
  <c r="I244" i="21" a="1"/>
  <c r="I244" i="21" s="1"/>
  <c r="I245" i="21" a="1"/>
  <c r="I245" i="21"/>
  <c r="I246" i="21" a="1"/>
  <c r="I246" i="21"/>
  <c r="I247" i="21" a="1"/>
  <c r="I247" i="21" s="1"/>
  <c r="I248" i="21" a="1"/>
  <c r="I248" i="21"/>
  <c r="I249" i="21" a="1"/>
  <c r="I249" i="21" s="1"/>
  <c r="I250" i="21" a="1"/>
  <c r="I250" i="21" s="1"/>
  <c r="I251" i="21" a="1"/>
  <c r="I251" i="21" s="1"/>
  <c r="I252" i="21" a="1"/>
  <c r="I252" i="21" s="1"/>
  <c r="I253" i="21" a="1"/>
  <c r="I253" i="21"/>
  <c r="I254" i="21" a="1"/>
  <c r="I254" i="21"/>
  <c r="I255" i="21" a="1"/>
  <c r="I255" i="21" s="1"/>
  <c r="I256" i="21" a="1"/>
  <c r="I256" i="21"/>
  <c r="I257" i="21" a="1"/>
  <c r="I257" i="21" s="1"/>
  <c r="I258" i="21" a="1"/>
  <c r="I258" i="21"/>
  <c r="I259" i="21" a="1"/>
  <c r="I259" i="21" s="1"/>
  <c r="I260" i="21" a="1"/>
  <c r="I260" i="21" s="1"/>
  <c r="I261" i="21" a="1"/>
  <c r="I261" i="21"/>
  <c r="I262" i="21" a="1"/>
  <c r="I262" i="21"/>
  <c r="I263" i="21" a="1"/>
  <c r="I263" i="21"/>
  <c r="I264" i="21" a="1"/>
  <c r="I264" i="21"/>
  <c r="I265" i="21" a="1"/>
  <c r="I265" i="21" s="1"/>
  <c r="I266" i="21" a="1"/>
  <c r="I266" i="21"/>
  <c r="I267" i="21" a="1"/>
  <c r="I267" i="21" s="1"/>
  <c r="I268" i="21" a="1"/>
  <c r="I268" i="21" s="1"/>
  <c r="I269" i="21" a="1"/>
  <c r="I269" i="21" s="1"/>
  <c r="I270" i="21" a="1"/>
  <c r="I270" i="21"/>
  <c r="I271" i="21" a="1"/>
  <c r="I271" i="21"/>
  <c r="I272" i="21" a="1"/>
  <c r="I272" i="21"/>
  <c r="I273" i="21" a="1"/>
  <c r="I273" i="21" s="1"/>
  <c r="I274" i="21" a="1"/>
  <c r="I274" i="21"/>
  <c r="I275" i="21" a="1"/>
  <c r="I275" i="21" s="1"/>
  <c r="I276" i="21" a="1"/>
  <c r="I276" i="21" s="1"/>
  <c r="I277" i="21" a="1"/>
  <c r="I277" i="21" s="1"/>
  <c r="I278" i="21" a="1"/>
  <c r="I278" i="21"/>
  <c r="I279" i="21" a="1"/>
  <c r="I279" i="21"/>
  <c r="I280" i="21" a="1"/>
  <c r="I280" i="21"/>
  <c r="I281" i="21" a="1"/>
  <c r="I281" i="21" s="1"/>
  <c r="I282" i="21" a="1"/>
  <c r="I282" i="21"/>
  <c r="I283" i="21" a="1"/>
  <c r="I283" i="21" s="1"/>
  <c r="I284" i="21" a="1"/>
  <c r="I284" i="21" s="1"/>
  <c r="I285" i="21" a="1"/>
  <c r="I285" i="21" s="1"/>
  <c r="I286" i="21" a="1"/>
  <c r="I286" i="21"/>
  <c r="I287" i="21" a="1"/>
  <c r="I287" i="21" s="1"/>
  <c r="I288" i="21" a="1"/>
  <c r="I288" i="21" s="1"/>
  <c r="I289" i="21" a="1"/>
  <c r="I289" i="21" s="1"/>
  <c r="I290" i="21" a="1"/>
  <c r="I290" i="21"/>
  <c r="I291" i="21" a="1"/>
  <c r="I291" i="21" s="1"/>
  <c r="I292" i="21" a="1"/>
  <c r="I292" i="21" s="1"/>
  <c r="I293" i="21" a="1"/>
  <c r="I293" i="21"/>
  <c r="I294" i="21" a="1"/>
  <c r="I294" i="21"/>
  <c r="I295" i="21" a="1"/>
  <c r="I295" i="21" s="1"/>
  <c r="I296" i="21" a="1"/>
  <c r="I296" i="21" s="1"/>
  <c r="I297" i="21" a="1"/>
  <c r="I297" i="21"/>
  <c r="I298" i="21" a="1"/>
  <c r="I298" i="21"/>
  <c r="I299" i="21" a="1"/>
  <c r="I299" i="21" s="1"/>
  <c r="I300" i="21" a="1"/>
  <c r="I300" i="21" s="1"/>
  <c r="I301" i="21" a="1"/>
  <c r="I301" i="21"/>
  <c r="I302" i="21" a="1"/>
  <c r="I302" i="21"/>
  <c r="I303" i="21" a="1"/>
  <c r="I303" i="21"/>
  <c r="I304" i="21" a="1"/>
  <c r="I304" i="21" s="1"/>
  <c r="I305" i="21" a="1"/>
  <c r="I305" i="21" s="1"/>
  <c r="I306" i="21" a="1"/>
  <c r="I306" i="21"/>
  <c r="I307" i="21" a="1"/>
  <c r="I307" i="21" s="1"/>
  <c r="I308" i="21" a="1"/>
  <c r="I308" i="21" s="1"/>
  <c r="I309" i="21" a="1"/>
  <c r="I309" i="21"/>
  <c r="I310" i="21" a="1"/>
  <c r="I310" i="21"/>
  <c r="I311" i="21" a="1"/>
  <c r="I311" i="21"/>
  <c r="I312" i="21" a="1"/>
  <c r="I312" i="21"/>
  <c r="I313" i="21" a="1"/>
  <c r="I313" i="21" s="1"/>
  <c r="I314" i="21" a="1"/>
  <c r="I314" i="21" s="1"/>
  <c r="I315" i="21" a="1"/>
  <c r="I315" i="21" s="1"/>
  <c r="I316" i="21" a="1"/>
  <c r="I316" i="21" s="1"/>
  <c r="I317" i="21" a="1"/>
  <c r="I317" i="21"/>
  <c r="I318" i="21" a="1"/>
  <c r="I318" i="21"/>
  <c r="I319" i="21" a="1"/>
  <c r="I319" i="21"/>
  <c r="I320" i="21" a="1"/>
  <c r="I320" i="21"/>
  <c r="I321" i="21" a="1"/>
  <c r="I321" i="21"/>
  <c r="I322" i="21" a="1"/>
  <c r="I322" i="21" s="1"/>
  <c r="I323" i="21" a="1"/>
  <c r="I323" i="21" s="1"/>
  <c r="I324" i="21" a="1"/>
  <c r="I324" i="21" s="1"/>
  <c r="I325" i="21" a="1"/>
  <c r="I325" i="21"/>
  <c r="I326" i="21" a="1"/>
  <c r="I326" i="21"/>
  <c r="I327" i="21" a="1"/>
  <c r="I327" i="21"/>
  <c r="I328" i="21" a="1"/>
  <c r="I328" i="21"/>
  <c r="I329" i="21" a="1"/>
  <c r="I329" i="21"/>
  <c r="I330" i="21" a="1"/>
  <c r="I330" i="21"/>
  <c r="I331" i="21" a="1"/>
  <c r="I331" i="21" s="1"/>
  <c r="I332" i="21" a="1"/>
  <c r="I332" i="21" s="1"/>
  <c r="I333" i="21" a="1"/>
  <c r="I333" i="21" s="1"/>
  <c r="I334" i="21" a="1"/>
  <c r="I334" i="21"/>
  <c r="I335" i="21" a="1"/>
  <c r="I335" i="21"/>
  <c r="I336" i="21" a="1"/>
  <c r="I336" i="21"/>
  <c r="I337" i="21" a="1"/>
  <c r="I337" i="21"/>
  <c r="I338" i="21" a="1"/>
  <c r="I338" i="21"/>
  <c r="I339" i="21" a="1"/>
  <c r="I339" i="21" s="1"/>
  <c r="I340" i="21" a="1"/>
  <c r="I340" i="21" s="1"/>
  <c r="I341" i="21" a="1"/>
  <c r="I341" i="21" s="1"/>
  <c r="I342" i="21" a="1"/>
  <c r="I342" i="21"/>
  <c r="I343" i="21" a="1"/>
  <c r="I343" i="21"/>
  <c r="I344" i="21" a="1"/>
  <c r="I344" i="21"/>
  <c r="I345" i="21" a="1"/>
  <c r="I345" i="21"/>
  <c r="I346" i="21" a="1"/>
  <c r="I346" i="21"/>
  <c r="I347" i="21" a="1"/>
  <c r="I347" i="21" s="1"/>
  <c r="I348" i="21" a="1"/>
  <c r="I348" i="21" s="1"/>
  <c r="I349" i="21" a="1"/>
  <c r="I349" i="21"/>
  <c r="I350" i="21" a="1"/>
  <c r="I350" i="21" s="1"/>
  <c r="I351" i="21" a="1"/>
  <c r="I351" i="21" s="1"/>
  <c r="I352" i="21" a="1"/>
  <c r="I352" i="21"/>
  <c r="I353" i="21" a="1"/>
  <c r="I353" i="21"/>
  <c r="I354" i="21" a="1"/>
  <c r="I354" i="21"/>
  <c r="I355" i="21" a="1"/>
  <c r="I355" i="21" s="1"/>
  <c r="I356" i="21" a="1"/>
  <c r="I356" i="21" s="1"/>
  <c r="I357" i="21" a="1"/>
  <c r="I357" i="21"/>
  <c r="I358" i="21" a="1"/>
  <c r="I358" i="21"/>
  <c r="I359" i="21" a="1"/>
  <c r="I359" i="21" s="1"/>
  <c r="I360" i="21" a="1"/>
  <c r="I360" i="21" s="1"/>
  <c r="I361" i="21" a="1"/>
  <c r="I361" i="21"/>
  <c r="I362" i="21" a="1"/>
  <c r="I362" i="21"/>
  <c r="I363" i="21" a="1"/>
  <c r="I363" i="21" s="1"/>
  <c r="I364" i="21" a="1"/>
  <c r="I364" i="21" s="1"/>
  <c r="I365" i="21" a="1"/>
  <c r="I365" i="21"/>
  <c r="I366" i="21" a="1"/>
  <c r="I366" i="21"/>
  <c r="I367" i="21" a="1"/>
  <c r="I367" i="21"/>
  <c r="I368" i="21" a="1"/>
  <c r="I368" i="21" s="1"/>
  <c r="I369" i="21" a="1"/>
  <c r="I369" i="21" s="1"/>
  <c r="I370" i="21" a="1"/>
  <c r="I370" i="21"/>
  <c r="I371" i="21" a="1"/>
  <c r="I371" i="21" s="1"/>
  <c r="I372" i="21" a="1"/>
  <c r="I372" i="21" s="1"/>
  <c r="I373" i="21" a="1"/>
  <c r="I373" i="21"/>
  <c r="I374" i="21" a="1"/>
  <c r="I374" i="21"/>
  <c r="I375" i="21" a="1"/>
  <c r="I375" i="21"/>
  <c r="I376" i="21" a="1"/>
  <c r="I376" i="21"/>
  <c r="I377" i="21" a="1"/>
  <c r="I377" i="21" s="1"/>
  <c r="I378" i="21" a="1"/>
  <c r="I378" i="21" s="1"/>
  <c r="I379" i="21" a="1"/>
  <c r="I379" i="21" s="1"/>
  <c r="I380" i="21" a="1"/>
  <c r="I380" i="21" s="1"/>
  <c r="I381" i="21" a="1"/>
  <c r="I381" i="21"/>
  <c r="I382" i="21" a="1"/>
  <c r="I382" i="21"/>
  <c r="I383" i="21" a="1"/>
  <c r="I383" i="21"/>
  <c r="I384" i="21" a="1"/>
  <c r="I384" i="21"/>
  <c r="I385" i="21" a="1"/>
  <c r="I385" i="21"/>
  <c r="I386" i="21" a="1"/>
  <c r="I386" i="21" s="1"/>
  <c r="I387" i="21" a="1"/>
  <c r="I387" i="21" s="1"/>
  <c r="I388" i="21" a="1"/>
  <c r="I388" i="21" s="1"/>
  <c r="I389" i="21" a="1"/>
  <c r="I389" i="21"/>
  <c r="I390" i="21" a="1"/>
  <c r="I390" i="21"/>
  <c r="I391" i="21" a="1"/>
  <c r="I391" i="21"/>
  <c r="I392" i="21" a="1"/>
  <c r="I392" i="21"/>
  <c r="I393" i="21" a="1"/>
  <c r="I393" i="21"/>
  <c r="I394" i="21" a="1"/>
  <c r="I394" i="21"/>
  <c r="I395" i="21" a="1"/>
  <c r="I395" i="21" s="1"/>
  <c r="I396" i="21" a="1"/>
  <c r="I396" i="21" s="1"/>
  <c r="I397" i="21" a="1"/>
  <c r="I397" i="21" s="1"/>
  <c r="I398" i="21" a="1"/>
  <c r="I398" i="21"/>
  <c r="I399" i="21" a="1"/>
  <c r="I399" i="21"/>
  <c r="I400" i="21" a="1"/>
  <c r="I400" i="21"/>
  <c r="I401" i="21" a="1"/>
  <c r="I401" i="21"/>
  <c r="I402" i="21" a="1"/>
  <c r="I402" i="21"/>
  <c r="I403" i="21" a="1"/>
  <c r="I403" i="21" s="1"/>
  <c r="I404" i="21" a="1"/>
  <c r="I404" i="21" s="1"/>
  <c r="I405" i="21" a="1"/>
  <c r="I405" i="21" s="1"/>
  <c r="I406" i="21" a="1"/>
  <c r="I406" i="21" s="1"/>
  <c r="I407" i="21" a="1"/>
  <c r="I407" i="21"/>
  <c r="I408" i="21" a="1"/>
  <c r="I408" i="21"/>
  <c r="I409" i="21" a="1"/>
  <c r="I409" i="21"/>
  <c r="I410" i="21" a="1"/>
  <c r="I410" i="21"/>
  <c r="I411" i="21" a="1"/>
  <c r="I411" i="21" s="1"/>
  <c r="I412" i="21" a="1"/>
  <c r="I412" i="21" s="1"/>
  <c r="I413" i="21" a="1"/>
  <c r="I413" i="21"/>
  <c r="I414" i="21" a="1"/>
  <c r="I414" i="21" s="1"/>
  <c r="I415" i="21" a="1"/>
  <c r="I415" i="21" s="1"/>
  <c r="I416" i="21" a="1"/>
  <c r="I416" i="21"/>
  <c r="I417" i="21" a="1"/>
  <c r="I417" i="21"/>
  <c r="I418" i="21" a="1"/>
  <c r="I418" i="21"/>
  <c r="I419" i="21" a="1"/>
  <c r="I419" i="21" s="1"/>
  <c r="I420" i="21" a="1"/>
  <c r="I420" i="21" s="1"/>
  <c r="I421" i="21" a="1"/>
  <c r="I421" i="21"/>
  <c r="I422" i="21" a="1"/>
  <c r="I422" i="21"/>
  <c r="I423" i="21" a="1"/>
  <c r="I423" i="21" s="1"/>
  <c r="I424" i="21" a="1"/>
  <c r="I424" i="21" s="1"/>
  <c r="I425" i="21" a="1"/>
  <c r="I425" i="21"/>
  <c r="I426" i="21" a="1"/>
  <c r="I426" i="21"/>
  <c r="I427" i="21" a="1"/>
  <c r="I427" i="21" s="1"/>
  <c r="I428" i="21" a="1"/>
  <c r="I428" i="21" s="1"/>
  <c r="I429" i="21" a="1"/>
  <c r="I429" i="21"/>
  <c r="I430" i="21" a="1"/>
  <c r="I430" i="21"/>
  <c r="I431" i="21" a="1"/>
  <c r="I431" i="21"/>
  <c r="I432" i="21" a="1"/>
  <c r="I432" i="21" s="1"/>
  <c r="I433" i="21" a="1"/>
  <c r="I433" i="21" s="1"/>
  <c r="I434" i="21" a="1"/>
  <c r="I434" i="21"/>
  <c r="I435" i="21" a="1"/>
  <c r="I435" i="21" s="1"/>
  <c r="I436" i="21" a="1"/>
  <c r="I436" i="21" s="1"/>
  <c r="I437" i="21" a="1"/>
  <c r="I437" i="21"/>
  <c r="I438" i="21" a="1"/>
  <c r="I438" i="21"/>
  <c r="I439" i="21" a="1"/>
  <c r="I439" i="21"/>
  <c r="I440" i="21" a="1"/>
  <c r="I440" i="21"/>
  <c r="I441" i="21" a="1"/>
  <c r="I441" i="21" s="1"/>
  <c r="I442" i="21" a="1"/>
  <c r="I442" i="21" s="1"/>
  <c r="I443" i="21" a="1"/>
  <c r="I443" i="21" s="1"/>
  <c r="I444" i="21" a="1"/>
  <c r="I444" i="21" s="1"/>
  <c r="I445" i="21" a="1"/>
  <c r="I445" i="21"/>
  <c r="I446" i="21" a="1"/>
  <c r="I446" i="21"/>
  <c r="I447" i="21" a="1"/>
  <c r="I447" i="21"/>
  <c r="I448" i="21" a="1"/>
  <c r="I448" i="21"/>
  <c r="I449" i="21" a="1"/>
  <c r="I449" i="21"/>
  <c r="I450" i="21" a="1"/>
  <c r="I450" i="21" s="1"/>
  <c r="I451" i="21" a="1"/>
  <c r="I451" i="21" s="1"/>
  <c r="I452" i="21" a="1"/>
  <c r="I452" i="21" s="1"/>
  <c r="I453" i="21" a="1"/>
  <c r="I453" i="21"/>
  <c r="I454" i="21" a="1"/>
  <c r="I454" i="21"/>
  <c r="I455" i="21" a="1"/>
  <c r="I455" i="21"/>
  <c r="I456" i="21" a="1"/>
  <c r="I456" i="21"/>
  <c r="I457" i="21" a="1"/>
  <c r="I457" i="21"/>
  <c r="I458" i="21" a="1"/>
  <c r="I458" i="21"/>
  <c r="I459" i="21" a="1"/>
  <c r="I459" i="21" s="1"/>
  <c r="I460" i="21" a="1"/>
  <c r="I460" i="21" s="1"/>
  <c r="I461" i="21" a="1"/>
  <c r="I461" i="21" s="1"/>
  <c r="I462" i="21" a="1"/>
  <c r="I462" i="21"/>
  <c r="I463" i="21" a="1"/>
  <c r="I463" i="21"/>
  <c r="I464" i="21" a="1"/>
  <c r="I464" i="21"/>
  <c r="I465" i="21" a="1"/>
  <c r="I465" i="21"/>
  <c r="I466" i="21" a="1"/>
  <c r="I466" i="21"/>
  <c r="I467" i="21" a="1"/>
  <c r="I467" i="21" s="1"/>
  <c r="I468" i="21" a="1"/>
  <c r="I468" i="21" s="1"/>
  <c r="I469" i="21" a="1"/>
  <c r="I469" i="21" s="1"/>
  <c r="I470" i="21" a="1"/>
  <c r="I470" i="21" s="1"/>
  <c r="I471" i="21" a="1"/>
  <c r="I471" i="21"/>
  <c r="I472" i="21" a="1"/>
  <c r="I472" i="21"/>
  <c r="I473" i="21" a="1"/>
  <c r="I473" i="21"/>
  <c r="I474" i="21" a="1"/>
  <c r="I474" i="21"/>
  <c r="I475" i="21" a="1"/>
  <c r="I475" i="21" s="1"/>
  <c r="I476" i="21" a="1"/>
  <c r="I476" i="21" s="1"/>
  <c r="I477" i="21" a="1"/>
  <c r="I477" i="21"/>
  <c r="I478" i="21" a="1"/>
  <c r="I478" i="21" s="1"/>
  <c r="I479" i="21" a="1"/>
  <c r="I479" i="21" s="1"/>
  <c r="I480" i="21" a="1"/>
  <c r="I480" i="21"/>
  <c r="I481" i="21" a="1"/>
  <c r="I481" i="21"/>
  <c r="I482" i="21" a="1"/>
  <c r="I482" i="21"/>
  <c r="I483" i="21" a="1"/>
  <c r="I483" i="21" s="1"/>
  <c r="I484" i="21" a="1"/>
  <c r="I484" i="21" s="1"/>
  <c r="I485" i="21" a="1"/>
  <c r="I485" i="21"/>
  <c r="I486" i="21" a="1"/>
  <c r="I486" i="21"/>
  <c r="I487" i="21" a="1"/>
  <c r="I487" i="21" s="1"/>
  <c r="I488" i="21" a="1"/>
  <c r="I488" i="21" s="1"/>
  <c r="I489" i="21" a="1"/>
  <c r="I489" i="21"/>
  <c r="I490" i="21" a="1"/>
  <c r="I490" i="21"/>
  <c r="I491" i="21" a="1"/>
  <c r="I491" i="21" s="1"/>
  <c r="I492" i="21" a="1"/>
  <c r="I492" i="21" s="1"/>
  <c r="I493" i="21" a="1"/>
  <c r="I493" i="21"/>
  <c r="I494" i="21" a="1"/>
  <c r="I494" i="21"/>
  <c r="I495" i="21" a="1"/>
  <c r="I495" i="21"/>
  <c r="I496" i="21" a="1"/>
  <c r="I496" i="21" s="1"/>
  <c r="I497" i="21" a="1"/>
  <c r="I497" i="21" s="1"/>
  <c r="I498" i="21" a="1"/>
  <c r="I498" i="21"/>
  <c r="I499" i="21" a="1"/>
  <c r="I499" i="21" s="1"/>
  <c r="I500" i="21" a="1"/>
  <c r="I500" i="21" s="1"/>
  <c r="I501" i="21" a="1"/>
  <c r="I501" i="21"/>
  <c r="I502" i="21" a="1"/>
  <c r="I502" i="21"/>
  <c r="I503" i="21" a="1"/>
  <c r="I503" i="21"/>
  <c r="I504" i="21" a="1"/>
  <c r="I504" i="21"/>
  <c r="I505" i="21" a="1"/>
  <c r="I505" i="21" s="1"/>
  <c r="I506" i="21" a="1"/>
  <c r="I506" i="21" s="1"/>
  <c r="I507" i="21" a="1"/>
  <c r="I507" i="21" s="1"/>
  <c r="I508" i="21" a="1"/>
  <c r="I508" i="21" s="1"/>
  <c r="I509" i="21" a="1"/>
  <c r="I509" i="21"/>
  <c r="I510" i="21" a="1"/>
  <c r="I510" i="21"/>
  <c r="I511" i="21" a="1"/>
  <c r="I511" i="21"/>
  <c r="I512" i="21" a="1"/>
  <c r="I512" i="21"/>
  <c r="I513" i="21" a="1"/>
  <c r="I513" i="21"/>
  <c r="I514" i="21" a="1"/>
  <c r="I514" i="21" s="1"/>
  <c r="I515" i="21" a="1"/>
  <c r="I515" i="21" s="1"/>
  <c r="I516" i="21" a="1"/>
  <c r="I516" i="21" s="1"/>
  <c r="I517" i="21" a="1"/>
  <c r="I517" i="21"/>
  <c r="I518" i="21" a="1"/>
  <c r="I518" i="21"/>
  <c r="I519" i="21" a="1"/>
  <c r="I519" i="21"/>
  <c r="I520" i="21" a="1"/>
  <c r="I520" i="21"/>
  <c r="I521" i="21" a="1"/>
  <c r="I521" i="21"/>
  <c r="I522" i="21" a="1"/>
  <c r="I522" i="21"/>
  <c r="I523" i="21" a="1"/>
  <c r="I523" i="21" s="1"/>
  <c r="I524" i="21" a="1"/>
  <c r="I524" i="21" s="1"/>
  <c r="I525" i="21" a="1"/>
  <c r="I525" i="21" s="1"/>
  <c r="I526" i="21" a="1"/>
  <c r="I526" i="21"/>
  <c r="I527" i="21" a="1"/>
  <c r="I527" i="21"/>
  <c r="I528" i="21" a="1"/>
  <c r="I528" i="21"/>
  <c r="I529" i="21" a="1"/>
  <c r="I529" i="21"/>
  <c r="I530" i="21" a="1"/>
  <c r="I530" i="21"/>
  <c r="I531" i="21" a="1"/>
  <c r="I531" i="21" s="1"/>
  <c r="I532" i="21" a="1"/>
  <c r="I532" i="21" s="1"/>
  <c r="I533" i="21" a="1"/>
  <c r="I533" i="21" s="1"/>
  <c r="I534" i="21" a="1"/>
  <c r="I534" i="21" s="1"/>
  <c r="I535" i="21" a="1"/>
  <c r="I535" i="21"/>
  <c r="I536" i="21" a="1"/>
  <c r="I536" i="21"/>
  <c r="I537" i="21" a="1"/>
  <c r="I537" i="21"/>
  <c r="I538" i="21" a="1"/>
  <c r="I538" i="21"/>
  <c r="I539" i="21" a="1"/>
  <c r="I539" i="21" s="1"/>
  <c r="I540" i="21" a="1"/>
  <c r="I540" i="21" s="1"/>
  <c r="I541" i="21" a="1"/>
  <c r="I541" i="21"/>
  <c r="I542" i="21" a="1"/>
  <c r="I542" i="21" s="1"/>
  <c r="I543" i="21" a="1"/>
  <c r="I543" i="21" s="1"/>
  <c r="I544" i="21" a="1"/>
  <c r="I544" i="21"/>
  <c r="I545" i="21" a="1"/>
  <c r="I545" i="21"/>
  <c r="I546" i="21" a="1"/>
  <c r="I546" i="21"/>
  <c r="I547" i="21" a="1"/>
  <c r="I547" i="21" s="1"/>
  <c r="I548" i="21" a="1"/>
  <c r="I548" i="21" s="1"/>
  <c r="I549" i="21" a="1"/>
  <c r="I549" i="21"/>
  <c r="I550" i="21" a="1"/>
  <c r="I550" i="21"/>
  <c r="I551" i="21" a="1"/>
  <c r="I551" i="21" s="1"/>
  <c r="I552" i="21" a="1"/>
  <c r="I552" i="21" s="1"/>
  <c r="I553" i="21" a="1"/>
  <c r="I553" i="21"/>
  <c r="I554" i="21" a="1"/>
  <c r="I554" i="21"/>
  <c r="I555" i="21" a="1"/>
  <c r="I555" i="21" s="1"/>
  <c r="I556" i="21" a="1"/>
  <c r="I556" i="21" s="1"/>
  <c r="I557" i="21" a="1"/>
  <c r="I557" i="21"/>
  <c r="I558" i="21" a="1"/>
  <c r="I558" i="21"/>
  <c r="I559" i="21" a="1"/>
  <c r="I559" i="21"/>
  <c r="I560" i="21" a="1"/>
  <c r="I560" i="21" s="1"/>
  <c r="I561" i="21" a="1"/>
  <c r="I561" i="21" s="1"/>
  <c r="I562" i="21" a="1"/>
  <c r="I562" i="21"/>
  <c r="I563" i="21" a="1"/>
  <c r="I563" i="21" s="1"/>
  <c r="I564" i="21" a="1"/>
  <c r="I564" i="21" s="1"/>
  <c r="I565" i="21" a="1"/>
  <c r="I565" i="21"/>
  <c r="I566" i="21" a="1"/>
  <c r="I566" i="21"/>
  <c r="I567" i="21" a="1"/>
  <c r="I567" i="21"/>
  <c r="I568" i="21" a="1"/>
  <c r="I568" i="21"/>
  <c r="I569" i="21" a="1"/>
  <c r="I569" i="21" s="1"/>
  <c r="I570" i="21" a="1"/>
  <c r="I570" i="21" s="1"/>
  <c r="I571" i="21" a="1"/>
  <c r="I571" i="21" s="1"/>
  <c r="I572" i="21" a="1"/>
  <c r="I572" i="21" s="1"/>
  <c r="I573" i="21" a="1"/>
  <c r="I573" i="21"/>
  <c r="I574" i="21" a="1"/>
  <c r="I574" i="21"/>
  <c r="I575" i="21" a="1"/>
  <c r="I575" i="21"/>
  <c r="I576" i="21" a="1"/>
  <c r="I576" i="21"/>
  <c r="I577" i="21" a="1"/>
  <c r="I577" i="21"/>
  <c r="I578" i="21" a="1"/>
  <c r="I578" i="21" s="1"/>
  <c r="I579" i="21" a="1"/>
  <c r="I579" i="21" s="1"/>
  <c r="I580" i="21" a="1"/>
  <c r="I580" i="21" s="1"/>
  <c r="I581" i="21" a="1"/>
  <c r="I581" i="21"/>
  <c r="I582" i="21" a="1"/>
  <c r="I582" i="21"/>
  <c r="I583" i="21" a="1"/>
  <c r="I583" i="21"/>
  <c r="I584" i="21" a="1"/>
  <c r="I584" i="21"/>
  <c r="I585" i="21" a="1"/>
  <c r="I585" i="21"/>
  <c r="I586" i="21" a="1"/>
  <c r="I586" i="21"/>
  <c r="I587" i="21" a="1"/>
  <c r="I587" i="21" s="1"/>
  <c r="I588" i="21" a="1"/>
  <c r="I588" i="21" s="1"/>
  <c r="I589" i="21" a="1"/>
  <c r="I589" i="21" s="1"/>
  <c r="I590" i="21" a="1"/>
  <c r="I590" i="21"/>
  <c r="I591" i="21" a="1"/>
  <c r="I591" i="21"/>
  <c r="I592" i="21" a="1"/>
  <c r="I592" i="21"/>
  <c r="I593" i="21" a="1"/>
  <c r="I593" i="21"/>
  <c r="I594" i="21" a="1"/>
  <c r="I594" i="21"/>
  <c r="I595" i="21" a="1"/>
  <c r="I595" i="21" s="1"/>
  <c r="I596" i="21" a="1"/>
  <c r="I596" i="21" s="1"/>
  <c r="I597" i="21" a="1"/>
  <c r="I597" i="21" s="1"/>
  <c r="I598" i="21" a="1"/>
  <c r="I598" i="21" s="1"/>
  <c r="I599" i="21" a="1"/>
  <c r="I599" i="21"/>
  <c r="I600" i="21" a="1"/>
  <c r="I600" i="21"/>
  <c r="I601" i="21" a="1"/>
  <c r="I601" i="21"/>
  <c r="I602" i="21" a="1"/>
  <c r="I602" i="21"/>
  <c r="I603" i="21" a="1"/>
  <c r="I603" i="21" s="1"/>
  <c r="I604" i="21" a="1"/>
  <c r="I604" i="21" s="1"/>
  <c r="I605" i="21" a="1"/>
  <c r="I605" i="21"/>
  <c r="I606" i="21" a="1"/>
  <c r="I606" i="21" s="1"/>
  <c r="I607" i="21" a="1"/>
  <c r="I607" i="21" s="1"/>
  <c r="I608" i="21" a="1"/>
  <c r="I608" i="21"/>
  <c r="I609" i="21" a="1"/>
  <c r="I609" i="21"/>
  <c r="I610" i="21" a="1"/>
  <c r="I610" i="21" s="1"/>
  <c r="I611" i="21" a="1"/>
  <c r="I611" i="21" s="1"/>
  <c r="I612" i="21" a="1"/>
  <c r="I612" i="21" s="1"/>
  <c r="I613" i="21" a="1"/>
  <c r="I613" i="21"/>
  <c r="I614" i="21" a="1"/>
  <c r="I614" i="21"/>
  <c r="I615" i="21" a="1"/>
  <c r="I615" i="21" s="1"/>
  <c r="I616" i="21" a="1"/>
  <c r="I616" i="21" s="1"/>
  <c r="I617" i="21" a="1"/>
  <c r="I617" i="21"/>
  <c r="I618" i="21" a="1"/>
  <c r="I618" i="21"/>
  <c r="I619" i="21" a="1"/>
  <c r="I619" i="21" s="1"/>
  <c r="I620" i="21" a="1"/>
  <c r="I620" i="21" s="1"/>
  <c r="I621" i="21" a="1"/>
  <c r="I621" i="21"/>
  <c r="I622" i="21" a="1"/>
  <c r="I622" i="21"/>
  <c r="I623" i="21" a="1"/>
  <c r="I623" i="21"/>
  <c r="I624" i="21" a="1"/>
  <c r="I624" i="21" s="1"/>
  <c r="I625" i="21" a="1"/>
  <c r="I625" i="21" s="1"/>
  <c r="I626" i="21" a="1"/>
  <c r="I626" i="21"/>
  <c r="I627" i="21" a="1"/>
  <c r="I627" i="21" s="1"/>
  <c r="I628" i="21" a="1"/>
  <c r="I628" i="21" s="1"/>
  <c r="I629" i="21" a="1"/>
  <c r="I629" i="21" s="1"/>
  <c r="I630" i="21" a="1"/>
  <c r="I630" i="21"/>
  <c r="I631" i="21" a="1"/>
  <c r="I631" i="21"/>
  <c r="I632" i="21" a="1"/>
  <c r="I632" i="21"/>
  <c r="I633" i="21" a="1"/>
  <c r="I633" i="21" s="1"/>
  <c r="I634" i="21" a="1"/>
  <c r="I634" i="21" s="1"/>
  <c r="I635" i="21" a="1"/>
  <c r="I635" i="21" s="1"/>
  <c r="I636" i="21" a="1"/>
  <c r="I636" i="21" s="1"/>
  <c r="I637" i="21" a="1"/>
  <c r="I637" i="21"/>
  <c r="I638" i="21" a="1"/>
  <c r="I638" i="21" s="1"/>
  <c r="I639" i="21" a="1"/>
  <c r="I639" i="21"/>
  <c r="I640" i="21" a="1"/>
  <c r="I640" i="21"/>
  <c r="I641" i="21" a="1"/>
  <c r="I641" i="21"/>
  <c r="I642" i="21" a="1"/>
  <c r="I642" i="21" s="1"/>
  <c r="I643" i="21" a="1"/>
  <c r="I643" i="21" s="1"/>
  <c r="I644" i="21" a="1"/>
  <c r="I644" i="21" s="1"/>
  <c r="I645" i="21" a="1"/>
  <c r="I645" i="21"/>
  <c r="I646" i="21" a="1"/>
  <c r="I646" i="21"/>
  <c r="I647" i="21" a="1"/>
  <c r="I647" i="21" s="1"/>
  <c r="I648" i="21" a="1"/>
  <c r="I648" i="21"/>
  <c r="I649" i="21" a="1"/>
  <c r="I649" i="21"/>
  <c r="I650" i="21" a="1"/>
  <c r="I650" i="21"/>
  <c r="I651" i="21" a="1"/>
  <c r="I651" i="21" s="1"/>
  <c r="I652" i="21" a="1"/>
  <c r="I652" i="21" s="1"/>
  <c r="I653" i="21" a="1"/>
  <c r="I653" i="21" s="1"/>
  <c r="I654" i="21" a="1"/>
  <c r="I654" i="21"/>
  <c r="I655" i="21" a="1"/>
  <c r="I655" i="21"/>
  <c r="I656" i="21" a="1"/>
  <c r="I656" i="21" s="1"/>
  <c r="I657" i="21" a="1"/>
  <c r="I657" i="21"/>
  <c r="I658" i="21" a="1"/>
  <c r="I658" i="21"/>
  <c r="I659" i="21" a="1"/>
  <c r="I659" i="21" s="1"/>
  <c r="I660" i="21" a="1"/>
  <c r="I660" i="21" s="1"/>
  <c r="I661" i="21" a="1"/>
  <c r="I661" i="21" s="1"/>
  <c r="I662" i="21" a="1"/>
  <c r="I662" i="21" s="1"/>
  <c r="I663" i="21" a="1"/>
  <c r="I663" i="21"/>
  <c r="I664" i="21" a="1"/>
  <c r="I664" i="21"/>
  <c r="I665" i="21" a="1"/>
  <c r="I665" i="21" s="1"/>
  <c r="I666" i="21" a="1"/>
  <c r="I666" i="21"/>
  <c r="I667" i="21" a="1"/>
  <c r="I667" i="21" s="1"/>
  <c r="I668" i="21" a="1"/>
  <c r="I668" i="21" s="1"/>
  <c r="I669" i="21" a="1"/>
  <c r="I669" i="21"/>
  <c r="I670" i="21" a="1"/>
  <c r="I670" i="21" s="1"/>
  <c r="I671" i="21" a="1"/>
  <c r="I671" i="21" s="1"/>
  <c r="I672" i="21" a="1"/>
  <c r="I672" i="21"/>
  <c r="I673" i="21" a="1"/>
  <c r="I673" i="21"/>
  <c r="I674" i="21" a="1"/>
  <c r="I674" i="21" s="1"/>
  <c r="I675" i="21" a="1"/>
  <c r="I675" i="21" s="1"/>
  <c r="I676" i="21" a="1"/>
  <c r="I676" i="21" s="1"/>
  <c r="I677" i="21" a="1"/>
  <c r="I677" i="21"/>
  <c r="I678" i="21" a="1"/>
  <c r="I678" i="21"/>
  <c r="I679" i="21" a="1"/>
  <c r="I679" i="21" s="1"/>
  <c r="I680" i="21" a="1"/>
  <c r="I680" i="21" s="1"/>
  <c r="I681" i="21" a="1"/>
  <c r="I681" i="21"/>
  <c r="I682" i="21" a="1"/>
  <c r="I682" i="21"/>
  <c r="I683" i="21" a="1"/>
  <c r="I683" i="21" s="1"/>
  <c r="I684" i="21" a="1"/>
  <c r="I684" i="21"/>
  <c r="I685" i="21" a="1"/>
  <c r="I685" i="21"/>
  <c r="I686" i="21" a="1"/>
  <c r="I686" i="21"/>
  <c r="I687" i="21" a="1"/>
  <c r="I687" i="21" s="1"/>
  <c r="I688" i="21" a="1"/>
  <c r="I688" i="21" s="1"/>
  <c r="I689" i="21" a="1"/>
  <c r="I689" i="21"/>
  <c r="I690" i="21" a="1"/>
  <c r="I690" i="21"/>
  <c r="I691" i="21" a="1"/>
  <c r="I691" i="21" s="1"/>
  <c r="I692" i="21" a="1"/>
  <c r="I692" i="21"/>
  <c r="I693" i="21" a="1"/>
  <c r="I693" i="21"/>
  <c r="I694" i="21" a="1"/>
  <c r="I694" i="21"/>
  <c r="I695" i="21" a="1"/>
  <c r="I695" i="21" s="1"/>
  <c r="I696" i="21" a="1"/>
  <c r="I696" i="21" s="1"/>
  <c r="I697" i="21" a="1"/>
  <c r="I697" i="21"/>
  <c r="I698" i="21" a="1"/>
  <c r="I698" i="21"/>
  <c r="I699" i="21" a="1"/>
  <c r="I699" i="21" s="1"/>
  <c r="I700" i="21" a="1"/>
  <c r="I700" i="21"/>
  <c r="I701" i="21" a="1"/>
  <c r="I701" i="21"/>
  <c r="I702" i="21" a="1"/>
  <c r="I702" i="21"/>
  <c r="I703" i="21" a="1"/>
  <c r="I703" i="21" s="1"/>
  <c r="I704" i="21" a="1"/>
  <c r="I704" i="21" s="1"/>
  <c r="I705" i="21" a="1"/>
  <c r="I705" i="21"/>
  <c r="I706" i="21" a="1"/>
  <c r="I706" i="21"/>
  <c r="I707" i="21" a="1"/>
  <c r="I707" i="21" s="1"/>
  <c r="I708" i="21" a="1"/>
  <c r="I708" i="21"/>
  <c r="I709" i="21" a="1"/>
  <c r="I709" i="21"/>
  <c r="I710" i="21" a="1"/>
  <c r="I710" i="21"/>
  <c r="I711" i="21" a="1"/>
  <c r="I711" i="21" s="1"/>
  <c r="I712" i="21" a="1"/>
  <c r="I712" i="21" s="1"/>
  <c r="I713" i="21" a="1"/>
  <c r="I713" i="21"/>
  <c r="I714" i="21" a="1"/>
  <c r="I714" i="21"/>
  <c r="I715" i="21" a="1"/>
  <c r="I715" i="21" s="1"/>
  <c r="I716" i="21" a="1"/>
  <c r="I716" i="21"/>
  <c r="I717" i="21" a="1"/>
  <c r="I717" i="21"/>
  <c r="I718" i="21" a="1"/>
  <c r="I718" i="21"/>
  <c r="I719" i="21" a="1"/>
  <c r="I719" i="21" s="1"/>
  <c r="I720" i="21" a="1"/>
  <c r="I720" i="21" s="1"/>
  <c r="I721" i="21" a="1"/>
  <c r="I721" i="21"/>
  <c r="I722" i="21" a="1"/>
  <c r="I722" i="21"/>
  <c r="I723" i="21" a="1"/>
  <c r="I723" i="21" s="1"/>
  <c r="I724" i="21" a="1"/>
  <c r="I724" i="21"/>
  <c r="I725" i="21" a="1"/>
  <c r="I725" i="21"/>
  <c r="I726" i="21" a="1"/>
  <c r="I726" i="21"/>
  <c r="I727" i="21" a="1"/>
  <c r="I727" i="21" s="1"/>
  <c r="I728" i="21" a="1"/>
  <c r="I728" i="21" s="1"/>
  <c r="I729" i="21" a="1"/>
  <c r="I729" i="21"/>
  <c r="I730" i="21" a="1"/>
  <c r="I730" i="21"/>
  <c r="I731" i="21" a="1"/>
  <c r="I731" i="21" s="1"/>
  <c r="I732" i="21" a="1"/>
  <c r="I732" i="21"/>
  <c r="I733" i="21" a="1"/>
  <c r="I733" i="21"/>
  <c r="I734" i="21" a="1"/>
  <c r="I734" i="21"/>
  <c r="I735" i="21" a="1"/>
  <c r="I735" i="21" s="1"/>
  <c r="I736" i="21" a="1"/>
  <c r="I736" i="21" s="1"/>
  <c r="I737" i="21" a="1"/>
  <c r="I737" i="21"/>
  <c r="I738" i="21" a="1"/>
  <c r="I738" i="21"/>
  <c r="I739" i="21" a="1"/>
  <c r="I739" i="21" s="1"/>
  <c r="I740" i="21" a="1"/>
  <c r="I740" i="21"/>
  <c r="I741" i="21" a="1"/>
  <c r="I741" i="21"/>
  <c r="I742" i="21" a="1"/>
  <c r="I742" i="21"/>
  <c r="I743" i="21" a="1"/>
  <c r="I743" i="21" s="1"/>
  <c r="I744" i="21" a="1"/>
  <c r="I744" i="21" s="1"/>
  <c r="I745" i="21" a="1"/>
  <c r="I745" i="21"/>
  <c r="I746" i="21" a="1"/>
  <c r="I746" i="21"/>
  <c r="I747" i="21" a="1"/>
  <c r="I747" i="21" s="1"/>
  <c r="I748" i="21" a="1"/>
  <c r="I748" i="21"/>
  <c r="I749" i="21" a="1"/>
  <c r="I749" i="21"/>
  <c r="I750" i="21" a="1"/>
  <c r="I750" i="21"/>
  <c r="I751" i="21" a="1"/>
  <c r="I751" i="21" s="1"/>
  <c r="I752" i="21" a="1"/>
  <c r="I752" i="21" s="1"/>
  <c r="I753" i="21" a="1"/>
  <c r="I753" i="21"/>
  <c r="I754" i="21" a="1"/>
  <c r="I754" i="21"/>
  <c r="I755" i="21" a="1"/>
  <c r="I755" i="21" s="1"/>
  <c r="I756" i="21" a="1"/>
  <c r="I756" i="21"/>
  <c r="I757" i="21" a="1"/>
  <c r="I757" i="21"/>
  <c r="I758" i="21" a="1"/>
  <c r="I758" i="21"/>
  <c r="I759" i="21" a="1"/>
  <c r="I759" i="21" s="1"/>
  <c r="I760" i="21" a="1"/>
  <c r="I760" i="21" s="1"/>
  <c r="I761" i="21" a="1"/>
  <c r="I761" i="21"/>
  <c r="I762" i="21" a="1"/>
  <c r="I762" i="21"/>
  <c r="I763" i="21" a="1"/>
  <c r="I763" i="21" s="1"/>
  <c r="I764" i="21" a="1"/>
  <c r="I764" i="21"/>
  <c r="I765" i="21" a="1"/>
  <c r="I765" i="21"/>
  <c r="I766" i="21" a="1"/>
  <c r="I766" i="21"/>
  <c r="I767" i="21" a="1"/>
  <c r="I767" i="21" s="1"/>
  <c r="I768" i="21" a="1"/>
  <c r="I768" i="21" s="1"/>
  <c r="I769" i="21" a="1"/>
  <c r="I769" i="21"/>
  <c r="I770" i="21" a="1"/>
  <c r="I770" i="21"/>
  <c r="I771" i="21" a="1"/>
  <c r="I771" i="21" s="1"/>
  <c r="I772" i="21" a="1"/>
  <c r="I772" i="21"/>
  <c r="I773" i="21" a="1"/>
  <c r="I773" i="21"/>
  <c r="I774" i="21" a="1"/>
  <c r="I774" i="21"/>
  <c r="I775" i="21" a="1"/>
  <c r="I775" i="21" s="1"/>
  <c r="I776" i="21" a="1"/>
  <c r="I776" i="21" s="1"/>
  <c r="I777" i="21" a="1"/>
  <c r="I777" i="21"/>
  <c r="I778" i="21" a="1"/>
  <c r="I778" i="21"/>
  <c r="I779" i="21" a="1"/>
  <c r="I779" i="21" s="1"/>
  <c r="I780" i="21" a="1"/>
  <c r="I780" i="21"/>
  <c r="I781" i="21" a="1"/>
  <c r="I781" i="21"/>
  <c r="I782" i="21" a="1"/>
  <c r="I782" i="21"/>
  <c r="I783" i="21" a="1"/>
  <c r="I783" i="21" s="1"/>
  <c r="I784" i="21" a="1"/>
  <c r="I784" i="21" s="1"/>
  <c r="I785" i="21" a="1"/>
  <c r="I785" i="21"/>
  <c r="I786" i="21" a="1"/>
  <c r="I786" i="21"/>
  <c r="I787" i="21" a="1"/>
  <c r="I787" i="21" s="1"/>
  <c r="I788" i="21" a="1"/>
  <c r="I788" i="21"/>
  <c r="I789" i="21" a="1"/>
  <c r="I789" i="21"/>
  <c r="I790" i="21" a="1"/>
  <c r="I790" i="21"/>
  <c r="I791" i="21" a="1"/>
  <c r="I791" i="21" s="1"/>
  <c r="I792" i="21" a="1"/>
  <c r="I792" i="21" s="1"/>
  <c r="I793" i="21" a="1"/>
  <c r="I793" i="21"/>
  <c r="I794" i="21" a="1"/>
  <c r="I794" i="21"/>
  <c r="I795" i="21" a="1"/>
  <c r="I795" i="21" s="1"/>
  <c r="I796" i="21" a="1"/>
  <c r="I796" i="21"/>
  <c r="I797" i="21" a="1"/>
  <c r="I797" i="21"/>
  <c r="I798" i="21" a="1"/>
  <c r="I798" i="21"/>
  <c r="I799" i="21" a="1"/>
  <c r="I799" i="21" s="1"/>
  <c r="I800" i="21" a="1"/>
  <c r="I800" i="21" s="1"/>
  <c r="I801" i="21" a="1"/>
  <c r="I801" i="21"/>
  <c r="I802" i="21" a="1"/>
  <c r="I802" i="21"/>
  <c r="I803" i="21" a="1"/>
  <c r="I803" i="21" s="1"/>
  <c r="I804" i="21" a="1"/>
  <c r="I804" i="21"/>
  <c r="I805" i="21" a="1"/>
  <c r="I805" i="21"/>
  <c r="I806" i="21" a="1"/>
  <c r="I806" i="21"/>
  <c r="I807" i="21" a="1"/>
  <c r="I807" i="21" s="1"/>
  <c r="I808" i="21" a="1"/>
  <c r="I808" i="21" s="1"/>
  <c r="I809" i="21" a="1"/>
  <c r="I809" i="21"/>
  <c r="I810" i="21" a="1"/>
  <c r="I810" i="21"/>
  <c r="I811" i="21" a="1"/>
  <c r="I811" i="21" s="1"/>
  <c r="I812" i="21" a="1"/>
  <c r="I812" i="21"/>
  <c r="I813" i="21" a="1"/>
  <c r="I813" i="21"/>
  <c r="I814" i="21" a="1"/>
  <c r="I814" i="21"/>
  <c r="I815" i="21" a="1"/>
  <c r="I815" i="21" s="1"/>
  <c r="I816" i="21" a="1"/>
  <c r="I816" i="21" s="1"/>
  <c r="I817" i="21" a="1"/>
  <c r="I817" i="21"/>
  <c r="I818" i="21" a="1"/>
  <c r="I818" i="21"/>
  <c r="I819" i="21" a="1"/>
  <c r="I819" i="21" s="1"/>
  <c r="I820" i="21" a="1"/>
  <c r="I820" i="21"/>
  <c r="I821" i="21" a="1"/>
  <c r="I821" i="21"/>
  <c r="I822" i="21" a="1"/>
  <c r="I822" i="21"/>
  <c r="I823" i="21" a="1"/>
  <c r="I823" i="21" s="1"/>
  <c r="I824" i="21" a="1"/>
  <c r="I824" i="21" s="1"/>
  <c r="I825" i="21" a="1"/>
  <c r="I825" i="21"/>
  <c r="I826" i="21" a="1"/>
  <c r="I826" i="21"/>
  <c r="I827" i="21" a="1"/>
  <c r="I827" i="21" s="1"/>
  <c r="I828" i="21" a="1"/>
  <c r="I828" i="21"/>
  <c r="I829" i="21" a="1"/>
  <c r="I829" i="21"/>
  <c r="I830" i="21" a="1"/>
  <c r="I830" i="21"/>
  <c r="I831" i="21" a="1"/>
  <c r="I831" i="21" s="1"/>
  <c r="I832" i="21" a="1"/>
  <c r="I832" i="21" s="1"/>
  <c r="I833" i="21" a="1"/>
  <c r="I833" i="21"/>
  <c r="I834" i="21" a="1"/>
  <c r="I834" i="21"/>
  <c r="I835" i="21" a="1"/>
  <c r="I835" i="21" s="1"/>
  <c r="I836" i="21" a="1"/>
  <c r="I836" i="21"/>
  <c r="I837" i="21" a="1"/>
  <c r="I837" i="21"/>
  <c r="I838" i="21" a="1"/>
  <c r="I838" i="21"/>
  <c r="I839" i="21" a="1"/>
  <c r="I839" i="21" s="1"/>
  <c r="I840" i="21" a="1"/>
  <c r="I840" i="21" s="1"/>
  <c r="I841" i="21" a="1"/>
  <c r="I841" i="21"/>
  <c r="I842" i="21" a="1"/>
  <c r="I842" i="21"/>
  <c r="I843" i="21" a="1"/>
  <c r="I843" i="21" s="1"/>
  <c r="I844" i="21" a="1"/>
  <c r="I844" i="21"/>
  <c r="I845" i="21" a="1"/>
  <c r="I845" i="21"/>
  <c r="I846" i="21" a="1"/>
  <c r="I846" i="21"/>
  <c r="I847" i="21" a="1"/>
  <c r="I847" i="21" s="1"/>
  <c r="I848" i="21" a="1"/>
  <c r="I848" i="21" s="1"/>
  <c r="I849" i="21" a="1"/>
  <c r="I849" i="21"/>
  <c r="I850" i="21" a="1"/>
  <c r="I850" i="21"/>
  <c r="I851" i="21" a="1"/>
  <c r="I851" i="21" s="1"/>
  <c r="I852" i="21" a="1"/>
  <c r="I852" i="21"/>
  <c r="I853" i="21" a="1"/>
  <c r="I853" i="21"/>
  <c r="I854" i="21" a="1"/>
  <c r="I854" i="21"/>
  <c r="I855" i="21" a="1"/>
  <c r="I855" i="21" s="1"/>
  <c r="I856" i="21" a="1"/>
  <c r="I856" i="21" s="1"/>
  <c r="I857" i="21" a="1"/>
  <c r="I857" i="21"/>
  <c r="I858" i="21" a="1"/>
  <c r="I858" i="21"/>
  <c r="I859" i="21" a="1"/>
  <c r="I859" i="21" s="1"/>
  <c r="I860" i="21" a="1"/>
  <c r="I860" i="21"/>
  <c r="I861" i="21" a="1"/>
  <c r="I861" i="21"/>
  <c r="I862" i="21" a="1"/>
  <c r="I862" i="21"/>
  <c r="I863" i="21" a="1"/>
  <c r="I863" i="21" s="1"/>
  <c r="I864" i="21" a="1"/>
  <c r="I864" i="21" s="1"/>
  <c r="I865" i="21" a="1"/>
  <c r="I865" i="21"/>
  <c r="I866" i="21" a="1"/>
  <c r="I866" i="21"/>
  <c r="I867" i="21" a="1"/>
  <c r="I867" i="21" s="1"/>
  <c r="I868" i="21" a="1"/>
  <c r="I868" i="21"/>
  <c r="I869" i="21" a="1"/>
  <c r="I869" i="21"/>
  <c r="I870" i="21" a="1"/>
  <c r="I870" i="21"/>
  <c r="I871" i="21" a="1"/>
  <c r="I871" i="21" s="1"/>
  <c r="I872" i="21" a="1"/>
  <c r="I872" i="21" s="1"/>
  <c r="I873" i="21" a="1"/>
  <c r="I873" i="21"/>
  <c r="I874" i="21" a="1"/>
  <c r="I874" i="21"/>
  <c r="I875" i="21" a="1"/>
  <c r="I875" i="21" s="1"/>
  <c r="I876" i="21" a="1"/>
  <c r="I876" i="21"/>
  <c r="I877" i="21" a="1"/>
  <c r="I877" i="21"/>
  <c r="I878" i="21" a="1"/>
  <c r="I878" i="21"/>
  <c r="I879" i="21" a="1"/>
  <c r="I879" i="21" s="1"/>
  <c r="I880" i="21" a="1"/>
  <c r="I880" i="21" s="1"/>
  <c r="I881" i="21" a="1"/>
  <c r="I881" i="21"/>
  <c r="I882" i="21" a="1"/>
  <c r="I882" i="21"/>
  <c r="I883" i="21" a="1"/>
  <c r="I883" i="21" s="1"/>
  <c r="I884" i="21" a="1"/>
  <c r="I884" i="21"/>
  <c r="I885" i="21" a="1"/>
  <c r="I885" i="21"/>
  <c r="I886" i="21" a="1"/>
  <c r="I886" i="21"/>
  <c r="I887" i="21" a="1"/>
  <c r="I887" i="21" s="1"/>
  <c r="I888" i="21" a="1"/>
  <c r="I888" i="21" s="1"/>
  <c r="I889" i="21" a="1"/>
  <c r="I889" i="21"/>
  <c r="I890" i="21" a="1"/>
  <c r="I890" i="21"/>
  <c r="I891" i="21" a="1"/>
  <c r="I891" i="21" s="1"/>
  <c r="I892" i="21" a="1"/>
  <c r="I892" i="21"/>
  <c r="I893" i="21" a="1"/>
  <c r="I893" i="21"/>
  <c r="I894" i="21" a="1"/>
  <c r="I894" i="21"/>
  <c r="I895" i="21" a="1"/>
  <c r="I895" i="21" s="1"/>
  <c r="I896" i="21" a="1"/>
  <c r="I896" i="21" s="1"/>
  <c r="I897" i="21" a="1"/>
  <c r="I897" i="21"/>
  <c r="I898" i="21" a="1"/>
  <c r="I898" i="21"/>
  <c r="I899" i="21" a="1"/>
  <c r="I899" i="21" s="1"/>
  <c r="I900" i="21" a="1"/>
  <c r="I900" i="21"/>
  <c r="I901" i="21" a="1"/>
  <c r="I901" i="21"/>
  <c r="I902" i="21" a="1"/>
  <c r="I902" i="21"/>
  <c r="I903" i="21" a="1"/>
  <c r="I903" i="21" s="1"/>
  <c r="I904" i="21" a="1"/>
  <c r="I904" i="21" s="1"/>
  <c r="I905" i="21" a="1"/>
  <c r="I905" i="21"/>
  <c r="I906" i="21" a="1"/>
  <c r="I906" i="21"/>
  <c r="I907" i="21" a="1"/>
  <c r="I907" i="21" s="1"/>
  <c r="I908" i="21" a="1"/>
  <c r="I908" i="21"/>
  <c r="I909" i="21" a="1"/>
  <c r="I909" i="21"/>
  <c r="I910" i="21" a="1"/>
  <c r="I910" i="21"/>
  <c r="I911" i="21" a="1"/>
  <c r="I911" i="21" s="1"/>
  <c r="I912" i="21" a="1"/>
  <c r="I912" i="21" s="1"/>
  <c r="I913" i="21" a="1"/>
  <c r="I913" i="21"/>
  <c r="I914" i="21" a="1"/>
  <c r="I914" i="21"/>
  <c r="I2" i="21" a="1"/>
  <c r="I2" i="21" s="1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H201" i="21"/>
  <c r="H202" i="21"/>
  <c r="H203" i="21"/>
  <c r="H204" i="21"/>
  <c r="H205" i="21"/>
  <c r="H206" i="21"/>
  <c r="H207" i="21"/>
  <c r="H208" i="21"/>
  <c r="H209" i="21"/>
  <c r="H210" i="21"/>
  <c r="H211" i="21"/>
  <c r="H212" i="21"/>
  <c r="H213" i="21"/>
  <c r="H214" i="21"/>
  <c r="H215" i="21"/>
  <c r="H216" i="21"/>
  <c r="H217" i="21"/>
  <c r="H218" i="21"/>
  <c r="H219" i="21"/>
  <c r="H220" i="21"/>
  <c r="H221" i="21"/>
  <c r="H222" i="21"/>
  <c r="H223" i="21"/>
  <c r="H224" i="21"/>
  <c r="H225" i="21"/>
  <c r="H226" i="21"/>
  <c r="H227" i="21"/>
  <c r="H228" i="21"/>
  <c r="H229" i="21"/>
  <c r="H230" i="21"/>
  <c r="H231" i="21"/>
  <c r="H232" i="21"/>
  <c r="H233" i="21"/>
  <c r="H234" i="21"/>
  <c r="H235" i="21"/>
  <c r="H236" i="21"/>
  <c r="H237" i="21"/>
  <c r="H238" i="21"/>
  <c r="H239" i="21"/>
  <c r="H240" i="21"/>
  <c r="H241" i="21"/>
  <c r="H242" i="21"/>
  <c r="H243" i="21"/>
  <c r="H244" i="21"/>
  <c r="H245" i="21"/>
  <c r="H246" i="21"/>
  <c r="H247" i="21"/>
  <c r="H248" i="21"/>
  <c r="H249" i="21"/>
  <c r="H250" i="21"/>
  <c r="H251" i="21"/>
  <c r="H252" i="21"/>
  <c r="H253" i="21"/>
  <c r="H254" i="21"/>
  <c r="H255" i="21"/>
  <c r="H256" i="21"/>
  <c r="H257" i="21"/>
  <c r="H258" i="21"/>
  <c r="H259" i="21"/>
  <c r="H260" i="21"/>
  <c r="H261" i="21"/>
  <c r="H262" i="21"/>
  <c r="H263" i="21"/>
  <c r="H264" i="21"/>
  <c r="H265" i="21"/>
  <c r="H266" i="21"/>
  <c r="H267" i="21"/>
  <c r="H268" i="21"/>
  <c r="H269" i="21"/>
  <c r="H270" i="21"/>
  <c r="H271" i="21"/>
  <c r="H272" i="21"/>
  <c r="H273" i="21"/>
  <c r="H274" i="21"/>
  <c r="H275" i="21"/>
  <c r="H276" i="21"/>
  <c r="H277" i="21"/>
  <c r="H278" i="21"/>
  <c r="H279" i="21"/>
  <c r="H280" i="21"/>
  <c r="H281" i="21"/>
  <c r="H282" i="21"/>
  <c r="H283" i="21"/>
  <c r="H284" i="21"/>
  <c r="H285" i="21"/>
  <c r="H286" i="21"/>
  <c r="H287" i="21"/>
  <c r="H288" i="21"/>
  <c r="H289" i="21"/>
  <c r="H290" i="21"/>
  <c r="H291" i="21"/>
  <c r="H292" i="21"/>
  <c r="H293" i="21"/>
  <c r="H294" i="21"/>
  <c r="H295" i="21"/>
  <c r="H296" i="21"/>
  <c r="H297" i="21"/>
  <c r="H298" i="21"/>
  <c r="H299" i="21"/>
  <c r="H300" i="21"/>
  <c r="H301" i="21"/>
  <c r="H302" i="21"/>
  <c r="H303" i="21"/>
  <c r="H304" i="21"/>
  <c r="H305" i="21"/>
  <c r="H306" i="21"/>
  <c r="H307" i="21"/>
  <c r="H308" i="21"/>
  <c r="H309" i="21"/>
  <c r="H310" i="21"/>
  <c r="H311" i="21"/>
  <c r="H312" i="21"/>
  <c r="H313" i="21"/>
  <c r="H314" i="21"/>
  <c r="H315" i="21"/>
  <c r="H316" i="21"/>
  <c r="H317" i="21"/>
  <c r="H318" i="21"/>
  <c r="H319" i="21"/>
  <c r="H320" i="21"/>
  <c r="H321" i="21"/>
  <c r="H322" i="21"/>
  <c r="H323" i="21"/>
  <c r="H324" i="21"/>
  <c r="H325" i="21"/>
  <c r="H326" i="21"/>
  <c r="H327" i="21"/>
  <c r="H328" i="21"/>
  <c r="H329" i="21"/>
  <c r="H330" i="21"/>
  <c r="H331" i="21"/>
  <c r="H332" i="21"/>
  <c r="H333" i="21"/>
  <c r="H334" i="21"/>
  <c r="H335" i="21"/>
  <c r="H336" i="21"/>
  <c r="H337" i="21"/>
  <c r="H338" i="21"/>
  <c r="H339" i="21"/>
  <c r="H340" i="21"/>
  <c r="H341" i="21"/>
  <c r="H342" i="21"/>
  <c r="H343" i="21"/>
  <c r="H344" i="21"/>
  <c r="H345" i="21"/>
  <c r="H346" i="21"/>
  <c r="H347" i="21"/>
  <c r="H348" i="21"/>
  <c r="H349" i="21"/>
  <c r="H350" i="21"/>
  <c r="H351" i="21"/>
  <c r="H352" i="21"/>
  <c r="H353" i="21"/>
  <c r="H354" i="21"/>
  <c r="H355" i="21"/>
  <c r="H356" i="21"/>
  <c r="H357" i="21"/>
  <c r="H358" i="21"/>
  <c r="H359" i="21"/>
  <c r="H360" i="21"/>
  <c r="H361" i="21"/>
  <c r="H362" i="21"/>
  <c r="H363" i="21"/>
  <c r="H364" i="21"/>
  <c r="H365" i="21"/>
  <c r="H366" i="21"/>
  <c r="H367" i="21"/>
  <c r="H368" i="21"/>
  <c r="H369" i="21"/>
  <c r="H370" i="21"/>
  <c r="H371" i="21"/>
  <c r="H372" i="21"/>
  <c r="H373" i="21"/>
  <c r="H374" i="21"/>
  <c r="H375" i="21"/>
  <c r="H376" i="21"/>
  <c r="H377" i="21"/>
  <c r="H378" i="21"/>
  <c r="H379" i="21"/>
  <c r="H380" i="21"/>
  <c r="H381" i="21"/>
  <c r="H382" i="21"/>
  <c r="H383" i="21"/>
  <c r="H384" i="21"/>
  <c r="H385" i="21"/>
  <c r="H386" i="21"/>
  <c r="H387" i="21"/>
  <c r="H388" i="21"/>
  <c r="H389" i="21"/>
  <c r="H390" i="21"/>
  <c r="H391" i="21"/>
  <c r="H392" i="21"/>
  <c r="H393" i="21"/>
  <c r="H394" i="21"/>
  <c r="H395" i="21"/>
  <c r="H396" i="21"/>
  <c r="H397" i="21"/>
  <c r="H398" i="21"/>
  <c r="H399" i="21"/>
  <c r="H400" i="21"/>
  <c r="H401" i="21"/>
  <c r="H402" i="21"/>
  <c r="H403" i="21"/>
  <c r="H404" i="21"/>
  <c r="H405" i="21"/>
  <c r="H406" i="21"/>
  <c r="H407" i="21"/>
  <c r="H408" i="21"/>
  <c r="H409" i="21"/>
  <c r="H410" i="21"/>
  <c r="H411" i="21"/>
  <c r="H412" i="21"/>
  <c r="H413" i="21"/>
  <c r="H414" i="21"/>
  <c r="H415" i="21"/>
  <c r="H416" i="21"/>
  <c r="H417" i="21"/>
  <c r="H418" i="21"/>
  <c r="H419" i="21"/>
  <c r="H420" i="21"/>
  <c r="H421" i="21"/>
  <c r="H422" i="21"/>
  <c r="H423" i="21"/>
  <c r="H424" i="21"/>
  <c r="H425" i="21"/>
  <c r="H426" i="21"/>
  <c r="H427" i="21"/>
  <c r="H428" i="21"/>
  <c r="H429" i="21"/>
  <c r="H430" i="21"/>
  <c r="H431" i="21"/>
  <c r="H432" i="21"/>
  <c r="H433" i="21"/>
  <c r="H434" i="21"/>
  <c r="H435" i="21"/>
  <c r="H436" i="21"/>
  <c r="H437" i="21"/>
  <c r="H438" i="21"/>
  <c r="H439" i="21"/>
  <c r="H440" i="21"/>
  <c r="H441" i="21"/>
  <c r="H442" i="21"/>
  <c r="H443" i="21"/>
  <c r="H444" i="21"/>
  <c r="H445" i="21"/>
  <c r="H446" i="21"/>
  <c r="H447" i="21"/>
  <c r="H448" i="21"/>
  <c r="H449" i="21"/>
  <c r="H450" i="21"/>
  <c r="H451" i="21"/>
  <c r="H452" i="21"/>
  <c r="H453" i="21"/>
  <c r="H454" i="21"/>
  <c r="H455" i="21"/>
  <c r="H456" i="21"/>
  <c r="H457" i="21"/>
  <c r="H458" i="21"/>
  <c r="H459" i="21"/>
  <c r="H460" i="21"/>
  <c r="H461" i="21"/>
  <c r="H462" i="21"/>
  <c r="H463" i="21"/>
  <c r="H464" i="21"/>
  <c r="H465" i="21"/>
  <c r="H466" i="21"/>
  <c r="H467" i="21"/>
  <c r="H468" i="21"/>
  <c r="H469" i="21"/>
  <c r="H470" i="21"/>
  <c r="H471" i="21"/>
  <c r="H472" i="21"/>
  <c r="H473" i="21"/>
  <c r="H474" i="21"/>
  <c r="H475" i="21"/>
  <c r="H476" i="21"/>
  <c r="H477" i="21"/>
  <c r="H478" i="21"/>
  <c r="H479" i="21"/>
  <c r="H480" i="21"/>
  <c r="H481" i="21"/>
  <c r="H482" i="21"/>
  <c r="H483" i="21"/>
  <c r="H484" i="21"/>
  <c r="H485" i="21"/>
  <c r="H486" i="21"/>
  <c r="H487" i="21"/>
  <c r="H488" i="21"/>
  <c r="H489" i="21"/>
  <c r="H490" i="21"/>
  <c r="H491" i="21"/>
  <c r="H492" i="21"/>
  <c r="H493" i="21"/>
  <c r="H494" i="21"/>
  <c r="H495" i="21"/>
  <c r="H496" i="21"/>
  <c r="H497" i="21"/>
  <c r="H498" i="21"/>
  <c r="H499" i="21"/>
  <c r="H500" i="21"/>
  <c r="H501" i="21"/>
  <c r="H502" i="21"/>
  <c r="H503" i="21"/>
  <c r="H504" i="21"/>
  <c r="H505" i="21"/>
  <c r="H506" i="21"/>
  <c r="H507" i="21"/>
  <c r="H508" i="21"/>
  <c r="H509" i="21"/>
  <c r="H510" i="21"/>
  <c r="H511" i="21"/>
  <c r="H512" i="21"/>
  <c r="H513" i="21"/>
  <c r="H514" i="21"/>
  <c r="H515" i="21"/>
  <c r="H516" i="21"/>
  <c r="H517" i="21"/>
  <c r="H518" i="21"/>
  <c r="H519" i="21"/>
  <c r="H520" i="21"/>
  <c r="H521" i="21"/>
  <c r="H522" i="21"/>
  <c r="H523" i="21"/>
  <c r="H524" i="21"/>
  <c r="H525" i="21"/>
  <c r="H526" i="21"/>
  <c r="H527" i="21"/>
  <c r="H528" i="21"/>
  <c r="H529" i="21"/>
  <c r="H530" i="21"/>
  <c r="H531" i="21"/>
  <c r="H532" i="21"/>
  <c r="H533" i="21"/>
  <c r="H534" i="21"/>
  <c r="H535" i="21"/>
  <c r="H536" i="21"/>
  <c r="H537" i="21"/>
  <c r="H538" i="21"/>
  <c r="H539" i="21"/>
  <c r="H540" i="21"/>
  <c r="H541" i="21"/>
  <c r="H542" i="21"/>
  <c r="H543" i="21"/>
  <c r="H544" i="21"/>
  <c r="H545" i="21"/>
  <c r="H546" i="21"/>
  <c r="H547" i="21"/>
  <c r="H548" i="21"/>
  <c r="H549" i="21"/>
  <c r="H550" i="21"/>
  <c r="H551" i="21"/>
  <c r="H552" i="21"/>
  <c r="H553" i="21"/>
  <c r="H554" i="21"/>
  <c r="H555" i="21"/>
  <c r="H556" i="21"/>
  <c r="H557" i="21"/>
  <c r="H558" i="21"/>
  <c r="H559" i="21"/>
  <c r="H560" i="21"/>
  <c r="H561" i="21"/>
  <c r="H562" i="21"/>
  <c r="H563" i="21"/>
  <c r="H564" i="21"/>
  <c r="H565" i="21"/>
  <c r="H566" i="21"/>
  <c r="H567" i="21"/>
  <c r="H568" i="21"/>
  <c r="H569" i="21"/>
  <c r="H570" i="21"/>
  <c r="H571" i="21"/>
  <c r="H572" i="21"/>
  <c r="H573" i="21"/>
  <c r="H574" i="21"/>
  <c r="H575" i="21"/>
  <c r="H576" i="21"/>
  <c r="H577" i="21"/>
  <c r="H578" i="21"/>
  <c r="H579" i="21"/>
  <c r="H580" i="21"/>
  <c r="H581" i="21"/>
  <c r="H582" i="21"/>
  <c r="H583" i="21"/>
  <c r="H584" i="21"/>
  <c r="H585" i="21"/>
  <c r="H586" i="21"/>
  <c r="H587" i="21"/>
  <c r="H588" i="21"/>
  <c r="H589" i="21"/>
  <c r="H590" i="21"/>
  <c r="H591" i="21"/>
  <c r="H592" i="21"/>
  <c r="H593" i="21"/>
  <c r="H594" i="21"/>
  <c r="H595" i="21"/>
  <c r="H596" i="21"/>
  <c r="H597" i="21"/>
  <c r="H598" i="21"/>
  <c r="H599" i="21"/>
  <c r="H600" i="21"/>
  <c r="H601" i="21"/>
  <c r="H602" i="21"/>
  <c r="H603" i="21"/>
  <c r="H604" i="21"/>
  <c r="H605" i="21"/>
  <c r="H606" i="21"/>
  <c r="H607" i="21"/>
  <c r="H608" i="21"/>
  <c r="H609" i="21"/>
  <c r="H610" i="21"/>
  <c r="H611" i="21"/>
  <c r="H612" i="21"/>
  <c r="H613" i="21"/>
  <c r="H614" i="21"/>
  <c r="H615" i="21"/>
  <c r="H616" i="21"/>
  <c r="H617" i="21"/>
  <c r="H618" i="21"/>
  <c r="H619" i="21"/>
  <c r="H620" i="21"/>
  <c r="H621" i="21"/>
  <c r="H622" i="21"/>
  <c r="H623" i="21"/>
  <c r="H624" i="21"/>
  <c r="H625" i="21"/>
  <c r="H626" i="21"/>
  <c r="H627" i="21"/>
  <c r="H628" i="21"/>
  <c r="H629" i="21"/>
  <c r="H630" i="21"/>
  <c r="H631" i="21"/>
  <c r="H632" i="21"/>
  <c r="H633" i="21"/>
  <c r="H634" i="21"/>
  <c r="H635" i="21"/>
  <c r="H636" i="21"/>
  <c r="H637" i="21"/>
  <c r="H638" i="21"/>
  <c r="H639" i="21"/>
  <c r="H640" i="21"/>
  <c r="H641" i="21"/>
  <c r="H642" i="21"/>
  <c r="H643" i="21"/>
  <c r="H644" i="21"/>
  <c r="H645" i="21"/>
  <c r="H646" i="21"/>
  <c r="H647" i="21"/>
  <c r="H648" i="21"/>
  <c r="H649" i="21"/>
  <c r="H650" i="21"/>
  <c r="H651" i="21"/>
  <c r="H652" i="21"/>
  <c r="H653" i="21"/>
  <c r="H654" i="21"/>
  <c r="H655" i="21"/>
  <c r="H656" i="21"/>
  <c r="H657" i="21"/>
  <c r="H658" i="21"/>
  <c r="H659" i="21"/>
  <c r="H660" i="21"/>
  <c r="H661" i="21"/>
  <c r="H662" i="21"/>
  <c r="H663" i="21"/>
  <c r="H664" i="21"/>
  <c r="H665" i="21"/>
  <c r="H666" i="21"/>
  <c r="H667" i="21"/>
  <c r="H668" i="21"/>
  <c r="H669" i="21"/>
  <c r="H670" i="21"/>
  <c r="H671" i="21"/>
  <c r="H672" i="21"/>
  <c r="H673" i="21"/>
  <c r="H674" i="21"/>
  <c r="H675" i="21"/>
  <c r="H676" i="21"/>
  <c r="H677" i="21"/>
  <c r="H678" i="21"/>
  <c r="H679" i="21"/>
  <c r="H680" i="21"/>
  <c r="H681" i="21"/>
  <c r="H682" i="21"/>
  <c r="H683" i="21"/>
  <c r="H684" i="21"/>
  <c r="H685" i="21"/>
  <c r="H686" i="21"/>
  <c r="H687" i="21"/>
  <c r="H688" i="21"/>
  <c r="H689" i="21"/>
  <c r="H690" i="21"/>
  <c r="H691" i="21"/>
  <c r="H692" i="21"/>
  <c r="H693" i="21"/>
  <c r="H694" i="21"/>
  <c r="H695" i="21"/>
  <c r="H696" i="21"/>
  <c r="H697" i="21"/>
  <c r="H698" i="21"/>
  <c r="H699" i="21"/>
  <c r="H700" i="21"/>
  <c r="H701" i="21"/>
  <c r="H702" i="21"/>
  <c r="H703" i="21"/>
  <c r="H704" i="21"/>
  <c r="H705" i="21"/>
  <c r="H706" i="21"/>
  <c r="H707" i="21"/>
  <c r="H708" i="21"/>
  <c r="H709" i="21"/>
  <c r="H710" i="21"/>
  <c r="H711" i="21"/>
  <c r="H712" i="21"/>
  <c r="H713" i="21"/>
  <c r="H714" i="21"/>
  <c r="H715" i="21"/>
  <c r="H716" i="21"/>
  <c r="H717" i="21"/>
  <c r="H718" i="21"/>
  <c r="H719" i="21"/>
  <c r="H720" i="21"/>
  <c r="H721" i="21"/>
  <c r="H722" i="21"/>
  <c r="H723" i="21"/>
  <c r="H724" i="21"/>
  <c r="H725" i="21"/>
  <c r="H726" i="21"/>
  <c r="H727" i="21"/>
  <c r="H728" i="21"/>
  <c r="H729" i="21"/>
  <c r="H730" i="21"/>
  <c r="H731" i="21"/>
  <c r="H732" i="21"/>
  <c r="H733" i="21"/>
  <c r="H734" i="21"/>
  <c r="H735" i="21"/>
  <c r="H736" i="21"/>
  <c r="H737" i="21"/>
  <c r="H738" i="21"/>
  <c r="H739" i="21"/>
  <c r="H740" i="21"/>
  <c r="H741" i="21"/>
  <c r="H742" i="21"/>
  <c r="H743" i="21"/>
  <c r="H744" i="21"/>
  <c r="H745" i="21"/>
  <c r="H746" i="21"/>
  <c r="H747" i="21"/>
  <c r="H748" i="21"/>
  <c r="H749" i="21"/>
  <c r="H750" i="21"/>
  <c r="H751" i="21"/>
  <c r="H752" i="21"/>
  <c r="H753" i="21"/>
  <c r="H754" i="21"/>
  <c r="H755" i="21"/>
  <c r="H756" i="21"/>
  <c r="H757" i="21"/>
  <c r="H758" i="21"/>
  <c r="H759" i="21"/>
  <c r="H760" i="21"/>
  <c r="H761" i="21"/>
  <c r="H762" i="21"/>
  <c r="H763" i="21"/>
  <c r="H764" i="21"/>
  <c r="H765" i="21"/>
  <c r="H766" i="21"/>
  <c r="H767" i="21"/>
  <c r="H768" i="21"/>
  <c r="H769" i="21"/>
  <c r="H770" i="21"/>
  <c r="H771" i="21"/>
  <c r="H772" i="21"/>
  <c r="H773" i="21"/>
  <c r="H774" i="21"/>
  <c r="H775" i="21"/>
  <c r="H776" i="21"/>
  <c r="H777" i="21"/>
  <c r="H778" i="21"/>
  <c r="H779" i="21"/>
  <c r="H780" i="21"/>
  <c r="H781" i="21"/>
  <c r="H782" i="21"/>
  <c r="H783" i="21"/>
  <c r="H784" i="21"/>
  <c r="H785" i="21"/>
  <c r="H786" i="21"/>
  <c r="H787" i="21"/>
  <c r="H788" i="21"/>
  <c r="H789" i="21"/>
  <c r="H790" i="21"/>
  <c r="H791" i="21"/>
  <c r="H792" i="21"/>
  <c r="H793" i="21"/>
  <c r="H794" i="21"/>
  <c r="H795" i="21"/>
  <c r="H796" i="21"/>
  <c r="H797" i="21"/>
  <c r="H798" i="21"/>
  <c r="H799" i="21"/>
  <c r="H800" i="21"/>
  <c r="H801" i="21"/>
  <c r="H802" i="21"/>
  <c r="H803" i="21"/>
  <c r="H804" i="21"/>
  <c r="H805" i="21"/>
  <c r="H806" i="21"/>
  <c r="H807" i="21"/>
  <c r="H808" i="21"/>
  <c r="H809" i="21"/>
  <c r="H810" i="21"/>
  <c r="H811" i="21"/>
  <c r="H812" i="21"/>
  <c r="H813" i="21"/>
  <c r="H814" i="21"/>
  <c r="H815" i="21"/>
  <c r="H816" i="21"/>
  <c r="H817" i="21"/>
  <c r="H818" i="21"/>
  <c r="H819" i="21"/>
  <c r="H820" i="21"/>
  <c r="H821" i="21"/>
  <c r="H822" i="21"/>
  <c r="H823" i="21"/>
  <c r="H824" i="21"/>
  <c r="H825" i="21"/>
  <c r="H826" i="21"/>
  <c r="H827" i="21"/>
  <c r="H828" i="21"/>
  <c r="H829" i="21"/>
  <c r="H830" i="21"/>
  <c r="H831" i="21"/>
  <c r="H832" i="21"/>
  <c r="H833" i="21"/>
  <c r="H834" i="21"/>
  <c r="H835" i="21"/>
  <c r="H836" i="21"/>
  <c r="H837" i="21"/>
  <c r="H838" i="21"/>
  <c r="H839" i="21"/>
  <c r="H840" i="21"/>
  <c r="H841" i="21"/>
  <c r="H842" i="21"/>
  <c r="H843" i="21"/>
  <c r="H844" i="21"/>
  <c r="H845" i="21"/>
  <c r="H846" i="21"/>
  <c r="H847" i="21"/>
  <c r="H848" i="21"/>
  <c r="H849" i="21"/>
  <c r="H850" i="21"/>
  <c r="H851" i="21"/>
  <c r="H852" i="21"/>
  <c r="H853" i="21"/>
  <c r="H854" i="21"/>
  <c r="H855" i="21"/>
  <c r="H856" i="21"/>
  <c r="H857" i="21"/>
  <c r="H858" i="21"/>
  <c r="H859" i="21"/>
  <c r="H860" i="21"/>
  <c r="H861" i="21"/>
  <c r="H862" i="21"/>
  <c r="H863" i="21"/>
  <c r="H864" i="21"/>
  <c r="H865" i="21"/>
  <c r="H866" i="21"/>
  <c r="H867" i="21"/>
  <c r="H868" i="21"/>
  <c r="H869" i="21"/>
  <c r="H870" i="21"/>
  <c r="H871" i="21"/>
  <c r="H872" i="21"/>
  <c r="H873" i="21"/>
  <c r="H874" i="21"/>
  <c r="H875" i="21"/>
  <c r="H876" i="21"/>
  <c r="H877" i="21"/>
  <c r="H878" i="21"/>
  <c r="H879" i="21"/>
  <c r="H880" i="21"/>
  <c r="H881" i="21"/>
  <c r="H882" i="21"/>
  <c r="H883" i="21"/>
  <c r="H884" i="21"/>
  <c r="H885" i="21"/>
  <c r="H886" i="21"/>
  <c r="H887" i="21"/>
  <c r="H888" i="21"/>
  <c r="H889" i="21"/>
  <c r="H890" i="21"/>
  <c r="H891" i="21"/>
  <c r="H892" i="21"/>
  <c r="H893" i="21"/>
  <c r="H894" i="21"/>
  <c r="H895" i="21"/>
  <c r="H896" i="21"/>
  <c r="H897" i="21"/>
  <c r="H898" i="21"/>
  <c r="H899" i="21"/>
  <c r="H900" i="21"/>
  <c r="H901" i="21"/>
  <c r="H902" i="21"/>
  <c r="H903" i="21"/>
  <c r="H904" i="21"/>
  <c r="H905" i="21"/>
  <c r="H906" i="21"/>
  <c r="H907" i="21"/>
  <c r="H908" i="21"/>
  <c r="H909" i="21"/>
  <c r="H910" i="21"/>
  <c r="H911" i="21"/>
  <c r="H912" i="21"/>
  <c r="H913" i="21"/>
  <c r="H914" i="21"/>
  <c r="H2" i="21"/>
  <c r="G3" i="21" a="1"/>
  <c r="G3" i="21"/>
  <c r="G4" i="21" a="1"/>
  <c r="G4" i="21" s="1"/>
  <c r="G5" i="21" a="1"/>
  <c r="G5" i="21" s="1"/>
  <c r="G6" i="21" a="1"/>
  <c r="G6" i="21" s="1"/>
  <c r="G7" i="21" a="1"/>
  <c r="G7" i="21"/>
  <c r="G8" i="21" a="1"/>
  <c r="G8" i="21"/>
  <c r="G9" i="21" a="1"/>
  <c r="G9" i="21"/>
  <c r="G10" i="21" a="1"/>
  <c r="G10" i="21" s="1"/>
  <c r="G11" i="21" a="1"/>
  <c r="G11" i="21"/>
  <c r="G12" i="21" a="1"/>
  <c r="G12" i="21" s="1"/>
  <c r="G13" i="21" a="1"/>
  <c r="G13" i="21" s="1"/>
  <c r="G14" i="21" a="1"/>
  <c r="G14" i="21" s="1"/>
  <c r="G15" i="21" a="1"/>
  <c r="G15" i="21" s="1"/>
  <c r="G16" i="21" a="1"/>
  <c r="G16" i="21"/>
  <c r="G17" i="21" a="1"/>
  <c r="G17" i="21"/>
  <c r="G18" i="21" a="1"/>
  <c r="G18" i="21"/>
  <c r="G19" i="21" a="1"/>
  <c r="G19" i="21" s="1"/>
  <c r="G20" i="21" a="1"/>
  <c r="G20" i="21" s="1"/>
  <c r="G21" i="21" a="1"/>
  <c r="G21" i="21" s="1"/>
  <c r="G22" i="21" a="1"/>
  <c r="G22" i="21" s="1"/>
  <c r="G23" i="21" a="1"/>
  <c r="G23" i="21" s="1"/>
  <c r="G24" i="21" a="1"/>
  <c r="G24" i="21" s="1"/>
  <c r="G25" i="21" a="1"/>
  <c r="G25" i="21" s="1"/>
  <c r="G26" i="21" a="1"/>
  <c r="G26" i="21"/>
  <c r="G27" i="21" a="1"/>
  <c r="G27" i="21"/>
  <c r="G28" i="21" a="1"/>
  <c r="G28" i="21" s="1"/>
  <c r="G29" i="21" a="1"/>
  <c r="G29" i="21" s="1"/>
  <c r="G30" i="21" a="1"/>
  <c r="G30" i="21"/>
  <c r="G31" i="21" a="1"/>
  <c r="G31" i="21" s="1"/>
  <c r="G32" i="21" a="1"/>
  <c r="G32" i="21" s="1"/>
  <c r="G33" i="21" a="1"/>
  <c r="G33" i="21" s="1"/>
  <c r="G34" i="21" a="1"/>
  <c r="G34" i="21" s="1"/>
  <c r="G35" i="21" a="1"/>
  <c r="G35" i="21"/>
  <c r="G36" i="21" a="1"/>
  <c r="G36" i="21" s="1"/>
  <c r="G37" i="21" a="1"/>
  <c r="G37" i="21" s="1"/>
  <c r="G38" i="21" a="1"/>
  <c r="G38" i="21" s="1"/>
  <c r="G39" i="21" a="1"/>
  <c r="G39" i="21"/>
  <c r="G40" i="21" a="1"/>
  <c r="G40" i="21" s="1"/>
  <c r="G41" i="21" a="1"/>
  <c r="G41" i="21" s="1"/>
  <c r="G42" i="21" a="1"/>
  <c r="G42" i="21" s="1"/>
  <c r="G43" i="21" a="1"/>
  <c r="G43" i="21" s="1"/>
  <c r="G44" i="21" a="1"/>
  <c r="G44" i="21" s="1"/>
  <c r="G45" i="21" a="1"/>
  <c r="G45" i="21" s="1"/>
  <c r="G46" i="21" a="1"/>
  <c r="G46" i="21"/>
  <c r="G47" i="21" a="1"/>
  <c r="G47" i="21" s="1"/>
  <c r="G48" i="21" a="1"/>
  <c r="G48" i="21"/>
  <c r="G49" i="21" a="1"/>
  <c r="G49" i="21" s="1"/>
  <c r="G50" i="21" a="1"/>
  <c r="G50" i="21" s="1"/>
  <c r="G51" i="21" a="1"/>
  <c r="G51" i="21" s="1"/>
  <c r="G52" i="21" a="1"/>
  <c r="G52" i="21" s="1"/>
  <c r="G53" i="21" a="1"/>
  <c r="G53" i="21" s="1"/>
  <c r="G54" i="21" a="1"/>
  <c r="G54" i="21"/>
  <c r="G55" i="21" a="1"/>
  <c r="G55" i="21"/>
  <c r="G56" i="21" a="1"/>
  <c r="G56" i="21" s="1"/>
  <c r="G57" i="21" a="1"/>
  <c r="G57" i="21"/>
  <c r="G58" i="21" a="1"/>
  <c r="G58" i="21" s="1"/>
  <c r="G59" i="21" a="1"/>
  <c r="G59" i="21" s="1"/>
  <c r="G60" i="21" a="1"/>
  <c r="G60" i="21" s="1"/>
  <c r="G61" i="21" a="1"/>
  <c r="G61" i="21" s="1"/>
  <c r="G62" i="21" a="1"/>
  <c r="G62" i="21" s="1"/>
  <c r="G63" i="21" a="1"/>
  <c r="G63" i="21"/>
  <c r="G64" i="21" a="1"/>
  <c r="G64" i="21"/>
  <c r="G65" i="21" a="1"/>
  <c r="G65" i="21" s="1"/>
  <c r="G66" i="21" a="1"/>
  <c r="G66" i="21"/>
  <c r="G67" i="21" a="1"/>
  <c r="G67" i="21" s="1"/>
  <c r="G68" i="21" a="1"/>
  <c r="G68" i="21" s="1"/>
  <c r="G69" i="21" a="1"/>
  <c r="G69" i="21" s="1"/>
  <c r="G70" i="21" a="1"/>
  <c r="G70" i="21" s="1"/>
  <c r="G71" i="21" a="1"/>
  <c r="G71" i="21" s="1"/>
  <c r="G72" i="21" a="1"/>
  <c r="G72" i="21"/>
  <c r="G73" i="21" a="1"/>
  <c r="G73" i="21"/>
  <c r="G74" i="21" a="1"/>
  <c r="G74" i="21" s="1"/>
  <c r="G75" i="21" a="1"/>
  <c r="G75" i="21"/>
  <c r="G76" i="21" a="1"/>
  <c r="G76" i="21" s="1"/>
  <c r="G77" i="21" a="1"/>
  <c r="G77" i="21" s="1"/>
  <c r="G78" i="21" a="1"/>
  <c r="G78" i="21" s="1"/>
  <c r="G79" i="21" a="1"/>
  <c r="G79" i="21" s="1"/>
  <c r="G80" i="21" a="1"/>
  <c r="G80" i="21" s="1"/>
  <c r="G81" i="21" a="1"/>
  <c r="G81" i="21"/>
  <c r="G82" i="21" a="1"/>
  <c r="G82" i="21"/>
  <c r="G83" i="21" a="1"/>
  <c r="G83" i="21" s="1"/>
  <c r="G84" i="21" a="1"/>
  <c r="G84" i="21" s="1"/>
  <c r="G85" i="21" a="1"/>
  <c r="G85" i="21" s="1"/>
  <c r="G86" i="21" a="1"/>
  <c r="G86" i="21" s="1"/>
  <c r="G87" i="21" a="1"/>
  <c r="G87" i="21" s="1"/>
  <c r="G88" i="21" a="1"/>
  <c r="G88" i="21" s="1"/>
  <c r="G89" i="21" a="1"/>
  <c r="G89" i="21" s="1"/>
  <c r="G90" i="21" a="1"/>
  <c r="G90" i="21"/>
  <c r="G91" i="21" a="1"/>
  <c r="G91" i="21"/>
  <c r="G92" i="21" a="1"/>
  <c r="G92" i="21" s="1"/>
  <c r="G93" i="21" a="1"/>
  <c r="G93" i="21" s="1"/>
  <c r="G94" i="21" a="1"/>
  <c r="G94" i="21"/>
  <c r="G95" i="21" a="1"/>
  <c r="G95" i="21" s="1"/>
  <c r="G96" i="21" a="1"/>
  <c r="G96" i="21" s="1"/>
  <c r="G97" i="21" a="1"/>
  <c r="G97" i="21" s="1"/>
  <c r="G98" i="21" a="1"/>
  <c r="G98" i="21" s="1"/>
  <c r="G99" i="21" a="1"/>
  <c r="G99" i="21"/>
  <c r="G100" i="21" a="1"/>
  <c r="G100" i="21" s="1"/>
  <c r="G101" i="21" a="1"/>
  <c r="G101" i="21" s="1"/>
  <c r="G102" i="21" a="1"/>
  <c r="G102" i="21" s="1"/>
  <c r="G103" i="21" a="1"/>
  <c r="G103" i="21"/>
  <c r="G104" i="21" a="1"/>
  <c r="G104" i="21" s="1"/>
  <c r="G105" i="21" a="1"/>
  <c r="G105" i="21" s="1"/>
  <c r="G106" i="21" a="1"/>
  <c r="G106" i="21" s="1"/>
  <c r="G107" i="21" a="1"/>
  <c r="G107" i="21" s="1"/>
  <c r="G108" i="21" a="1"/>
  <c r="G108" i="21" s="1"/>
  <c r="G109" i="21" a="1"/>
  <c r="G109" i="21" s="1"/>
  <c r="G110" i="21" a="1"/>
  <c r="G110" i="21"/>
  <c r="G111" i="21" a="1"/>
  <c r="G111" i="21" s="1"/>
  <c r="G112" i="21" a="1"/>
  <c r="G112" i="21"/>
  <c r="G113" i="21" a="1"/>
  <c r="G113" i="21" s="1"/>
  <c r="G114" i="21" a="1"/>
  <c r="G114" i="21" s="1"/>
  <c r="G115" i="21" a="1"/>
  <c r="G115" i="21" s="1"/>
  <c r="G116" i="21" a="1"/>
  <c r="G116" i="21" s="1"/>
  <c r="G117" i="21" a="1"/>
  <c r="G117" i="21" s="1"/>
  <c r="G118" i="21" a="1"/>
  <c r="G118" i="21"/>
  <c r="G119" i="21" a="1"/>
  <c r="G119" i="21"/>
  <c r="G120" i="21" a="1"/>
  <c r="G120" i="21" s="1"/>
  <c r="G121" i="21" a="1"/>
  <c r="G121" i="21"/>
  <c r="G122" i="21" a="1"/>
  <c r="G122" i="21" s="1"/>
  <c r="G123" i="21" a="1"/>
  <c r="G123" i="21" s="1"/>
  <c r="G124" i="21" a="1"/>
  <c r="G124" i="21" s="1"/>
  <c r="G125" i="21" a="1"/>
  <c r="G125" i="21" s="1"/>
  <c r="G126" i="21" a="1"/>
  <c r="G126" i="21" s="1"/>
  <c r="G127" i="21" a="1"/>
  <c r="G127" i="21"/>
  <c r="G128" i="21" a="1"/>
  <c r="G128" i="21" s="1"/>
  <c r="G129" i="21" a="1"/>
  <c r="G129" i="21" s="1"/>
  <c r="G130" i="21" a="1"/>
  <c r="G130" i="21"/>
  <c r="G131" i="21" a="1"/>
  <c r="G131" i="21" s="1"/>
  <c r="G132" i="21" a="1"/>
  <c r="G132" i="21" s="1"/>
  <c r="G133" i="21" a="1"/>
  <c r="G133" i="21" s="1"/>
  <c r="G134" i="21" a="1"/>
  <c r="G134" i="21" s="1"/>
  <c r="G135" i="21" a="1"/>
  <c r="G135" i="21" s="1"/>
  <c r="G136" i="21" a="1"/>
  <c r="G136" i="21"/>
  <c r="G137" i="21" a="1"/>
  <c r="G137" i="21" s="1"/>
  <c r="G138" i="21" a="1"/>
  <c r="G138" i="21" s="1"/>
  <c r="G139" i="21" a="1"/>
  <c r="G139" i="21"/>
  <c r="G140" i="21" a="1"/>
  <c r="G140" i="21" s="1"/>
  <c r="G141" i="21" a="1"/>
  <c r="G141" i="21" s="1"/>
  <c r="G142" i="21" a="1"/>
  <c r="G142" i="21" s="1"/>
  <c r="G143" i="21" a="1"/>
  <c r="G143" i="21" s="1"/>
  <c r="G144" i="21" a="1"/>
  <c r="G144" i="21" s="1"/>
  <c r="G145" i="21" a="1"/>
  <c r="G145" i="21"/>
  <c r="G146" i="21" a="1"/>
  <c r="G146" i="21" s="1"/>
  <c r="G147" i="21" a="1"/>
  <c r="G147" i="21" s="1"/>
  <c r="G148" i="21" a="1"/>
  <c r="G148" i="21" s="1"/>
  <c r="G149" i="21" a="1"/>
  <c r="G149" i="21" s="1"/>
  <c r="G150" i="21" a="1"/>
  <c r="G150" i="21" s="1"/>
  <c r="G151" i="21" a="1"/>
  <c r="G151" i="21" s="1"/>
  <c r="G152" i="21" a="1"/>
  <c r="G152" i="21" s="1"/>
  <c r="G153" i="21" a="1"/>
  <c r="G153" i="21" s="1"/>
  <c r="G154" i="21" a="1"/>
  <c r="G154" i="21"/>
  <c r="G155" i="21" a="1"/>
  <c r="G155" i="21" s="1"/>
  <c r="G156" i="21" a="1"/>
  <c r="G156" i="21" s="1"/>
  <c r="G157" i="21" a="1"/>
  <c r="G157" i="21" s="1"/>
  <c r="G158" i="21" a="1"/>
  <c r="G158" i="21"/>
  <c r="G159" i="21" a="1"/>
  <c r="G159" i="21" s="1"/>
  <c r="G160" i="21" a="1"/>
  <c r="G160" i="21" s="1"/>
  <c r="G161" i="21" a="1"/>
  <c r="G161" i="21" s="1"/>
  <c r="G162" i="21" a="1"/>
  <c r="G162" i="21" s="1"/>
  <c r="G163" i="21" a="1"/>
  <c r="G163" i="21"/>
  <c r="G164" i="21" a="1"/>
  <c r="G164" i="21" s="1"/>
  <c r="G165" i="21" a="1"/>
  <c r="G165" i="21" s="1"/>
  <c r="G166" i="21" a="1"/>
  <c r="G166" i="21" s="1"/>
  <c r="G167" i="21" a="1"/>
  <c r="G167" i="21"/>
  <c r="G168" i="21" a="1"/>
  <c r="G168" i="21" s="1"/>
  <c r="G169" i="21" a="1"/>
  <c r="G169" i="21" s="1"/>
  <c r="G170" i="21" a="1"/>
  <c r="G170" i="21" s="1"/>
  <c r="G171" i="21" a="1"/>
  <c r="G171" i="21" s="1"/>
  <c r="G172" i="21" a="1"/>
  <c r="G172" i="21" s="1"/>
  <c r="G173" i="21" a="1"/>
  <c r="G173" i="21" s="1"/>
  <c r="G174" i="21" a="1"/>
  <c r="G174" i="21" s="1"/>
  <c r="G175" i="21" a="1"/>
  <c r="G175" i="21" s="1"/>
  <c r="G176" i="21" a="1"/>
  <c r="G176" i="21"/>
  <c r="G177" i="21" a="1"/>
  <c r="G177" i="21" s="1"/>
  <c r="G178" i="21" a="1"/>
  <c r="G178" i="21" s="1"/>
  <c r="G179" i="21" a="1"/>
  <c r="G179" i="21" s="1"/>
  <c r="G180" i="21" a="1"/>
  <c r="G180" i="21" s="1"/>
  <c r="G181" i="21" a="1"/>
  <c r="G181" i="21" s="1"/>
  <c r="G182" i="21" a="1"/>
  <c r="G182" i="21"/>
  <c r="G183" i="21" a="1"/>
  <c r="G183" i="21" s="1"/>
  <c r="G184" i="21" a="1"/>
  <c r="G184" i="21" s="1"/>
  <c r="G185" i="21" a="1"/>
  <c r="G185" i="21"/>
  <c r="G186" i="21" a="1"/>
  <c r="G186" i="21" s="1"/>
  <c r="G187" i="21" a="1"/>
  <c r="G187" i="21" s="1"/>
  <c r="G188" i="21" a="1"/>
  <c r="G188" i="21" s="1"/>
  <c r="G189" i="21" a="1"/>
  <c r="G189" i="21" s="1"/>
  <c r="G190" i="21" a="1"/>
  <c r="G190" i="21" s="1"/>
  <c r="G191" i="21" a="1"/>
  <c r="G191" i="21" s="1"/>
  <c r="G192" i="21" a="1"/>
  <c r="G192" i="21" s="1"/>
  <c r="G193" i="21" a="1"/>
  <c r="G193" i="21" s="1"/>
  <c r="G194" i="21" a="1"/>
  <c r="G194" i="21" s="1"/>
  <c r="G195" i="21" a="1"/>
  <c r="G195" i="21" s="1"/>
  <c r="G196" i="21" a="1"/>
  <c r="G196" i="21" s="1"/>
  <c r="G197" i="21" a="1"/>
  <c r="G197" i="21" s="1"/>
  <c r="G198" i="21" a="1"/>
  <c r="G198" i="21" s="1"/>
  <c r="G199" i="21" a="1"/>
  <c r="G199" i="21" s="1"/>
  <c r="G200" i="21" a="1"/>
  <c r="G200" i="21" s="1"/>
  <c r="G201" i="21" a="1"/>
  <c r="G201" i="21" s="1"/>
  <c r="G202" i="21" a="1"/>
  <c r="G202" i="21" s="1"/>
  <c r="G203" i="21" a="1"/>
  <c r="G203" i="21" s="1"/>
  <c r="G204" i="21" a="1"/>
  <c r="G204" i="21" s="1"/>
  <c r="G205" i="21" a="1"/>
  <c r="G205" i="21" s="1"/>
  <c r="G206" i="21" a="1"/>
  <c r="G206" i="21" s="1"/>
  <c r="G207" i="21" a="1"/>
  <c r="G207" i="21" s="1"/>
  <c r="G208" i="21" a="1"/>
  <c r="G208" i="21" s="1"/>
  <c r="G209" i="21" a="1"/>
  <c r="G209" i="21" s="1"/>
  <c r="G210" i="21" a="1"/>
  <c r="G210" i="21" s="1"/>
  <c r="G211" i="21" a="1"/>
  <c r="G211" i="21" s="1"/>
  <c r="G212" i="21" a="1"/>
  <c r="G212" i="21" s="1"/>
  <c r="G213" i="21" a="1"/>
  <c r="G213" i="21" s="1"/>
  <c r="G214" i="21" a="1"/>
  <c r="G214" i="21" s="1"/>
  <c r="G215" i="21" a="1"/>
  <c r="G215" i="21" s="1"/>
  <c r="G216" i="21" a="1"/>
  <c r="G216" i="21" s="1"/>
  <c r="G217" i="21" a="1"/>
  <c r="G217" i="21" s="1"/>
  <c r="G218" i="21" a="1"/>
  <c r="G218" i="21" s="1"/>
  <c r="G219" i="21" a="1"/>
  <c r="G219" i="21" s="1"/>
  <c r="G220" i="21" a="1"/>
  <c r="G220" i="21" s="1"/>
  <c r="G221" i="21" a="1"/>
  <c r="G221" i="21" s="1"/>
  <c r="G222" i="21" a="1"/>
  <c r="G222" i="21" s="1"/>
  <c r="G223" i="21" a="1"/>
  <c r="G223" i="21" s="1"/>
  <c r="G224" i="21" a="1"/>
  <c r="G224" i="21" s="1"/>
  <c r="G225" i="21" a="1"/>
  <c r="G225" i="21" s="1"/>
  <c r="G226" i="21" a="1"/>
  <c r="G226" i="21" s="1"/>
  <c r="G227" i="21" a="1"/>
  <c r="G227" i="21" s="1"/>
  <c r="G228" i="21" a="1"/>
  <c r="G228" i="21" s="1"/>
  <c r="G229" i="21" a="1"/>
  <c r="G229" i="21" s="1"/>
  <c r="G230" i="21" a="1"/>
  <c r="G230" i="21" s="1"/>
  <c r="G231" i="21" a="1"/>
  <c r="G231" i="21" s="1"/>
  <c r="G232" i="21" a="1"/>
  <c r="G232" i="21" s="1"/>
  <c r="G233" i="21" a="1"/>
  <c r="G233" i="21" s="1"/>
  <c r="G234" i="21" a="1"/>
  <c r="G234" i="21" s="1"/>
  <c r="G235" i="21" a="1"/>
  <c r="G235" i="21" s="1"/>
  <c r="G236" i="21" a="1"/>
  <c r="G236" i="21" s="1"/>
  <c r="G237" i="21" a="1"/>
  <c r="G237" i="21" s="1"/>
  <c r="G238" i="21" a="1"/>
  <c r="G238" i="21" s="1"/>
  <c r="G239" i="21" a="1"/>
  <c r="G239" i="21" s="1"/>
  <c r="G240" i="21" a="1"/>
  <c r="G240" i="21" s="1"/>
  <c r="G241" i="21" a="1"/>
  <c r="G241" i="21" s="1"/>
  <c r="G242" i="21" a="1"/>
  <c r="G242" i="21" s="1"/>
  <c r="G243" i="21" a="1"/>
  <c r="G243" i="21" s="1"/>
  <c r="G244" i="21" a="1"/>
  <c r="G244" i="21" s="1"/>
  <c r="G245" i="21" a="1"/>
  <c r="G245" i="21" s="1"/>
  <c r="G246" i="21" a="1"/>
  <c r="G246" i="21" s="1"/>
  <c r="G247" i="21" a="1"/>
  <c r="G247" i="21" s="1"/>
  <c r="G248" i="21" a="1"/>
  <c r="G248" i="21" s="1"/>
  <c r="G249" i="21" a="1"/>
  <c r="G249" i="21" s="1"/>
  <c r="G250" i="21" a="1"/>
  <c r="G250" i="21" s="1"/>
  <c r="G251" i="21" a="1"/>
  <c r="G251" i="21" s="1"/>
  <c r="G252" i="21" a="1"/>
  <c r="G252" i="21" s="1"/>
  <c r="G253" i="21" a="1"/>
  <c r="G253" i="21" s="1"/>
  <c r="G254" i="21" a="1"/>
  <c r="G254" i="21" s="1"/>
  <c r="G255" i="21" a="1"/>
  <c r="G255" i="21" s="1"/>
  <c r="G256" i="21" a="1"/>
  <c r="G256" i="21" s="1"/>
  <c r="G257" i="21" a="1"/>
  <c r="G257" i="21" s="1"/>
  <c r="G258" i="21" a="1"/>
  <c r="G258" i="21" s="1"/>
  <c r="G259" i="21" a="1"/>
  <c r="G259" i="21" s="1"/>
  <c r="G260" i="21" a="1"/>
  <c r="G260" i="21" s="1"/>
  <c r="G261" i="21" a="1"/>
  <c r="G261" i="21" s="1"/>
  <c r="G262" i="21" a="1"/>
  <c r="G262" i="21" s="1"/>
  <c r="G263" i="21" a="1"/>
  <c r="G263" i="21" s="1"/>
  <c r="G264" i="21" a="1"/>
  <c r="G264" i="21" s="1"/>
  <c r="G265" i="21" a="1"/>
  <c r="G265" i="21" s="1"/>
  <c r="G266" i="21" a="1"/>
  <c r="G266" i="21" s="1"/>
  <c r="G267" i="21" a="1"/>
  <c r="G267" i="21" s="1"/>
  <c r="G268" i="21" a="1"/>
  <c r="G268" i="21" s="1"/>
  <c r="G269" i="21" a="1"/>
  <c r="G269" i="21" s="1"/>
  <c r="G270" i="21" a="1"/>
  <c r="G270" i="21" s="1"/>
  <c r="G271" i="21" a="1"/>
  <c r="G271" i="21" s="1"/>
  <c r="G272" i="21" a="1"/>
  <c r="G272" i="21" s="1"/>
  <c r="G273" i="21" a="1"/>
  <c r="G273" i="21" s="1"/>
  <c r="G274" i="21" a="1"/>
  <c r="G274" i="21" s="1"/>
  <c r="G275" i="21" a="1"/>
  <c r="G275" i="21" s="1"/>
  <c r="G276" i="21" a="1"/>
  <c r="G276" i="21" s="1"/>
  <c r="G277" i="21" a="1"/>
  <c r="G277" i="21" s="1"/>
  <c r="G278" i="21" a="1"/>
  <c r="G278" i="21" s="1"/>
  <c r="G279" i="21" a="1"/>
  <c r="G279" i="21" s="1"/>
  <c r="G280" i="21" a="1"/>
  <c r="G280" i="21" s="1"/>
  <c r="G281" i="21" a="1"/>
  <c r="G281" i="21" s="1"/>
  <c r="G282" i="21" a="1"/>
  <c r="G282" i="21" s="1"/>
  <c r="G283" i="21" a="1"/>
  <c r="G283" i="21" s="1"/>
  <c r="G284" i="21" a="1"/>
  <c r="G284" i="21" s="1"/>
  <c r="G285" i="21" a="1"/>
  <c r="G285" i="21" s="1"/>
  <c r="G286" i="21" a="1"/>
  <c r="G286" i="21" s="1"/>
  <c r="G287" i="21" a="1"/>
  <c r="G287" i="21" s="1"/>
  <c r="G288" i="21" a="1"/>
  <c r="G288" i="21" s="1"/>
  <c r="G289" i="21" a="1"/>
  <c r="G289" i="21" s="1"/>
  <c r="G290" i="21" a="1"/>
  <c r="G290" i="21" s="1"/>
  <c r="G291" i="21" a="1"/>
  <c r="G291" i="21" s="1"/>
  <c r="G292" i="21" a="1"/>
  <c r="G292" i="21" s="1"/>
  <c r="G293" i="21" a="1"/>
  <c r="G293" i="21" s="1"/>
  <c r="G294" i="21" a="1"/>
  <c r="G294" i="21" s="1"/>
  <c r="G295" i="21" a="1"/>
  <c r="G295" i="21" s="1"/>
  <c r="G296" i="21" a="1"/>
  <c r="G296" i="21" s="1"/>
  <c r="G297" i="21" a="1"/>
  <c r="G297" i="21" s="1"/>
  <c r="G298" i="21" a="1"/>
  <c r="G298" i="21" s="1"/>
  <c r="G299" i="21" a="1"/>
  <c r="G299" i="21" s="1"/>
  <c r="G300" i="21" a="1"/>
  <c r="G300" i="21" s="1"/>
  <c r="G301" i="21" a="1"/>
  <c r="G301" i="21" s="1"/>
  <c r="G302" i="21" a="1"/>
  <c r="G302" i="21" s="1"/>
  <c r="G303" i="21" a="1"/>
  <c r="G303" i="21" s="1"/>
  <c r="G304" i="21" a="1"/>
  <c r="G304" i="21" s="1"/>
  <c r="G305" i="21" a="1"/>
  <c r="G305" i="21" s="1"/>
  <c r="G306" i="21" a="1"/>
  <c r="G306" i="21" s="1"/>
  <c r="G307" i="21" a="1"/>
  <c r="G307" i="21" s="1"/>
  <c r="G308" i="21" a="1"/>
  <c r="G308" i="21" s="1"/>
  <c r="G309" i="21" a="1"/>
  <c r="G309" i="21" s="1"/>
  <c r="G310" i="21" a="1"/>
  <c r="G310" i="21" s="1"/>
  <c r="G311" i="21" a="1"/>
  <c r="G311" i="21" s="1"/>
  <c r="G312" i="21" a="1"/>
  <c r="G312" i="21" s="1"/>
  <c r="G313" i="21" a="1"/>
  <c r="G313" i="21" s="1"/>
  <c r="G314" i="21" a="1"/>
  <c r="G314" i="21" s="1"/>
  <c r="G315" i="21" a="1"/>
  <c r="G315" i="21" s="1"/>
  <c r="G316" i="21" a="1"/>
  <c r="G316" i="21" s="1"/>
  <c r="G317" i="21" a="1"/>
  <c r="G317" i="21" s="1"/>
  <c r="G318" i="21" a="1"/>
  <c r="G318" i="21" s="1"/>
  <c r="G319" i="21" a="1"/>
  <c r="G319" i="21" s="1"/>
  <c r="G320" i="21" a="1"/>
  <c r="G320" i="21" s="1"/>
  <c r="G321" i="21" a="1"/>
  <c r="G321" i="21" s="1"/>
  <c r="G322" i="21" a="1"/>
  <c r="G322" i="21" s="1"/>
  <c r="G323" i="21" a="1"/>
  <c r="G323" i="21" s="1"/>
  <c r="G324" i="21" a="1"/>
  <c r="G324" i="21" s="1"/>
  <c r="G325" i="21" a="1"/>
  <c r="G325" i="21" s="1"/>
  <c r="G326" i="21" a="1"/>
  <c r="G326" i="21" s="1"/>
  <c r="G327" i="21" a="1"/>
  <c r="G327" i="21" s="1"/>
  <c r="G328" i="21" a="1"/>
  <c r="G328" i="21" s="1"/>
  <c r="G329" i="21" a="1"/>
  <c r="G329" i="21" s="1"/>
  <c r="G330" i="21" a="1"/>
  <c r="G330" i="21" s="1"/>
  <c r="G331" i="21" a="1"/>
  <c r="G331" i="21" s="1"/>
  <c r="G332" i="21" a="1"/>
  <c r="G332" i="21" s="1"/>
  <c r="G333" i="21" a="1"/>
  <c r="G333" i="21" s="1"/>
  <c r="G334" i="21" a="1"/>
  <c r="G334" i="21" s="1"/>
  <c r="G335" i="21" a="1"/>
  <c r="G335" i="21" s="1"/>
  <c r="G336" i="21" a="1"/>
  <c r="G336" i="21" s="1"/>
  <c r="G337" i="21" a="1"/>
  <c r="G337" i="21" s="1"/>
  <c r="G338" i="21" a="1"/>
  <c r="G338" i="21" s="1"/>
  <c r="G339" i="21" a="1"/>
  <c r="G339" i="21" s="1"/>
  <c r="G340" i="21" a="1"/>
  <c r="G340" i="21" s="1"/>
  <c r="G341" i="21" a="1"/>
  <c r="G341" i="21" s="1"/>
  <c r="G342" i="21" a="1"/>
  <c r="G342" i="21" s="1"/>
  <c r="G343" i="21" a="1"/>
  <c r="G343" i="21" s="1"/>
  <c r="G344" i="21" a="1"/>
  <c r="G344" i="21" s="1"/>
  <c r="G345" i="21" a="1"/>
  <c r="G345" i="21" s="1"/>
  <c r="G346" i="21" a="1"/>
  <c r="G346" i="21" s="1"/>
  <c r="G347" i="21" a="1"/>
  <c r="G347" i="21" s="1"/>
  <c r="G348" i="21" a="1"/>
  <c r="G348" i="21" s="1"/>
  <c r="G349" i="21" a="1"/>
  <c r="G349" i="21" s="1"/>
  <c r="G350" i="21" a="1"/>
  <c r="G350" i="21" s="1"/>
  <c r="G351" i="21" a="1"/>
  <c r="G351" i="21" s="1"/>
  <c r="G352" i="21" a="1"/>
  <c r="G352" i="21" s="1"/>
  <c r="G353" i="21" a="1"/>
  <c r="G353" i="21" s="1"/>
  <c r="G354" i="21" a="1"/>
  <c r="G354" i="21" s="1"/>
  <c r="G355" i="21" a="1"/>
  <c r="G355" i="21" s="1"/>
  <c r="G356" i="21" a="1"/>
  <c r="G356" i="21" s="1"/>
  <c r="G357" i="21" a="1"/>
  <c r="G357" i="21" s="1"/>
  <c r="G358" i="21" a="1"/>
  <c r="G358" i="21" s="1"/>
  <c r="G359" i="21" a="1"/>
  <c r="G359" i="21" s="1"/>
  <c r="G360" i="21" a="1"/>
  <c r="G360" i="21" s="1"/>
  <c r="G361" i="21" a="1"/>
  <c r="G361" i="21" s="1"/>
  <c r="G362" i="21" a="1"/>
  <c r="G362" i="21" s="1"/>
  <c r="G363" i="21" a="1"/>
  <c r="G363" i="21" s="1"/>
  <c r="G364" i="21" a="1"/>
  <c r="G364" i="21" s="1"/>
  <c r="G365" i="21" a="1"/>
  <c r="G365" i="21" s="1"/>
  <c r="G366" i="21" a="1"/>
  <c r="G366" i="21" s="1"/>
  <c r="G367" i="21" a="1"/>
  <c r="G367" i="21" s="1"/>
  <c r="G368" i="21" a="1"/>
  <c r="G368" i="21" s="1"/>
  <c r="G369" i="21" a="1"/>
  <c r="G369" i="21" s="1"/>
  <c r="G370" i="21" a="1"/>
  <c r="G370" i="21" s="1"/>
  <c r="G371" i="21" a="1"/>
  <c r="G371" i="21" s="1"/>
  <c r="G372" i="21" a="1"/>
  <c r="G372" i="21" s="1"/>
  <c r="G373" i="21" a="1"/>
  <c r="G373" i="21" s="1"/>
  <c r="G374" i="21" a="1"/>
  <c r="G374" i="21" s="1"/>
  <c r="G375" i="21" a="1"/>
  <c r="G375" i="21" s="1"/>
  <c r="G376" i="21" a="1"/>
  <c r="G376" i="21" s="1"/>
  <c r="G377" i="21" a="1"/>
  <c r="G377" i="21" s="1"/>
  <c r="G378" i="21" a="1"/>
  <c r="G378" i="21" s="1"/>
  <c r="G379" i="21" a="1"/>
  <c r="G379" i="21" s="1"/>
  <c r="G380" i="21" a="1"/>
  <c r="G380" i="21" s="1"/>
  <c r="G381" i="21" a="1"/>
  <c r="G381" i="21" s="1"/>
  <c r="G382" i="21" a="1"/>
  <c r="G382" i="21" s="1"/>
  <c r="G383" i="21" a="1"/>
  <c r="G383" i="21" s="1"/>
  <c r="G384" i="21" a="1"/>
  <c r="G384" i="21" s="1"/>
  <c r="G385" i="21" a="1"/>
  <c r="G385" i="21" s="1"/>
  <c r="G386" i="21" a="1"/>
  <c r="G386" i="21" s="1"/>
  <c r="G387" i="21" a="1"/>
  <c r="G387" i="21" s="1"/>
  <c r="G388" i="21" a="1"/>
  <c r="G388" i="21" s="1"/>
  <c r="G389" i="21" a="1"/>
  <c r="G389" i="21" s="1"/>
  <c r="G390" i="21" a="1"/>
  <c r="G390" i="21" s="1"/>
  <c r="G391" i="21" a="1"/>
  <c r="G391" i="21" s="1"/>
  <c r="G392" i="21" a="1"/>
  <c r="G392" i="21" s="1"/>
  <c r="G393" i="21" a="1"/>
  <c r="G393" i="21" s="1"/>
  <c r="G394" i="21" a="1"/>
  <c r="G394" i="21" s="1"/>
  <c r="G395" i="21" a="1"/>
  <c r="G395" i="21" s="1"/>
  <c r="G396" i="21" a="1"/>
  <c r="G396" i="21" s="1"/>
  <c r="G397" i="21" a="1"/>
  <c r="G397" i="21" s="1"/>
  <c r="G398" i="21" a="1"/>
  <c r="G398" i="21" s="1"/>
  <c r="G399" i="21" a="1"/>
  <c r="G399" i="21" s="1"/>
  <c r="G400" i="21" a="1"/>
  <c r="G400" i="21" s="1"/>
  <c r="G401" i="21" a="1"/>
  <c r="G401" i="21" s="1"/>
  <c r="G402" i="21" a="1"/>
  <c r="G402" i="21" s="1"/>
  <c r="G403" i="21" a="1"/>
  <c r="G403" i="21" s="1"/>
  <c r="G404" i="21" a="1"/>
  <c r="G404" i="21" s="1"/>
  <c r="G405" i="21" a="1"/>
  <c r="G405" i="21" s="1"/>
  <c r="G406" i="21" a="1"/>
  <c r="G406" i="21" s="1"/>
  <c r="G407" i="21" a="1"/>
  <c r="G407" i="21" s="1"/>
  <c r="G408" i="21" a="1"/>
  <c r="G408" i="21" s="1"/>
  <c r="G409" i="21" a="1"/>
  <c r="G409" i="21" s="1"/>
  <c r="G410" i="21" a="1"/>
  <c r="G410" i="21" s="1"/>
  <c r="G411" i="21" a="1"/>
  <c r="G411" i="21" s="1"/>
  <c r="G412" i="21" a="1"/>
  <c r="G412" i="21" s="1"/>
  <c r="G413" i="21" a="1"/>
  <c r="G413" i="21" s="1"/>
  <c r="G414" i="21" a="1"/>
  <c r="G414" i="21"/>
  <c r="G415" i="21" a="1"/>
  <c r="G415" i="21"/>
  <c r="G416" i="21" a="1"/>
  <c r="G416" i="21"/>
  <c r="G417" i="21" a="1"/>
  <c r="G417" i="21"/>
  <c r="G418" i="21" a="1"/>
  <c r="G418" i="21"/>
  <c r="G419" i="21" a="1"/>
  <c r="G419" i="21"/>
  <c r="G420" i="21" a="1"/>
  <c r="G420" i="21"/>
  <c r="G421" i="21" a="1"/>
  <c r="G421" i="21" s="1"/>
  <c r="G422" i="21" a="1"/>
  <c r="G422" i="21" s="1"/>
  <c r="G423" i="21" a="1"/>
  <c r="G423" i="21" s="1"/>
  <c r="G424" i="21" a="1"/>
  <c r="G424" i="21" s="1"/>
  <c r="G425" i="21" a="1"/>
  <c r="G425" i="21" s="1"/>
  <c r="G426" i="21" a="1"/>
  <c r="G426" i="21" s="1"/>
  <c r="G427" i="21" a="1"/>
  <c r="G427" i="21" s="1"/>
  <c r="G428" i="21" a="1"/>
  <c r="G428" i="21" s="1"/>
  <c r="G429" i="21" a="1"/>
  <c r="G429" i="21" s="1"/>
  <c r="G430" i="21" a="1"/>
  <c r="G430" i="21"/>
  <c r="G431" i="21" a="1"/>
  <c r="G431" i="21"/>
  <c r="G432" i="21" a="1"/>
  <c r="G432" i="21"/>
  <c r="G433" i="21" a="1"/>
  <c r="G433" i="21"/>
  <c r="G434" i="21" a="1"/>
  <c r="G434" i="21"/>
  <c r="G435" i="21" a="1"/>
  <c r="G435" i="21"/>
  <c r="G436" i="21" a="1"/>
  <c r="G436" i="21"/>
  <c r="G437" i="21" a="1"/>
  <c r="G437" i="21" s="1"/>
  <c r="G438" i="21" a="1"/>
  <c r="G438" i="21" s="1"/>
  <c r="G439" i="21" a="1"/>
  <c r="G439" i="21" s="1"/>
  <c r="G440" i="21" a="1"/>
  <c r="G440" i="21" s="1"/>
  <c r="G441" i="21" a="1"/>
  <c r="G441" i="21" s="1"/>
  <c r="G442" i="21" a="1"/>
  <c r="G442" i="21" s="1"/>
  <c r="G443" i="21" a="1"/>
  <c r="G443" i="21" s="1"/>
  <c r="G444" i="21" a="1"/>
  <c r="G444" i="21" s="1"/>
  <c r="G445" i="21" a="1"/>
  <c r="G445" i="21" s="1"/>
  <c r="G446" i="21" a="1"/>
  <c r="G446" i="21"/>
  <c r="G447" i="21" a="1"/>
  <c r="G447" i="21"/>
  <c r="G448" i="21" a="1"/>
  <c r="G448" i="21"/>
  <c r="G449" i="21" a="1"/>
  <c r="G449" i="21"/>
  <c r="G450" i="21" a="1"/>
  <c r="G450" i="21"/>
  <c r="G451" i="21" a="1"/>
  <c r="G451" i="21"/>
  <c r="G452" i="21" a="1"/>
  <c r="G452" i="21"/>
  <c r="G453" i="21" a="1"/>
  <c r="G453" i="21" s="1"/>
  <c r="G454" i="21" a="1"/>
  <c r="G454" i="21" s="1"/>
  <c r="G455" i="21" a="1"/>
  <c r="G455" i="21" s="1"/>
  <c r="G456" i="21" a="1"/>
  <c r="G456" i="21" s="1"/>
  <c r="G457" i="21" a="1"/>
  <c r="G457" i="21" s="1"/>
  <c r="G458" i="21" a="1"/>
  <c r="G458" i="21" s="1"/>
  <c r="G459" i="21" a="1"/>
  <c r="G459" i="21" s="1"/>
  <c r="G460" i="21" a="1"/>
  <c r="G460" i="21" s="1"/>
  <c r="G461" i="21" a="1"/>
  <c r="G461" i="21" s="1"/>
  <c r="G462" i="21" a="1"/>
  <c r="G462" i="21"/>
  <c r="G463" i="21" a="1"/>
  <c r="G463" i="21"/>
  <c r="G464" i="21" a="1"/>
  <c r="G464" i="21"/>
  <c r="G465" i="21" a="1"/>
  <c r="G465" i="21"/>
  <c r="G466" i="21" a="1"/>
  <c r="G466" i="21"/>
  <c r="G467" i="21" a="1"/>
  <c r="G467" i="21"/>
  <c r="G468" i="21" a="1"/>
  <c r="G468" i="21"/>
  <c r="G469" i="21" a="1"/>
  <c r="G469" i="21" s="1"/>
  <c r="G470" i="21" a="1"/>
  <c r="G470" i="21" s="1"/>
  <c r="G471" i="21" a="1"/>
  <c r="G471" i="21" s="1"/>
  <c r="G472" i="21" a="1"/>
  <c r="G472" i="21" s="1"/>
  <c r="G473" i="21" a="1"/>
  <c r="G473" i="21" s="1"/>
  <c r="G474" i="21" a="1"/>
  <c r="G474" i="21" s="1"/>
  <c r="G475" i="21" a="1"/>
  <c r="G475" i="21" s="1"/>
  <c r="G476" i="21" a="1"/>
  <c r="G476" i="21" s="1"/>
  <c r="G477" i="21" a="1"/>
  <c r="G477" i="21" s="1"/>
  <c r="G478" i="21" a="1"/>
  <c r="G478" i="21"/>
  <c r="G479" i="21" a="1"/>
  <c r="G479" i="21"/>
  <c r="G480" i="21" a="1"/>
  <c r="G480" i="21"/>
  <c r="G481" i="21" a="1"/>
  <c r="G481" i="21"/>
  <c r="G482" i="21" a="1"/>
  <c r="G482" i="21"/>
  <c r="G483" i="21" a="1"/>
  <c r="G483" i="21"/>
  <c r="G484" i="21" a="1"/>
  <c r="G484" i="21"/>
  <c r="G485" i="21" a="1"/>
  <c r="G485" i="21" s="1"/>
  <c r="G486" i="21" a="1"/>
  <c r="G486" i="21" s="1"/>
  <c r="G487" i="21" a="1"/>
  <c r="G487" i="21" s="1"/>
  <c r="G488" i="21" a="1"/>
  <c r="G488" i="21" s="1"/>
  <c r="G489" i="21" a="1"/>
  <c r="G489" i="21" s="1"/>
  <c r="G490" i="21" a="1"/>
  <c r="G490" i="21" s="1"/>
  <c r="G491" i="21" a="1"/>
  <c r="G491" i="21" s="1"/>
  <c r="G492" i="21" a="1"/>
  <c r="G492" i="21" s="1"/>
  <c r="G493" i="21" a="1"/>
  <c r="G493" i="21" s="1"/>
  <c r="G494" i="21" a="1"/>
  <c r="G494" i="21"/>
  <c r="G495" i="21" a="1"/>
  <c r="G495" i="21"/>
  <c r="G496" i="21" a="1"/>
  <c r="G496" i="21"/>
  <c r="G497" i="21" a="1"/>
  <c r="G497" i="21"/>
  <c r="G498" i="21" a="1"/>
  <c r="G498" i="21"/>
  <c r="G499" i="21" a="1"/>
  <c r="G499" i="21"/>
  <c r="G500" i="21" a="1"/>
  <c r="G500" i="21"/>
  <c r="G501" i="21" a="1"/>
  <c r="G501" i="21" s="1"/>
  <c r="G502" i="21" a="1"/>
  <c r="G502" i="21" s="1"/>
  <c r="G503" i="21" a="1"/>
  <c r="G503" i="21" s="1"/>
  <c r="G504" i="21" a="1"/>
  <c r="G504" i="21" s="1"/>
  <c r="G505" i="21" a="1"/>
  <c r="G505" i="21" s="1"/>
  <c r="G506" i="21" a="1"/>
  <c r="G506" i="21" s="1"/>
  <c r="G507" i="21" a="1"/>
  <c r="G507" i="21" s="1"/>
  <c r="G508" i="21" a="1"/>
  <c r="G508" i="21" s="1"/>
  <c r="G509" i="21" a="1"/>
  <c r="G509" i="21" s="1"/>
  <c r="G510" i="21" a="1"/>
  <c r="G510" i="21"/>
  <c r="G511" i="21" a="1"/>
  <c r="G511" i="21"/>
  <c r="G512" i="21" a="1"/>
  <c r="G512" i="21"/>
  <c r="G513" i="21" a="1"/>
  <c r="G513" i="21"/>
  <c r="G514" i="21" a="1"/>
  <c r="G514" i="21"/>
  <c r="G515" i="21" a="1"/>
  <c r="G515" i="21"/>
  <c r="G516" i="21" a="1"/>
  <c r="G516" i="21"/>
  <c r="G517" i="21" a="1"/>
  <c r="G517" i="21" s="1"/>
  <c r="G518" i="21" a="1"/>
  <c r="G518" i="21" s="1"/>
  <c r="G519" i="21" a="1"/>
  <c r="G519" i="21" s="1"/>
  <c r="G520" i="21" a="1"/>
  <c r="G520" i="21" s="1"/>
  <c r="G521" i="21" a="1"/>
  <c r="G521" i="21" s="1"/>
  <c r="G522" i="21" a="1"/>
  <c r="G522" i="21" s="1"/>
  <c r="G523" i="21" a="1"/>
  <c r="G523" i="21" s="1"/>
  <c r="G524" i="21" a="1"/>
  <c r="G524" i="21" s="1"/>
  <c r="G525" i="21" a="1"/>
  <c r="G525" i="21" s="1"/>
  <c r="G526" i="21" a="1"/>
  <c r="G526" i="21"/>
  <c r="G527" i="21" a="1"/>
  <c r="G527" i="21"/>
  <c r="G528" i="21" a="1"/>
  <c r="G528" i="21"/>
  <c r="G529" i="21" a="1"/>
  <c r="G529" i="21"/>
  <c r="G530" i="21" a="1"/>
  <c r="G530" i="21"/>
  <c r="G531" i="21" a="1"/>
  <c r="G531" i="21"/>
  <c r="G532" i="21" a="1"/>
  <c r="G532" i="21"/>
  <c r="G533" i="21" a="1"/>
  <c r="G533" i="21" s="1"/>
  <c r="G534" i="21" a="1"/>
  <c r="G534" i="21" s="1"/>
  <c r="G535" i="21" a="1"/>
  <c r="G535" i="21" s="1"/>
  <c r="G536" i="21" a="1"/>
  <c r="G536" i="21" s="1"/>
  <c r="G537" i="21" a="1"/>
  <c r="G537" i="21" s="1"/>
  <c r="G538" i="21" a="1"/>
  <c r="G538" i="21" s="1"/>
  <c r="G539" i="21" a="1"/>
  <c r="G539" i="21" s="1"/>
  <c r="G540" i="21" a="1"/>
  <c r="G540" i="21" s="1"/>
  <c r="G541" i="21" a="1"/>
  <c r="G541" i="21" s="1"/>
  <c r="G542" i="21" a="1"/>
  <c r="G542" i="21"/>
  <c r="G543" i="21" a="1"/>
  <c r="G543" i="21"/>
  <c r="G544" i="21" a="1"/>
  <c r="G544" i="21"/>
  <c r="G545" i="21" a="1"/>
  <c r="G545" i="21"/>
  <c r="G546" i="21" a="1"/>
  <c r="G546" i="21"/>
  <c r="G547" i="21" a="1"/>
  <c r="G547" i="21"/>
  <c r="G548" i="21" a="1"/>
  <c r="G548" i="21"/>
  <c r="G549" i="21" a="1"/>
  <c r="G549" i="21" s="1"/>
  <c r="G550" i="21" a="1"/>
  <c r="G550" i="21" s="1"/>
  <c r="G551" i="21" a="1"/>
  <c r="G551" i="21" s="1"/>
  <c r="G552" i="21" a="1"/>
  <c r="G552" i="21" s="1"/>
  <c r="G553" i="21" a="1"/>
  <c r="G553" i="21" s="1"/>
  <c r="G554" i="21" a="1"/>
  <c r="G554" i="21" s="1"/>
  <c r="G555" i="21" a="1"/>
  <c r="G555" i="21" s="1"/>
  <c r="G556" i="21" a="1"/>
  <c r="G556" i="21" s="1"/>
  <c r="G557" i="21" a="1"/>
  <c r="G557" i="21" s="1"/>
  <c r="G558" i="21" a="1"/>
  <c r="G558" i="21"/>
  <c r="G559" i="21" a="1"/>
  <c r="G559" i="21"/>
  <c r="G560" i="21" a="1"/>
  <c r="G560" i="21"/>
  <c r="G561" i="21" a="1"/>
  <c r="G561" i="21"/>
  <c r="G562" i="21" a="1"/>
  <c r="G562" i="21"/>
  <c r="G563" i="21" a="1"/>
  <c r="G563" i="21"/>
  <c r="G564" i="21" a="1"/>
  <c r="G564" i="21"/>
  <c r="G565" i="21" a="1"/>
  <c r="G565" i="21" s="1"/>
  <c r="G566" i="21" a="1"/>
  <c r="G566" i="21" s="1"/>
  <c r="G567" i="21" a="1"/>
  <c r="G567" i="21" s="1"/>
  <c r="G568" i="21" a="1"/>
  <c r="G568" i="21" s="1"/>
  <c r="G569" i="21" a="1"/>
  <c r="G569" i="21" s="1"/>
  <c r="G570" i="21" a="1"/>
  <c r="G570" i="21" s="1"/>
  <c r="G571" i="21" a="1"/>
  <c r="G571" i="21" s="1"/>
  <c r="G572" i="21" a="1"/>
  <c r="G572" i="21" s="1"/>
  <c r="G573" i="21" a="1"/>
  <c r="G573" i="21" s="1"/>
  <c r="G574" i="21" a="1"/>
  <c r="G574" i="21"/>
  <c r="G575" i="21" a="1"/>
  <c r="G575" i="21"/>
  <c r="G576" i="21" a="1"/>
  <c r="G576" i="21"/>
  <c r="G577" i="21" a="1"/>
  <c r="G577" i="21"/>
  <c r="G578" i="21" a="1"/>
  <c r="G578" i="21"/>
  <c r="G579" i="21" a="1"/>
  <c r="G579" i="21"/>
  <c r="G580" i="21" a="1"/>
  <c r="G580" i="21"/>
  <c r="G581" i="21" a="1"/>
  <c r="G581" i="21" s="1"/>
  <c r="G582" i="21" a="1"/>
  <c r="G582" i="21" s="1"/>
  <c r="G583" i="21" a="1"/>
  <c r="G583" i="21" s="1"/>
  <c r="G584" i="21" a="1"/>
  <c r="G584" i="21" s="1"/>
  <c r="G585" i="21" a="1"/>
  <c r="G585" i="21" s="1"/>
  <c r="G586" i="21" a="1"/>
  <c r="G586" i="21" s="1"/>
  <c r="G587" i="21" a="1"/>
  <c r="G587" i="21" s="1"/>
  <c r="G588" i="21" a="1"/>
  <c r="G588" i="21" s="1"/>
  <c r="G589" i="21" a="1"/>
  <c r="G589" i="21" s="1"/>
  <c r="G590" i="21" a="1"/>
  <c r="G590" i="21"/>
  <c r="G591" i="21" a="1"/>
  <c r="G591" i="21"/>
  <c r="G592" i="21" a="1"/>
  <c r="G592" i="21"/>
  <c r="G593" i="21" a="1"/>
  <c r="G593" i="21"/>
  <c r="G594" i="21" a="1"/>
  <c r="G594" i="21"/>
  <c r="G595" i="21" a="1"/>
  <c r="G595" i="21"/>
  <c r="G596" i="21" a="1"/>
  <c r="G596" i="21"/>
  <c r="G597" i="21" a="1"/>
  <c r="G597" i="21" s="1"/>
  <c r="G598" i="21" a="1"/>
  <c r="G598" i="21" s="1"/>
  <c r="G599" i="21" a="1"/>
  <c r="G599" i="21" s="1"/>
  <c r="G600" i="21" a="1"/>
  <c r="G600" i="21" s="1"/>
  <c r="G601" i="21" a="1"/>
  <c r="G601" i="21"/>
  <c r="G602" i="21" a="1"/>
  <c r="G602" i="21" s="1"/>
  <c r="G603" i="21" a="1"/>
  <c r="G603" i="21" s="1"/>
  <c r="G604" i="21" a="1"/>
  <c r="G604" i="21" s="1"/>
  <c r="G605" i="21" a="1"/>
  <c r="G605" i="21" s="1"/>
  <c r="G606" i="21" a="1"/>
  <c r="G606" i="21"/>
  <c r="G607" i="21" a="1"/>
  <c r="G607" i="21"/>
  <c r="G608" i="21" a="1"/>
  <c r="G608" i="21"/>
  <c r="G609" i="21" a="1"/>
  <c r="G609" i="21"/>
  <c r="G610" i="21" a="1"/>
  <c r="G610" i="21"/>
  <c r="G611" i="21" a="1"/>
  <c r="G611" i="21"/>
  <c r="G612" i="21" a="1"/>
  <c r="G612" i="21"/>
  <c r="G613" i="21" a="1"/>
  <c r="G613" i="21" s="1"/>
  <c r="G614" i="21" a="1"/>
  <c r="G614" i="21" s="1"/>
  <c r="G615" i="21" a="1"/>
  <c r="G615" i="21" s="1"/>
  <c r="G616" i="21" a="1"/>
  <c r="G616" i="21" s="1"/>
  <c r="G617" i="21" a="1"/>
  <c r="G617" i="21" s="1"/>
  <c r="G618" i="21" a="1"/>
  <c r="G618" i="21"/>
  <c r="G619" i="21" a="1"/>
  <c r="G619" i="21" s="1"/>
  <c r="G620" i="21" a="1"/>
  <c r="G620" i="21" s="1"/>
  <c r="G621" i="21" a="1"/>
  <c r="G621" i="21" s="1"/>
  <c r="G622" i="21" a="1"/>
  <c r="G622" i="21"/>
  <c r="G623" i="21" a="1"/>
  <c r="G623" i="21"/>
  <c r="G624" i="21" a="1"/>
  <c r="G624" i="21"/>
  <c r="G625" i="21" a="1"/>
  <c r="G625" i="21"/>
  <c r="G626" i="21" a="1"/>
  <c r="G626" i="21"/>
  <c r="G627" i="21" a="1"/>
  <c r="G627" i="21"/>
  <c r="G628" i="21" a="1"/>
  <c r="G628" i="21"/>
  <c r="G629" i="21" a="1"/>
  <c r="G629" i="21" s="1"/>
  <c r="G630" i="21" a="1"/>
  <c r="G630" i="21" s="1"/>
  <c r="G631" i="21" a="1"/>
  <c r="G631" i="21" s="1"/>
  <c r="G632" i="21" a="1"/>
  <c r="G632" i="21" s="1"/>
  <c r="G633" i="21" a="1"/>
  <c r="G633" i="21" s="1"/>
  <c r="G634" i="21" a="1"/>
  <c r="G634" i="21" s="1"/>
  <c r="G635" i="21" a="1"/>
  <c r="G635" i="21"/>
  <c r="G636" i="21" a="1"/>
  <c r="G636" i="21" s="1"/>
  <c r="G637" i="21" a="1"/>
  <c r="G637" i="21" s="1"/>
  <c r="G638" i="21" a="1"/>
  <c r="G638" i="21"/>
  <c r="G639" i="21" a="1"/>
  <c r="G639" i="21"/>
  <c r="G640" i="21" a="1"/>
  <c r="G640" i="21"/>
  <c r="G641" i="21" a="1"/>
  <c r="G641" i="21"/>
  <c r="G642" i="21" a="1"/>
  <c r="G642" i="21"/>
  <c r="G643" i="21" a="1"/>
  <c r="G643" i="21"/>
  <c r="G644" i="21" a="1"/>
  <c r="G644" i="21"/>
  <c r="G645" i="21" a="1"/>
  <c r="G645" i="21" s="1"/>
  <c r="G646" i="21" a="1"/>
  <c r="G646" i="21" s="1"/>
  <c r="G647" i="21" a="1"/>
  <c r="G647" i="21" s="1"/>
  <c r="G648" i="21" a="1"/>
  <c r="G648" i="21" s="1"/>
  <c r="G649" i="21" a="1"/>
  <c r="G649" i="21" s="1"/>
  <c r="G650" i="21" a="1"/>
  <c r="G650" i="21" s="1"/>
  <c r="G651" i="21" a="1"/>
  <c r="G651" i="21" s="1"/>
  <c r="G652" i="21" a="1"/>
  <c r="G652" i="21"/>
  <c r="G653" i="21" a="1"/>
  <c r="G653" i="21" s="1"/>
  <c r="G654" i="21" a="1"/>
  <c r="G654" i="21"/>
  <c r="G655" i="21" a="1"/>
  <c r="G655" i="21"/>
  <c r="G656" i="21" a="1"/>
  <c r="G656" i="21"/>
  <c r="G657" i="21" a="1"/>
  <c r="G657" i="21"/>
  <c r="G658" i="21" a="1"/>
  <c r="G658" i="21"/>
  <c r="G659" i="21" a="1"/>
  <c r="G659" i="21"/>
  <c r="G660" i="21" a="1"/>
  <c r="G660" i="21"/>
  <c r="G661" i="21" a="1"/>
  <c r="G661" i="21" s="1"/>
  <c r="G662" i="21" a="1"/>
  <c r="G662" i="21" s="1"/>
  <c r="G663" i="21" a="1"/>
  <c r="G663" i="21" s="1"/>
  <c r="G664" i="21" a="1"/>
  <c r="G664" i="21" s="1"/>
  <c r="G665" i="21" a="1"/>
  <c r="G665" i="21" s="1"/>
  <c r="G666" i="21" a="1"/>
  <c r="G666" i="21" s="1"/>
  <c r="G667" i="21" a="1"/>
  <c r="G667" i="21" s="1"/>
  <c r="G668" i="21" a="1"/>
  <c r="G668" i="21" s="1"/>
  <c r="G669" i="21" a="1"/>
  <c r="G669" i="21" s="1"/>
  <c r="G670" i="21" a="1"/>
  <c r="G670" i="21"/>
  <c r="G671" i="21" a="1"/>
  <c r="G671" i="21"/>
  <c r="G672" i="21" a="1"/>
  <c r="G672" i="21"/>
  <c r="G673" i="21" a="1"/>
  <c r="G673" i="21"/>
  <c r="G674" i="21" a="1"/>
  <c r="G674" i="21"/>
  <c r="G675" i="21" a="1"/>
  <c r="G675" i="21"/>
  <c r="G676" i="21" a="1"/>
  <c r="G676" i="21"/>
  <c r="G677" i="21" a="1"/>
  <c r="G677" i="21" s="1"/>
  <c r="G678" i="21" a="1"/>
  <c r="G678" i="21"/>
  <c r="G679" i="21" a="1"/>
  <c r="G679" i="21" s="1"/>
  <c r="G680" i="21" a="1"/>
  <c r="G680" i="21" s="1"/>
  <c r="G681" i="21" a="1"/>
  <c r="G681" i="21" s="1"/>
  <c r="G682" i="21" a="1"/>
  <c r="G682" i="21" s="1"/>
  <c r="G683" i="21" a="1"/>
  <c r="G683" i="21" s="1"/>
  <c r="G684" i="21" a="1"/>
  <c r="G684" i="21" s="1"/>
  <c r="G685" i="21" a="1"/>
  <c r="G685" i="21" s="1"/>
  <c r="G686" i="21" a="1"/>
  <c r="G686" i="21"/>
  <c r="G687" i="21" a="1"/>
  <c r="G687" i="21" s="1"/>
  <c r="G688" i="21" a="1"/>
  <c r="G688" i="21" s="1"/>
  <c r="G689" i="21" a="1"/>
  <c r="G689" i="21" s="1"/>
  <c r="G690" i="21" a="1"/>
  <c r="G690" i="21" s="1"/>
  <c r="G691" i="21" a="1"/>
  <c r="G691" i="21" s="1"/>
  <c r="G692" i="21" a="1"/>
  <c r="G692" i="21" s="1"/>
  <c r="G693" i="21" a="1"/>
  <c r="G693" i="21" s="1"/>
  <c r="G694" i="21" a="1"/>
  <c r="G694" i="21"/>
  <c r="G695" i="21" a="1"/>
  <c r="G695" i="21" s="1"/>
  <c r="G696" i="21" a="1"/>
  <c r="G696" i="21" s="1"/>
  <c r="G697" i="21" a="1"/>
  <c r="G697" i="21" s="1"/>
  <c r="G698" i="21" a="1"/>
  <c r="G698" i="21" s="1"/>
  <c r="G699" i="21" a="1"/>
  <c r="G699" i="21" s="1"/>
  <c r="G700" i="21" a="1"/>
  <c r="G700" i="21" s="1"/>
  <c r="G701" i="21" a="1"/>
  <c r="G701" i="21" s="1"/>
  <c r="G702" i="21" a="1"/>
  <c r="G702" i="21"/>
  <c r="G703" i="21" a="1"/>
  <c r="G703" i="21" s="1"/>
  <c r="G704" i="21" a="1"/>
  <c r="G704" i="21" s="1"/>
  <c r="G705" i="21" a="1"/>
  <c r="G705" i="21" s="1"/>
  <c r="G706" i="21" a="1"/>
  <c r="G706" i="21" s="1"/>
  <c r="G707" i="21" a="1"/>
  <c r="G707" i="21" s="1"/>
  <c r="G708" i="21" a="1"/>
  <c r="G708" i="21" s="1"/>
  <c r="G709" i="21" a="1"/>
  <c r="G709" i="21" s="1"/>
  <c r="G710" i="21" a="1"/>
  <c r="G710" i="21"/>
  <c r="G711" i="21" a="1"/>
  <c r="G711" i="21" s="1"/>
  <c r="G712" i="21" a="1"/>
  <c r="G712" i="21" s="1"/>
  <c r="G713" i="21" a="1"/>
  <c r="G713" i="21" s="1"/>
  <c r="G714" i="21" a="1"/>
  <c r="G714" i="21" s="1"/>
  <c r="G715" i="21" a="1"/>
  <c r="G715" i="21" s="1"/>
  <c r="G716" i="21" a="1"/>
  <c r="G716" i="21" s="1"/>
  <c r="G717" i="21" a="1"/>
  <c r="G717" i="21" s="1"/>
  <c r="G718" i="21" a="1"/>
  <c r="G718" i="21"/>
  <c r="G719" i="21" a="1"/>
  <c r="G719" i="21" s="1"/>
  <c r="G720" i="21" a="1"/>
  <c r="G720" i="21" s="1"/>
  <c r="G721" i="21" a="1"/>
  <c r="G721" i="21" s="1"/>
  <c r="G722" i="21" a="1"/>
  <c r="G722" i="21" s="1"/>
  <c r="G723" i="21" a="1"/>
  <c r="G723" i="21" s="1"/>
  <c r="G724" i="21" a="1"/>
  <c r="G724" i="21" s="1"/>
  <c r="G725" i="21" a="1"/>
  <c r="G725" i="21" s="1"/>
  <c r="G726" i="21" a="1"/>
  <c r="G726" i="21"/>
  <c r="G727" i="21" a="1"/>
  <c r="G727" i="21" s="1"/>
  <c r="G728" i="21" a="1"/>
  <c r="G728" i="21" s="1"/>
  <c r="G729" i="21" a="1"/>
  <c r="G729" i="21" s="1"/>
  <c r="G730" i="21" a="1"/>
  <c r="G730" i="21" s="1"/>
  <c r="G731" i="21" a="1"/>
  <c r="G731" i="21" s="1"/>
  <c r="G732" i="21" a="1"/>
  <c r="G732" i="21" s="1"/>
  <c r="G733" i="21" a="1"/>
  <c r="G733" i="21" s="1"/>
  <c r="G734" i="21" a="1"/>
  <c r="G734" i="21" s="1"/>
  <c r="G735" i="21" a="1"/>
  <c r="G735" i="21" s="1"/>
  <c r="G736" i="21" a="1"/>
  <c r="G736" i="21" s="1"/>
  <c r="G737" i="21" a="1"/>
  <c r="G737" i="21" s="1"/>
  <c r="G738" i="21" a="1"/>
  <c r="G738" i="21" s="1"/>
  <c r="G739" i="21" a="1"/>
  <c r="G739" i="21" s="1"/>
  <c r="G740" i="21" a="1"/>
  <c r="G740" i="21" s="1"/>
  <c r="G741" i="21" a="1"/>
  <c r="G741" i="21" s="1"/>
  <c r="G742" i="21" a="1"/>
  <c r="G742" i="21" s="1"/>
  <c r="G743" i="21" a="1"/>
  <c r="G743" i="21" s="1"/>
  <c r="G744" i="21" a="1"/>
  <c r="G744" i="21" s="1"/>
  <c r="G745" i="21" a="1"/>
  <c r="G745" i="21" s="1"/>
  <c r="G746" i="21" a="1"/>
  <c r="G746" i="21" s="1"/>
  <c r="G747" i="21" a="1"/>
  <c r="G747" i="21" s="1"/>
  <c r="G748" i="21" a="1"/>
  <c r="G748" i="21" s="1"/>
  <c r="G749" i="21" a="1"/>
  <c r="G749" i="21" s="1"/>
  <c r="G750" i="21" a="1"/>
  <c r="G750" i="21" s="1"/>
  <c r="G751" i="21" a="1"/>
  <c r="G751" i="21" s="1"/>
  <c r="G752" i="21" a="1"/>
  <c r="G752" i="21" s="1"/>
  <c r="G753" i="21" a="1"/>
  <c r="G753" i="21" s="1"/>
  <c r="G754" i="21" a="1"/>
  <c r="G754" i="21" s="1"/>
  <c r="G755" i="21" a="1"/>
  <c r="G755" i="21" s="1"/>
  <c r="G756" i="21" a="1"/>
  <c r="G756" i="21" s="1"/>
  <c r="G757" i="21" a="1"/>
  <c r="G757" i="21" s="1"/>
  <c r="G758" i="21" a="1"/>
  <c r="G758" i="21" s="1"/>
  <c r="G759" i="21" a="1"/>
  <c r="G759" i="21" s="1"/>
  <c r="G760" i="21" a="1"/>
  <c r="G760" i="21" s="1"/>
  <c r="G761" i="21" a="1"/>
  <c r="G761" i="21" s="1"/>
  <c r="G762" i="21" a="1"/>
  <c r="G762" i="21" s="1"/>
  <c r="G763" i="21" a="1"/>
  <c r="G763" i="21" s="1"/>
  <c r="G764" i="21" a="1"/>
  <c r="G764" i="21" s="1"/>
  <c r="G765" i="21" a="1"/>
  <c r="G765" i="21" s="1"/>
  <c r="G766" i="21" a="1"/>
  <c r="G766" i="21" s="1"/>
  <c r="G767" i="21" a="1"/>
  <c r="G767" i="21" s="1"/>
  <c r="G768" i="21" a="1"/>
  <c r="G768" i="21" s="1"/>
  <c r="G769" i="21" a="1"/>
  <c r="G769" i="21" s="1"/>
  <c r="G770" i="21" a="1"/>
  <c r="G770" i="21" s="1"/>
  <c r="G771" i="21" a="1"/>
  <c r="G771" i="21" s="1"/>
  <c r="G772" i="21" a="1"/>
  <c r="G772" i="21" s="1"/>
  <c r="G773" i="21" a="1"/>
  <c r="G773" i="21" s="1"/>
  <c r="G774" i="21" a="1"/>
  <c r="G774" i="21" s="1"/>
  <c r="G775" i="21" a="1"/>
  <c r="G775" i="21" s="1"/>
  <c r="G776" i="21" a="1"/>
  <c r="G776" i="21" s="1"/>
  <c r="G777" i="21" a="1"/>
  <c r="G777" i="21" s="1"/>
  <c r="G778" i="21" a="1"/>
  <c r="G778" i="21" s="1"/>
  <c r="G779" i="21" a="1"/>
  <c r="G779" i="21" s="1"/>
  <c r="G780" i="21" a="1"/>
  <c r="G780" i="21" s="1"/>
  <c r="G781" i="21" a="1"/>
  <c r="G781" i="21" s="1"/>
  <c r="G782" i="21" a="1"/>
  <c r="G782" i="21" s="1"/>
  <c r="G783" i="21" a="1"/>
  <c r="G783" i="21" s="1"/>
  <c r="G784" i="21" a="1"/>
  <c r="G784" i="21" s="1"/>
  <c r="G785" i="21" a="1"/>
  <c r="G785" i="21" s="1"/>
  <c r="G786" i="21" a="1"/>
  <c r="G786" i="21" s="1"/>
  <c r="G787" i="21" a="1"/>
  <c r="G787" i="21" s="1"/>
  <c r="G788" i="21" a="1"/>
  <c r="G788" i="21" s="1"/>
  <c r="G789" i="21" a="1"/>
  <c r="G789" i="21" s="1"/>
  <c r="G790" i="21" a="1"/>
  <c r="G790" i="21" s="1"/>
  <c r="G791" i="21" a="1"/>
  <c r="G791" i="21" s="1"/>
  <c r="G792" i="21" a="1"/>
  <c r="G792" i="21" s="1"/>
  <c r="G793" i="21" a="1"/>
  <c r="G793" i="21" s="1"/>
  <c r="G794" i="21" a="1"/>
  <c r="G794" i="21" s="1"/>
  <c r="G795" i="21" a="1"/>
  <c r="G795" i="21" s="1"/>
  <c r="G796" i="21" a="1"/>
  <c r="G796" i="21" s="1"/>
  <c r="G797" i="21" a="1"/>
  <c r="G797" i="21" s="1"/>
  <c r="G798" i="21" a="1"/>
  <c r="G798" i="21" s="1"/>
  <c r="G799" i="21" a="1"/>
  <c r="G799" i="21" s="1"/>
  <c r="G800" i="21" a="1"/>
  <c r="G800" i="21" s="1"/>
  <c r="G801" i="21" a="1"/>
  <c r="G801" i="21" s="1"/>
  <c r="G802" i="21" a="1"/>
  <c r="G802" i="21" s="1"/>
  <c r="G803" i="21" a="1"/>
  <c r="G803" i="21" s="1"/>
  <c r="G804" i="21" a="1"/>
  <c r="G804" i="21" s="1"/>
  <c r="G805" i="21" a="1"/>
  <c r="G805" i="21" s="1"/>
  <c r="G806" i="21" a="1"/>
  <c r="G806" i="21" s="1"/>
  <c r="G807" i="21" a="1"/>
  <c r="G807" i="21" s="1"/>
  <c r="G808" i="21" a="1"/>
  <c r="G808" i="21" s="1"/>
  <c r="G809" i="21" a="1"/>
  <c r="G809" i="21" s="1"/>
  <c r="G810" i="21" a="1"/>
  <c r="G810" i="21" s="1"/>
  <c r="G811" i="21" a="1"/>
  <c r="G811" i="21" s="1"/>
  <c r="G812" i="21" a="1"/>
  <c r="G812" i="21" s="1"/>
  <c r="G813" i="21" a="1"/>
  <c r="G813" i="21" s="1"/>
  <c r="G814" i="21" a="1"/>
  <c r="G814" i="21" s="1"/>
  <c r="G815" i="21" a="1"/>
  <c r="G815" i="21" s="1"/>
  <c r="G816" i="21" a="1"/>
  <c r="G816" i="21" s="1"/>
  <c r="G817" i="21" a="1"/>
  <c r="G817" i="21" s="1"/>
  <c r="G818" i="21" a="1"/>
  <c r="G818" i="21" s="1"/>
  <c r="G819" i="21" a="1"/>
  <c r="G819" i="21" s="1"/>
  <c r="G820" i="21" a="1"/>
  <c r="G820" i="21" s="1"/>
  <c r="G821" i="21" a="1"/>
  <c r="G821" i="21" s="1"/>
  <c r="G822" i="21" a="1"/>
  <c r="G822" i="21" s="1"/>
  <c r="G823" i="21" a="1"/>
  <c r="G823" i="21" s="1"/>
  <c r="G824" i="21" a="1"/>
  <c r="G824" i="21" s="1"/>
  <c r="G825" i="21" a="1"/>
  <c r="G825" i="21" s="1"/>
  <c r="G826" i="21" a="1"/>
  <c r="G826" i="21" s="1"/>
  <c r="G827" i="21" a="1"/>
  <c r="G827" i="21" s="1"/>
  <c r="G828" i="21" a="1"/>
  <c r="G828" i="21" s="1"/>
  <c r="G829" i="21" a="1"/>
  <c r="G829" i="21" s="1"/>
  <c r="G830" i="21" a="1"/>
  <c r="G830" i="21" s="1"/>
  <c r="G831" i="21" a="1"/>
  <c r="G831" i="21" s="1"/>
  <c r="G832" i="21" a="1"/>
  <c r="G832" i="21" s="1"/>
  <c r="G833" i="21" a="1"/>
  <c r="G833" i="21" s="1"/>
  <c r="G834" i="21" a="1"/>
  <c r="G834" i="21" s="1"/>
  <c r="G835" i="21" a="1"/>
  <c r="G835" i="21" s="1"/>
  <c r="G836" i="21" a="1"/>
  <c r="G836" i="21" s="1"/>
  <c r="G837" i="21" a="1"/>
  <c r="G837" i="21" s="1"/>
  <c r="G838" i="21" a="1"/>
  <c r="G838" i="21" s="1"/>
  <c r="G839" i="21" a="1"/>
  <c r="G839" i="21" s="1"/>
  <c r="G840" i="21" a="1"/>
  <c r="G840" i="21" s="1"/>
  <c r="G841" i="21" a="1"/>
  <c r="G841" i="21" s="1"/>
  <c r="G842" i="21" a="1"/>
  <c r="G842" i="21" s="1"/>
  <c r="G843" i="21" a="1"/>
  <c r="G843" i="21" s="1"/>
  <c r="G844" i="21" a="1"/>
  <c r="G844" i="21" s="1"/>
  <c r="G845" i="21" a="1"/>
  <c r="G845" i="21" s="1"/>
  <c r="G846" i="21" a="1"/>
  <c r="G846" i="21" s="1"/>
  <c r="G847" i="21" a="1"/>
  <c r="G847" i="21" s="1"/>
  <c r="G848" i="21" a="1"/>
  <c r="G848" i="21" s="1"/>
  <c r="G849" i="21" a="1"/>
  <c r="G849" i="21" s="1"/>
  <c r="G850" i="21" a="1"/>
  <c r="G850" i="21" s="1"/>
  <c r="G851" i="21" a="1"/>
  <c r="G851" i="21" s="1"/>
  <c r="G852" i="21" a="1"/>
  <c r="G852" i="21" s="1"/>
  <c r="G853" i="21" a="1"/>
  <c r="G853" i="21" s="1"/>
  <c r="G854" i="21" a="1"/>
  <c r="G854" i="21" s="1"/>
  <c r="G855" i="21" a="1"/>
  <c r="G855" i="21" s="1"/>
  <c r="G856" i="21" a="1"/>
  <c r="G856" i="21" s="1"/>
  <c r="G857" i="21" a="1"/>
  <c r="G857" i="21" s="1"/>
  <c r="G858" i="21" a="1"/>
  <c r="G858" i="21" s="1"/>
  <c r="G859" i="21" a="1"/>
  <c r="G859" i="21" s="1"/>
  <c r="G860" i="21" a="1"/>
  <c r="G860" i="21" s="1"/>
  <c r="G861" i="21" a="1"/>
  <c r="G861" i="21" s="1"/>
  <c r="G862" i="21" a="1"/>
  <c r="G862" i="21" s="1"/>
  <c r="G863" i="21" a="1"/>
  <c r="G863" i="21" s="1"/>
  <c r="G864" i="21" a="1"/>
  <c r="G864" i="21" s="1"/>
  <c r="G865" i="21" a="1"/>
  <c r="G865" i="21" s="1"/>
  <c r="G866" i="21" a="1"/>
  <c r="G866" i="21" s="1"/>
  <c r="G867" i="21" a="1"/>
  <c r="G867" i="21" s="1"/>
  <c r="G868" i="21" a="1"/>
  <c r="G868" i="21" s="1"/>
  <c r="G869" i="21" a="1"/>
  <c r="G869" i="21" s="1"/>
  <c r="G870" i="21" a="1"/>
  <c r="G870" i="21" s="1"/>
  <c r="G871" i="21" a="1"/>
  <c r="G871" i="21" s="1"/>
  <c r="G872" i="21" a="1"/>
  <c r="G872" i="21" s="1"/>
  <c r="G873" i="21" a="1"/>
  <c r="G873" i="21" s="1"/>
  <c r="G874" i="21" a="1"/>
  <c r="G874" i="21" s="1"/>
  <c r="G875" i="21" a="1"/>
  <c r="G875" i="21" s="1"/>
  <c r="G876" i="21" a="1"/>
  <c r="G876" i="21" s="1"/>
  <c r="G877" i="21" a="1"/>
  <c r="G877" i="21" s="1"/>
  <c r="G878" i="21" a="1"/>
  <c r="G878" i="21" s="1"/>
  <c r="G879" i="21" a="1"/>
  <c r="G879" i="21" s="1"/>
  <c r="G880" i="21" a="1"/>
  <c r="G880" i="21" s="1"/>
  <c r="G881" i="21" a="1"/>
  <c r="G881" i="21" s="1"/>
  <c r="G882" i="21" a="1"/>
  <c r="G882" i="21" s="1"/>
  <c r="G883" i="21" a="1"/>
  <c r="G883" i="21" s="1"/>
  <c r="G884" i="21" a="1"/>
  <c r="G884" i="21" s="1"/>
  <c r="G885" i="21" a="1"/>
  <c r="G885" i="21" s="1"/>
  <c r="G886" i="21" a="1"/>
  <c r="G886" i="21" s="1"/>
  <c r="G887" i="21" a="1"/>
  <c r="G887" i="21" s="1"/>
  <c r="G888" i="21" a="1"/>
  <c r="G888" i="21" s="1"/>
  <c r="G889" i="21" a="1"/>
  <c r="G889" i="21" s="1"/>
  <c r="G890" i="21" a="1"/>
  <c r="G890" i="21" s="1"/>
  <c r="G891" i="21" a="1"/>
  <c r="G891" i="21" s="1"/>
  <c r="G892" i="21" a="1"/>
  <c r="G892" i="21" s="1"/>
  <c r="G893" i="21" a="1"/>
  <c r="G893" i="21" s="1"/>
  <c r="G894" i="21" a="1"/>
  <c r="G894" i="21" s="1"/>
  <c r="G895" i="21" a="1"/>
  <c r="G895" i="21" s="1"/>
  <c r="G896" i="21" a="1"/>
  <c r="G896" i="21" s="1"/>
  <c r="G897" i="21" a="1"/>
  <c r="G897" i="21" s="1"/>
  <c r="G898" i="21" a="1"/>
  <c r="G898" i="21" s="1"/>
  <c r="G899" i="21" a="1"/>
  <c r="G899" i="21" s="1"/>
  <c r="G900" i="21" a="1"/>
  <c r="G900" i="21" s="1"/>
  <c r="G901" i="21" a="1"/>
  <c r="G901" i="21" s="1"/>
  <c r="G902" i="21" a="1"/>
  <c r="G902" i="21" s="1"/>
  <c r="G903" i="21" a="1"/>
  <c r="G903" i="21" s="1"/>
  <c r="G904" i="21" a="1"/>
  <c r="G904" i="21" s="1"/>
  <c r="G905" i="21" a="1"/>
  <c r="G905" i="21" s="1"/>
  <c r="G906" i="21" a="1"/>
  <c r="G906" i="21" s="1"/>
  <c r="G907" i="21" a="1"/>
  <c r="G907" i="21" s="1"/>
  <c r="G908" i="21" a="1"/>
  <c r="G908" i="21" s="1"/>
  <c r="G909" i="21" a="1"/>
  <c r="G909" i="21" s="1"/>
  <c r="G910" i="21" a="1"/>
  <c r="G910" i="21" s="1"/>
  <c r="G911" i="21" a="1"/>
  <c r="G911" i="21" s="1"/>
  <c r="G912" i="21" a="1"/>
  <c r="G912" i="21" s="1"/>
  <c r="G913" i="21" a="1"/>
  <c r="G913" i="21" s="1"/>
  <c r="G914" i="21" a="1"/>
  <c r="G914" i="21" s="1"/>
  <c r="G2" i="21" a="1"/>
  <c r="G2" i="21" s="1"/>
  <c r="F3" i="21" a="1"/>
  <c r="F3" i="21" s="1"/>
  <c r="F4" i="21" a="1"/>
  <c r="F4" i="21" s="1"/>
  <c r="F5" i="21" a="1"/>
  <c r="F5" i="21" s="1"/>
  <c r="F6" i="21" a="1"/>
  <c r="F6" i="21"/>
  <c r="F7" i="21" a="1"/>
  <c r="F7" i="21" s="1"/>
  <c r="F8" i="21" a="1"/>
  <c r="F8" i="21"/>
  <c r="F9" i="21" a="1"/>
  <c r="F9" i="21" s="1"/>
  <c r="F10" i="21" a="1"/>
  <c r="F10" i="21" s="1"/>
  <c r="F11" i="21" a="1"/>
  <c r="F11" i="21" s="1"/>
  <c r="F12" i="21" a="1"/>
  <c r="F12" i="21" s="1"/>
  <c r="F13" i="21" a="1"/>
  <c r="F13" i="21"/>
  <c r="F14" i="21" a="1"/>
  <c r="F14" i="21" s="1"/>
  <c r="F15" i="21" a="1"/>
  <c r="F15" i="21" s="1"/>
  <c r="F16" i="21" a="1"/>
  <c r="F16" i="21" s="1"/>
  <c r="F17" i="21" a="1"/>
  <c r="F17" i="21"/>
  <c r="F18" i="21" a="1"/>
  <c r="F18" i="21" s="1"/>
  <c r="F19" i="21" a="1"/>
  <c r="F19" i="21" s="1"/>
  <c r="F20" i="21" a="1"/>
  <c r="F20" i="21" s="1"/>
  <c r="F21" i="21" a="1"/>
  <c r="F21" i="21"/>
  <c r="F22" i="21" a="1"/>
  <c r="F22" i="21" s="1"/>
  <c r="F23" i="21" a="1"/>
  <c r="F23" i="21" s="1"/>
  <c r="F24" i="21" a="1"/>
  <c r="F24" i="21" s="1"/>
  <c r="F25" i="21" a="1"/>
  <c r="F25" i="21" s="1"/>
  <c r="F26" i="21" a="1"/>
  <c r="F26" i="21"/>
  <c r="F27" i="21" a="1"/>
  <c r="F27" i="21" s="1"/>
  <c r="F28" i="21" a="1"/>
  <c r="F28" i="21" s="1"/>
  <c r="F29" i="21" a="1"/>
  <c r="F29" i="21" s="1"/>
  <c r="F30" i="21" a="1"/>
  <c r="F30" i="21"/>
  <c r="F31" i="21" a="1"/>
  <c r="F31" i="21" s="1"/>
  <c r="F32" i="21" a="1"/>
  <c r="F32" i="21" s="1"/>
  <c r="F33" i="21" a="1"/>
  <c r="F33" i="21" s="1"/>
  <c r="F34" i="21" a="1"/>
  <c r="F34" i="21" s="1"/>
  <c r="F35" i="21" a="1"/>
  <c r="F35" i="21" s="1"/>
  <c r="F36" i="21" a="1"/>
  <c r="F36" i="21" s="1"/>
  <c r="F37" i="21" a="1"/>
  <c r="F37" i="21" s="1"/>
  <c r="F38" i="21" a="1"/>
  <c r="F38" i="21" s="1"/>
  <c r="F39" i="21" a="1"/>
  <c r="F39" i="21" s="1"/>
  <c r="F40" i="21" a="1"/>
  <c r="F40" i="21" s="1"/>
  <c r="F41" i="21" a="1"/>
  <c r="F41" i="21" s="1"/>
  <c r="F42" i="21" a="1"/>
  <c r="F42" i="21" s="1"/>
  <c r="F43" i="21" a="1"/>
  <c r="F43" i="21" s="1"/>
  <c r="F44" i="21" a="1"/>
  <c r="F44" i="21" s="1"/>
  <c r="F45" i="21" a="1"/>
  <c r="F45" i="21"/>
  <c r="F46" i="21" a="1"/>
  <c r="F46" i="21" s="1"/>
  <c r="F47" i="21" a="1"/>
  <c r="F47" i="21" s="1"/>
  <c r="F48" i="21" a="1"/>
  <c r="F48" i="21" s="1"/>
  <c r="F49" i="21" a="1"/>
  <c r="F49" i="21" s="1"/>
  <c r="F50" i="21" a="1"/>
  <c r="F50" i="21" s="1"/>
  <c r="F51" i="21" a="1"/>
  <c r="F51" i="21" s="1"/>
  <c r="F52" i="21" a="1"/>
  <c r="F52" i="21" s="1"/>
  <c r="F53" i="21" a="1"/>
  <c r="F53" i="21" s="1"/>
  <c r="F54" i="21" a="1"/>
  <c r="F54" i="21"/>
  <c r="F55" i="21" a="1"/>
  <c r="F55" i="21" s="1"/>
  <c r="F56" i="21" a="1"/>
  <c r="F56" i="21" s="1"/>
  <c r="F57" i="21" a="1"/>
  <c r="F57" i="21" s="1"/>
  <c r="F58" i="21" a="1"/>
  <c r="F58" i="21" s="1"/>
  <c r="F59" i="21" a="1"/>
  <c r="F59" i="21" s="1"/>
  <c r="F60" i="21" a="1"/>
  <c r="F60" i="21" s="1"/>
  <c r="F61" i="21" a="1"/>
  <c r="F61" i="21" s="1"/>
  <c r="F62" i="21" a="1"/>
  <c r="F62" i="21" s="1"/>
  <c r="F63" i="21" a="1"/>
  <c r="F63" i="21"/>
  <c r="F64" i="21" a="1"/>
  <c r="F64" i="21" s="1"/>
  <c r="F65" i="21" a="1"/>
  <c r="F65" i="21" s="1"/>
  <c r="F66" i="21" a="1"/>
  <c r="F66" i="21" s="1"/>
  <c r="F67" i="21" a="1"/>
  <c r="F67" i="21" s="1"/>
  <c r="F68" i="21" a="1"/>
  <c r="F68" i="21" s="1"/>
  <c r="F69" i="21" a="1"/>
  <c r="F69" i="21" s="1"/>
  <c r="F70" i="21" a="1"/>
  <c r="F70" i="21" s="1"/>
  <c r="F71" i="21" a="1"/>
  <c r="F71" i="21" s="1"/>
  <c r="F72" i="21" a="1"/>
  <c r="F72" i="21"/>
  <c r="F73" i="21" a="1"/>
  <c r="F73" i="21" s="1"/>
  <c r="F74" i="21" a="1"/>
  <c r="F74" i="21" s="1"/>
  <c r="F75" i="21" a="1"/>
  <c r="F75" i="21" s="1"/>
  <c r="F76" i="21" a="1"/>
  <c r="F76" i="21" s="1"/>
  <c r="F77" i="21" a="1"/>
  <c r="F77" i="21" s="1"/>
  <c r="F78" i="21" a="1"/>
  <c r="F78" i="21" s="1"/>
  <c r="F79" i="21" a="1"/>
  <c r="F79" i="21" s="1"/>
  <c r="F80" i="21" a="1"/>
  <c r="F80" i="21" s="1"/>
  <c r="F81" i="21" a="1"/>
  <c r="F81" i="21"/>
  <c r="F82" i="21" a="1"/>
  <c r="F82" i="21" s="1"/>
  <c r="F83" i="21" a="1"/>
  <c r="F83" i="21" s="1"/>
  <c r="F84" i="21" a="1"/>
  <c r="F84" i="21" s="1"/>
  <c r="F85" i="21" a="1"/>
  <c r="F85" i="21" s="1"/>
  <c r="F86" i="21" a="1"/>
  <c r="F86" i="21" s="1"/>
  <c r="F87" i="21" a="1"/>
  <c r="F87" i="21" s="1"/>
  <c r="F88" i="21" a="1"/>
  <c r="F88" i="21" s="1"/>
  <c r="F89" i="21" a="1"/>
  <c r="F89" i="21" s="1"/>
  <c r="F90" i="21" a="1"/>
  <c r="F90" i="21"/>
  <c r="F91" i="21" a="1"/>
  <c r="F91" i="21" s="1"/>
  <c r="F92" i="21" a="1"/>
  <c r="F92" i="21" s="1"/>
  <c r="F93" i="21" a="1"/>
  <c r="F93" i="21" s="1"/>
  <c r="F94" i="21" a="1"/>
  <c r="F94" i="21" s="1"/>
  <c r="F95" i="21" a="1"/>
  <c r="F95" i="21" s="1"/>
  <c r="F96" i="21" a="1"/>
  <c r="F96" i="21" s="1"/>
  <c r="F97" i="21" a="1"/>
  <c r="F97" i="21" s="1"/>
  <c r="F98" i="21" a="1"/>
  <c r="F98" i="21" s="1"/>
  <c r="F99" i="21" a="1"/>
  <c r="F99" i="21" s="1"/>
  <c r="F100" i="21" a="1"/>
  <c r="F100" i="21" s="1"/>
  <c r="F101" i="21" a="1"/>
  <c r="F101" i="21" s="1"/>
  <c r="F102" i="21" a="1"/>
  <c r="F102" i="21" s="1"/>
  <c r="F103" i="21" a="1"/>
  <c r="F103" i="21" s="1"/>
  <c r="F104" i="21" a="1"/>
  <c r="F104" i="21" s="1"/>
  <c r="F105" i="21" a="1"/>
  <c r="F105" i="21" s="1"/>
  <c r="F106" i="21" a="1"/>
  <c r="F106" i="21" s="1"/>
  <c r="F107" i="21" a="1"/>
  <c r="F107" i="21" s="1"/>
  <c r="F108" i="21" a="1"/>
  <c r="F108" i="21" s="1"/>
  <c r="F109" i="21" a="1"/>
  <c r="F109" i="21"/>
  <c r="F110" i="21" a="1"/>
  <c r="F110" i="21" s="1"/>
  <c r="F111" i="21" a="1"/>
  <c r="F111" i="21" s="1"/>
  <c r="F112" i="21" a="1"/>
  <c r="F112" i="21" s="1"/>
  <c r="F113" i="21" a="1"/>
  <c r="F113" i="21" s="1"/>
  <c r="F114" i="21" a="1"/>
  <c r="F114" i="21" s="1"/>
  <c r="F115" i="21" a="1"/>
  <c r="F115" i="21" s="1"/>
  <c r="F116" i="21" a="1"/>
  <c r="F116" i="21" s="1"/>
  <c r="F117" i="21" a="1"/>
  <c r="F117" i="21" s="1"/>
  <c r="F118" i="21" a="1"/>
  <c r="F118" i="21"/>
  <c r="F119" i="21" a="1"/>
  <c r="F119" i="21" s="1"/>
  <c r="F120" i="21" a="1"/>
  <c r="F120" i="21" s="1"/>
  <c r="F121" i="21" a="1"/>
  <c r="F121" i="21" s="1"/>
  <c r="F122" i="21" a="1"/>
  <c r="F122" i="21" s="1"/>
  <c r="F123" i="21" a="1"/>
  <c r="F123" i="21" s="1"/>
  <c r="F124" i="21" a="1"/>
  <c r="F124" i="21" s="1"/>
  <c r="F125" i="21" a="1"/>
  <c r="F125" i="21" s="1"/>
  <c r="F126" i="21" a="1"/>
  <c r="F126" i="21" s="1"/>
  <c r="F127" i="21" a="1"/>
  <c r="F127" i="21"/>
  <c r="F128" i="21" a="1"/>
  <c r="F128" i="21" s="1"/>
  <c r="F129" i="21" a="1"/>
  <c r="F129" i="21" s="1"/>
  <c r="F130" i="21" a="1"/>
  <c r="F130" i="21" s="1"/>
  <c r="F131" i="21" a="1"/>
  <c r="F131" i="21" s="1"/>
  <c r="F132" i="21" a="1"/>
  <c r="F132" i="21" s="1"/>
  <c r="F133" i="21" a="1"/>
  <c r="F133" i="21" s="1"/>
  <c r="F134" i="21" a="1"/>
  <c r="F134" i="21" s="1"/>
  <c r="F135" i="21" a="1"/>
  <c r="F135" i="21" s="1"/>
  <c r="F136" i="21" a="1"/>
  <c r="F136" i="21"/>
  <c r="F137" i="21" a="1"/>
  <c r="F137" i="21" s="1"/>
  <c r="F138" i="21" a="1"/>
  <c r="F138" i="21" s="1"/>
  <c r="F139" i="21" a="1"/>
  <c r="F139" i="21" s="1"/>
  <c r="F140" i="21" a="1"/>
  <c r="F140" i="21" s="1"/>
  <c r="F141" i="21" a="1"/>
  <c r="F141" i="21" s="1"/>
  <c r="F142" i="21" a="1"/>
  <c r="F142" i="21" s="1"/>
  <c r="F143" i="21" a="1"/>
  <c r="F143" i="21" s="1"/>
  <c r="F144" i="21" a="1"/>
  <c r="F144" i="21" s="1"/>
  <c r="F145" i="21" a="1"/>
  <c r="F145" i="21"/>
  <c r="F146" i="21" a="1"/>
  <c r="F146" i="21" s="1"/>
  <c r="F147" i="21" a="1"/>
  <c r="F147" i="21" s="1"/>
  <c r="F148" i="21" a="1"/>
  <c r="F148" i="21" s="1"/>
  <c r="F149" i="21" a="1"/>
  <c r="F149" i="21" s="1"/>
  <c r="F150" i="21" a="1"/>
  <c r="F150" i="21" s="1"/>
  <c r="F151" i="21" a="1"/>
  <c r="F151" i="21" s="1"/>
  <c r="F152" i="21" a="1"/>
  <c r="F152" i="21" s="1"/>
  <c r="F153" i="21" a="1"/>
  <c r="F153" i="21" s="1"/>
  <c r="F154" i="21" a="1"/>
  <c r="F154" i="21"/>
  <c r="F155" i="21" a="1"/>
  <c r="F155" i="21" s="1"/>
  <c r="F156" i="21" a="1"/>
  <c r="F156" i="21" s="1"/>
  <c r="F157" i="21" a="1"/>
  <c r="F157" i="21" s="1"/>
  <c r="F158" i="21" a="1"/>
  <c r="F158" i="21" s="1"/>
  <c r="F159" i="21" a="1"/>
  <c r="F159" i="21" s="1"/>
  <c r="F160" i="21" a="1"/>
  <c r="F160" i="21" s="1"/>
  <c r="F161" i="21" a="1"/>
  <c r="F161" i="21" s="1"/>
  <c r="F162" i="21" a="1"/>
  <c r="F162" i="21" s="1"/>
  <c r="F163" i="21" a="1"/>
  <c r="F163" i="21" s="1"/>
  <c r="F164" i="21" a="1"/>
  <c r="F164" i="21" s="1"/>
  <c r="F165" i="21" a="1"/>
  <c r="F165" i="21" s="1"/>
  <c r="F166" i="21" a="1"/>
  <c r="F166" i="21" s="1"/>
  <c r="F167" i="21" a="1"/>
  <c r="F167" i="21" s="1"/>
  <c r="F168" i="21" a="1"/>
  <c r="F168" i="21" s="1"/>
  <c r="F169" i="21" a="1"/>
  <c r="F169" i="21" s="1"/>
  <c r="F170" i="21" a="1"/>
  <c r="F170" i="21" s="1"/>
  <c r="F171" i="21" a="1"/>
  <c r="F171" i="21" s="1"/>
  <c r="F172" i="21" a="1"/>
  <c r="F172" i="21" s="1"/>
  <c r="F173" i="21" a="1"/>
  <c r="F173" i="21"/>
  <c r="F174" i="21" a="1"/>
  <c r="F174" i="21" s="1"/>
  <c r="F175" i="21" a="1"/>
  <c r="F175" i="21" s="1"/>
  <c r="F176" i="21" a="1"/>
  <c r="F176" i="21" s="1"/>
  <c r="F177" i="21" a="1"/>
  <c r="F177" i="21" s="1"/>
  <c r="F178" i="21" a="1"/>
  <c r="F178" i="21" s="1"/>
  <c r="F179" i="21" a="1"/>
  <c r="F179" i="21" s="1"/>
  <c r="F180" i="21" a="1"/>
  <c r="F180" i="21" s="1"/>
  <c r="F181" i="21" a="1"/>
  <c r="F181" i="21" s="1"/>
  <c r="F182" i="21" a="1"/>
  <c r="F182" i="21"/>
  <c r="F183" i="21" a="1"/>
  <c r="F183" i="21" s="1"/>
  <c r="F184" i="21" a="1"/>
  <c r="F184" i="21" s="1"/>
  <c r="F185" i="21" a="1"/>
  <c r="F185" i="21" s="1"/>
  <c r="F186" i="21" a="1"/>
  <c r="F186" i="21" s="1"/>
  <c r="F187" i="21" a="1"/>
  <c r="F187" i="21" s="1"/>
  <c r="F188" i="21" a="1"/>
  <c r="F188" i="21" s="1"/>
  <c r="F189" i="21" a="1"/>
  <c r="F189" i="21" s="1"/>
  <c r="F190" i="21" a="1"/>
  <c r="F190" i="21" s="1"/>
  <c r="F191" i="21" a="1"/>
  <c r="F191" i="21"/>
  <c r="F192" i="21" a="1"/>
  <c r="F192" i="21" s="1"/>
  <c r="F193" i="21" a="1"/>
  <c r="F193" i="21" s="1"/>
  <c r="F194" i="21" a="1"/>
  <c r="F194" i="21" s="1"/>
  <c r="F195" i="21" a="1"/>
  <c r="F195" i="21" s="1"/>
  <c r="F196" i="21" a="1"/>
  <c r="F196" i="21" s="1"/>
  <c r="F197" i="21" a="1"/>
  <c r="F197" i="21" s="1"/>
  <c r="F198" i="21" a="1"/>
  <c r="F198" i="21" s="1"/>
  <c r="F199" i="21" a="1"/>
  <c r="F199" i="21" s="1"/>
  <c r="F200" i="21" a="1"/>
  <c r="F200" i="21"/>
  <c r="F201" i="21" a="1"/>
  <c r="F201" i="21" s="1"/>
  <c r="F202" i="21" a="1"/>
  <c r="F202" i="21" s="1"/>
  <c r="F203" i="21" a="1"/>
  <c r="F203" i="21" s="1"/>
  <c r="F204" i="21" a="1"/>
  <c r="F204" i="21" s="1"/>
  <c r="F205" i="21" a="1"/>
  <c r="F205" i="21" s="1"/>
  <c r="F206" i="21" a="1"/>
  <c r="F206" i="21" s="1"/>
  <c r="F207" i="21" a="1"/>
  <c r="F207" i="21" s="1"/>
  <c r="F208" i="21" a="1"/>
  <c r="F208" i="21" s="1"/>
  <c r="F209" i="21" a="1"/>
  <c r="F209" i="21"/>
  <c r="F210" i="21" a="1"/>
  <c r="F210" i="21" s="1"/>
  <c r="F211" i="21" a="1"/>
  <c r="F211" i="21" s="1"/>
  <c r="F212" i="21" a="1"/>
  <c r="F212" i="21" s="1"/>
  <c r="F213" i="21" a="1"/>
  <c r="F213" i="21" s="1"/>
  <c r="F214" i="21" a="1"/>
  <c r="F214" i="21" s="1"/>
  <c r="F215" i="21" a="1"/>
  <c r="F215" i="21" s="1"/>
  <c r="F216" i="21" a="1"/>
  <c r="F216" i="21" s="1"/>
  <c r="F217" i="21" a="1"/>
  <c r="F217" i="21" s="1"/>
  <c r="F218" i="21" a="1"/>
  <c r="F218" i="21"/>
  <c r="F219" i="21" a="1"/>
  <c r="F219" i="21" s="1"/>
  <c r="F220" i="21" a="1"/>
  <c r="F220" i="21" s="1"/>
  <c r="F221" i="21" a="1"/>
  <c r="F221" i="21" s="1"/>
  <c r="F222" i="21" a="1"/>
  <c r="F222" i="21" s="1"/>
  <c r="F223" i="21" a="1"/>
  <c r="F223" i="21" s="1"/>
  <c r="F224" i="21" a="1"/>
  <c r="F224" i="21" s="1"/>
  <c r="F225" i="21" a="1"/>
  <c r="F225" i="21" s="1"/>
  <c r="F226" i="21" a="1"/>
  <c r="F226" i="21" s="1"/>
  <c r="F227" i="21" a="1"/>
  <c r="F227" i="21" s="1"/>
  <c r="F228" i="21" a="1"/>
  <c r="F228" i="21" s="1"/>
  <c r="F229" i="21" a="1"/>
  <c r="F229" i="21" s="1"/>
  <c r="F230" i="21" a="1"/>
  <c r="F230" i="21" s="1"/>
  <c r="F231" i="21" a="1"/>
  <c r="F231" i="21" s="1"/>
  <c r="F232" i="21" a="1"/>
  <c r="F232" i="21" s="1"/>
  <c r="F233" i="21" a="1"/>
  <c r="F233" i="21" s="1"/>
  <c r="F234" i="21" a="1"/>
  <c r="F234" i="21" s="1"/>
  <c r="F235" i="21" a="1"/>
  <c r="F235" i="21" s="1"/>
  <c r="F236" i="21" a="1"/>
  <c r="F236" i="21" s="1"/>
  <c r="F237" i="21" a="1"/>
  <c r="F237" i="21"/>
  <c r="F238" i="21" a="1"/>
  <c r="F238" i="21" s="1"/>
  <c r="F239" i="21" a="1"/>
  <c r="F239" i="21" s="1"/>
  <c r="F240" i="21" a="1"/>
  <c r="F240" i="21" s="1"/>
  <c r="F241" i="21" a="1"/>
  <c r="F241" i="21" s="1"/>
  <c r="F242" i="21" a="1"/>
  <c r="F242" i="21" s="1"/>
  <c r="F243" i="21" a="1"/>
  <c r="F243" i="21" s="1"/>
  <c r="F244" i="21" a="1"/>
  <c r="F244" i="21" s="1"/>
  <c r="F245" i="21" a="1"/>
  <c r="F245" i="21" s="1"/>
  <c r="F246" i="21" a="1"/>
  <c r="F246" i="21"/>
  <c r="F247" i="21" a="1"/>
  <c r="F247" i="21" s="1"/>
  <c r="F248" i="21" a="1"/>
  <c r="F248" i="21" s="1"/>
  <c r="F249" i="21" a="1"/>
  <c r="F249" i="21" s="1"/>
  <c r="F250" i="21" a="1"/>
  <c r="F250" i="21" s="1"/>
  <c r="F251" i="21" a="1"/>
  <c r="F251" i="21" s="1"/>
  <c r="F252" i="21" a="1"/>
  <c r="F252" i="21" s="1"/>
  <c r="F253" i="21" a="1"/>
  <c r="F253" i="21" s="1"/>
  <c r="F254" i="21" a="1"/>
  <c r="F254" i="21" s="1"/>
  <c r="F255" i="21" a="1"/>
  <c r="F255" i="21"/>
  <c r="F256" i="21" a="1"/>
  <c r="F256" i="21" s="1"/>
  <c r="F257" i="21" a="1"/>
  <c r="F257" i="21" s="1"/>
  <c r="F258" i="21" a="1"/>
  <c r="F258" i="21" s="1"/>
  <c r="F259" i="21" a="1"/>
  <c r="F259" i="21" s="1"/>
  <c r="F260" i="21" a="1"/>
  <c r="F260" i="21" s="1"/>
  <c r="F261" i="21" a="1"/>
  <c r="F261" i="21" s="1"/>
  <c r="F262" i="21" a="1"/>
  <c r="F262" i="21" s="1"/>
  <c r="F263" i="21" a="1"/>
  <c r="F263" i="21" s="1"/>
  <c r="F264" i="21" a="1"/>
  <c r="F264" i="21"/>
  <c r="F265" i="21" a="1"/>
  <c r="F265" i="21" s="1"/>
  <c r="F266" i="21" a="1"/>
  <c r="F266" i="21" s="1"/>
  <c r="F267" i="21" a="1"/>
  <c r="F267" i="21" s="1"/>
  <c r="F268" i="21" a="1"/>
  <c r="F268" i="21" s="1"/>
  <c r="F269" i="21" a="1"/>
  <c r="F269" i="21" s="1"/>
  <c r="F270" i="21" a="1"/>
  <c r="F270" i="21" s="1"/>
  <c r="F271" i="21" a="1"/>
  <c r="F271" i="21" s="1"/>
  <c r="F272" i="21" a="1"/>
  <c r="F272" i="21" s="1"/>
  <c r="F273" i="21" a="1"/>
  <c r="F273" i="21"/>
  <c r="F274" i="21" a="1"/>
  <c r="F274" i="21" s="1"/>
  <c r="F275" i="21" a="1"/>
  <c r="F275" i="21" s="1"/>
  <c r="F276" i="21" a="1"/>
  <c r="F276" i="21" s="1"/>
  <c r="F277" i="21" a="1"/>
  <c r="F277" i="21" s="1"/>
  <c r="F278" i="21" a="1"/>
  <c r="F278" i="21" s="1"/>
  <c r="F279" i="21" a="1"/>
  <c r="F279" i="21" s="1"/>
  <c r="F280" i="21" a="1"/>
  <c r="F280" i="21" s="1"/>
  <c r="F281" i="21" a="1"/>
  <c r="F281" i="21" s="1"/>
  <c r="F282" i="21" a="1"/>
  <c r="F282" i="21"/>
  <c r="F283" i="21" a="1"/>
  <c r="F283" i="21" s="1"/>
  <c r="F284" i="21" a="1"/>
  <c r="F284" i="21" s="1"/>
  <c r="F285" i="21" a="1"/>
  <c r="F285" i="21" s="1"/>
  <c r="F286" i="21" a="1"/>
  <c r="F286" i="21" s="1"/>
  <c r="F287" i="21" a="1"/>
  <c r="F287" i="21" s="1"/>
  <c r="F288" i="21" a="1"/>
  <c r="F288" i="21" s="1"/>
  <c r="F289" i="21" a="1"/>
  <c r="F289" i="21" s="1"/>
  <c r="F290" i="21" a="1"/>
  <c r="F290" i="21" s="1"/>
  <c r="F291" i="21" a="1"/>
  <c r="F291" i="21" s="1"/>
  <c r="F292" i="21" a="1"/>
  <c r="F292" i="21" s="1"/>
  <c r="F293" i="21" a="1"/>
  <c r="F293" i="21" s="1"/>
  <c r="F294" i="21" a="1"/>
  <c r="F294" i="21" s="1"/>
  <c r="F295" i="21" a="1"/>
  <c r="F295" i="21" s="1"/>
  <c r="F296" i="21" a="1"/>
  <c r="F296" i="21" s="1"/>
  <c r="F297" i="21" a="1"/>
  <c r="F297" i="21" s="1"/>
  <c r="F298" i="21" a="1"/>
  <c r="F298" i="21" s="1"/>
  <c r="F299" i="21" a="1"/>
  <c r="F299" i="21" s="1"/>
  <c r="F300" i="21" a="1"/>
  <c r="F300" i="21" s="1"/>
  <c r="F301" i="21" a="1"/>
  <c r="F301" i="21"/>
  <c r="F302" i="21" a="1"/>
  <c r="F302" i="21" s="1"/>
  <c r="F303" i="21" a="1"/>
  <c r="F303" i="21" s="1"/>
  <c r="F304" i="21" a="1"/>
  <c r="F304" i="21" s="1"/>
  <c r="F305" i="21" a="1"/>
  <c r="F305" i="21" s="1"/>
  <c r="F306" i="21" a="1"/>
  <c r="F306" i="21" s="1"/>
  <c r="F307" i="21" a="1"/>
  <c r="F307" i="21" s="1"/>
  <c r="F308" i="21" a="1"/>
  <c r="F308" i="21" s="1"/>
  <c r="F309" i="21" a="1"/>
  <c r="F309" i="21" s="1"/>
  <c r="F310" i="21" a="1"/>
  <c r="F310" i="21"/>
  <c r="F311" i="21" a="1"/>
  <c r="F311" i="21" s="1"/>
  <c r="F312" i="21" a="1"/>
  <c r="F312" i="21" s="1"/>
  <c r="F313" i="21" a="1"/>
  <c r="F313" i="21" s="1"/>
  <c r="F314" i="21" a="1"/>
  <c r="F314" i="21" s="1"/>
  <c r="F315" i="21" a="1"/>
  <c r="F315" i="21" s="1"/>
  <c r="F316" i="21" a="1"/>
  <c r="F316" i="21" s="1"/>
  <c r="F317" i="21" a="1"/>
  <c r="F317" i="21" s="1"/>
  <c r="F318" i="21" a="1"/>
  <c r="F318" i="21" s="1"/>
  <c r="F319" i="21" a="1"/>
  <c r="F319" i="21"/>
  <c r="F320" i="21" a="1"/>
  <c r="F320" i="21" s="1"/>
  <c r="F321" i="21" a="1"/>
  <c r="F321" i="21" s="1"/>
  <c r="F322" i="21" a="1"/>
  <c r="F322" i="21" s="1"/>
  <c r="F323" i="21" a="1"/>
  <c r="F323" i="21" s="1"/>
  <c r="F324" i="21" a="1"/>
  <c r="F324" i="21" s="1"/>
  <c r="F325" i="21" a="1"/>
  <c r="F325" i="21" s="1"/>
  <c r="F326" i="21" a="1"/>
  <c r="F326" i="21" s="1"/>
  <c r="F327" i="21" a="1"/>
  <c r="F327" i="21" s="1"/>
  <c r="F328" i="21" a="1"/>
  <c r="F328" i="21"/>
  <c r="F329" i="21" a="1"/>
  <c r="F329" i="21" s="1"/>
  <c r="F330" i="21" a="1"/>
  <c r="F330" i="21" s="1"/>
  <c r="F331" i="21" a="1"/>
  <c r="F331" i="21" s="1"/>
  <c r="F332" i="21" a="1"/>
  <c r="F332" i="21" s="1"/>
  <c r="F333" i="21" a="1"/>
  <c r="F333" i="21" s="1"/>
  <c r="F334" i="21" a="1"/>
  <c r="F334" i="21" s="1"/>
  <c r="F335" i="21" a="1"/>
  <c r="F335" i="21" s="1"/>
  <c r="F336" i="21" a="1"/>
  <c r="F336" i="21" s="1"/>
  <c r="F337" i="21" a="1"/>
  <c r="F337" i="21"/>
  <c r="F338" i="21" a="1"/>
  <c r="F338" i="21" s="1"/>
  <c r="F339" i="21" a="1"/>
  <c r="F339" i="21" s="1"/>
  <c r="F340" i="21" a="1"/>
  <c r="F340" i="21" s="1"/>
  <c r="F341" i="21" a="1"/>
  <c r="F341" i="21" s="1"/>
  <c r="F342" i="21" a="1"/>
  <c r="F342" i="21" s="1"/>
  <c r="F343" i="21" a="1"/>
  <c r="F343" i="21" s="1"/>
  <c r="F344" i="21" a="1"/>
  <c r="F344" i="21" s="1"/>
  <c r="F345" i="21" a="1"/>
  <c r="F345" i="21" s="1"/>
  <c r="F346" i="21" a="1"/>
  <c r="F346" i="21"/>
  <c r="F347" i="21" a="1"/>
  <c r="F347" i="21" s="1"/>
  <c r="F348" i="21" a="1"/>
  <c r="F348" i="21" s="1"/>
  <c r="F349" i="21" a="1"/>
  <c r="F349" i="21" s="1"/>
  <c r="F350" i="21" a="1"/>
  <c r="F350" i="21" s="1"/>
  <c r="F351" i="21" a="1"/>
  <c r="F351" i="21" s="1"/>
  <c r="F352" i="21" a="1"/>
  <c r="F352" i="21" s="1"/>
  <c r="F353" i="21" a="1"/>
  <c r="F353" i="21" s="1"/>
  <c r="F354" i="21" a="1"/>
  <c r="F354" i="21" s="1"/>
  <c r="F355" i="21" a="1"/>
  <c r="F355" i="21" s="1"/>
  <c r="F356" i="21" a="1"/>
  <c r="F356" i="21" s="1"/>
  <c r="F357" i="21" a="1"/>
  <c r="F357" i="21" s="1"/>
  <c r="F358" i="21" a="1"/>
  <c r="F358" i="21" s="1"/>
  <c r="F359" i="21" a="1"/>
  <c r="F359" i="21" s="1"/>
  <c r="F360" i="21" a="1"/>
  <c r="F360" i="21" s="1"/>
  <c r="F361" i="21" a="1"/>
  <c r="F361" i="21" s="1"/>
  <c r="F362" i="21" a="1"/>
  <c r="F362" i="21" s="1"/>
  <c r="F363" i="21" a="1"/>
  <c r="F363" i="21" s="1"/>
  <c r="F364" i="21" a="1"/>
  <c r="F364" i="21" s="1"/>
  <c r="F365" i="21" a="1"/>
  <c r="F365" i="21"/>
  <c r="F366" i="21" a="1"/>
  <c r="F366" i="21" s="1"/>
  <c r="F367" i="21" a="1"/>
  <c r="F367" i="21" s="1"/>
  <c r="F368" i="21" a="1"/>
  <c r="F368" i="21" s="1"/>
  <c r="F369" i="21" a="1"/>
  <c r="F369" i="21" s="1"/>
  <c r="F370" i="21" a="1"/>
  <c r="F370" i="21" s="1"/>
  <c r="F371" i="21" a="1"/>
  <c r="F371" i="21" s="1"/>
  <c r="F372" i="21" a="1"/>
  <c r="F372" i="21" s="1"/>
  <c r="F373" i="21" a="1"/>
  <c r="F373" i="21" s="1"/>
  <c r="F374" i="21" a="1"/>
  <c r="F374" i="21"/>
  <c r="F375" i="21" a="1"/>
  <c r="F375" i="21" s="1"/>
  <c r="F376" i="21" a="1"/>
  <c r="F376" i="21" s="1"/>
  <c r="F377" i="21" a="1"/>
  <c r="F377" i="21" s="1"/>
  <c r="F378" i="21" a="1"/>
  <c r="F378" i="21" s="1"/>
  <c r="F379" i="21" a="1"/>
  <c r="F379" i="21" s="1"/>
  <c r="F380" i="21" a="1"/>
  <c r="F380" i="21" s="1"/>
  <c r="F381" i="21" a="1"/>
  <c r="F381" i="21" s="1"/>
  <c r="F382" i="21" a="1"/>
  <c r="F382" i="21" s="1"/>
  <c r="F383" i="21" a="1"/>
  <c r="F383" i="21"/>
  <c r="F384" i="21" a="1"/>
  <c r="F384" i="21" s="1"/>
  <c r="F385" i="21" a="1"/>
  <c r="F385" i="21" s="1"/>
  <c r="F386" i="21" a="1"/>
  <c r="F386" i="21" s="1"/>
  <c r="F387" i="21" a="1"/>
  <c r="F387" i="21" s="1"/>
  <c r="F388" i="21" a="1"/>
  <c r="F388" i="21" s="1"/>
  <c r="F389" i="21" a="1"/>
  <c r="F389" i="21" s="1"/>
  <c r="F390" i="21" a="1"/>
  <c r="F390" i="21" s="1"/>
  <c r="F391" i="21" a="1"/>
  <c r="F391" i="21" s="1"/>
  <c r="F392" i="21" a="1"/>
  <c r="F392" i="21"/>
  <c r="F393" i="21" a="1"/>
  <c r="F393" i="21" s="1"/>
  <c r="F394" i="21" a="1"/>
  <c r="F394" i="21" s="1"/>
  <c r="F395" i="21" a="1"/>
  <c r="F395" i="21" s="1"/>
  <c r="F396" i="21" a="1"/>
  <c r="F396" i="21" s="1"/>
  <c r="F397" i="21" a="1"/>
  <c r="F397" i="21" s="1"/>
  <c r="F398" i="21" a="1"/>
  <c r="F398" i="21" s="1"/>
  <c r="F399" i="21" a="1"/>
  <c r="F399" i="21" s="1"/>
  <c r="F400" i="21" a="1"/>
  <c r="F400" i="21" s="1"/>
  <c r="F401" i="21" a="1"/>
  <c r="F401" i="21"/>
  <c r="F402" i="21" a="1"/>
  <c r="F402" i="21" s="1"/>
  <c r="F403" i="21" a="1"/>
  <c r="F403" i="21" s="1"/>
  <c r="F404" i="21" a="1"/>
  <c r="F404" i="21" s="1"/>
  <c r="F405" i="21" a="1"/>
  <c r="F405" i="21" s="1"/>
  <c r="F406" i="21" a="1"/>
  <c r="F406" i="21" s="1"/>
  <c r="F407" i="21" a="1"/>
  <c r="F407" i="21" s="1"/>
  <c r="F408" i="21" a="1"/>
  <c r="F408" i="21" s="1"/>
  <c r="F409" i="21" a="1"/>
  <c r="F409" i="21" s="1"/>
  <c r="F410" i="21" a="1"/>
  <c r="F410" i="21"/>
  <c r="F411" i="21" a="1"/>
  <c r="F411" i="21" s="1"/>
  <c r="F412" i="21" a="1"/>
  <c r="F412" i="21" s="1"/>
  <c r="F413" i="21" a="1"/>
  <c r="F413" i="21" s="1"/>
  <c r="F414" i="21" a="1"/>
  <c r="F414" i="21" s="1"/>
  <c r="F415" i="21" a="1"/>
  <c r="F415" i="21" s="1"/>
  <c r="F416" i="21" a="1"/>
  <c r="F416" i="21" s="1"/>
  <c r="F417" i="21" a="1"/>
  <c r="F417" i="21" s="1"/>
  <c r="F418" i="21" a="1"/>
  <c r="F418" i="21" s="1"/>
  <c r="F419" i="21" a="1"/>
  <c r="F419" i="21" s="1"/>
  <c r="F420" i="21" a="1"/>
  <c r="F420" i="21" s="1"/>
  <c r="F421" i="21" a="1"/>
  <c r="F421" i="21" s="1"/>
  <c r="F422" i="21" a="1"/>
  <c r="F422" i="21" s="1"/>
  <c r="F423" i="21" a="1"/>
  <c r="F423" i="21" s="1"/>
  <c r="F424" i="21" a="1"/>
  <c r="F424" i="21" s="1"/>
  <c r="F425" i="21" a="1"/>
  <c r="F425" i="21" s="1"/>
  <c r="F426" i="21" a="1"/>
  <c r="F426" i="21" s="1"/>
  <c r="F427" i="21" a="1"/>
  <c r="F427" i="21" s="1"/>
  <c r="F428" i="21" a="1"/>
  <c r="F428" i="21"/>
  <c r="F429" i="21" a="1"/>
  <c r="F429" i="21" s="1"/>
  <c r="F430" i="21" a="1"/>
  <c r="F430" i="21"/>
  <c r="F431" i="21" a="1"/>
  <c r="F431" i="21"/>
  <c r="F432" i="21" a="1"/>
  <c r="F432" i="21"/>
  <c r="F433" i="21" a="1"/>
  <c r="F433" i="21"/>
  <c r="F434" i="21" a="1"/>
  <c r="F434" i="21"/>
  <c r="F435" i="21" a="1"/>
  <c r="F435" i="21" s="1"/>
  <c r="F436" i="21" a="1"/>
  <c r="F436" i="21" s="1"/>
  <c r="F437" i="21" a="1"/>
  <c r="F437" i="21"/>
  <c r="F438" i="21" a="1"/>
  <c r="F438" i="21" s="1"/>
  <c r="F439" i="21" a="1"/>
  <c r="F439" i="21" s="1"/>
  <c r="F440" i="21" a="1"/>
  <c r="F440" i="21" s="1"/>
  <c r="F441" i="21" a="1"/>
  <c r="F441" i="21" s="1"/>
  <c r="F442" i="21" a="1"/>
  <c r="F442" i="21" s="1"/>
  <c r="F443" i="21" a="1"/>
  <c r="F443" i="21" s="1"/>
  <c r="F444" i="21" a="1"/>
  <c r="F444" i="21"/>
  <c r="F445" i="21" a="1"/>
  <c r="F445" i="21"/>
  <c r="F446" i="21" a="1"/>
  <c r="F446" i="21" s="1"/>
  <c r="F447" i="21" a="1"/>
  <c r="F447" i="21"/>
  <c r="F448" i="21" a="1"/>
  <c r="F448" i="21"/>
  <c r="F449" i="21" a="1"/>
  <c r="F449" i="21"/>
  <c r="F450" i="21" a="1"/>
  <c r="F450" i="21"/>
  <c r="F451" i="21" a="1"/>
  <c r="F451" i="21" s="1"/>
  <c r="F452" i="21" a="1"/>
  <c r="F452" i="21" s="1"/>
  <c r="F453" i="21" a="1"/>
  <c r="F453" i="21" s="1"/>
  <c r="F454" i="21" a="1"/>
  <c r="F454" i="21"/>
  <c r="F455" i="21" a="1"/>
  <c r="F455" i="21" s="1"/>
  <c r="F456" i="21" a="1"/>
  <c r="F456" i="21" s="1"/>
  <c r="F457" i="21" a="1"/>
  <c r="F457" i="21" s="1"/>
  <c r="F458" i="21" a="1"/>
  <c r="F458" i="21" s="1"/>
  <c r="F459" i="21" a="1"/>
  <c r="F459" i="21" s="1"/>
  <c r="F460" i="21" a="1"/>
  <c r="F460" i="21"/>
  <c r="F461" i="21" a="1"/>
  <c r="F461" i="21"/>
  <c r="F462" i="21" a="1"/>
  <c r="F462" i="21"/>
  <c r="F463" i="21" a="1"/>
  <c r="F463" i="21" s="1"/>
  <c r="F464" i="21" a="1"/>
  <c r="F464" i="21"/>
  <c r="F465" i="21" a="1"/>
  <c r="F465" i="21"/>
  <c r="F466" i="21" a="1"/>
  <c r="F466" i="21"/>
  <c r="F467" i="21" a="1"/>
  <c r="F467" i="21" s="1"/>
  <c r="F468" i="21" a="1"/>
  <c r="F468" i="21" s="1"/>
  <c r="F469" i="21" a="1"/>
  <c r="F469" i="21" s="1"/>
  <c r="F470" i="21" a="1"/>
  <c r="F470" i="21" s="1"/>
  <c r="F471" i="21" a="1"/>
  <c r="F471" i="21"/>
  <c r="F472" i="21" a="1"/>
  <c r="F472" i="21" s="1"/>
  <c r="F473" i="21" a="1"/>
  <c r="F473" i="21" s="1"/>
  <c r="F474" i="21" a="1"/>
  <c r="F474" i="21" s="1"/>
  <c r="F475" i="21" a="1"/>
  <c r="F475" i="21" s="1"/>
  <c r="F476" i="21" a="1"/>
  <c r="F476" i="21"/>
  <c r="F477" i="21" a="1"/>
  <c r="F477" i="21"/>
  <c r="F478" i="21" a="1"/>
  <c r="F478" i="21"/>
  <c r="F479" i="21" a="1"/>
  <c r="F479" i="21"/>
  <c r="F480" i="21" a="1"/>
  <c r="F480" i="21" s="1"/>
  <c r="F481" i="21" a="1"/>
  <c r="F481" i="21"/>
  <c r="F482" i="21" a="1"/>
  <c r="F482" i="21"/>
  <c r="F483" i="21" a="1"/>
  <c r="F483" i="21" s="1"/>
  <c r="F484" i="21" a="1"/>
  <c r="F484" i="21" s="1"/>
  <c r="F485" i="21" a="1"/>
  <c r="F485" i="21" s="1"/>
  <c r="F486" i="21" a="1"/>
  <c r="F486" i="21" s="1"/>
  <c r="F487" i="21" a="1"/>
  <c r="F487" i="21" s="1"/>
  <c r="F488" i="21" a="1"/>
  <c r="F488" i="21"/>
  <c r="F489" i="21" a="1"/>
  <c r="F489" i="21" s="1"/>
  <c r="F490" i="21" a="1"/>
  <c r="F490" i="21" s="1"/>
  <c r="F491" i="21" a="1"/>
  <c r="F491" i="21" s="1"/>
  <c r="F492" i="21" a="1"/>
  <c r="F492" i="21"/>
  <c r="F493" i="21" a="1"/>
  <c r="F493" i="21"/>
  <c r="F494" i="21" a="1"/>
  <c r="F494" i="21"/>
  <c r="F495" i="21" a="1"/>
  <c r="F495" i="21"/>
  <c r="F496" i="21" a="1"/>
  <c r="F496" i="21"/>
  <c r="F497" i="21" a="1"/>
  <c r="F497" i="21" s="1"/>
  <c r="F498" i="21" a="1"/>
  <c r="F498" i="21"/>
  <c r="F499" i="21" a="1"/>
  <c r="F499" i="21" s="1"/>
  <c r="F500" i="21" a="1"/>
  <c r="F500" i="21" s="1"/>
  <c r="F501" i="21" a="1"/>
  <c r="F501" i="21" s="1"/>
  <c r="F502" i="21" a="1"/>
  <c r="F502" i="21" s="1"/>
  <c r="F503" i="21" a="1"/>
  <c r="F503" i="21" s="1"/>
  <c r="F504" i="21" a="1"/>
  <c r="F504" i="21" s="1"/>
  <c r="F505" i="21" a="1"/>
  <c r="F505" i="21"/>
  <c r="F506" i="21" a="1"/>
  <c r="F506" i="21" s="1"/>
  <c r="F507" i="21" a="1"/>
  <c r="F507" i="21" s="1"/>
  <c r="F508" i="21" a="1"/>
  <c r="F508" i="21"/>
  <c r="F509" i="21" a="1"/>
  <c r="F509" i="21"/>
  <c r="F510" i="21" a="1"/>
  <c r="F510" i="21"/>
  <c r="F511" i="21" a="1"/>
  <c r="F511" i="21"/>
  <c r="F512" i="21" a="1"/>
  <c r="F512" i="21"/>
  <c r="F513" i="21" a="1"/>
  <c r="F513" i="21"/>
  <c r="F514" i="21" a="1"/>
  <c r="F514" i="21" s="1"/>
  <c r="F515" i="21" a="1"/>
  <c r="F515" i="21" s="1"/>
  <c r="F516" i="21" a="1"/>
  <c r="F516" i="21" s="1"/>
  <c r="F517" i="21" a="1"/>
  <c r="F517" i="21" s="1"/>
  <c r="F518" i="21" a="1"/>
  <c r="F518" i="21" s="1"/>
  <c r="F519" i="21" a="1"/>
  <c r="F519" i="21" s="1"/>
  <c r="F520" i="21" a="1"/>
  <c r="F520" i="21" s="1"/>
  <c r="F521" i="21" a="1"/>
  <c r="F521" i="21" s="1"/>
  <c r="F522" i="21" a="1"/>
  <c r="F522" i="21"/>
  <c r="F523" i="21" a="1"/>
  <c r="F523" i="21" s="1"/>
  <c r="F524" i="21" a="1"/>
  <c r="F524" i="21"/>
  <c r="F525" i="21" a="1"/>
  <c r="F525" i="21"/>
  <c r="F526" i="21" a="1"/>
  <c r="F526" i="21"/>
  <c r="F527" i="21" a="1"/>
  <c r="F527" i="21"/>
  <c r="F528" i="21" a="1"/>
  <c r="F528" i="21"/>
  <c r="F529" i="21" a="1"/>
  <c r="F529" i="21"/>
  <c r="F530" i="21" a="1"/>
  <c r="F530" i="21"/>
  <c r="F531" i="21" a="1"/>
  <c r="F531" i="21" s="1"/>
  <c r="F532" i="21" a="1"/>
  <c r="F532" i="21" s="1"/>
  <c r="F533" i="21" a="1"/>
  <c r="F533" i="21" s="1"/>
  <c r="F534" i="21" a="1"/>
  <c r="F534" i="21" s="1"/>
  <c r="F535" i="21" a="1"/>
  <c r="F535" i="21" s="1"/>
  <c r="F536" i="21" a="1"/>
  <c r="F536" i="21" s="1"/>
  <c r="F537" i="21" a="1"/>
  <c r="F537" i="21" s="1"/>
  <c r="F538" i="21" a="1"/>
  <c r="F538" i="21" s="1"/>
  <c r="F539" i="21" a="1"/>
  <c r="F539" i="21" s="1"/>
  <c r="F540" i="21" a="1"/>
  <c r="F540" i="21" s="1"/>
  <c r="F541" i="21" a="1"/>
  <c r="F541" i="21"/>
  <c r="F542" i="21" a="1"/>
  <c r="F542" i="21"/>
  <c r="F543" i="21" a="1"/>
  <c r="F543" i="21"/>
  <c r="F544" i="21" a="1"/>
  <c r="F544" i="21"/>
  <c r="F545" i="21" a="1"/>
  <c r="F545" i="21"/>
  <c r="F546" i="21" a="1"/>
  <c r="F546" i="21"/>
  <c r="F547" i="21" a="1"/>
  <c r="F547" i="21" s="1"/>
  <c r="F548" i="21" a="1"/>
  <c r="F548" i="21"/>
  <c r="F549" i="21" a="1"/>
  <c r="F549" i="21" s="1"/>
  <c r="F550" i="21" a="1"/>
  <c r="F550" i="21" s="1"/>
  <c r="F551" i="21" a="1"/>
  <c r="F551" i="21" s="1"/>
  <c r="F552" i="21" a="1"/>
  <c r="F552" i="21" s="1"/>
  <c r="F553" i="21" a="1"/>
  <c r="F553" i="21" s="1"/>
  <c r="F554" i="21" a="1"/>
  <c r="F554" i="21" s="1"/>
  <c r="F555" i="21" a="1"/>
  <c r="F555" i="21" s="1"/>
  <c r="F556" i="21" a="1"/>
  <c r="F556" i="21"/>
  <c r="F557" i="21" a="1"/>
  <c r="F557" i="21" s="1"/>
  <c r="F558" i="21" a="1"/>
  <c r="F558" i="21"/>
  <c r="F559" i="21" a="1"/>
  <c r="F559" i="21"/>
  <c r="F560" i="21" a="1"/>
  <c r="F560" i="21"/>
  <c r="F561" i="21" a="1"/>
  <c r="F561" i="21"/>
  <c r="F562" i="21" a="1"/>
  <c r="F562" i="21"/>
  <c r="F563" i="21" a="1"/>
  <c r="F563" i="21" s="1"/>
  <c r="F564" i="21" a="1"/>
  <c r="F564" i="21" s="1"/>
  <c r="F565" i="21" a="1"/>
  <c r="F565" i="21"/>
  <c r="F566" i="21" a="1"/>
  <c r="F566" i="21" s="1"/>
  <c r="F567" i="21" a="1"/>
  <c r="F567" i="21" s="1"/>
  <c r="F568" i="21" a="1"/>
  <c r="F568" i="21" s="1"/>
  <c r="F569" i="21" a="1"/>
  <c r="F569" i="21" s="1"/>
  <c r="F570" i="21" a="1"/>
  <c r="F570" i="21" s="1"/>
  <c r="F571" i="21" a="1"/>
  <c r="F571" i="21" s="1"/>
  <c r="F572" i="21" a="1"/>
  <c r="F572" i="21"/>
  <c r="F573" i="21" a="1"/>
  <c r="F573" i="21"/>
  <c r="F574" i="21" a="1"/>
  <c r="F574" i="21" s="1"/>
  <c r="F575" i="21" a="1"/>
  <c r="F575" i="21"/>
  <c r="F576" i="21" a="1"/>
  <c r="F576" i="21"/>
  <c r="F577" i="21" a="1"/>
  <c r="F577" i="21"/>
  <c r="F578" i="21" a="1"/>
  <c r="F578" i="21"/>
  <c r="F579" i="21" a="1"/>
  <c r="F579" i="21" s="1"/>
  <c r="F580" i="21" a="1"/>
  <c r="F580" i="21" s="1"/>
  <c r="F581" i="21" a="1"/>
  <c r="F581" i="21" s="1"/>
  <c r="F582" i="21" a="1"/>
  <c r="F582" i="21"/>
  <c r="F583" i="21" a="1"/>
  <c r="F583" i="21" s="1"/>
  <c r="F584" i="21" a="1"/>
  <c r="F584" i="21" s="1"/>
  <c r="F585" i="21" a="1"/>
  <c r="F585" i="21" s="1"/>
  <c r="F586" i="21" a="1"/>
  <c r="F586" i="21" s="1"/>
  <c r="F587" i="21" a="1"/>
  <c r="F587" i="21" s="1"/>
  <c r="F588" i="21" a="1"/>
  <c r="F588" i="21"/>
  <c r="F589" i="21" a="1"/>
  <c r="F589" i="21"/>
  <c r="F590" i="21" a="1"/>
  <c r="F590" i="21"/>
  <c r="F591" i="21" a="1"/>
  <c r="F591" i="21" s="1"/>
  <c r="F592" i="21" a="1"/>
  <c r="F592" i="21"/>
  <c r="F593" i="21" a="1"/>
  <c r="F593" i="21"/>
  <c r="F594" i="21" a="1"/>
  <c r="F594" i="21"/>
  <c r="F595" i="21" a="1"/>
  <c r="F595" i="21" s="1"/>
  <c r="F596" i="21" a="1"/>
  <c r="F596" i="21" s="1"/>
  <c r="F597" i="21" a="1"/>
  <c r="F597" i="21" s="1"/>
  <c r="F598" i="21" a="1"/>
  <c r="F598" i="21" s="1"/>
  <c r="F599" i="21" a="1"/>
  <c r="F599" i="21"/>
  <c r="F600" i="21" a="1"/>
  <c r="F600" i="21" s="1"/>
  <c r="F601" i="21" a="1"/>
  <c r="F601" i="21" s="1"/>
  <c r="F602" i="21" a="1"/>
  <c r="F602" i="21" s="1"/>
  <c r="F603" i="21" a="1"/>
  <c r="F603" i="21" s="1"/>
  <c r="F604" i="21" a="1"/>
  <c r="F604" i="21"/>
  <c r="F605" i="21" a="1"/>
  <c r="F605" i="21"/>
  <c r="F606" i="21" a="1"/>
  <c r="F606" i="21"/>
  <c r="F607" i="21" a="1"/>
  <c r="F607" i="21"/>
  <c r="F608" i="21" a="1"/>
  <c r="F608" i="21" s="1"/>
  <c r="F609" i="21" a="1"/>
  <c r="F609" i="21"/>
  <c r="F610" i="21" a="1"/>
  <c r="F610" i="21"/>
  <c r="F611" i="21" a="1"/>
  <c r="F611" i="21" s="1"/>
  <c r="F612" i="21" a="1"/>
  <c r="F612" i="21" s="1"/>
  <c r="F613" i="21" a="1"/>
  <c r="F613" i="21" s="1"/>
  <c r="F614" i="21" a="1"/>
  <c r="F614" i="21" s="1"/>
  <c r="F615" i="21" a="1"/>
  <c r="F615" i="21" s="1"/>
  <c r="F616" i="21" a="1"/>
  <c r="F616" i="21"/>
  <c r="F617" i="21" a="1"/>
  <c r="F617" i="21" s="1"/>
  <c r="F618" i="21" a="1"/>
  <c r="F618" i="21" s="1"/>
  <c r="F619" i="21" a="1"/>
  <c r="F619" i="21" s="1"/>
  <c r="F620" i="21" a="1"/>
  <c r="F620" i="21"/>
  <c r="F621" i="21" a="1"/>
  <c r="F621" i="21"/>
  <c r="F622" i="21" a="1"/>
  <c r="F622" i="21"/>
  <c r="F623" i="21" a="1"/>
  <c r="F623" i="21"/>
  <c r="F624" i="21" a="1"/>
  <c r="F624" i="21"/>
  <c r="F625" i="21" a="1"/>
  <c r="F625" i="21" s="1"/>
  <c r="F626" i="21" a="1"/>
  <c r="F626" i="21"/>
  <c r="F627" i="21" a="1"/>
  <c r="F627" i="21" s="1"/>
  <c r="F628" i="21" a="1"/>
  <c r="F628" i="21" s="1"/>
  <c r="F629" i="21" a="1"/>
  <c r="F629" i="21" s="1"/>
  <c r="F630" i="21" a="1"/>
  <c r="F630" i="21" s="1"/>
  <c r="F631" i="21" a="1"/>
  <c r="F631" i="21" s="1"/>
  <c r="F632" i="21" a="1"/>
  <c r="F632" i="21" s="1"/>
  <c r="F633" i="21" a="1"/>
  <c r="F633" i="21"/>
  <c r="F634" i="21" a="1"/>
  <c r="F634" i="21" s="1"/>
  <c r="F635" i="21" a="1"/>
  <c r="F635" i="21" s="1"/>
  <c r="F636" i="21" a="1"/>
  <c r="F636" i="21"/>
  <c r="F637" i="21" a="1"/>
  <c r="F637" i="21"/>
  <c r="F638" i="21" a="1"/>
  <c r="F638" i="21"/>
  <c r="F639" i="21" a="1"/>
  <c r="F639" i="21"/>
  <c r="F640" i="21" a="1"/>
  <c r="F640" i="21"/>
  <c r="F641" i="21" a="1"/>
  <c r="F641" i="21"/>
  <c r="F642" i="21" a="1"/>
  <c r="F642" i="21" s="1"/>
  <c r="F643" i="21" a="1"/>
  <c r="F643" i="21" s="1"/>
  <c r="F644" i="21" a="1"/>
  <c r="F644" i="21" s="1"/>
  <c r="F645" i="21" a="1"/>
  <c r="F645" i="21" s="1"/>
  <c r="F646" i="21" a="1"/>
  <c r="F646" i="21" s="1"/>
  <c r="F647" i="21" a="1"/>
  <c r="F647" i="21" s="1"/>
  <c r="F648" i="21" a="1"/>
  <c r="F648" i="21" s="1"/>
  <c r="F649" i="21" a="1"/>
  <c r="F649" i="21" s="1"/>
  <c r="F650" i="21" a="1"/>
  <c r="F650" i="21"/>
  <c r="F651" i="21" a="1"/>
  <c r="F651" i="21" s="1"/>
  <c r="F652" i="21" a="1"/>
  <c r="F652" i="21"/>
  <c r="F653" i="21" a="1"/>
  <c r="F653" i="21"/>
  <c r="F654" i="21" a="1"/>
  <c r="F654" i="21"/>
  <c r="F655" i="21" a="1"/>
  <c r="F655" i="21"/>
  <c r="F656" i="21" a="1"/>
  <c r="F656" i="21"/>
  <c r="F657" i="21" a="1"/>
  <c r="F657" i="21"/>
  <c r="F658" i="21" a="1"/>
  <c r="F658" i="21"/>
  <c r="F659" i="21" a="1"/>
  <c r="F659" i="21" s="1"/>
  <c r="F660" i="21" a="1"/>
  <c r="F660" i="21" s="1"/>
  <c r="F661" i="21" a="1"/>
  <c r="F661" i="21" s="1"/>
  <c r="F662" i="21" a="1"/>
  <c r="F662" i="21" s="1"/>
  <c r="F663" i="21" a="1"/>
  <c r="F663" i="21" s="1"/>
  <c r="F664" i="21" a="1"/>
  <c r="F664" i="21" s="1"/>
  <c r="F665" i="21" a="1"/>
  <c r="F665" i="21" s="1"/>
  <c r="F666" i="21" a="1"/>
  <c r="F666" i="21" s="1"/>
  <c r="F667" i="21" a="1"/>
  <c r="F667" i="21" s="1"/>
  <c r="F668" i="21" a="1"/>
  <c r="F668" i="21" s="1"/>
  <c r="F669" i="21" a="1"/>
  <c r="F669" i="21"/>
  <c r="F670" i="21" a="1"/>
  <c r="F670" i="21"/>
  <c r="F671" i="21" a="1"/>
  <c r="F671" i="21"/>
  <c r="F672" i="21" a="1"/>
  <c r="F672" i="21"/>
  <c r="F673" i="21" a="1"/>
  <c r="F673" i="21"/>
  <c r="F674" i="21" a="1"/>
  <c r="F674" i="21"/>
  <c r="F675" i="21" a="1"/>
  <c r="F675" i="21" s="1"/>
  <c r="F676" i="21" a="1"/>
  <c r="F676" i="21"/>
  <c r="F677" i="21" a="1"/>
  <c r="F677" i="21" s="1"/>
  <c r="F678" i="21" a="1"/>
  <c r="F678" i="21" s="1"/>
  <c r="F679" i="21" a="1"/>
  <c r="F679" i="21" s="1"/>
  <c r="F680" i="21" a="1"/>
  <c r="F680" i="21" s="1"/>
  <c r="F681" i="21" a="1"/>
  <c r="F681" i="21" s="1"/>
  <c r="F682" i="21" a="1"/>
  <c r="F682" i="21" s="1"/>
  <c r="F683" i="21" a="1"/>
  <c r="F683" i="21" s="1"/>
  <c r="F684" i="21" a="1"/>
  <c r="F684" i="21"/>
  <c r="F685" i="21" a="1"/>
  <c r="F685" i="21" s="1"/>
  <c r="F686" i="21" a="1"/>
  <c r="F686" i="21" s="1"/>
  <c r="F687" i="21" a="1"/>
  <c r="F687" i="21" s="1"/>
  <c r="F688" i="21" a="1"/>
  <c r="F688" i="21" s="1"/>
  <c r="F689" i="21" a="1"/>
  <c r="F689" i="21" s="1"/>
  <c r="F690" i="21" a="1"/>
  <c r="F690" i="21" s="1"/>
  <c r="F691" i="21" a="1"/>
  <c r="F691" i="21" s="1"/>
  <c r="F692" i="21" a="1"/>
  <c r="F692" i="21"/>
  <c r="F693" i="21" a="1"/>
  <c r="F693" i="21" s="1"/>
  <c r="F694" i="21" a="1"/>
  <c r="F694" i="21" s="1"/>
  <c r="F695" i="21" a="1"/>
  <c r="F695" i="21" s="1"/>
  <c r="F696" i="21" a="1"/>
  <c r="F696" i="21" s="1"/>
  <c r="F697" i="21" a="1"/>
  <c r="F697" i="21" s="1"/>
  <c r="F698" i="21" a="1"/>
  <c r="F698" i="21" s="1"/>
  <c r="F699" i="21" a="1"/>
  <c r="F699" i="21" s="1"/>
  <c r="F700" i="21" a="1"/>
  <c r="F700" i="21"/>
  <c r="F701" i="21" a="1"/>
  <c r="F701" i="21" s="1"/>
  <c r="F702" i="21" a="1"/>
  <c r="F702" i="21" s="1"/>
  <c r="F703" i="21" a="1"/>
  <c r="F703" i="21" s="1"/>
  <c r="F704" i="21" a="1"/>
  <c r="F704" i="21" s="1"/>
  <c r="F705" i="21" a="1"/>
  <c r="F705" i="21" s="1"/>
  <c r="F706" i="21" a="1"/>
  <c r="F706" i="21" s="1"/>
  <c r="F707" i="21" a="1"/>
  <c r="F707" i="21" s="1"/>
  <c r="F708" i="21" a="1"/>
  <c r="F708" i="21"/>
  <c r="F709" i="21" a="1"/>
  <c r="F709" i="21" s="1"/>
  <c r="F710" i="21" a="1"/>
  <c r="F710" i="21" s="1"/>
  <c r="F711" i="21" a="1"/>
  <c r="F711" i="21" s="1"/>
  <c r="F712" i="21" a="1"/>
  <c r="F712" i="21" s="1"/>
  <c r="F713" i="21" a="1"/>
  <c r="F713" i="21" s="1"/>
  <c r="F714" i="21" a="1"/>
  <c r="F714" i="21" s="1"/>
  <c r="F715" i="21" a="1"/>
  <c r="F715" i="21" s="1"/>
  <c r="F716" i="21" a="1"/>
  <c r="F716" i="21"/>
  <c r="F717" i="21" a="1"/>
  <c r="F717" i="21" s="1"/>
  <c r="F718" i="21" a="1"/>
  <c r="F718" i="21" s="1"/>
  <c r="F719" i="21" a="1"/>
  <c r="F719" i="21" s="1"/>
  <c r="F720" i="21" a="1"/>
  <c r="F720" i="21" s="1"/>
  <c r="F721" i="21" a="1"/>
  <c r="F721" i="21" s="1"/>
  <c r="F722" i="21" a="1"/>
  <c r="F722" i="21" s="1"/>
  <c r="F723" i="21" a="1"/>
  <c r="F723" i="21" s="1"/>
  <c r="F724" i="21" a="1"/>
  <c r="F724" i="21"/>
  <c r="F725" i="21" a="1"/>
  <c r="F725" i="21" s="1"/>
  <c r="F726" i="21" a="1"/>
  <c r="F726" i="21" s="1"/>
  <c r="F727" i="21" a="1"/>
  <c r="F727" i="21" s="1"/>
  <c r="F728" i="21" a="1"/>
  <c r="F728" i="21" s="1"/>
  <c r="F729" i="21" a="1"/>
  <c r="F729" i="21" s="1"/>
  <c r="F730" i="21" a="1"/>
  <c r="F730" i="21" s="1"/>
  <c r="F731" i="21" a="1"/>
  <c r="F731" i="21" s="1"/>
  <c r="F732" i="21" a="1"/>
  <c r="F732" i="21"/>
  <c r="F733" i="21" a="1"/>
  <c r="F733" i="21" s="1"/>
  <c r="F734" i="21" a="1"/>
  <c r="F734" i="21" s="1"/>
  <c r="F735" i="21" a="1"/>
  <c r="F735" i="21" s="1"/>
  <c r="F736" i="21" a="1"/>
  <c r="F736" i="21" s="1"/>
  <c r="F737" i="21" a="1"/>
  <c r="F737" i="21" s="1"/>
  <c r="F738" i="21" a="1"/>
  <c r="F738" i="21" s="1"/>
  <c r="F739" i="21" a="1"/>
  <c r="F739" i="21" s="1"/>
  <c r="F740" i="21" a="1"/>
  <c r="F740" i="21"/>
  <c r="F741" i="21" a="1"/>
  <c r="F741" i="21" s="1"/>
  <c r="F742" i="21" a="1"/>
  <c r="F742" i="21" s="1"/>
  <c r="F743" i="21" a="1"/>
  <c r="F743" i="21" s="1"/>
  <c r="F744" i="21" a="1"/>
  <c r="F744" i="21" s="1"/>
  <c r="F745" i="21" a="1"/>
  <c r="F745" i="21" s="1"/>
  <c r="F746" i="21" a="1"/>
  <c r="F746" i="21" s="1"/>
  <c r="F747" i="21" a="1"/>
  <c r="F747" i="21" s="1"/>
  <c r="F748" i="21" a="1"/>
  <c r="F748" i="21"/>
  <c r="F749" i="21" a="1"/>
  <c r="F749" i="21" s="1"/>
  <c r="F750" i="21" a="1"/>
  <c r="F750" i="21" s="1"/>
  <c r="F751" i="21" a="1"/>
  <c r="F751" i="21" s="1"/>
  <c r="F752" i="21" a="1"/>
  <c r="F752" i="21" s="1"/>
  <c r="F753" i="21" a="1"/>
  <c r="F753" i="21" s="1"/>
  <c r="F754" i="21" a="1"/>
  <c r="F754" i="21" s="1"/>
  <c r="F755" i="21" a="1"/>
  <c r="F755" i="21" s="1"/>
  <c r="F756" i="21" a="1"/>
  <c r="F756" i="21"/>
  <c r="F757" i="21" a="1"/>
  <c r="F757" i="21" s="1"/>
  <c r="F758" i="21" a="1"/>
  <c r="F758" i="21" s="1"/>
  <c r="F759" i="21" a="1"/>
  <c r="F759" i="21" s="1"/>
  <c r="F760" i="21" a="1"/>
  <c r="F760" i="21" s="1"/>
  <c r="F761" i="21" a="1"/>
  <c r="F761" i="21" s="1"/>
  <c r="F762" i="21" a="1"/>
  <c r="F762" i="21" s="1"/>
  <c r="F763" i="21" a="1"/>
  <c r="F763" i="21" s="1"/>
  <c r="F764" i="21" a="1"/>
  <c r="F764" i="21"/>
  <c r="F765" i="21" a="1"/>
  <c r="F765" i="21" s="1"/>
  <c r="F766" i="21" a="1"/>
  <c r="F766" i="21" s="1"/>
  <c r="F767" i="21" a="1"/>
  <c r="F767" i="21" s="1"/>
  <c r="F768" i="21" a="1"/>
  <c r="F768" i="21" s="1"/>
  <c r="F769" i="21" a="1"/>
  <c r="F769" i="21" s="1"/>
  <c r="F770" i="21" a="1"/>
  <c r="F770" i="21" s="1"/>
  <c r="F771" i="21" a="1"/>
  <c r="F771" i="21" s="1"/>
  <c r="F772" i="21" a="1"/>
  <c r="F772" i="21"/>
  <c r="F773" i="21" a="1"/>
  <c r="F773" i="21" s="1"/>
  <c r="F774" i="21" a="1"/>
  <c r="F774" i="21" s="1"/>
  <c r="F775" i="21" a="1"/>
  <c r="F775" i="21" s="1"/>
  <c r="F776" i="21" a="1"/>
  <c r="F776" i="21" s="1"/>
  <c r="F777" i="21" a="1"/>
  <c r="F777" i="21" s="1"/>
  <c r="F778" i="21" a="1"/>
  <c r="F778" i="21" s="1"/>
  <c r="F779" i="21" a="1"/>
  <c r="F779" i="21" s="1"/>
  <c r="F780" i="21" a="1"/>
  <c r="F780" i="21"/>
  <c r="F781" i="21" a="1"/>
  <c r="F781" i="21" s="1"/>
  <c r="F782" i="21" a="1"/>
  <c r="F782" i="21" s="1"/>
  <c r="F783" i="21" a="1"/>
  <c r="F783" i="21" s="1"/>
  <c r="F784" i="21" a="1"/>
  <c r="F784" i="21" s="1"/>
  <c r="F785" i="21" a="1"/>
  <c r="F785" i="21" s="1"/>
  <c r="F786" i="21" a="1"/>
  <c r="F786" i="21" s="1"/>
  <c r="F787" i="21" a="1"/>
  <c r="F787" i="21" s="1"/>
  <c r="F788" i="21" a="1"/>
  <c r="F788" i="21"/>
  <c r="F789" i="21" a="1"/>
  <c r="F789" i="21" s="1"/>
  <c r="F790" i="21" a="1"/>
  <c r="F790" i="21" s="1"/>
  <c r="F791" i="21" a="1"/>
  <c r="F791" i="21" s="1"/>
  <c r="F792" i="21" a="1"/>
  <c r="F792" i="21" s="1"/>
  <c r="F793" i="21" a="1"/>
  <c r="F793" i="21" s="1"/>
  <c r="F794" i="21" a="1"/>
  <c r="F794" i="21" s="1"/>
  <c r="F795" i="21" a="1"/>
  <c r="F795" i="21" s="1"/>
  <c r="F796" i="21" a="1"/>
  <c r="F796" i="21"/>
  <c r="F797" i="21" a="1"/>
  <c r="F797" i="21" s="1"/>
  <c r="F798" i="21" a="1"/>
  <c r="F798" i="21" s="1"/>
  <c r="F799" i="21" a="1"/>
  <c r="F799" i="21" s="1"/>
  <c r="F800" i="21" a="1"/>
  <c r="F800" i="21" s="1"/>
  <c r="F801" i="21" a="1"/>
  <c r="F801" i="21" s="1"/>
  <c r="F802" i="21" a="1"/>
  <c r="F802" i="21" s="1"/>
  <c r="F803" i="21" a="1"/>
  <c r="F803" i="21" s="1"/>
  <c r="F804" i="21" a="1"/>
  <c r="F804" i="21"/>
  <c r="F805" i="21" a="1"/>
  <c r="F805" i="21" s="1"/>
  <c r="F806" i="21" a="1"/>
  <c r="F806" i="21" s="1"/>
  <c r="F807" i="21" a="1"/>
  <c r="F807" i="21" s="1"/>
  <c r="F808" i="21" a="1"/>
  <c r="F808" i="21" s="1"/>
  <c r="F809" i="21" a="1"/>
  <c r="F809" i="21" s="1"/>
  <c r="F810" i="21" a="1"/>
  <c r="F810" i="21" s="1"/>
  <c r="F811" i="21" a="1"/>
  <c r="F811" i="21" s="1"/>
  <c r="F812" i="21" a="1"/>
  <c r="F812" i="21"/>
  <c r="F813" i="21" a="1"/>
  <c r="F813" i="21" s="1"/>
  <c r="F814" i="21" a="1"/>
  <c r="F814" i="21" s="1"/>
  <c r="F815" i="21" a="1"/>
  <c r="F815" i="21" s="1"/>
  <c r="F816" i="21" a="1"/>
  <c r="F816" i="21" s="1"/>
  <c r="F817" i="21" a="1"/>
  <c r="F817" i="21" s="1"/>
  <c r="F818" i="21" a="1"/>
  <c r="F818" i="21" s="1"/>
  <c r="F819" i="21" a="1"/>
  <c r="F819" i="21" s="1"/>
  <c r="F820" i="21" a="1"/>
  <c r="F820" i="21"/>
  <c r="F821" i="21" a="1"/>
  <c r="F821" i="21" s="1"/>
  <c r="F822" i="21" a="1"/>
  <c r="F822" i="21" s="1"/>
  <c r="F823" i="21" a="1"/>
  <c r="F823" i="21" s="1"/>
  <c r="F824" i="21" a="1"/>
  <c r="F824" i="21" s="1"/>
  <c r="F825" i="21" a="1"/>
  <c r="F825" i="21" s="1"/>
  <c r="F826" i="21" a="1"/>
  <c r="F826" i="21" s="1"/>
  <c r="F827" i="21" a="1"/>
  <c r="F827" i="21" s="1"/>
  <c r="F828" i="21" a="1"/>
  <c r="F828" i="21"/>
  <c r="F829" i="21" a="1"/>
  <c r="F829" i="21" s="1"/>
  <c r="F830" i="21" a="1"/>
  <c r="F830" i="21" s="1"/>
  <c r="F831" i="21" a="1"/>
  <c r="F831" i="21" s="1"/>
  <c r="F832" i="21" a="1"/>
  <c r="F832" i="21" s="1"/>
  <c r="F833" i="21" a="1"/>
  <c r="F833" i="21" s="1"/>
  <c r="F834" i="21" a="1"/>
  <c r="F834" i="21" s="1"/>
  <c r="F835" i="21" a="1"/>
  <c r="F835" i="21" s="1"/>
  <c r="F836" i="21" a="1"/>
  <c r="F836" i="21"/>
  <c r="F837" i="21" a="1"/>
  <c r="F837" i="21" s="1"/>
  <c r="F838" i="21" a="1"/>
  <c r="F838" i="21" s="1"/>
  <c r="F839" i="21" a="1"/>
  <c r="F839" i="21" s="1"/>
  <c r="F840" i="21" a="1"/>
  <c r="F840" i="21" s="1"/>
  <c r="F841" i="21" a="1"/>
  <c r="F841" i="21" s="1"/>
  <c r="F842" i="21" a="1"/>
  <c r="F842" i="21" s="1"/>
  <c r="F843" i="21" a="1"/>
  <c r="F843" i="21" s="1"/>
  <c r="F844" i="21" a="1"/>
  <c r="F844" i="21"/>
  <c r="F845" i="21" a="1"/>
  <c r="F845" i="21" s="1"/>
  <c r="F846" i="21" a="1"/>
  <c r="F846" i="21" s="1"/>
  <c r="F847" i="21" a="1"/>
  <c r="F847" i="21" s="1"/>
  <c r="F848" i="21" a="1"/>
  <c r="F848" i="21" s="1"/>
  <c r="F849" i="21" a="1"/>
  <c r="F849" i="21" s="1"/>
  <c r="F850" i="21" a="1"/>
  <c r="F850" i="21" s="1"/>
  <c r="F851" i="21" a="1"/>
  <c r="F851" i="21" s="1"/>
  <c r="F852" i="21" a="1"/>
  <c r="F852" i="21"/>
  <c r="F853" i="21" a="1"/>
  <c r="F853" i="21" s="1"/>
  <c r="F854" i="21" a="1"/>
  <c r="F854" i="21" s="1"/>
  <c r="F855" i="21" a="1"/>
  <c r="F855" i="21" s="1"/>
  <c r="F856" i="21" a="1"/>
  <c r="F856" i="21" s="1"/>
  <c r="F857" i="21" a="1"/>
  <c r="F857" i="21" s="1"/>
  <c r="F858" i="21" a="1"/>
  <c r="F858" i="21" s="1"/>
  <c r="F859" i="21" a="1"/>
  <c r="F859" i="21" s="1"/>
  <c r="F860" i="21" a="1"/>
  <c r="F860" i="21"/>
  <c r="F861" i="21" a="1"/>
  <c r="F861" i="21" s="1"/>
  <c r="F862" i="21" a="1"/>
  <c r="F862" i="21" s="1"/>
  <c r="F863" i="21" a="1"/>
  <c r="F863" i="21" s="1"/>
  <c r="F864" i="21" a="1"/>
  <c r="F864" i="21" s="1"/>
  <c r="F865" i="21" a="1"/>
  <c r="F865" i="21" s="1"/>
  <c r="F866" i="21" a="1"/>
  <c r="F866" i="21" s="1"/>
  <c r="F867" i="21" a="1"/>
  <c r="F867" i="21" s="1"/>
  <c r="F868" i="21" a="1"/>
  <c r="F868" i="21"/>
  <c r="F869" i="21" a="1"/>
  <c r="F869" i="21" s="1"/>
  <c r="F870" i="21" a="1"/>
  <c r="F870" i="21" s="1"/>
  <c r="F871" i="21" a="1"/>
  <c r="F871" i="21" s="1"/>
  <c r="F872" i="21" a="1"/>
  <c r="F872" i="21" s="1"/>
  <c r="F873" i="21" a="1"/>
  <c r="F873" i="21" s="1"/>
  <c r="F874" i="21" a="1"/>
  <c r="F874" i="21" s="1"/>
  <c r="F875" i="21" a="1"/>
  <c r="F875" i="21" s="1"/>
  <c r="F876" i="21" a="1"/>
  <c r="F876" i="21"/>
  <c r="F877" i="21" a="1"/>
  <c r="F877" i="21" s="1"/>
  <c r="F878" i="21" a="1"/>
  <c r="F878" i="21" s="1"/>
  <c r="F879" i="21" a="1"/>
  <c r="F879" i="21" s="1"/>
  <c r="F880" i="21" a="1"/>
  <c r="F880" i="21" s="1"/>
  <c r="F881" i="21" a="1"/>
  <c r="F881" i="21" s="1"/>
  <c r="F882" i="21" a="1"/>
  <c r="F882" i="21" s="1"/>
  <c r="F883" i="21" a="1"/>
  <c r="F883" i="21" s="1"/>
  <c r="F884" i="21" a="1"/>
  <c r="F884" i="21"/>
  <c r="F885" i="21" a="1"/>
  <c r="F885" i="21" s="1"/>
  <c r="F886" i="21" a="1"/>
  <c r="F886" i="21" s="1"/>
  <c r="F887" i="21" a="1"/>
  <c r="F887" i="21" s="1"/>
  <c r="F888" i="21" a="1"/>
  <c r="F888" i="21" s="1"/>
  <c r="F889" i="21" a="1"/>
  <c r="F889" i="21" s="1"/>
  <c r="F890" i="21" a="1"/>
  <c r="F890" i="21" s="1"/>
  <c r="F891" i="21" a="1"/>
  <c r="F891" i="21" s="1"/>
  <c r="F892" i="21" a="1"/>
  <c r="F892" i="21"/>
  <c r="F893" i="21" a="1"/>
  <c r="F893" i="21" s="1"/>
  <c r="F894" i="21" a="1"/>
  <c r="F894" i="21" s="1"/>
  <c r="F895" i="21" a="1"/>
  <c r="F895" i="21" s="1"/>
  <c r="F896" i="21" a="1"/>
  <c r="F896" i="21" s="1"/>
  <c r="F897" i="21" a="1"/>
  <c r="F897" i="21" s="1"/>
  <c r="F898" i="21" a="1"/>
  <c r="F898" i="21" s="1"/>
  <c r="F899" i="21" a="1"/>
  <c r="F899" i="21" s="1"/>
  <c r="F900" i="21" a="1"/>
  <c r="F900" i="21"/>
  <c r="F901" i="21" a="1"/>
  <c r="F901" i="21" s="1"/>
  <c r="F902" i="21" a="1"/>
  <c r="F902" i="21" s="1"/>
  <c r="F903" i="21" a="1"/>
  <c r="F903" i="21" s="1"/>
  <c r="F904" i="21" a="1"/>
  <c r="F904" i="21" s="1"/>
  <c r="F905" i="21" a="1"/>
  <c r="F905" i="21" s="1"/>
  <c r="F906" i="21" a="1"/>
  <c r="F906" i="21" s="1"/>
  <c r="F907" i="21" a="1"/>
  <c r="F907" i="21" s="1"/>
  <c r="F908" i="21" a="1"/>
  <c r="F908" i="21"/>
  <c r="F909" i="21" a="1"/>
  <c r="F909" i="21" s="1"/>
  <c r="F910" i="21" a="1"/>
  <c r="F910" i="21" s="1"/>
  <c r="F911" i="21" a="1"/>
  <c r="F911" i="21" s="1"/>
  <c r="F912" i="21" a="1"/>
  <c r="F912" i="21" s="1"/>
  <c r="F913" i="21" a="1"/>
  <c r="F913" i="21" s="1"/>
  <c r="F914" i="21" a="1"/>
  <c r="F914" i="21" s="1"/>
  <c r="F2" i="21" a="1"/>
  <c r="F2" i="21" s="1"/>
  <c r="E3" i="21" a="1"/>
  <c r="E3" i="21" s="1"/>
  <c r="E4" i="21" a="1"/>
  <c r="E4" i="21" s="1"/>
  <c r="E5" i="21" a="1"/>
  <c r="E5" i="21" s="1"/>
  <c r="E6" i="21" a="1"/>
  <c r="E6" i="21" s="1"/>
  <c r="E7" i="21" a="1"/>
  <c r="E7" i="21"/>
  <c r="E8" i="21" a="1"/>
  <c r="E8" i="21" s="1"/>
  <c r="E9" i="21" a="1"/>
  <c r="E9" i="21" s="1"/>
  <c r="E10" i="21" a="1"/>
  <c r="E10" i="21" s="1"/>
  <c r="E11" i="21" a="1"/>
  <c r="E11" i="21" s="1"/>
  <c r="E12" i="21" a="1"/>
  <c r="E12" i="21" s="1"/>
  <c r="E13" i="21" a="1"/>
  <c r="E13" i="21" s="1"/>
  <c r="E14" i="21" a="1"/>
  <c r="E14" i="21" s="1"/>
  <c r="E15" i="21" a="1"/>
  <c r="E15" i="21" s="1"/>
  <c r="E16" i="21" a="1"/>
  <c r="E16" i="21" s="1"/>
  <c r="E17" i="21" a="1"/>
  <c r="E17" i="21" s="1"/>
  <c r="E18" i="21" a="1"/>
  <c r="E18" i="21" s="1"/>
  <c r="E19" i="21" a="1"/>
  <c r="E19" i="21" s="1"/>
  <c r="E20" i="21" a="1"/>
  <c r="E20" i="21" s="1"/>
  <c r="E21" i="21" a="1"/>
  <c r="E21" i="21" s="1"/>
  <c r="E22" i="21" a="1"/>
  <c r="E22" i="21" s="1"/>
  <c r="E23" i="21" a="1"/>
  <c r="E23" i="21" s="1"/>
  <c r="E24" i="21" a="1"/>
  <c r="E24" i="21" s="1"/>
  <c r="E25" i="21" a="1"/>
  <c r="E25" i="21" s="1"/>
  <c r="E26" i="21" a="1"/>
  <c r="E26" i="21" s="1"/>
  <c r="E27" i="21" a="1"/>
  <c r="E27" i="21" s="1"/>
  <c r="E28" i="21" a="1"/>
  <c r="E28" i="21" s="1"/>
  <c r="E29" i="21" a="1"/>
  <c r="E29" i="21" s="1"/>
  <c r="E30" i="21" a="1"/>
  <c r="E30" i="21" s="1"/>
  <c r="E31" i="21" a="1"/>
  <c r="E31" i="21" s="1"/>
  <c r="E32" i="21" a="1"/>
  <c r="E32" i="21" s="1"/>
  <c r="E33" i="21" a="1"/>
  <c r="E33" i="21" s="1"/>
  <c r="E34" i="21" a="1"/>
  <c r="E34" i="21" s="1"/>
  <c r="E35" i="21" a="1"/>
  <c r="E35" i="21" s="1"/>
  <c r="E36" i="21" a="1"/>
  <c r="E36" i="21" s="1"/>
  <c r="E37" i="21" a="1"/>
  <c r="E37" i="21" s="1"/>
  <c r="E38" i="21" a="1"/>
  <c r="E38" i="21" s="1"/>
  <c r="E39" i="21" a="1"/>
  <c r="E39" i="21"/>
  <c r="E40" i="21" a="1"/>
  <c r="E40" i="21" s="1"/>
  <c r="E41" i="21" a="1"/>
  <c r="E41" i="21" s="1"/>
  <c r="E42" i="21" a="1"/>
  <c r="E42" i="21" s="1"/>
  <c r="E43" i="21" a="1"/>
  <c r="E43" i="21" s="1"/>
  <c r="E44" i="21" a="1"/>
  <c r="E44" i="21" s="1"/>
  <c r="E45" i="21" a="1"/>
  <c r="E45" i="21" s="1"/>
  <c r="E46" i="21" a="1"/>
  <c r="E46" i="21" s="1"/>
  <c r="E47" i="21" a="1"/>
  <c r="E47" i="21" s="1"/>
  <c r="E48" i="21" a="1"/>
  <c r="E48" i="21" s="1"/>
  <c r="E49" i="21" a="1"/>
  <c r="E49" i="21" s="1"/>
  <c r="E50" i="21" a="1"/>
  <c r="E50" i="21" s="1"/>
  <c r="E51" i="21" a="1"/>
  <c r="E51" i="21" s="1"/>
  <c r="E52" i="21" a="1"/>
  <c r="E52" i="21" s="1"/>
  <c r="E53" i="21" a="1"/>
  <c r="E53" i="21" s="1"/>
  <c r="E54" i="21" a="1"/>
  <c r="E54" i="21" s="1"/>
  <c r="E55" i="21" a="1"/>
  <c r="E55" i="21" s="1"/>
  <c r="E56" i="21" a="1"/>
  <c r="E56" i="21" s="1"/>
  <c r="E57" i="21" a="1"/>
  <c r="E57" i="21" s="1"/>
  <c r="E58" i="21" a="1"/>
  <c r="E58" i="21" s="1"/>
  <c r="E59" i="21" a="1"/>
  <c r="E59" i="21" s="1"/>
  <c r="E60" i="21" a="1"/>
  <c r="E60" i="21" s="1"/>
  <c r="E61" i="21" a="1"/>
  <c r="E61" i="21" s="1"/>
  <c r="E62" i="21" a="1"/>
  <c r="E62" i="21" s="1"/>
  <c r="E63" i="21" a="1"/>
  <c r="E63" i="21"/>
  <c r="E64" i="21" a="1"/>
  <c r="E64" i="21" s="1"/>
  <c r="E65" i="21" a="1"/>
  <c r="E65" i="21" s="1"/>
  <c r="E66" i="21" a="1"/>
  <c r="E66" i="21" s="1"/>
  <c r="E67" i="21" a="1"/>
  <c r="E67" i="21" s="1"/>
  <c r="E68" i="21" a="1"/>
  <c r="E68" i="21" s="1"/>
  <c r="E69" i="21" a="1"/>
  <c r="E69" i="21" s="1"/>
  <c r="E70" i="21" a="1"/>
  <c r="E70" i="21" s="1"/>
  <c r="E71" i="21" a="1"/>
  <c r="E71" i="21"/>
  <c r="E72" i="21" a="1"/>
  <c r="E72" i="21" s="1"/>
  <c r="E73" i="21" a="1"/>
  <c r="E73" i="21" s="1"/>
  <c r="E74" i="21" a="1"/>
  <c r="E74" i="21" s="1"/>
  <c r="E75" i="21" a="1"/>
  <c r="E75" i="21" s="1"/>
  <c r="E76" i="21" a="1"/>
  <c r="E76" i="21" s="1"/>
  <c r="E77" i="21" a="1"/>
  <c r="E77" i="21" s="1"/>
  <c r="E78" i="21" a="1"/>
  <c r="E78" i="21" s="1"/>
  <c r="E79" i="21" a="1"/>
  <c r="E79" i="21" s="1"/>
  <c r="E80" i="21" a="1"/>
  <c r="E80" i="21" s="1"/>
  <c r="E81" i="21" a="1"/>
  <c r="E81" i="21" s="1"/>
  <c r="E82" i="21" a="1"/>
  <c r="E82" i="21" s="1"/>
  <c r="E83" i="21" a="1"/>
  <c r="E83" i="21" s="1"/>
  <c r="E84" i="21" a="1"/>
  <c r="E84" i="21" s="1"/>
  <c r="E85" i="21" a="1"/>
  <c r="E85" i="21" s="1"/>
  <c r="E86" i="21" a="1"/>
  <c r="E86" i="21" s="1"/>
  <c r="E87" i="21" a="1"/>
  <c r="E87" i="21" s="1"/>
  <c r="E88" i="21" a="1"/>
  <c r="E88" i="21" s="1"/>
  <c r="E89" i="21" a="1"/>
  <c r="E89" i="21" s="1"/>
  <c r="E90" i="21" a="1"/>
  <c r="E90" i="21" s="1"/>
  <c r="E91" i="21" a="1"/>
  <c r="E91" i="21" s="1"/>
  <c r="E92" i="21" a="1"/>
  <c r="E92" i="21" s="1"/>
  <c r="E93" i="21" a="1"/>
  <c r="E93" i="21" s="1"/>
  <c r="E94" i="21" a="1"/>
  <c r="E94" i="21" s="1"/>
  <c r="E95" i="21" a="1"/>
  <c r="E95" i="21"/>
  <c r="E96" i="21" a="1"/>
  <c r="E96" i="21" s="1"/>
  <c r="E97" i="21" a="1"/>
  <c r="E97" i="21" s="1"/>
  <c r="E98" i="21" a="1"/>
  <c r="E98" i="21" s="1"/>
  <c r="E99" i="21" a="1"/>
  <c r="E99" i="21" s="1"/>
  <c r="E100" i="21" a="1"/>
  <c r="E100" i="21" s="1"/>
  <c r="E101" i="21" a="1"/>
  <c r="E101" i="21" s="1"/>
  <c r="E102" i="21" a="1"/>
  <c r="E102" i="21" s="1"/>
  <c r="E103" i="21" a="1"/>
  <c r="E103" i="21" s="1"/>
  <c r="E104" i="21" a="1"/>
  <c r="E104" i="21" s="1"/>
  <c r="E105" i="21" a="1"/>
  <c r="E105" i="21" s="1"/>
  <c r="E106" i="21" a="1"/>
  <c r="E106" i="21" s="1"/>
  <c r="E107" i="21" a="1"/>
  <c r="E107" i="21" s="1"/>
  <c r="E108" i="21" a="1"/>
  <c r="E108" i="21" s="1"/>
  <c r="E109" i="21" a="1"/>
  <c r="E109" i="21" s="1"/>
  <c r="E110" i="21" a="1"/>
  <c r="E110" i="21" s="1"/>
  <c r="E111" i="21" a="1"/>
  <c r="E111" i="21" s="1"/>
  <c r="E112" i="21" a="1"/>
  <c r="E112" i="21" s="1"/>
  <c r="E113" i="21" a="1"/>
  <c r="E113" i="21" s="1"/>
  <c r="E114" i="21" a="1"/>
  <c r="E114" i="21" s="1"/>
  <c r="E115" i="21" a="1"/>
  <c r="E115" i="21" s="1"/>
  <c r="E116" i="21" a="1"/>
  <c r="E116" i="21" s="1"/>
  <c r="E117" i="21" a="1"/>
  <c r="E117" i="21" s="1"/>
  <c r="E118" i="21" a="1"/>
  <c r="E118" i="21" s="1"/>
  <c r="E119" i="21" a="1"/>
  <c r="E119" i="21" s="1"/>
  <c r="E120" i="21" a="1"/>
  <c r="E120" i="21" s="1"/>
  <c r="E121" i="21" a="1"/>
  <c r="E121" i="21" s="1"/>
  <c r="E122" i="21" a="1"/>
  <c r="E122" i="21" s="1"/>
  <c r="E123" i="21" a="1"/>
  <c r="E123" i="21" s="1"/>
  <c r="E124" i="21" a="1"/>
  <c r="E124" i="21" s="1"/>
  <c r="E125" i="21" a="1"/>
  <c r="E125" i="21" s="1"/>
  <c r="E126" i="21" a="1"/>
  <c r="E126" i="21" s="1"/>
  <c r="E127" i="21" a="1"/>
  <c r="E127" i="21"/>
  <c r="E128" i="21" a="1"/>
  <c r="E128" i="21" s="1"/>
  <c r="E129" i="21" a="1"/>
  <c r="E129" i="21" s="1"/>
  <c r="E130" i="21" a="1"/>
  <c r="E130" i="21" s="1"/>
  <c r="E131" i="21" a="1"/>
  <c r="E131" i="21" s="1"/>
  <c r="E132" i="21" a="1"/>
  <c r="E132" i="21" s="1"/>
  <c r="E133" i="21" a="1"/>
  <c r="E133" i="21" s="1"/>
  <c r="E134" i="21" a="1"/>
  <c r="E134" i="21" s="1"/>
  <c r="E135" i="21" a="1"/>
  <c r="E135" i="21" s="1"/>
  <c r="E136" i="21" a="1"/>
  <c r="E136" i="21"/>
  <c r="E137" i="21" a="1"/>
  <c r="E137" i="21" s="1"/>
  <c r="E138" i="21" a="1"/>
  <c r="E138" i="21"/>
  <c r="E139" i="21" a="1"/>
  <c r="E139" i="21" s="1"/>
  <c r="E140" i="21" a="1"/>
  <c r="E140" i="21" s="1"/>
  <c r="E141" i="21" a="1"/>
  <c r="E141" i="21" s="1"/>
  <c r="E142" i="21" a="1"/>
  <c r="E142" i="21" s="1"/>
  <c r="E143" i="21" a="1"/>
  <c r="E143" i="21" s="1"/>
  <c r="E144" i="21" a="1"/>
  <c r="E144" i="21" s="1"/>
  <c r="E145" i="21" a="1"/>
  <c r="E145" i="21" s="1"/>
  <c r="E146" i="21" a="1"/>
  <c r="E146" i="21" s="1"/>
  <c r="E147" i="21" a="1"/>
  <c r="E147" i="21" s="1"/>
  <c r="E148" i="21" a="1"/>
  <c r="E148" i="21" s="1"/>
  <c r="E149" i="21" a="1"/>
  <c r="E149" i="21" s="1"/>
  <c r="E150" i="21" a="1"/>
  <c r="E150" i="21" s="1"/>
  <c r="E151" i="21" a="1"/>
  <c r="E151" i="21" s="1"/>
  <c r="E152" i="21" a="1"/>
  <c r="E152" i="21" s="1"/>
  <c r="E153" i="21" a="1"/>
  <c r="E153" i="21"/>
  <c r="E154" i="21" a="1"/>
  <c r="E154" i="21" s="1"/>
  <c r="E155" i="21" a="1"/>
  <c r="E155" i="21" s="1"/>
  <c r="E156" i="21" a="1"/>
  <c r="E156" i="21" s="1"/>
  <c r="E157" i="21" a="1"/>
  <c r="E157" i="21" s="1"/>
  <c r="E158" i="21" a="1"/>
  <c r="E158" i="21" s="1"/>
  <c r="E159" i="21" a="1"/>
  <c r="E159" i="21" s="1"/>
  <c r="E160" i="21" a="1"/>
  <c r="E160" i="21" s="1"/>
  <c r="E161" i="21" a="1"/>
  <c r="E161" i="21" s="1"/>
  <c r="E162" i="21" a="1"/>
  <c r="E162" i="21" s="1"/>
  <c r="E163" i="21" a="1"/>
  <c r="E163" i="21" s="1"/>
  <c r="E164" i="21" a="1"/>
  <c r="E164" i="21" s="1"/>
  <c r="E165" i="21" a="1"/>
  <c r="E165" i="21" s="1"/>
  <c r="E166" i="21" a="1"/>
  <c r="E166" i="21" s="1"/>
  <c r="E167" i="21" a="1"/>
  <c r="E167" i="21" s="1"/>
  <c r="E168" i="21" a="1"/>
  <c r="E168" i="21"/>
  <c r="E169" i="21" a="1"/>
  <c r="E169" i="21"/>
  <c r="E170" i="21" a="1"/>
  <c r="E170" i="21" s="1"/>
  <c r="E171" i="21" a="1"/>
  <c r="E171" i="21" s="1"/>
  <c r="E172" i="21" a="1"/>
  <c r="E172" i="21" s="1"/>
  <c r="E173" i="21" a="1"/>
  <c r="E173" i="21"/>
  <c r="E174" i="21" a="1"/>
  <c r="E174" i="21" s="1"/>
  <c r="E175" i="21" a="1"/>
  <c r="E175" i="21" s="1"/>
  <c r="E176" i="21" a="1"/>
  <c r="E176" i="21" s="1"/>
  <c r="E177" i="21" a="1"/>
  <c r="E177" i="21" s="1"/>
  <c r="E178" i="21" a="1"/>
  <c r="E178" i="21" s="1"/>
  <c r="E179" i="21" a="1"/>
  <c r="E179" i="21" s="1"/>
  <c r="E180" i="21" a="1"/>
  <c r="E180" i="21" s="1"/>
  <c r="E181" i="21" a="1"/>
  <c r="E181" i="21" s="1"/>
  <c r="E182" i="21" a="1"/>
  <c r="E182" i="21" s="1"/>
  <c r="E183" i="21" a="1"/>
  <c r="E183" i="21"/>
  <c r="E184" i="21" a="1"/>
  <c r="E184" i="21" s="1"/>
  <c r="E185" i="21" a="1"/>
  <c r="E185" i="21"/>
  <c r="E186" i="21" a="1"/>
  <c r="E186" i="21" s="1"/>
  <c r="E187" i="21" a="1"/>
  <c r="E187" i="21" s="1"/>
  <c r="E188" i="21" a="1"/>
  <c r="E188" i="21" s="1"/>
  <c r="E189" i="21" a="1"/>
  <c r="E189" i="21"/>
  <c r="E190" i="21" a="1"/>
  <c r="E190" i="21" s="1"/>
  <c r="E191" i="21" a="1"/>
  <c r="E191" i="21" s="1"/>
  <c r="E192" i="21" a="1"/>
  <c r="E192" i="21" s="1"/>
  <c r="E193" i="21" a="1"/>
  <c r="E193" i="21" s="1"/>
  <c r="E194" i="21" a="1"/>
  <c r="E194" i="21" s="1"/>
  <c r="E195" i="21" a="1"/>
  <c r="E195" i="21" s="1"/>
  <c r="E196" i="21" a="1"/>
  <c r="E196" i="21" s="1"/>
  <c r="E197" i="21" a="1"/>
  <c r="E197" i="21" s="1"/>
  <c r="E198" i="21" a="1"/>
  <c r="E198" i="21" s="1"/>
  <c r="E199" i="21" a="1"/>
  <c r="E199" i="21"/>
  <c r="E200" i="21" a="1"/>
  <c r="E200" i="21" s="1"/>
  <c r="E201" i="21" a="1"/>
  <c r="E201" i="21"/>
  <c r="E202" i="21" a="1"/>
  <c r="E202" i="21"/>
  <c r="E203" i="21" a="1"/>
  <c r="E203" i="21" s="1"/>
  <c r="E204" i="21" a="1"/>
  <c r="E204" i="21" s="1"/>
  <c r="E205" i="21" a="1"/>
  <c r="E205" i="21"/>
  <c r="E206" i="21" a="1"/>
  <c r="E206" i="21" s="1"/>
  <c r="E207" i="21" a="1"/>
  <c r="E207" i="21" s="1"/>
  <c r="E208" i="21" a="1"/>
  <c r="E208" i="21" s="1"/>
  <c r="E209" i="21" a="1"/>
  <c r="E209" i="21" s="1"/>
  <c r="E210" i="21" a="1"/>
  <c r="E210" i="21" s="1"/>
  <c r="E211" i="21" a="1"/>
  <c r="E211" i="21" s="1"/>
  <c r="E212" i="21" a="1"/>
  <c r="E212" i="21" s="1"/>
  <c r="E213" i="21" a="1"/>
  <c r="E213" i="21" s="1"/>
  <c r="E214" i="21" a="1"/>
  <c r="E214" i="21" s="1"/>
  <c r="E215" i="21" a="1"/>
  <c r="E215" i="21"/>
  <c r="E216" i="21" a="1"/>
  <c r="E216" i="21" s="1"/>
  <c r="E217" i="21" a="1"/>
  <c r="E217" i="21"/>
  <c r="E218" i="21" a="1"/>
  <c r="E218" i="21"/>
  <c r="E219" i="21" a="1"/>
  <c r="E219" i="21" s="1"/>
  <c r="E220" i="21" a="1"/>
  <c r="E220" i="21" s="1"/>
  <c r="E221" i="21" a="1"/>
  <c r="E221" i="21"/>
  <c r="E222" i="21" a="1"/>
  <c r="E222" i="21" s="1"/>
  <c r="E223" i="21" a="1"/>
  <c r="E223" i="21" s="1"/>
  <c r="E224" i="21" a="1"/>
  <c r="E224" i="21" s="1"/>
  <c r="E225" i="21" a="1"/>
  <c r="E225" i="21" s="1"/>
  <c r="E226" i="21" a="1"/>
  <c r="E226" i="21" s="1"/>
  <c r="E227" i="21" a="1"/>
  <c r="E227" i="21" s="1"/>
  <c r="E228" i="21" a="1"/>
  <c r="E228" i="21" s="1"/>
  <c r="E229" i="21" a="1"/>
  <c r="E229" i="21" s="1"/>
  <c r="E230" i="21" a="1"/>
  <c r="E230" i="21" s="1"/>
  <c r="E231" i="21" a="1"/>
  <c r="E231" i="21"/>
  <c r="E232" i="21" a="1"/>
  <c r="E232" i="21"/>
  <c r="E233" i="21" a="1"/>
  <c r="E233" i="21"/>
  <c r="E234" i="21" a="1"/>
  <c r="E234" i="21"/>
  <c r="E235" i="21" a="1"/>
  <c r="E235" i="21" s="1"/>
  <c r="E236" i="21" a="1"/>
  <c r="E236" i="21" s="1"/>
  <c r="E237" i="21" a="1"/>
  <c r="E237" i="21"/>
  <c r="E238" i="21" a="1"/>
  <c r="E238" i="21" s="1"/>
  <c r="E239" i="21" a="1"/>
  <c r="E239" i="21" s="1"/>
  <c r="E240" i="21" a="1"/>
  <c r="E240" i="21" s="1"/>
  <c r="E241" i="21" a="1"/>
  <c r="E241" i="21"/>
  <c r="E242" i="21" a="1"/>
  <c r="E242" i="21" s="1"/>
  <c r="E243" i="21" a="1"/>
  <c r="E243" i="21" s="1"/>
  <c r="E244" i="21" a="1"/>
  <c r="E244" i="21" s="1"/>
  <c r="E245" i="21" a="1"/>
  <c r="E245" i="21" s="1"/>
  <c r="E246" i="21" a="1"/>
  <c r="E246" i="21" s="1"/>
  <c r="E247" i="21" a="1"/>
  <c r="E247" i="21"/>
  <c r="E248" i="21" a="1"/>
  <c r="E248" i="21"/>
  <c r="E249" i="21" a="1"/>
  <c r="E249" i="21" s="1"/>
  <c r="E250" i="21" a="1"/>
  <c r="E250" i="21"/>
  <c r="E251" i="21" a="1"/>
  <c r="E251" i="21" s="1"/>
  <c r="E252" i="21" a="1"/>
  <c r="E252" i="21" s="1"/>
  <c r="E253" i="21" a="1"/>
  <c r="E253" i="21"/>
  <c r="E254" i="21" a="1"/>
  <c r="E254" i="21" s="1"/>
  <c r="E255" i="21" a="1"/>
  <c r="E255" i="21" s="1"/>
  <c r="E256" i="21" a="1"/>
  <c r="E256" i="21" s="1"/>
  <c r="E257" i="21" a="1"/>
  <c r="E257" i="21" s="1"/>
  <c r="E258" i="21" a="1"/>
  <c r="E258" i="21" s="1"/>
  <c r="E259" i="21" a="1"/>
  <c r="E259" i="21" s="1"/>
  <c r="E260" i="21" a="1"/>
  <c r="E260" i="21" s="1"/>
  <c r="E261" i="21" a="1"/>
  <c r="E261" i="21"/>
  <c r="E262" i="21" a="1"/>
  <c r="E262" i="21" s="1"/>
  <c r="E263" i="21" a="1"/>
  <c r="E263" i="21" s="1"/>
  <c r="E264" i="21" a="1"/>
  <c r="E264" i="21"/>
  <c r="E265" i="21" a="1"/>
  <c r="E265" i="21"/>
  <c r="E266" i="21" a="1"/>
  <c r="E266" i="21"/>
  <c r="E267" i="21" a="1"/>
  <c r="E267" i="21" s="1"/>
  <c r="E268" i="21" a="1"/>
  <c r="E268" i="21" s="1"/>
  <c r="E269" i="21" a="1"/>
  <c r="E269" i="21" s="1"/>
  <c r="E270" i="21" a="1"/>
  <c r="E270" i="21" s="1"/>
  <c r="E271" i="21" a="1"/>
  <c r="E271" i="21"/>
  <c r="E272" i="21" a="1"/>
  <c r="E272" i="21" s="1"/>
  <c r="E273" i="21" a="1"/>
  <c r="E273" i="21"/>
  <c r="E274" i="21" a="1"/>
  <c r="E274" i="21" s="1"/>
  <c r="E275" i="21" a="1"/>
  <c r="E275" i="21" s="1"/>
  <c r="E276" i="21" a="1"/>
  <c r="E276" i="21" s="1"/>
  <c r="E277" i="21" a="1"/>
  <c r="E277" i="21"/>
  <c r="E278" i="21" a="1"/>
  <c r="E278" i="21" s="1"/>
  <c r="E279" i="21" a="1"/>
  <c r="E279" i="21" s="1"/>
  <c r="E280" i="21" a="1"/>
  <c r="E280" i="21"/>
  <c r="E281" i="21" a="1"/>
  <c r="E281" i="21" s="1"/>
  <c r="E282" i="21" a="1"/>
  <c r="E282" i="21"/>
  <c r="E283" i="21" a="1"/>
  <c r="E283" i="21" s="1"/>
  <c r="E284" i="21" a="1"/>
  <c r="E284" i="21" s="1"/>
  <c r="E285" i="21" a="1"/>
  <c r="E285" i="21"/>
  <c r="E286" i="21" a="1"/>
  <c r="E286" i="21"/>
  <c r="E287" i="21" a="1"/>
  <c r="E287" i="21" s="1"/>
  <c r="E288" i="21" a="1"/>
  <c r="E288" i="21" s="1"/>
  <c r="E289" i="21" a="1"/>
  <c r="E289" i="21"/>
  <c r="E290" i="21" a="1"/>
  <c r="E290" i="21" s="1"/>
  <c r="E291" i="21" a="1"/>
  <c r="E291" i="21" s="1"/>
  <c r="E292" i="21" a="1"/>
  <c r="E292" i="21" s="1"/>
  <c r="E293" i="21" a="1"/>
  <c r="E293" i="21" s="1"/>
  <c r="E294" i="21" a="1"/>
  <c r="E294" i="21"/>
  <c r="E295" i="21" a="1"/>
  <c r="E295" i="21" s="1"/>
  <c r="E296" i="21" a="1"/>
  <c r="E296" i="21" s="1"/>
  <c r="E297" i="21" a="1"/>
  <c r="E297" i="21" s="1"/>
  <c r="E298" i="21" a="1"/>
  <c r="E298" i="21"/>
  <c r="E299" i="21" a="1"/>
  <c r="E299" i="21" s="1"/>
  <c r="E300" i="21" a="1"/>
  <c r="E300" i="21" s="1"/>
  <c r="E301" i="21" a="1"/>
  <c r="E301" i="21"/>
  <c r="E302" i="21" a="1"/>
  <c r="E302" i="21" s="1"/>
  <c r="E303" i="21" a="1"/>
  <c r="E303" i="21"/>
  <c r="E304" i="21" a="1"/>
  <c r="E304" i="21" s="1"/>
  <c r="E305" i="21" a="1"/>
  <c r="E305" i="21" s="1"/>
  <c r="E306" i="21" a="1"/>
  <c r="E306" i="21" s="1"/>
  <c r="E307" i="21" a="1"/>
  <c r="E307" i="21" s="1"/>
  <c r="E308" i="21" a="1"/>
  <c r="E308" i="21" s="1"/>
  <c r="E309" i="21" a="1"/>
  <c r="E309" i="21" s="1"/>
  <c r="E310" i="21" a="1"/>
  <c r="E310" i="21"/>
  <c r="E311" i="21" a="1"/>
  <c r="E311" i="21" s="1"/>
  <c r="E312" i="21" a="1"/>
  <c r="E312" i="21"/>
  <c r="E313" i="21" a="1"/>
  <c r="E313" i="21" s="1"/>
  <c r="E314" i="21" a="1"/>
  <c r="E314" i="21" s="1"/>
  <c r="E315" i="21" a="1"/>
  <c r="E315" i="21" s="1"/>
  <c r="E316" i="21" a="1"/>
  <c r="E316" i="21" s="1"/>
  <c r="E317" i="21" a="1"/>
  <c r="E317" i="21"/>
  <c r="E318" i="21" a="1"/>
  <c r="E318" i="21" s="1"/>
  <c r="E319" i="21" a="1"/>
  <c r="E319" i="21"/>
  <c r="E320" i="21" a="1"/>
  <c r="E320" i="21" s="1"/>
  <c r="E321" i="21" a="1"/>
  <c r="E321" i="21"/>
  <c r="E322" i="21" a="1"/>
  <c r="E322" i="21" s="1"/>
  <c r="E323" i="21" a="1"/>
  <c r="E323" i="21" s="1"/>
  <c r="E324" i="21" a="1"/>
  <c r="E324" i="21" s="1"/>
  <c r="E325" i="21" a="1"/>
  <c r="E325" i="21" s="1"/>
  <c r="E326" i="21" a="1"/>
  <c r="E326" i="21"/>
  <c r="E327" i="21" a="1"/>
  <c r="E327" i="21" s="1"/>
  <c r="E328" i="21" a="1"/>
  <c r="E328" i="21"/>
  <c r="E329" i="21" a="1"/>
  <c r="E329" i="21" s="1"/>
  <c r="E330" i="21" a="1"/>
  <c r="E330" i="21"/>
  <c r="E331" i="21" a="1"/>
  <c r="E331" i="21" s="1"/>
  <c r="E332" i="21" a="1"/>
  <c r="E332" i="21" s="1"/>
  <c r="E333" i="21" a="1"/>
  <c r="E333" i="21" s="1"/>
  <c r="E334" i="21" a="1"/>
  <c r="E334" i="21" s="1"/>
  <c r="E335" i="21" a="1"/>
  <c r="E335" i="21"/>
  <c r="E336" i="21" a="1"/>
  <c r="E336" i="21" s="1"/>
  <c r="E337" i="21" a="1"/>
  <c r="E337" i="21"/>
  <c r="E338" i="21" a="1"/>
  <c r="E338" i="21" s="1"/>
  <c r="E339" i="21" a="1"/>
  <c r="E339" i="21" s="1"/>
  <c r="E340" i="21" a="1"/>
  <c r="E340" i="21" s="1"/>
  <c r="E341" i="21" a="1"/>
  <c r="E341" i="21" s="1"/>
  <c r="E342" i="21" a="1"/>
  <c r="E342" i="21" s="1"/>
  <c r="E343" i="21" a="1"/>
  <c r="E343" i="21" s="1"/>
  <c r="E344" i="21" a="1"/>
  <c r="E344" i="21"/>
  <c r="E345" i="21" a="1"/>
  <c r="E345" i="21" s="1"/>
  <c r="E346" i="21" a="1"/>
  <c r="E346" i="21" s="1"/>
  <c r="E347" i="21" a="1"/>
  <c r="E347" i="21" s="1"/>
  <c r="E348" i="21" a="1"/>
  <c r="E348" i="21" s="1"/>
  <c r="E349" i="21" a="1"/>
  <c r="E349" i="21"/>
  <c r="E350" i="21" a="1"/>
  <c r="E350" i="21" s="1"/>
  <c r="E351" i="21" a="1"/>
  <c r="E351" i="21" s="1"/>
  <c r="E352" i="21" a="1"/>
  <c r="E352" i="21" s="1"/>
  <c r="E353" i="21" a="1"/>
  <c r="E353" i="21"/>
  <c r="E354" i="21" a="1"/>
  <c r="E354" i="21" s="1"/>
  <c r="E355" i="21" a="1"/>
  <c r="E355" i="21" s="1"/>
  <c r="E356" i="21" a="1"/>
  <c r="E356" i="21" s="1"/>
  <c r="E357" i="21" a="1"/>
  <c r="E357" i="21" s="1"/>
  <c r="E358" i="21" a="1"/>
  <c r="E358" i="21"/>
  <c r="E359" i="21" a="1"/>
  <c r="E359" i="21" s="1"/>
  <c r="E360" i="21" a="1"/>
  <c r="E360" i="21" s="1"/>
  <c r="E361" i="21" a="1"/>
  <c r="E361" i="21" s="1"/>
  <c r="E362" i="21" a="1"/>
  <c r="E362" i="21"/>
  <c r="E363" i="21" a="1"/>
  <c r="E363" i="21" s="1"/>
  <c r="E364" i="21" a="1"/>
  <c r="E364" i="21" s="1"/>
  <c r="E365" i="21" a="1"/>
  <c r="E365" i="21" s="1"/>
  <c r="E366" i="21" a="1"/>
  <c r="E366" i="21" s="1"/>
  <c r="E367" i="21" a="1"/>
  <c r="E367" i="21"/>
  <c r="E368" i="21" a="1"/>
  <c r="E368" i="21" s="1"/>
  <c r="E369" i="21" a="1"/>
  <c r="E369" i="21" s="1"/>
  <c r="E370" i="21" a="1"/>
  <c r="E370" i="21" s="1"/>
  <c r="E371" i="21" a="1"/>
  <c r="E371" i="21" s="1"/>
  <c r="E372" i="21" a="1"/>
  <c r="E372" i="21" s="1"/>
  <c r="E373" i="21" a="1"/>
  <c r="E373" i="21" s="1"/>
  <c r="E374" i="21" a="1"/>
  <c r="E374" i="21" s="1"/>
  <c r="E375" i="21" a="1"/>
  <c r="E375" i="21" s="1"/>
  <c r="E376" i="21" a="1"/>
  <c r="E376" i="21"/>
  <c r="E377" i="21" a="1"/>
  <c r="E377" i="21" s="1"/>
  <c r="E378" i="21" a="1"/>
  <c r="E378" i="21" s="1"/>
  <c r="E379" i="21" a="1"/>
  <c r="E379" i="21" s="1"/>
  <c r="E380" i="21" a="1"/>
  <c r="E380" i="21" s="1"/>
  <c r="E381" i="21" a="1"/>
  <c r="E381" i="21"/>
  <c r="E382" i="21" a="1"/>
  <c r="E382" i="21" s="1"/>
  <c r="E383" i="21" a="1"/>
  <c r="E383" i="21" s="1"/>
  <c r="E384" i="21" a="1"/>
  <c r="E384" i="21" s="1"/>
  <c r="E385" i="21" a="1"/>
  <c r="E385" i="21"/>
  <c r="E386" i="21" a="1"/>
  <c r="E386" i="21" s="1"/>
  <c r="E387" i="21" a="1"/>
  <c r="E387" i="21" s="1"/>
  <c r="E388" i="21" a="1"/>
  <c r="E388" i="21" s="1"/>
  <c r="E389" i="21" a="1"/>
  <c r="E389" i="21" s="1"/>
  <c r="E390" i="21" a="1"/>
  <c r="E390" i="21"/>
  <c r="E391" i="21" a="1"/>
  <c r="E391" i="21" s="1"/>
  <c r="E392" i="21" a="1"/>
  <c r="E392" i="21" s="1"/>
  <c r="E393" i="21" a="1"/>
  <c r="E393" i="21" s="1"/>
  <c r="E394" i="21" a="1"/>
  <c r="E394" i="21"/>
  <c r="E395" i="21" a="1"/>
  <c r="E395" i="21" s="1"/>
  <c r="E396" i="21" a="1"/>
  <c r="E396" i="21" s="1"/>
  <c r="E397" i="21" a="1"/>
  <c r="E397" i="21" s="1"/>
  <c r="E398" i="21" a="1"/>
  <c r="E398" i="21" s="1"/>
  <c r="E399" i="21" a="1"/>
  <c r="E399" i="21"/>
  <c r="E400" i="21" a="1"/>
  <c r="E400" i="21" s="1"/>
  <c r="E401" i="21" a="1"/>
  <c r="E401" i="21" s="1"/>
  <c r="E402" i="21" a="1"/>
  <c r="E402" i="21" s="1"/>
  <c r="E403" i="21" a="1"/>
  <c r="E403" i="21" s="1"/>
  <c r="E404" i="21" a="1"/>
  <c r="E404" i="21" s="1"/>
  <c r="E405" i="21" a="1"/>
  <c r="E405" i="21" s="1"/>
  <c r="E406" i="21" a="1"/>
  <c r="E406" i="21" s="1"/>
  <c r="E407" i="21" a="1"/>
  <c r="E407" i="21" s="1"/>
  <c r="E408" i="21" a="1"/>
  <c r="E408" i="21"/>
  <c r="E409" i="21" a="1"/>
  <c r="E409" i="21" s="1"/>
  <c r="E410" i="21" a="1"/>
  <c r="E410" i="21" s="1"/>
  <c r="E411" i="21" a="1"/>
  <c r="E411" i="21" s="1"/>
  <c r="E412" i="21" a="1"/>
  <c r="E412" i="21" s="1"/>
  <c r="E413" i="21" a="1"/>
  <c r="E413" i="21"/>
  <c r="E414" i="21" a="1"/>
  <c r="E414" i="21" s="1"/>
  <c r="E415" i="21" a="1"/>
  <c r="E415" i="21" s="1"/>
  <c r="E416" i="21" a="1"/>
  <c r="E416" i="21" s="1"/>
  <c r="E417" i="21" a="1"/>
  <c r="E417" i="21"/>
  <c r="E418" i="21" a="1"/>
  <c r="E418" i="21" s="1"/>
  <c r="E419" i="21" a="1"/>
  <c r="E419" i="21" s="1"/>
  <c r="E420" i="21" a="1"/>
  <c r="E420" i="21" s="1"/>
  <c r="E421" i="21" a="1"/>
  <c r="E421" i="21" s="1"/>
  <c r="E422" i="21" a="1"/>
  <c r="E422" i="21"/>
  <c r="E423" i="21" a="1"/>
  <c r="E423" i="21" s="1"/>
  <c r="E424" i="21" a="1"/>
  <c r="E424" i="21" s="1"/>
  <c r="E425" i="21" a="1"/>
  <c r="E425" i="21" s="1"/>
  <c r="E426" i="21" a="1"/>
  <c r="E426" i="21"/>
  <c r="E427" i="21" a="1"/>
  <c r="E427" i="21" s="1"/>
  <c r="E428" i="21" a="1"/>
  <c r="E428" i="21" s="1"/>
  <c r="E429" i="21" a="1"/>
  <c r="E429" i="21" s="1"/>
  <c r="E430" i="21" a="1"/>
  <c r="E430" i="21" s="1"/>
  <c r="E431" i="21" a="1"/>
  <c r="E431" i="21"/>
  <c r="E432" i="21" a="1"/>
  <c r="E432" i="21" s="1"/>
  <c r="E433" i="21" a="1"/>
  <c r="E433" i="21" s="1"/>
  <c r="E434" i="21" a="1"/>
  <c r="E434" i="21" s="1"/>
  <c r="E435" i="21" a="1"/>
  <c r="E435" i="21" s="1"/>
  <c r="E436" i="21" a="1"/>
  <c r="E436" i="21" s="1"/>
  <c r="E437" i="21" a="1"/>
  <c r="E437" i="21" s="1"/>
  <c r="E438" i="21" a="1"/>
  <c r="E438" i="21" s="1"/>
  <c r="E439" i="21" a="1"/>
  <c r="E439" i="21" s="1"/>
  <c r="E440" i="21" a="1"/>
  <c r="E440" i="21"/>
  <c r="E441" i="21" a="1"/>
  <c r="E441" i="21" s="1"/>
  <c r="E442" i="21" a="1"/>
  <c r="E442" i="21" s="1"/>
  <c r="E443" i="21" a="1"/>
  <c r="E443" i="21" s="1"/>
  <c r="E444" i="21" a="1"/>
  <c r="E444" i="21" s="1"/>
  <c r="E445" i="21" a="1"/>
  <c r="E445" i="21"/>
  <c r="E446" i="21" a="1"/>
  <c r="E446" i="21" s="1"/>
  <c r="E447" i="21" a="1"/>
  <c r="E447" i="21" s="1"/>
  <c r="E448" i="21" a="1"/>
  <c r="E448" i="21" s="1"/>
  <c r="E449" i="21" a="1"/>
  <c r="E449" i="21"/>
  <c r="E450" i="21" a="1"/>
  <c r="E450" i="21" s="1"/>
  <c r="E451" i="21" a="1"/>
  <c r="E451" i="21" s="1"/>
  <c r="E452" i="21" a="1"/>
  <c r="E452" i="21" s="1"/>
  <c r="E453" i="21" a="1"/>
  <c r="E453" i="21" s="1"/>
  <c r="E454" i="21" a="1"/>
  <c r="E454" i="21"/>
  <c r="E455" i="21" a="1"/>
  <c r="E455" i="21" s="1"/>
  <c r="E456" i="21" a="1"/>
  <c r="E456" i="21" s="1"/>
  <c r="E457" i="21" a="1"/>
  <c r="E457" i="21" s="1"/>
  <c r="E458" i="21" a="1"/>
  <c r="E458" i="21"/>
  <c r="E459" i="21" a="1"/>
  <c r="E459" i="21" s="1"/>
  <c r="E460" i="21" a="1"/>
  <c r="E460" i="21" s="1"/>
  <c r="E461" i="21" a="1"/>
  <c r="E461" i="21" s="1"/>
  <c r="E462" i="21" a="1"/>
  <c r="E462" i="21" s="1"/>
  <c r="E463" i="21" a="1"/>
  <c r="E463" i="21"/>
  <c r="E464" i="21" a="1"/>
  <c r="E464" i="21" s="1"/>
  <c r="E465" i="21" a="1"/>
  <c r="E465" i="21" s="1"/>
  <c r="E466" i="21" a="1"/>
  <c r="E466" i="21" s="1"/>
  <c r="E467" i="21" a="1"/>
  <c r="E467" i="21" s="1"/>
  <c r="E468" i="21" a="1"/>
  <c r="E468" i="21" s="1"/>
  <c r="E469" i="21" a="1"/>
  <c r="E469" i="21" s="1"/>
  <c r="E470" i="21" a="1"/>
  <c r="E470" i="21" s="1"/>
  <c r="E471" i="21" a="1"/>
  <c r="E471" i="21" s="1"/>
  <c r="E472" i="21" a="1"/>
  <c r="E472" i="21"/>
  <c r="E473" i="21" a="1"/>
  <c r="E473" i="21" s="1"/>
  <c r="E474" i="21" a="1"/>
  <c r="E474" i="21" s="1"/>
  <c r="E475" i="21" a="1"/>
  <c r="E475" i="21" s="1"/>
  <c r="E476" i="21" a="1"/>
  <c r="E476" i="21" s="1"/>
  <c r="E477" i="21" a="1"/>
  <c r="E477" i="21"/>
  <c r="E478" i="21" a="1"/>
  <c r="E478" i="21" s="1"/>
  <c r="E479" i="21" a="1"/>
  <c r="E479" i="21" s="1"/>
  <c r="E480" i="21" a="1"/>
  <c r="E480" i="21" s="1"/>
  <c r="E481" i="21" a="1"/>
  <c r="E481" i="21"/>
  <c r="E482" i="21" a="1"/>
  <c r="E482" i="21" s="1"/>
  <c r="E483" i="21" a="1"/>
  <c r="E483" i="21" s="1"/>
  <c r="E484" i="21" a="1"/>
  <c r="E484" i="21" s="1"/>
  <c r="E485" i="21" a="1"/>
  <c r="E485" i="21" s="1"/>
  <c r="E486" i="21" a="1"/>
  <c r="E486" i="21"/>
  <c r="E487" i="21" a="1"/>
  <c r="E487" i="21" s="1"/>
  <c r="E488" i="21" a="1"/>
  <c r="E488" i="21" s="1"/>
  <c r="E489" i="21" a="1"/>
  <c r="E489" i="21" s="1"/>
  <c r="E490" i="21" a="1"/>
  <c r="E490" i="21"/>
  <c r="E491" i="21" a="1"/>
  <c r="E491" i="21" s="1"/>
  <c r="E492" i="21" a="1"/>
  <c r="E492" i="21" s="1"/>
  <c r="E493" i="21" a="1"/>
  <c r="E493" i="21" s="1"/>
  <c r="E494" i="21" a="1"/>
  <c r="E494" i="21" s="1"/>
  <c r="E495" i="21" a="1"/>
  <c r="E495" i="21"/>
  <c r="E496" i="21" a="1"/>
  <c r="E496" i="21" s="1"/>
  <c r="E497" i="21" a="1"/>
  <c r="E497" i="21" s="1"/>
  <c r="E498" i="21" a="1"/>
  <c r="E498" i="21" s="1"/>
  <c r="E499" i="21" a="1"/>
  <c r="E499" i="21" s="1"/>
  <c r="E500" i="21" a="1"/>
  <c r="E500" i="21" s="1"/>
  <c r="E501" i="21" a="1"/>
  <c r="E501" i="21" s="1"/>
  <c r="E502" i="21" a="1"/>
  <c r="E502" i="21" s="1"/>
  <c r="E503" i="21" a="1"/>
  <c r="E503" i="21" s="1"/>
  <c r="E504" i="21" a="1"/>
  <c r="E504" i="21"/>
  <c r="E505" i="21" a="1"/>
  <c r="E505" i="21" s="1"/>
  <c r="E506" i="21" a="1"/>
  <c r="E506" i="21" s="1"/>
  <c r="E507" i="21" a="1"/>
  <c r="E507" i="21" s="1"/>
  <c r="E508" i="21" a="1"/>
  <c r="E508" i="21" s="1"/>
  <c r="E509" i="21" a="1"/>
  <c r="E509" i="21"/>
  <c r="E510" i="21" a="1"/>
  <c r="E510" i="21" s="1"/>
  <c r="E511" i="21" a="1"/>
  <c r="E511" i="21" s="1"/>
  <c r="E512" i="21" a="1"/>
  <c r="E512" i="21" s="1"/>
  <c r="E513" i="21" a="1"/>
  <c r="E513" i="21"/>
  <c r="E514" i="21" a="1"/>
  <c r="E514" i="21" s="1"/>
  <c r="E515" i="21" a="1"/>
  <c r="E515" i="21" s="1"/>
  <c r="E516" i="21" a="1"/>
  <c r="E516" i="21" s="1"/>
  <c r="E517" i="21" a="1"/>
  <c r="E517" i="21" s="1"/>
  <c r="E518" i="21" a="1"/>
  <c r="E518" i="21" s="1"/>
  <c r="E519" i="21" a="1"/>
  <c r="E519" i="21" s="1"/>
  <c r="E520" i="21" a="1"/>
  <c r="E520" i="21" s="1"/>
  <c r="E521" i="21" a="1"/>
  <c r="E521" i="21" s="1"/>
  <c r="E522" i="21" a="1"/>
  <c r="E522" i="21"/>
  <c r="E523" i="21" a="1"/>
  <c r="E523" i="21" s="1"/>
  <c r="E524" i="21" a="1"/>
  <c r="E524" i="21" s="1"/>
  <c r="E525" i="21" a="1"/>
  <c r="E525" i="21" s="1"/>
  <c r="E526" i="21" a="1"/>
  <c r="E526" i="21" s="1"/>
  <c r="E527" i="21" a="1"/>
  <c r="E527" i="21" s="1"/>
  <c r="E528" i="21" a="1"/>
  <c r="E528" i="21" s="1"/>
  <c r="E529" i="21" a="1"/>
  <c r="E529" i="21" s="1"/>
  <c r="E530" i="21" a="1"/>
  <c r="E530" i="21" s="1"/>
  <c r="E531" i="21" a="1"/>
  <c r="E531" i="21" s="1"/>
  <c r="E532" i="21" a="1"/>
  <c r="E532" i="21" s="1"/>
  <c r="E533" i="21" a="1"/>
  <c r="E533" i="21" s="1"/>
  <c r="E534" i="21" a="1"/>
  <c r="E534" i="21" s="1"/>
  <c r="E535" i="21" a="1"/>
  <c r="E535" i="21" s="1"/>
  <c r="E536" i="21" a="1"/>
  <c r="E536" i="21" s="1"/>
  <c r="E537" i="21" a="1"/>
  <c r="E537" i="21" s="1"/>
  <c r="E538" i="21" a="1"/>
  <c r="E538" i="21" s="1"/>
  <c r="E539" i="21" a="1"/>
  <c r="E539" i="21" s="1"/>
  <c r="E540" i="21" a="1"/>
  <c r="E540" i="21" s="1"/>
  <c r="E541" i="21" a="1"/>
  <c r="E541" i="21"/>
  <c r="E542" i="21" a="1"/>
  <c r="E542" i="21" s="1"/>
  <c r="E543" i="21" a="1"/>
  <c r="E543" i="21" s="1"/>
  <c r="E544" i="21" a="1"/>
  <c r="E544" i="21" s="1"/>
  <c r="E545" i="21" a="1"/>
  <c r="E545" i="21" s="1"/>
  <c r="E546" i="21" a="1"/>
  <c r="E546" i="21" s="1"/>
  <c r="E547" i="21" a="1"/>
  <c r="E547" i="21" s="1"/>
  <c r="E548" i="21" a="1"/>
  <c r="E548" i="21" s="1"/>
  <c r="E549" i="21" a="1"/>
  <c r="E549" i="21" s="1"/>
  <c r="E550" i="21" a="1"/>
  <c r="E550" i="21"/>
  <c r="E551" i="21" a="1"/>
  <c r="E551" i="21" s="1"/>
  <c r="E552" i="21" a="1"/>
  <c r="E552" i="21" s="1"/>
  <c r="E553" i="21" a="1"/>
  <c r="E553" i="21" s="1"/>
  <c r="E554" i="21" a="1"/>
  <c r="E554" i="21" s="1"/>
  <c r="E555" i="21" a="1"/>
  <c r="E555" i="21" s="1"/>
  <c r="E556" i="21" a="1"/>
  <c r="E556" i="21" s="1"/>
  <c r="E557" i="21" a="1"/>
  <c r="E557" i="21" s="1"/>
  <c r="E558" i="21" a="1"/>
  <c r="E558" i="21" s="1"/>
  <c r="E559" i="21" a="1"/>
  <c r="E559" i="21"/>
  <c r="E560" i="21" a="1"/>
  <c r="E560" i="21" s="1"/>
  <c r="E561" i="21" a="1"/>
  <c r="E561" i="21" s="1"/>
  <c r="E562" i="21" a="1"/>
  <c r="E562" i="21" s="1"/>
  <c r="E563" i="21" a="1"/>
  <c r="E563" i="21" s="1"/>
  <c r="E564" i="21" a="1"/>
  <c r="E564" i="21" s="1"/>
  <c r="E565" i="21" a="1"/>
  <c r="E565" i="21" s="1"/>
  <c r="E566" i="21" a="1"/>
  <c r="E566" i="21" s="1"/>
  <c r="E567" i="21" a="1"/>
  <c r="E567" i="21" s="1"/>
  <c r="E568" i="21" a="1"/>
  <c r="E568" i="21"/>
  <c r="E569" i="21" a="1"/>
  <c r="E569" i="21" s="1"/>
  <c r="E570" i="21" a="1"/>
  <c r="E570" i="21" s="1"/>
  <c r="E571" i="21" a="1"/>
  <c r="E571" i="21" s="1"/>
  <c r="E572" i="21" a="1"/>
  <c r="E572" i="21" s="1"/>
  <c r="E573" i="21" a="1"/>
  <c r="E573" i="21" s="1"/>
  <c r="E574" i="21" a="1"/>
  <c r="E574" i="21" s="1"/>
  <c r="E575" i="21" a="1"/>
  <c r="E575" i="21" s="1"/>
  <c r="E576" i="21" a="1"/>
  <c r="E576" i="21" s="1"/>
  <c r="E577" i="21" a="1"/>
  <c r="E577" i="21"/>
  <c r="E578" i="21" a="1"/>
  <c r="E578" i="21" s="1"/>
  <c r="E579" i="21" a="1"/>
  <c r="E579" i="21" s="1"/>
  <c r="E580" i="21" a="1"/>
  <c r="E580" i="21" s="1"/>
  <c r="E581" i="21" a="1"/>
  <c r="E581" i="21" s="1"/>
  <c r="E582" i="21" a="1"/>
  <c r="E582" i="21" s="1"/>
  <c r="E583" i="21" a="1"/>
  <c r="E583" i="21" s="1"/>
  <c r="E584" i="21" a="1"/>
  <c r="E584" i="21" s="1"/>
  <c r="E585" i="21" a="1"/>
  <c r="E585" i="21" s="1"/>
  <c r="E586" i="21" a="1"/>
  <c r="E586" i="21"/>
  <c r="E587" i="21" a="1"/>
  <c r="E587" i="21" s="1"/>
  <c r="E588" i="21" a="1"/>
  <c r="E588" i="21" s="1"/>
  <c r="E589" i="21" a="1"/>
  <c r="E589" i="21" s="1"/>
  <c r="E590" i="21" a="1"/>
  <c r="E590" i="21" s="1"/>
  <c r="E591" i="21" a="1"/>
  <c r="E591" i="21" s="1"/>
  <c r="E592" i="21" a="1"/>
  <c r="E592" i="21" s="1"/>
  <c r="E593" i="21" a="1"/>
  <c r="E593" i="21" s="1"/>
  <c r="E594" i="21" a="1"/>
  <c r="E594" i="21" s="1"/>
  <c r="E595" i="21" a="1"/>
  <c r="E595" i="21" s="1"/>
  <c r="E596" i="21" a="1"/>
  <c r="E596" i="21" s="1"/>
  <c r="E597" i="21" a="1"/>
  <c r="E597" i="21" s="1"/>
  <c r="E598" i="21" a="1"/>
  <c r="E598" i="21" s="1"/>
  <c r="E599" i="21" a="1"/>
  <c r="E599" i="21" s="1"/>
  <c r="E600" i="21" a="1"/>
  <c r="E600" i="21" s="1"/>
  <c r="E601" i="21" a="1"/>
  <c r="E601" i="21" s="1"/>
  <c r="E602" i="21" a="1"/>
  <c r="E602" i="21" s="1"/>
  <c r="E603" i="21" a="1"/>
  <c r="E603" i="21" s="1"/>
  <c r="E604" i="21" a="1"/>
  <c r="E604" i="21" s="1"/>
  <c r="E605" i="21" a="1"/>
  <c r="E605" i="21"/>
  <c r="E606" i="21" a="1"/>
  <c r="E606" i="21" s="1"/>
  <c r="E607" i="21" a="1"/>
  <c r="E607" i="21" s="1"/>
  <c r="E608" i="21" a="1"/>
  <c r="E608" i="21" s="1"/>
  <c r="E609" i="21" a="1"/>
  <c r="E609" i="21" s="1"/>
  <c r="E610" i="21" a="1"/>
  <c r="E610" i="21" s="1"/>
  <c r="E611" i="21" a="1"/>
  <c r="E611" i="21" s="1"/>
  <c r="E612" i="21" a="1"/>
  <c r="E612" i="21" s="1"/>
  <c r="E613" i="21" a="1"/>
  <c r="E613" i="21" s="1"/>
  <c r="E614" i="21" a="1"/>
  <c r="E614" i="21"/>
  <c r="E615" i="21" a="1"/>
  <c r="E615" i="21" s="1"/>
  <c r="E616" i="21" a="1"/>
  <c r="E616" i="21" s="1"/>
  <c r="E617" i="21" a="1"/>
  <c r="E617" i="21" s="1"/>
  <c r="E618" i="21" a="1"/>
  <c r="E618" i="21" s="1"/>
  <c r="E619" i="21" a="1"/>
  <c r="E619" i="21" s="1"/>
  <c r="E620" i="21" a="1"/>
  <c r="E620" i="21" s="1"/>
  <c r="E621" i="21" a="1"/>
  <c r="E621" i="21" s="1"/>
  <c r="E622" i="21" a="1"/>
  <c r="E622" i="21" s="1"/>
  <c r="E623" i="21" a="1"/>
  <c r="E623" i="21"/>
  <c r="E624" i="21" a="1"/>
  <c r="E624" i="21" s="1"/>
  <c r="E625" i="21" a="1"/>
  <c r="E625" i="21" s="1"/>
  <c r="E626" i="21" a="1"/>
  <c r="E626" i="21" s="1"/>
  <c r="E627" i="21" a="1"/>
  <c r="E627" i="21" s="1"/>
  <c r="E628" i="21" a="1"/>
  <c r="E628" i="21" s="1"/>
  <c r="E629" i="21" a="1"/>
  <c r="E629" i="21" s="1"/>
  <c r="E630" i="21" a="1"/>
  <c r="E630" i="21" s="1"/>
  <c r="E631" i="21" a="1"/>
  <c r="E631" i="21" s="1"/>
  <c r="E632" i="21" a="1"/>
  <c r="E632" i="21"/>
  <c r="E633" i="21" a="1"/>
  <c r="E633" i="21" s="1"/>
  <c r="E634" i="21" a="1"/>
  <c r="E634" i="21" s="1"/>
  <c r="E635" i="21" a="1"/>
  <c r="E635" i="21" s="1"/>
  <c r="E636" i="21" a="1"/>
  <c r="E636" i="21" s="1"/>
  <c r="E637" i="21" a="1"/>
  <c r="E637" i="21" s="1"/>
  <c r="E638" i="21" a="1"/>
  <c r="E638" i="21" s="1"/>
  <c r="E639" i="21" a="1"/>
  <c r="E639" i="21" s="1"/>
  <c r="E640" i="21" a="1"/>
  <c r="E640" i="21" s="1"/>
  <c r="E641" i="21" a="1"/>
  <c r="E641" i="21"/>
  <c r="E642" i="21" a="1"/>
  <c r="E642" i="21" s="1"/>
  <c r="E643" i="21" a="1"/>
  <c r="E643" i="21" s="1"/>
  <c r="E644" i="21" a="1"/>
  <c r="E644" i="21" s="1"/>
  <c r="E645" i="21" a="1"/>
  <c r="E645" i="21" s="1"/>
  <c r="E646" i="21" a="1"/>
  <c r="E646" i="21" s="1"/>
  <c r="E647" i="21" a="1"/>
  <c r="E647" i="21" s="1"/>
  <c r="E648" i="21" a="1"/>
  <c r="E648" i="21" s="1"/>
  <c r="E649" i="21" a="1"/>
  <c r="E649" i="21" s="1"/>
  <c r="E650" i="21" a="1"/>
  <c r="E650" i="21"/>
  <c r="E651" i="21" a="1"/>
  <c r="E651" i="21" s="1"/>
  <c r="E652" i="21" a="1"/>
  <c r="E652" i="21" s="1"/>
  <c r="E653" i="21" a="1"/>
  <c r="E653" i="21" s="1"/>
  <c r="E654" i="21" a="1"/>
  <c r="E654" i="21" s="1"/>
  <c r="E655" i="21" a="1"/>
  <c r="E655" i="21" s="1"/>
  <c r="E656" i="21" a="1"/>
  <c r="E656" i="21" s="1"/>
  <c r="E657" i="21" a="1"/>
  <c r="E657" i="21" s="1"/>
  <c r="E658" i="21" a="1"/>
  <c r="E658" i="21" s="1"/>
  <c r="E659" i="21" a="1"/>
  <c r="E659" i="21" s="1"/>
  <c r="E660" i="21" a="1"/>
  <c r="E660" i="21" s="1"/>
  <c r="E661" i="21" a="1"/>
  <c r="E661" i="21" s="1"/>
  <c r="E662" i="21" a="1"/>
  <c r="E662" i="21" s="1"/>
  <c r="E663" i="21" a="1"/>
  <c r="E663" i="21" s="1"/>
  <c r="E664" i="21" a="1"/>
  <c r="E664" i="21" s="1"/>
  <c r="E665" i="21" a="1"/>
  <c r="E665" i="21" s="1"/>
  <c r="E666" i="21" a="1"/>
  <c r="E666" i="21" s="1"/>
  <c r="E667" i="21" a="1"/>
  <c r="E667" i="21" s="1"/>
  <c r="E668" i="21" a="1"/>
  <c r="E668" i="21" s="1"/>
  <c r="E669" i="21" a="1"/>
  <c r="E669" i="21"/>
  <c r="E670" i="21" a="1"/>
  <c r="E670" i="21" s="1"/>
  <c r="E671" i="21" a="1"/>
  <c r="E671" i="21" s="1"/>
  <c r="E672" i="21" a="1"/>
  <c r="E672" i="21" s="1"/>
  <c r="E673" i="21" a="1"/>
  <c r="E673" i="21" s="1"/>
  <c r="E674" i="21" a="1"/>
  <c r="E674" i="21" s="1"/>
  <c r="E675" i="21" a="1"/>
  <c r="E675" i="21" s="1"/>
  <c r="E676" i="21" a="1"/>
  <c r="E676" i="21" s="1"/>
  <c r="E677" i="21" a="1"/>
  <c r="E677" i="21" s="1"/>
  <c r="E678" i="21" a="1"/>
  <c r="E678" i="21"/>
  <c r="E679" i="21" a="1"/>
  <c r="E679" i="21" s="1"/>
  <c r="E680" i="21" a="1"/>
  <c r="E680" i="21" s="1"/>
  <c r="E681" i="21" a="1"/>
  <c r="E681" i="21" s="1"/>
  <c r="E682" i="21" a="1"/>
  <c r="E682" i="21" s="1"/>
  <c r="E683" i="21" a="1"/>
  <c r="E683" i="21" s="1"/>
  <c r="E684" i="21" a="1"/>
  <c r="E684" i="21" s="1"/>
  <c r="E685" i="21" a="1"/>
  <c r="E685" i="21" s="1"/>
  <c r="E686" i="21" a="1"/>
  <c r="E686" i="21"/>
  <c r="E687" i="21" a="1"/>
  <c r="E687" i="21" s="1"/>
  <c r="E688" i="21" a="1"/>
  <c r="E688" i="21" s="1"/>
  <c r="E689" i="21" a="1"/>
  <c r="E689" i="21" s="1"/>
  <c r="E690" i="21" a="1"/>
  <c r="E690" i="21" s="1"/>
  <c r="E691" i="21" a="1"/>
  <c r="E691" i="21" s="1"/>
  <c r="E692" i="21" a="1"/>
  <c r="E692" i="21" s="1"/>
  <c r="E693" i="21" a="1"/>
  <c r="E693" i="21" s="1"/>
  <c r="E694" i="21" a="1"/>
  <c r="E694" i="21"/>
  <c r="E695" i="21" a="1"/>
  <c r="E695" i="21" s="1"/>
  <c r="E696" i="21" a="1"/>
  <c r="E696" i="21" s="1"/>
  <c r="E697" i="21" a="1"/>
  <c r="E697" i="21" s="1"/>
  <c r="E698" i="21" a="1"/>
  <c r="E698" i="21" s="1"/>
  <c r="E699" i="21" a="1"/>
  <c r="E699" i="21" s="1"/>
  <c r="E700" i="21" a="1"/>
  <c r="E700" i="21" s="1"/>
  <c r="E701" i="21" a="1"/>
  <c r="E701" i="21" s="1"/>
  <c r="E702" i="21" a="1"/>
  <c r="E702" i="21"/>
  <c r="E703" i="21" a="1"/>
  <c r="E703" i="21" s="1"/>
  <c r="E704" i="21" a="1"/>
  <c r="E704" i="21" s="1"/>
  <c r="E705" i="21" a="1"/>
  <c r="E705" i="21" s="1"/>
  <c r="E706" i="21" a="1"/>
  <c r="E706" i="21" s="1"/>
  <c r="E707" i="21" a="1"/>
  <c r="E707" i="21" s="1"/>
  <c r="E708" i="21" a="1"/>
  <c r="E708" i="21" s="1"/>
  <c r="E709" i="21" a="1"/>
  <c r="E709" i="21" s="1"/>
  <c r="E710" i="21" a="1"/>
  <c r="E710" i="21"/>
  <c r="E711" i="21" a="1"/>
  <c r="E711" i="21" s="1"/>
  <c r="E712" i="21" a="1"/>
  <c r="E712" i="21" s="1"/>
  <c r="E713" i="21" a="1"/>
  <c r="E713" i="21" s="1"/>
  <c r="E714" i="21" a="1"/>
  <c r="E714" i="21" s="1"/>
  <c r="E715" i="21" a="1"/>
  <c r="E715" i="21" s="1"/>
  <c r="E716" i="21" a="1"/>
  <c r="E716" i="21" s="1"/>
  <c r="E717" i="21" a="1"/>
  <c r="E717" i="21" s="1"/>
  <c r="E718" i="21" a="1"/>
  <c r="E718" i="21"/>
  <c r="E719" i="21" a="1"/>
  <c r="E719" i="21" s="1"/>
  <c r="E720" i="21" a="1"/>
  <c r="E720" i="21" s="1"/>
  <c r="E721" i="21" a="1"/>
  <c r="E721" i="21" s="1"/>
  <c r="E722" i="21" a="1"/>
  <c r="E722" i="21" s="1"/>
  <c r="E723" i="21" a="1"/>
  <c r="E723" i="21" s="1"/>
  <c r="E724" i="21" a="1"/>
  <c r="E724" i="21" s="1"/>
  <c r="E725" i="21" a="1"/>
  <c r="E725" i="21" s="1"/>
  <c r="E726" i="21" a="1"/>
  <c r="E726" i="21"/>
  <c r="E727" i="21" a="1"/>
  <c r="E727" i="21" s="1"/>
  <c r="E728" i="21" a="1"/>
  <c r="E728" i="21" s="1"/>
  <c r="E729" i="21" a="1"/>
  <c r="E729" i="21" s="1"/>
  <c r="E730" i="21" a="1"/>
  <c r="E730" i="21" s="1"/>
  <c r="E731" i="21" a="1"/>
  <c r="E731" i="21" s="1"/>
  <c r="E732" i="21" a="1"/>
  <c r="E732" i="21" s="1"/>
  <c r="E733" i="21" a="1"/>
  <c r="E733" i="21" s="1"/>
  <c r="E734" i="21" a="1"/>
  <c r="E734" i="21"/>
  <c r="E735" i="21" a="1"/>
  <c r="E735" i="21" s="1"/>
  <c r="E736" i="21" a="1"/>
  <c r="E736" i="21" s="1"/>
  <c r="E737" i="21" a="1"/>
  <c r="E737" i="21" s="1"/>
  <c r="E738" i="21" a="1"/>
  <c r="E738" i="21" s="1"/>
  <c r="E739" i="21" a="1"/>
  <c r="E739" i="21" s="1"/>
  <c r="E740" i="21" a="1"/>
  <c r="E740" i="21" s="1"/>
  <c r="E741" i="21" a="1"/>
  <c r="E741" i="21" s="1"/>
  <c r="E742" i="21" a="1"/>
  <c r="E742" i="21"/>
  <c r="E743" i="21" a="1"/>
  <c r="E743" i="21" s="1"/>
  <c r="E744" i="21" a="1"/>
  <c r="E744" i="21" s="1"/>
  <c r="E745" i="21" a="1"/>
  <c r="E745" i="21" s="1"/>
  <c r="E746" i="21" a="1"/>
  <c r="E746" i="21" s="1"/>
  <c r="E747" i="21" a="1"/>
  <c r="E747" i="21" s="1"/>
  <c r="E748" i="21" a="1"/>
  <c r="E748" i="21" s="1"/>
  <c r="E749" i="21" a="1"/>
  <c r="E749" i="21" s="1"/>
  <c r="E750" i="21" a="1"/>
  <c r="E750" i="21"/>
  <c r="E751" i="21" a="1"/>
  <c r="E751" i="21" s="1"/>
  <c r="E752" i="21" a="1"/>
  <c r="E752" i="21" s="1"/>
  <c r="E753" i="21" a="1"/>
  <c r="E753" i="21" s="1"/>
  <c r="E754" i="21" a="1"/>
  <c r="E754" i="21" s="1"/>
  <c r="E755" i="21" a="1"/>
  <c r="E755" i="21" s="1"/>
  <c r="E756" i="21" a="1"/>
  <c r="E756" i="21" s="1"/>
  <c r="E757" i="21" a="1"/>
  <c r="E757" i="21" s="1"/>
  <c r="E758" i="21" a="1"/>
  <c r="E758" i="21"/>
  <c r="E759" i="21" a="1"/>
  <c r="E759" i="21" s="1"/>
  <c r="E760" i="21" a="1"/>
  <c r="E760" i="21" s="1"/>
  <c r="E761" i="21" a="1"/>
  <c r="E761" i="21" s="1"/>
  <c r="E762" i="21" a="1"/>
  <c r="E762" i="21" s="1"/>
  <c r="E763" i="21" a="1"/>
  <c r="E763" i="21" s="1"/>
  <c r="E764" i="21" a="1"/>
  <c r="E764" i="21" s="1"/>
  <c r="E765" i="21" a="1"/>
  <c r="E765" i="21" s="1"/>
  <c r="E766" i="21" a="1"/>
  <c r="E766" i="21"/>
  <c r="E767" i="21" a="1"/>
  <c r="E767" i="21" s="1"/>
  <c r="E768" i="21" a="1"/>
  <c r="E768" i="21" s="1"/>
  <c r="E769" i="21" a="1"/>
  <c r="E769" i="21" s="1"/>
  <c r="E770" i="21" a="1"/>
  <c r="E770" i="21" s="1"/>
  <c r="E771" i="21" a="1"/>
  <c r="E771" i="21" s="1"/>
  <c r="E772" i="21" a="1"/>
  <c r="E772" i="21" s="1"/>
  <c r="E773" i="21" a="1"/>
  <c r="E773" i="21" s="1"/>
  <c r="E774" i="21" a="1"/>
  <c r="E774" i="21"/>
  <c r="E775" i="21" a="1"/>
  <c r="E775" i="21" s="1"/>
  <c r="E776" i="21" a="1"/>
  <c r="E776" i="21" s="1"/>
  <c r="E777" i="21" a="1"/>
  <c r="E777" i="21" s="1"/>
  <c r="E778" i="21" a="1"/>
  <c r="E778" i="21" s="1"/>
  <c r="E779" i="21" a="1"/>
  <c r="E779" i="21" s="1"/>
  <c r="E780" i="21" a="1"/>
  <c r="E780" i="21" s="1"/>
  <c r="E781" i="21" a="1"/>
  <c r="E781" i="21" s="1"/>
  <c r="E782" i="21" a="1"/>
  <c r="E782" i="21"/>
  <c r="E783" i="21" a="1"/>
  <c r="E783" i="21" s="1"/>
  <c r="E784" i="21" a="1"/>
  <c r="E784" i="21" s="1"/>
  <c r="E785" i="21" a="1"/>
  <c r="E785" i="21" s="1"/>
  <c r="E786" i="21" a="1"/>
  <c r="E786" i="21" s="1"/>
  <c r="E787" i="21" a="1"/>
  <c r="E787" i="21" s="1"/>
  <c r="E788" i="21" a="1"/>
  <c r="E788" i="21" s="1"/>
  <c r="E789" i="21" a="1"/>
  <c r="E789" i="21" s="1"/>
  <c r="E790" i="21" a="1"/>
  <c r="E790" i="21"/>
  <c r="E791" i="21" a="1"/>
  <c r="E791" i="21" s="1"/>
  <c r="E792" i="21" a="1"/>
  <c r="E792" i="21" s="1"/>
  <c r="E793" i="21" a="1"/>
  <c r="E793" i="21" s="1"/>
  <c r="E794" i="21" a="1"/>
  <c r="E794" i="21" s="1"/>
  <c r="E795" i="21" a="1"/>
  <c r="E795" i="21" s="1"/>
  <c r="E796" i="21" a="1"/>
  <c r="E796" i="21" s="1"/>
  <c r="E797" i="21" a="1"/>
  <c r="E797" i="21" s="1"/>
  <c r="E798" i="21" a="1"/>
  <c r="E798" i="21"/>
  <c r="E799" i="21" a="1"/>
  <c r="E799" i="21" s="1"/>
  <c r="E800" i="21" a="1"/>
  <c r="E800" i="21" s="1"/>
  <c r="E801" i="21" a="1"/>
  <c r="E801" i="21" s="1"/>
  <c r="E802" i="21" a="1"/>
  <c r="E802" i="21" s="1"/>
  <c r="E803" i="21" a="1"/>
  <c r="E803" i="21" s="1"/>
  <c r="E804" i="21" a="1"/>
  <c r="E804" i="21" s="1"/>
  <c r="E805" i="21" a="1"/>
  <c r="E805" i="21" s="1"/>
  <c r="E806" i="21" a="1"/>
  <c r="E806" i="21"/>
  <c r="E807" i="21" a="1"/>
  <c r="E807" i="21" s="1"/>
  <c r="E808" i="21" a="1"/>
  <c r="E808" i="21" s="1"/>
  <c r="E809" i="21" a="1"/>
  <c r="E809" i="21" s="1"/>
  <c r="E810" i="21" a="1"/>
  <c r="E810" i="21" s="1"/>
  <c r="E811" i="21" a="1"/>
  <c r="E811" i="21" s="1"/>
  <c r="E812" i="21" a="1"/>
  <c r="E812" i="21" s="1"/>
  <c r="E813" i="21" a="1"/>
  <c r="E813" i="21" s="1"/>
  <c r="E814" i="21" a="1"/>
  <c r="E814" i="21"/>
  <c r="E815" i="21" a="1"/>
  <c r="E815" i="21" s="1"/>
  <c r="E816" i="21" a="1"/>
  <c r="E816" i="21" s="1"/>
  <c r="E817" i="21" a="1"/>
  <c r="E817" i="21" s="1"/>
  <c r="E818" i="21" a="1"/>
  <c r="E818" i="21" s="1"/>
  <c r="E819" i="21" a="1"/>
  <c r="E819" i="21" s="1"/>
  <c r="E820" i="21" a="1"/>
  <c r="E820" i="21" s="1"/>
  <c r="E821" i="21" a="1"/>
  <c r="E821" i="21" s="1"/>
  <c r="E822" i="21" a="1"/>
  <c r="E822" i="21"/>
  <c r="E823" i="21" a="1"/>
  <c r="E823" i="21" s="1"/>
  <c r="E824" i="21" a="1"/>
  <c r="E824" i="21" s="1"/>
  <c r="E825" i="21" a="1"/>
  <c r="E825" i="21" s="1"/>
  <c r="E826" i="21" a="1"/>
  <c r="E826" i="21" s="1"/>
  <c r="E827" i="21" a="1"/>
  <c r="E827" i="21" s="1"/>
  <c r="E828" i="21" a="1"/>
  <c r="E828" i="21" s="1"/>
  <c r="E829" i="21" a="1"/>
  <c r="E829" i="21" s="1"/>
  <c r="E830" i="21" a="1"/>
  <c r="E830" i="21" s="1"/>
  <c r="E831" i="21" a="1"/>
  <c r="E831" i="21" s="1"/>
  <c r="E832" i="21" a="1"/>
  <c r="E832" i="21" s="1"/>
  <c r="E833" i="21" a="1"/>
  <c r="E833" i="21" s="1"/>
  <c r="E834" i="21" a="1"/>
  <c r="E834" i="21" s="1"/>
  <c r="E835" i="21" a="1"/>
  <c r="E835" i="21" s="1"/>
  <c r="E836" i="21" a="1"/>
  <c r="E836" i="21" s="1"/>
  <c r="E837" i="21" a="1"/>
  <c r="E837" i="21" s="1"/>
  <c r="E838" i="21" a="1"/>
  <c r="E838" i="21" s="1"/>
  <c r="E839" i="21" a="1"/>
  <c r="E839" i="21" s="1"/>
  <c r="E840" i="21" a="1"/>
  <c r="E840" i="21" s="1"/>
  <c r="E841" i="21" a="1"/>
  <c r="E841" i="21" s="1"/>
  <c r="E842" i="21" a="1"/>
  <c r="E842" i="21" s="1"/>
  <c r="E843" i="21" a="1"/>
  <c r="E843" i="21" s="1"/>
  <c r="E844" i="21" a="1"/>
  <c r="E844" i="21" s="1"/>
  <c r="E845" i="21" a="1"/>
  <c r="E845" i="21" s="1"/>
  <c r="E846" i="21" a="1"/>
  <c r="E846" i="21" s="1"/>
  <c r="E847" i="21" a="1"/>
  <c r="E847" i="21" s="1"/>
  <c r="E848" i="21" a="1"/>
  <c r="E848" i="21" s="1"/>
  <c r="E849" i="21" a="1"/>
  <c r="E849" i="21" s="1"/>
  <c r="E850" i="21" a="1"/>
  <c r="E850" i="21" s="1"/>
  <c r="E851" i="21" a="1"/>
  <c r="E851" i="21" s="1"/>
  <c r="E852" i="21" a="1"/>
  <c r="E852" i="21" s="1"/>
  <c r="E853" i="21" a="1"/>
  <c r="E853" i="21" s="1"/>
  <c r="E854" i="21" a="1"/>
  <c r="E854" i="21" s="1"/>
  <c r="E855" i="21" a="1"/>
  <c r="E855" i="21" s="1"/>
  <c r="E856" i="21" a="1"/>
  <c r="E856" i="21" s="1"/>
  <c r="E857" i="21" a="1"/>
  <c r="E857" i="21" s="1"/>
  <c r="E858" i="21" a="1"/>
  <c r="E858" i="21" s="1"/>
  <c r="E859" i="21" a="1"/>
  <c r="E859" i="21" s="1"/>
  <c r="E860" i="21" a="1"/>
  <c r="E860" i="21" s="1"/>
  <c r="E861" i="21" a="1"/>
  <c r="E861" i="21" s="1"/>
  <c r="E862" i="21" a="1"/>
  <c r="E862" i="21" s="1"/>
  <c r="E863" i="21" a="1"/>
  <c r="E863" i="21" s="1"/>
  <c r="E864" i="21" a="1"/>
  <c r="E864" i="21" s="1"/>
  <c r="E865" i="21" a="1"/>
  <c r="E865" i="21" s="1"/>
  <c r="E866" i="21" a="1"/>
  <c r="E866" i="21" s="1"/>
  <c r="E867" i="21" a="1"/>
  <c r="E867" i="21" s="1"/>
  <c r="E868" i="21" a="1"/>
  <c r="E868" i="21" s="1"/>
  <c r="E869" i="21" a="1"/>
  <c r="E869" i="21" s="1"/>
  <c r="E870" i="21" a="1"/>
  <c r="E870" i="21" s="1"/>
  <c r="E871" i="21" a="1"/>
  <c r="E871" i="21" s="1"/>
  <c r="E872" i="21" a="1"/>
  <c r="E872" i="21" s="1"/>
  <c r="E873" i="21" a="1"/>
  <c r="E873" i="21" s="1"/>
  <c r="E874" i="21" a="1"/>
  <c r="E874" i="21" s="1"/>
  <c r="E875" i="21" a="1"/>
  <c r="E875" i="21" s="1"/>
  <c r="E876" i="21" a="1"/>
  <c r="E876" i="21" s="1"/>
  <c r="E877" i="21" a="1"/>
  <c r="E877" i="21" s="1"/>
  <c r="E878" i="21" a="1"/>
  <c r="E878" i="21" s="1"/>
  <c r="E879" i="21" a="1"/>
  <c r="E879" i="21" s="1"/>
  <c r="E880" i="21" a="1"/>
  <c r="E880" i="21" s="1"/>
  <c r="E881" i="21" a="1"/>
  <c r="E881" i="21" s="1"/>
  <c r="E882" i="21" a="1"/>
  <c r="E882" i="21" s="1"/>
  <c r="E883" i="21" a="1"/>
  <c r="E883" i="21" s="1"/>
  <c r="E884" i="21" a="1"/>
  <c r="E884" i="21" s="1"/>
  <c r="E885" i="21" a="1"/>
  <c r="E885" i="21" s="1"/>
  <c r="E886" i="21" a="1"/>
  <c r="E886" i="21" s="1"/>
  <c r="E887" i="21" a="1"/>
  <c r="E887" i="21" s="1"/>
  <c r="E888" i="21" a="1"/>
  <c r="E888" i="21" s="1"/>
  <c r="E889" i="21" a="1"/>
  <c r="E889" i="21" s="1"/>
  <c r="E890" i="21" a="1"/>
  <c r="E890" i="21" s="1"/>
  <c r="E891" i="21" a="1"/>
  <c r="E891" i="21" s="1"/>
  <c r="E892" i="21" a="1"/>
  <c r="E892" i="21" s="1"/>
  <c r="E893" i="21" a="1"/>
  <c r="E893" i="21" s="1"/>
  <c r="E894" i="21" a="1"/>
  <c r="E894" i="21" s="1"/>
  <c r="E895" i="21" a="1"/>
  <c r="E895" i="21" s="1"/>
  <c r="E896" i="21" a="1"/>
  <c r="E896" i="21" s="1"/>
  <c r="E897" i="21" a="1"/>
  <c r="E897" i="21" s="1"/>
  <c r="E898" i="21" a="1"/>
  <c r="E898" i="21" s="1"/>
  <c r="E899" i="21" a="1"/>
  <c r="E899" i="21" s="1"/>
  <c r="E900" i="21" a="1"/>
  <c r="E900" i="21" s="1"/>
  <c r="E901" i="21" a="1"/>
  <c r="E901" i="21" s="1"/>
  <c r="E902" i="21" a="1"/>
  <c r="E902" i="21" s="1"/>
  <c r="E903" i="21" a="1"/>
  <c r="E903" i="21" s="1"/>
  <c r="E904" i="21" a="1"/>
  <c r="E904" i="21" s="1"/>
  <c r="E905" i="21" a="1"/>
  <c r="E905" i="21" s="1"/>
  <c r="E906" i="21" a="1"/>
  <c r="E906" i="21" s="1"/>
  <c r="E907" i="21" a="1"/>
  <c r="E907" i="21" s="1"/>
  <c r="E908" i="21" a="1"/>
  <c r="E908" i="21" s="1"/>
  <c r="E909" i="21" a="1"/>
  <c r="E909" i="21" s="1"/>
  <c r="E910" i="21" a="1"/>
  <c r="E910" i="21" s="1"/>
  <c r="E911" i="21" a="1"/>
  <c r="E911" i="21" s="1"/>
  <c r="E912" i="21" a="1"/>
  <c r="E912" i="21" s="1"/>
  <c r="E913" i="21" a="1"/>
  <c r="E913" i="21" s="1"/>
  <c r="E914" i="21" a="1"/>
  <c r="E914" i="21" s="1"/>
  <c r="E2" i="21" a="1"/>
  <c r="E2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0B4600-0D5F-41D5-9402-81DB50FF35A2}" keepAlive="1" name="Query - orders_expanded" description="Connection to the 'orders_expanded' query in the workbook." type="5" refreshedVersion="8" background="1" saveData="1">
    <dbPr connection="Provider=Microsoft.Mashup.OleDb.1;Data Source=$Workbook$;Location=orders_expanded;Extended Properties=&quot;&quot;" command="SELECT * FROM [orders_expanded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<sst xmlns="http://schemas.openxmlformats.org/spreadsheetml/2006/main" count="33807" uniqueCount="8036">
  <si>
    <t>Order ID</t>
  </si>
  <si>
    <t>Order Date</t>
  </si>
  <si>
    <t>Customer ID</t>
  </si>
  <si>
    <t>Customer Name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</si>
  <si>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</si>
  <si>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</si>
  <si>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</si>
  <si>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</si>
  <si>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</si>
  <si>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</si>
  <si>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</si>
  <si>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</si>
  <si>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</si>
  <si>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</si>
  <si>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</si>
  <si>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</si>
  <si>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</si>
  <si>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</si>
  <si>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</si>
  <si>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</si>
  <si>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</si>
  <si>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</si>
  <si>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</si>
  <si>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</si>
  <si>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</si>
  <si>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</si>
  <si>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</si>
  <si>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</si>
  <si>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</si>
  <si>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</si>
  <si>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</si>
  <si>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</si>
  <si>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</si>
  <si>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</si>
  <si>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</si>
  <si>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</si>
  <si>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</si>
  <si>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</si>
  <si>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</si>
  <si>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</si>
  <si>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</si>
  <si>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</si>
  <si>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</si>
  <si>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</si>
  <si>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</si>
  <si>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</si>
  <si>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</si>
  <si>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</si>
  <si>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</si>
  <si>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</si>
  <si>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</si>
  <si>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</si>
  <si>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</si>
  <si>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</si>
  <si>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</si>
  <si>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</si>
  <si>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</si>
  <si>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</si>
  <si>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</si>
  <si>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</si>
  <si>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</si>
  <si>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</si>
  <si>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</si>
  <si>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</si>
  <si>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</si>
  <si>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</si>
  <si>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</si>
  <si>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</si>
  <si>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</si>
  <si>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</si>
  <si>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</si>
  <si>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</si>
  <si>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</si>
  <si>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</si>
  <si>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</si>
  <si>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</si>
  <si>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</si>
  <si>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</si>
  <si>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</si>
  <si>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</si>
  <si>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</si>
  <si>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</si>
  <si>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</si>
  <si>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</si>
  <si>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</si>
  <si>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</si>
  <si>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</si>
  <si>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</si>
  <si>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</si>
  <si>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</si>
  <si>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</si>
  <si>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</si>
  <si>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</si>
  <si>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</si>
  <si>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</si>
  <si>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</si>
  <si>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</si>
  <si>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</si>
  <si>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</si>
  <si>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</si>
  <si>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</si>
  <si>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</si>
  <si>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</si>
  <si>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</si>
  <si>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</si>
  <si>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</si>
  <si>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</si>
  <si>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</si>
  <si>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</si>
  <si>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</si>
  <si>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</si>
  <si>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</si>
  <si>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</si>
  <si>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</si>
  <si>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</si>
  <si>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</si>
  <si>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</si>
  <si>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</si>
  <si>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</si>
  <si>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</si>
  <si>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</si>
  <si>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</si>
  <si>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</si>
  <si>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</si>
  <si>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</si>
  <si>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</si>
  <si>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</si>
  <si>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</si>
  <si>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</si>
  <si>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</si>
  <si>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</si>
  <si>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</si>
  <si>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</si>
  <si>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</si>
  <si>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</si>
  <si>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</si>
  <si>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</si>
  <si>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</si>
  <si>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</si>
  <si>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</si>
  <si>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</si>
  <si>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</si>
  <si>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</si>
  <si>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</si>
  <si>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</si>
  <si>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</si>
  <si>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</si>
  <si>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</si>
  <si>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</si>
  <si>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</si>
  <si>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</si>
  <si>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</si>
  <si>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</si>
  <si>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</si>
  <si>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</si>
  <si>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</si>
  <si>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</si>
  <si>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</si>
  <si>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</si>
  <si>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</si>
  <si>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</si>
  <si>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</si>
  <si>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</si>
  <si>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</si>
  <si>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</si>
  <si>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</si>
  <si>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</si>
  <si>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</si>
  <si>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</si>
  <si>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</si>
  <si>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</si>
  <si>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</si>
  <si>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</si>
  <si>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</si>
  <si>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</si>
  <si>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</si>
  <si>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</si>
  <si>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</si>
  <si>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</si>
  <si>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</si>
  <si>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</si>
  <si>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</si>
  <si>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</si>
  <si>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</si>
  <si>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</si>
  <si>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</si>
  <si>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</si>
  <si>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</si>
  <si>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</si>
  <si>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</si>
  <si>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</si>
  <si>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</si>
  <si>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</si>
  <si>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</si>
  <si>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</si>
  <si>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</si>
  <si>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</si>
  <si>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</si>
  <si>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</si>
  <si>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</si>
  <si>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</si>
  <si>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</si>
  <si>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</si>
  <si>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</si>
  <si>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</si>
  <si>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</si>
  <si>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</si>
  <si>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</si>
  <si>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</si>
  <si>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</si>
  <si>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</si>
  <si>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</si>
  <si>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</si>
  <si>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</si>
  <si>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</si>
  <si>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</si>
  <si>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</si>
  <si>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</si>
  <si>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</si>
  <si>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</si>
  <si>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</si>
  <si>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</si>
  <si>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</si>
  <si>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</si>
  <si>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</si>
  <si>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</si>
  <si>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</si>
  <si>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</si>
  <si>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</si>
  <si>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</si>
  <si>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</si>
  <si>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</si>
  <si>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</si>
  <si>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</si>
  <si>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</si>
  <si>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</si>
  <si>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</si>
  <si>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</si>
  <si>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</si>
  <si>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</si>
  <si>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</si>
  <si>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</si>
  <si>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</si>
  <si>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</si>
  <si>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</si>
  <si>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</si>
  <si>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</si>
  <si>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</si>
  <si>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</si>
  <si>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</si>
  <si>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</si>
  <si>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</si>
  <si>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</si>
  <si>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</si>
  <si>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</si>
  <si>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</si>
  <si>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</si>
  <si>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</si>
  <si>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</si>
  <si>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</si>
  <si>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</si>
  <si>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</si>
  <si>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</si>
  <si>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</si>
  <si>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</si>
  <si>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</si>
  <si>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</si>
  <si>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</si>
  <si>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</si>
  <si>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</si>
  <si>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</si>
  <si>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</si>
  <si>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</si>
  <si>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</si>
  <si>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</si>
  <si>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</si>
  <si>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</si>
  <si>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</si>
  <si>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</si>
  <si>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</si>
  <si>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</si>
  <si>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</si>
  <si>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</si>
  <si>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</si>
  <si>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</si>
  <si>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</si>
  <si>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</si>
  <si>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</si>
  <si>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</si>
  <si>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</si>
  <si>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</si>
  <si>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</si>
  <si>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</si>
  <si>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</si>
  <si>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</si>
  <si>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</si>
  <si>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</si>
  <si>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</si>
  <si>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</si>
  <si>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</si>
  <si>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</si>
  <si>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</si>
  <si>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</si>
  <si>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</si>
  <si>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</si>
  <si>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</si>
  <si>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</si>
  <si>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</si>
  <si>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</si>
  <si>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</si>
  <si>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</si>
  <si>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</si>
  <si>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</si>
  <si>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</si>
  <si>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</si>
  <si>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</si>
  <si>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</si>
  <si>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</si>
  <si>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</si>
  <si>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</si>
  <si>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</si>
  <si>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</si>
  <si>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</si>
  <si>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</si>
  <si>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</si>
  <si>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</si>
  <si>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</si>
  <si>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</si>
  <si>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</si>
  <si>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</si>
  <si>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</si>
  <si>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</si>
  <si>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</si>
  <si>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</si>
  <si>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</si>
  <si>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</si>
  <si>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</si>
  <si>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</si>
  <si>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</si>
  <si>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</si>
  <si>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</si>
  <si>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</si>
  <si>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</si>
  <si>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</si>
  <si>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</si>
  <si>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</si>
  <si>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</si>
  <si>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</si>
  <si>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</si>
  <si>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</si>
  <si>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</si>
  <si>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</si>
  <si>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</si>
  <si>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</si>
  <si>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</si>
  <si>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</si>
  <si>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</si>
  <si>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</si>
  <si>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</si>
  <si>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</si>
  <si>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</si>
  <si>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</si>
  <si>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</si>
  <si>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</si>
  <si>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</si>
  <si>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</si>
  <si>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</si>
  <si>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</si>
  <si>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</si>
  <si>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</si>
  <si>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</si>
  <si>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</si>
  <si>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</si>
  <si>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</si>
  <si>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</si>
  <si>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</si>
  <si>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</si>
  <si>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</si>
  <si>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</si>
  <si>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</si>
  <si>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</si>
  <si>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</si>
  <si>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</si>
  <si>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</si>
  <si>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</si>
  <si>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</si>
  <si>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</si>
  <si>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</si>
  <si>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</si>
  <si>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</si>
  <si>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</si>
  <si>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</si>
  <si>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</si>
  <si>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</si>
  <si>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</si>
  <si>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</si>
  <si>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</si>
  <si>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</si>
  <si>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</si>
  <si>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</si>
  <si>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</si>
  <si>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</si>
  <si>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</si>
  <si>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</si>
  <si>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</si>
  <si>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</si>
  <si>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</si>
  <si>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</si>
  <si>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</si>
  <si>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</si>
  <si>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</si>
  <si>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</si>
  <si>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</si>
  <si>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</si>
  <si>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</si>
  <si>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</si>
  <si>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</si>
  <si>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</si>
  <si>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</si>
  <si>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</si>
  <si>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</si>
  <si>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</si>
  <si>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</si>
  <si>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</si>
  <si>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</si>
  <si>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</si>
  <si>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</si>
  <si>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</si>
  <si>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</si>
  <si>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</si>
  <si>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</si>
  <si>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</si>
  <si>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</si>
  <si>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</si>
  <si>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</si>
  <si>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</si>
  <si>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</si>
  <si>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</si>
  <si>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</si>
  <si>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</si>
  <si>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</si>
  <si>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</si>
  <si>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</si>
  <si>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</si>
  <si>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</si>
  <si>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</si>
  <si>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</si>
  <si>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</si>
  <si>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</si>
  <si>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</si>
  <si>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</si>
  <si>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</si>
  <si>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</si>
  <si>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</si>
  <si>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</si>
  <si>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</si>
  <si>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</si>
  <si>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</si>
  <si>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</si>
  <si>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</si>
  <si>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</si>
  <si>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</si>
  <si>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</si>
  <si>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</si>
  <si>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</si>
  <si>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</si>
  <si>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</si>
  <si>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</si>
  <si>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</si>
  <si>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</si>
  <si>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</si>
  <si>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</si>
  <si>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</si>
  <si>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</si>
  <si>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</si>
  <si>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</si>
  <si>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</si>
  <si>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</si>
  <si>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</si>
  <si>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</si>
  <si>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</si>
  <si>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</si>
  <si>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</si>
  <si>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</si>
  <si>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</si>
  <si>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</si>
  <si>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</si>
  <si>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</si>
  <si>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</si>
  <si>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73342-18763-UW</t>
  </si>
  <si>
    <t>Piotr Bote</t>
  </si>
  <si>
    <t>FAA-43335-268</t>
  </si>
  <si>
    <t>21125-22134-PX</t>
  </si>
  <si>
    <t>Jami Redholes</t>
  </si>
  <si>
    <t>71253-00052-RN</t>
  </si>
  <si>
    <t>Dene Azema</t>
  </si>
  <si>
    <t>KAC-83089-793</t>
  </si>
  <si>
    <t>23806-46781-OU</t>
  </si>
  <si>
    <t>Christoffer O' Shea</t>
  </si>
  <si>
    <t>Cill Airne</t>
  </si>
  <si>
    <t>N41</t>
  </si>
  <si>
    <t>CVP-18956-553</t>
  </si>
  <si>
    <t>86561-91660-RB</t>
  </si>
  <si>
    <t>Beryle Cottier</t>
  </si>
  <si>
    <t>IPP-31994-879</t>
  </si>
  <si>
    <t>65223-29612-CB</t>
  </si>
  <si>
    <t>Shaylynn Lobe</t>
  </si>
  <si>
    <t>SNZ-65340-705</t>
  </si>
  <si>
    <t>21134-81676-FR</t>
  </si>
  <si>
    <t>Melvin Wharfe</t>
  </si>
  <si>
    <t>EZT-46571-659</t>
  </si>
  <si>
    <t>03396-68805-ZC</t>
  </si>
  <si>
    <t>Guthrey Petracci</t>
  </si>
  <si>
    <t>NWQ-70061-912</t>
  </si>
  <si>
    <t>61021-27840-ZN</t>
  </si>
  <si>
    <t>Rodger Raven</t>
  </si>
  <si>
    <t>BKK-47233-845</t>
  </si>
  <si>
    <t>76239-90137-UQ</t>
  </si>
  <si>
    <t>Ferrell Ferber</t>
  </si>
  <si>
    <t>VQR-01002-970</t>
  </si>
  <si>
    <t>49315-21985-BB</t>
  </si>
  <si>
    <t>Duky Phizackerly</t>
  </si>
  <si>
    <t>SZW-48378-399</t>
  </si>
  <si>
    <t>34136-36674-OM</t>
  </si>
  <si>
    <t>Rosaleen Scholar</t>
  </si>
  <si>
    <t>ITA-87418-783</t>
  </si>
  <si>
    <t>39396-12890-PE</t>
  </si>
  <si>
    <t>Terence Vanyutin</t>
  </si>
  <si>
    <t>GNZ-46006-527</t>
  </si>
  <si>
    <t>95875-73336-RG</t>
  </si>
  <si>
    <t>Patrice Trobe</t>
  </si>
  <si>
    <t>FYQ-78248-319</t>
  </si>
  <si>
    <t>25473-43727-BY</t>
  </si>
  <si>
    <t>Llywellyn Oscroft</t>
  </si>
  <si>
    <t>VAU-44387-624</t>
  </si>
  <si>
    <t>99643-51048-IQ</t>
  </si>
  <si>
    <t>Minni Alabaster</t>
  </si>
  <si>
    <t>RDW-33155-159</t>
  </si>
  <si>
    <t>62173-15287-CU</t>
  </si>
  <si>
    <t>Rhianon Broxup</t>
  </si>
  <si>
    <t>TDZ-59011-211</t>
  </si>
  <si>
    <t>57611-05522-ST</t>
  </si>
  <si>
    <t>Pall Redford</t>
  </si>
  <si>
    <t>IDU-25793-399</t>
  </si>
  <si>
    <t>76664-37050-DT</t>
  </si>
  <si>
    <t>Aurea Corradino</t>
  </si>
  <si>
    <t>84565-53984-SX</t>
  </si>
  <si>
    <t>Kendal Scardefield</t>
  </si>
  <si>
    <t>NUO-20013-488</t>
  </si>
  <si>
    <t>03090-88267-BQ</t>
  </si>
  <si>
    <t>Avrit Davidowsky</t>
  </si>
  <si>
    <t>UQU-65630-479</t>
  </si>
  <si>
    <t>37651-47492-NC</t>
  </si>
  <si>
    <t>Annabel Antuk</t>
  </si>
  <si>
    <t>FEO-11834-332</t>
  </si>
  <si>
    <t>95399-57205-HI</t>
  </si>
  <si>
    <t>Iorgo Kleinert</t>
  </si>
  <si>
    <t>TKY-71558-096</t>
  </si>
  <si>
    <t>24010-66714-HW</t>
  </si>
  <si>
    <t>Chrisy Blofeld</t>
  </si>
  <si>
    <t>OXY-65322-253</t>
  </si>
  <si>
    <t>07591-92789-UA</t>
  </si>
  <si>
    <t>Culley Farris</t>
  </si>
  <si>
    <t>EVP-43500-491</t>
  </si>
  <si>
    <t>49231-44455-IC</t>
  </si>
  <si>
    <t>Selene Shales</t>
  </si>
  <si>
    <t>WAG-26945-689</t>
  </si>
  <si>
    <t>50124-88608-EO</t>
  </si>
  <si>
    <t>Vivie Danneil</t>
  </si>
  <si>
    <t>CHE-78995-767</t>
  </si>
  <si>
    <t>00888-74814-UZ</t>
  </si>
  <si>
    <t>Theresita Newbury</t>
  </si>
  <si>
    <t>RYZ-14633-602</t>
  </si>
  <si>
    <t>14158-30713-OB</t>
  </si>
  <si>
    <t>Mozelle Calcutt</t>
  </si>
  <si>
    <t>WOQ-36015-429</t>
  </si>
  <si>
    <t>51427-89175-QJ</t>
  </si>
  <si>
    <t>Adrian Swaine</t>
  </si>
  <si>
    <t>52082-49024-ON</t>
  </si>
  <si>
    <t>Ray Leivesley</t>
  </si>
  <si>
    <t>04540-43685-DV</t>
  </si>
  <si>
    <t>Nelly Basezzi</t>
  </si>
  <si>
    <t>SCT-60553-454</t>
  </si>
  <si>
    <t>39123-12846-YJ</t>
  </si>
  <si>
    <t>Gallard Gatheral</t>
  </si>
  <si>
    <t>GFK-52063-244</t>
  </si>
  <si>
    <t>44981-99666-XB</t>
  </si>
  <si>
    <t>Una Welberry</t>
  </si>
  <si>
    <t>AMM-79521-378</t>
  </si>
  <si>
    <t>24825-51803-CQ</t>
  </si>
  <si>
    <t>Faber Eilhart</t>
  </si>
  <si>
    <t>QUQ-90580-772</t>
  </si>
  <si>
    <t>77634-13918-GJ</t>
  </si>
  <si>
    <t>Zorina Ponting</t>
  </si>
  <si>
    <t>LGD-24408-274</t>
  </si>
  <si>
    <t>13694-25001-LX</t>
  </si>
  <si>
    <t>Silvio Strase</t>
  </si>
  <si>
    <t>HCT-95608-959</t>
  </si>
  <si>
    <t>08523-01791-TI</t>
  </si>
  <si>
    <t>Dorie de la Tremoille</t>
  </si>
  <si>
    <t>OFX-99147-470</t>
  </si>
  <si>
    <t>49860-68865-AB</t>
  </si>
  <si>
    <t>Hy Zanetto</t>
  </si>
  <si>
    <t>LUO-37559-016</t>
  </si>
  <si>
    <t>21240-83132-SP</t>
  </si>
  <si>
    <t>Jessica McNess</t>
  </si>
  <si>
    <t>XWC-20610-167</t>
  </si>
  <si>
    <t>08350-81623-TF</t>
  </si>
  <si>
    <t>Lorenzo Yeoland</t>
  </si>
  <si>
    <t>GPU-79113-136</t>
  </si>
  <si>
    <t>73284-01385-SJ</t>
  </si>
  <si>
    <t>Abigail Tolworthy</t>
  </si>
  <si>
    <t>Ogden</t>
  </si>
  <si>
    <t>ULR-52653-960</t>
  </si>
  <si>
    <t>04152-34436-IE</t>
  </si>
  <si>
    <t>Maurie Bartol</t>
  </si>
  <si>
    <t>HPI-42308-142</t>
  </si>
  <si>
    <t>06631-86965-XP</t>
  </si>
  <si>
    <t>Olag Baudassi</t>
  </si>
  <si>
    <t>XHI-30227-581</t>
  </si>
  <si>
    <t>54619-08558-ZU</t>
  </si>
  <si>
    <t>Petey Kingsbury</t>
  </si>
  <si>
    <t>DJH-05202-380</t>
  </si>
  <si>
    <t>85589-17020-CX</t>
  </si>
  <si>
    <t>Donna Baskeyfied</t>
  </si>
  <si>
    <t>VMW-26889-781</t>
  </si>
  <si>
    <t>36078-91009-WU</t>
  </si>
  <si>
    <t>Arda Curley</t>
  </si>
  <si>
    <t>DBU-81099-586</t>
  </si>
  <si>
    <t>15770-27099-GX</t>
  </si>
  <si>
    <t>Raynor McGilvary</t>
  </si>
  <si>
    <t>PQA-54820-810</t>
  </si>
  <si>
    <t>91460-04823-BX</t>
  </si>
  <si>
    <t>Isis Pikett</t>
  </si>
  <si>
    <t>XKB-41924-202</t>
  </si>
  <si>
    <t>45089-52817-WN</t>
  </si>
  <si>
    <t>Inger Bouldon</t>
  </si>
  <si>
    <t>DWZ-69106-473</t>
  </si>
  <si>
    <t>76447-50326-IC</t>
  </si>
  <si>
    <t>Karry Flanders</t>
  </si>
  <si>
    <t>YHV-68700-050</t>
  </si>
  <si>
    <t>26333-67911-OL</t>
  </si>
  <si>
    <t>Hartley Mattioli</t>
  </si>
  <si>
    <t>40768-49176-BL</t>
  </si>
  <si>
    <t>Horatio Rubberts</t>
  </si>
  <si>
    <t>KRB-88066-642</t>
  </si>
  <si>
    <t>22107-86640-SB</t>
  </si>
  <si>
    <t>Archambault Gillard</t>
  </si>
  <si>
    <t>LQU-08404-173</t>
  </si>
  <si>
    <t>09960-34242-LZ</t>
  </si>
  <si>
    <t>Salomo Cushworth</t>
  </si>
  <si>
    <t>CWK-60159-881</t>
  </si>
  <si>
    <t>04671-85591-RT</t>
  </si>
  <si>
    <t>Theda Grizard</t>
  </si>
  <si>
    <t>EEG-74197-843</t>
  </si>
  <si>
    <t>25729-68859-UA</t>
  </si>
  <si>
    <t>Rozele Relton</t>
  </si>
  <si>
    <t>UCZ-59708-525</t>
  </si>
  <si>
    <t>05501-86351-NX</t>
  </si>
  <si>
    <t>Willa Rolling</t>
  </si>
  <si>
    <t>HUB-47311-849</t>
  </si>
  <si>
    <t>04521-04300-OK</t>
  </si>
  <si>
    <t>Stanislaus Gilroy</t>
  </si>
  <si>
    <t>WYM-17686-694</t>
  </si>
  <si>
    <t>58689-55264-VK</t>
  </si>
  <si>
    <t>Correy Cottingham</t>
  </si>
  <si>
    <t>ZYQ-15797-695</t>
  </si>
  <si>
    <t>79436-73011-MM</t>
  </si>
  <si>
    <t>Pammi Endacott</t>
  </si>
  <si>
    <t>EEJ-16185-108</t>
  </si>
  <si>
    <t>65552-60476-KY</t>
  </si>
  <si>
    <t>Nona Linklater</t>
  </si>
  <si>
    <t>RWR-77888-800</t>
  </si>
  <si>
    <t>69904-02729-YS</t>
  </si>
  <si>
    <t>Annadiane Dykes</t>
  </si>
  <si>
    <t>LHN-75209-742</t>
  </si>
  <si>
    <t>01433-04270-AX</t>
  </si>
  <si>
    <t>Felecia Dodgson</t>
  </si>
  <si>
    <t>TIR-71396-998</t>
  </si>
  <si>
    <t>14204-14186-LA</t>
  </si>
  <si>
    <t>Angelia Cockrem</t>
  </si>
  <si>
    <t>RXF-37618-213</t>
  </si>
  <si>
    <t>32948-34398-HC</t>
  </si>
  <si>
    <t>Belvia Umpleby</t>
  </si>
  <si>
    <t>ANM-16388-634</t>
  </si>
  <si>
    <t>77343-52608-FF</t>
  </si>
  <si>
    <t>Nat Saleway</t>
  </si>
  <si>
    <t>WYL-29300-070</t>
  </si>
  <si>
    <t>42770-36274-QA</t>
  </si>
  <si>
    <t>Hayward Goulter</t>
  </si>
  <si>
    <t>JHW-74554-805</t>
  </si>
  <si>
    <t>14103-58987-ZU</t>
  </si>
  <si>
    <t>Gay Rizzello</t>
  </si>
  <si>
    <t>L33</t>
  </si>
  <si>
    <t>KYS-27063-603</t>
  </si>
  <si>
    <t>69958-32065-SW</t>
  </si>
  <si>
    <t>Shannon List</t>
  </si>
  <si>
    <t>GAZ-58626-277</t>
  </si>
  <si>
    <t>69533-84907-FA</t>
  </si>
  <si>
    <t>Shirlene Edmondson</t>
  </si>
  <si>
    <t>RPJ-37787-335</t>
  </si>
  <si>
    <t>76005-95461-CI</t>
  </si>
  <si>
    <t>Aurlie McCarl</t>
  </si>
  <si>
    <t>LEF-83057-763</t>
  </si>
  <si>
    <t>15395-90855-VB</t>
  </si>
  <si>
    <t>Alikee Carryer</t>
  </si>
  <si>
    <t>RPW-36123-215</t>
  </si>
  <si>
    <t>80640-45811-LB</t>
  </si>
  <si>
    <t>Jennifer Rangall</t>
  </si>
  <si>
    <t>WLL-59044-117</t>
  </si>
  <si>
    <t>28476-04082-GR</t>
  </si>
  <si>
    <t>Kipper Boorn</t>
  </si>
  <si>
    <t>AWT-22827-563</t>
  </si>
  <si>
    <t>12018-75670-EU</t>
  </si>
  <si>
    <t>Melania Beadle</t>
  </si>
  <si>
    <t>QLM-07145-668</t>
  </si>
  <si>
    <t>86437-17399-FK</t>
  </si>
  <si>
    <t>Colene Elgey</t>
  </si>
  <si>
    <t>HVQ-64398-930</t>
  </si>
  <si>
    <t>62979-53167-ML</t>
  </si>
  <si>
    <t>Lothaire Mizzi</t>
  </si>
  <si>
    <t>WRT-40778-247</t>
  </si>
  <si>
    <t>54810-81899-HL</t>
  </si>
  <si>
    <t>Cletis Giacomazzo</t>
  </si>
  <si>
    <t>SUB-13006-125</t>
  </si>
  <si>
    <t>26103-41504-IB</t>
  </si>
  <si>
    <t>Ami Arnow</t>
  </si>
  <si>
    <t>CQM-49696-263</t>
  </si>
  <si>
    <t>76534-45229-SG</t>
  </si>
  <si>
    <t>Sheppard Yann</t>
  </si>
  <si>
    <t>KXN-85094-246</t>
  </si>
  <si>
    <t>81744-27332-RR</t>
  </si>
  <si>
    <t>Bunny Naulls</t>
  </si>
  <si>
    <t>XOQ-12405-419</t>
  </si>
  <si>
    <t>91513-75657-PH</t>
  </si>
  <si>
    <t>Hally Lorait</t>
  </si>
  <si>
    <t>HYF-10254-369</t>
  </si>
  <si>
    <t>30373-66619-CB</t>
  </si>
  <si>
    <t>Zaccaria Sherewood</t>
  </si>
  <si>
    <t>XXJ-47000-307</t>
  </si>
  <si>
    <t>31582-23562-FM</t>
  </si>
  <si>
    <t>Jeffrey Dufaire</t>
  </si>
  <si>
    <t>58638-01029-CB</t>
  </si>
  <si>
    <t>Blancha McAmish</t>
  </si>
  <si>
    <t>ZDK-82166-357</t>
  </si>
  <si>
    <t>81431-12577-VD</t>
  </si>
  <si>
    <t>Beitris Keaveney</t>
  </si>
  <si>
    <t>IHN-19982-362</t>
  </si>
  <si>
    <t>68894-91205-MP</t>
  </si>
  <si>
    <t>Elna Grise</t>
  </si>
  <si>
    <t>VMT-10030-889</t>
  </si>
  <si>
    <t>87602-55754-VN</t>
  </si>
  <si>
    <t>Torie Gottelier</t>
  </si>
  <si>
    <t>NHL-11063-100</t>
  </si>
  <si>
    <t>39181-35745-WH</t>
  </si>
  <si>
    <t>Loydie Langlais</t>
  </si>
  <si>
    <t>ROV-87448-086</t>
  </si>
  <si>
    <t>30381-64762-NG</t>
  </si>
  <si>
    <t>Adham Greenhead</t>
  </si>
  <si>
    <t>DGY-35773-612</t>
  </si>
  <si>
    <t>17503-27693-ZH</t>
  </si>
  <si>
    <t>Hamish MacSherry</t>
  </si>
  <si>
    <t>YWH-50638-556</t>
  </si>
  <si>
    <t>89442-35633-HJ</t>
  </si>
  <si>
    <t>Else Langcaster</t>
  </si>
  <si>
    <t>ISL-11200-600</t>
  </si>
  <si>
    <t>13654-85265-IL</t>
  </si>
  <si>
    <t>Rudy Farquharson</t>
  </si>
  <si>
    <t>LBZ-75997-047</t>
  </si>
  <si>
    <t>40946-22090-FP</t>
  </si>
  <si>
    <t>Norene Magauran</t>
  </si>
  <si>
    <t>EUH-08089-954</t>
  </si>
  <si>
    <t>29050-93691-TS</t>
  </si>
  <si>
    <t>Vicki Kirdsch</t>
  </si>
  <si>
    <t>BLD-12227-251</t>
  </si>
  <si>
    <t>64395-74865-WF</t>
  </si>
  <si>
    <t>Ilysa Whapple</t>
  </si>
  <si>
    <t>OPY-30711-853</t>
  </si>
  <si>
    <t>81861-66046-SU</t>
  </si>
  <si>
    <t>Ruy Cancellieri</t>
  </si>
  <si>
    <t>DBC-44122-300</t>
  </si>
  <si>
    <t>13366-78506-KP</t>
  </si>
  <si>
    <t>Aube Follett</t>
  </si>
  <si>
    <t>FJQ-60035-234</t>
  </si>
  <si>
    <t>08847-29858-HN</t>
  </si>
  <si>
    <t>Rudiger Di Bartolomeo</t>
  </si>
  <si>
    <t>HSF-66926-425</t>
  </si>
  <si>
    <t>00539-42510-RY</t>
  </si>
  <si>
    <t>Nickey Youles</t>
  </si>
  <si>
    <t>LQG-41416-375</t>
  </si>
  <si>
    <t>45190-08727-NV</t>
  </si>
  <si>
    <t>Dyanna Aizikovitz</t>
  </si>
  <si>
    <t>VZO-97265-841</t>
  </si>
  <si>
    <t>87049-37901-FU</t>
  </si>
  <si>
    <t>Bram Revel</t>
  </si>
  <si>
    <t>MOR-12987-399</t>
  </si>
  <si>
    <t>34015-31593-JC</t>
  </si>
  <si>
    <t>Emiline Priddis</t>
  </si>
  <si>
    <t>UOA-23786-489</t>
  </si>
  <si>
    <t>90305-50099-SV</t>
  </si>
  <si>
    <t>Queenie Veel</t>
  </si>
  <si>
    <t>AJL-52941-018</t>
  </si>
  <si>
    <t>55871-61935-MF</t>
  </si>
  <si>
    <t>Lind Conyers</t>
  </si>
  <si>
    <t>XSZ-84273-421</t>
  </si>
  <si>
    <t>15405-60469-TM</t>
  </si>
  <si>
    <t>Pen Wye</t>
  </si>
  <si>
    <t>NUN-48214-216</t>
  </si>
  <si>
    <t>06953-94794-FB</t>
  </si>
  <si>
    <t>Isahella Hagland</t>
  </si>
  <si>
    <t>AKV-93064-769</t>
  </si>
  <si>
    <t>22305-40299-CY</t>
  </si>
  <si>
    <t>Terry Sheryn</t>
  </si>
  <si>
    <t>BRB-40903-533</t>
  </si>
  <si>
    <t>09020-56774-GU</t>
  </si>
  <si>
    <t>Marie-jeanne Redgrave</t>
  </si>
  <si>
    <t>GPR-19973-483</t>
  </si>
  <si>
    <t>92926-08470-YS</t>
  </si>
  <si>
    <t>Betty Fominov</t>
  </si>
  <si>
    <t>XIY-43041-882</t>
  </si>
  <si>
    <t>07250-63194-JO</t>
  </si>
  <si>
    <t>Shawnee Critchlow</t>
  </si>
  <si>
    <t>YGY-98425-969</t>
  </si>
  <si>
    <t>63787-96257-TQ</t>
  </si>
  <si>
    <t>Merrel Steptow</t>
  </si>
  <si>
    <t>MSB-08397-648</t>
  </si>
  <si>
    <t>49530-25460-RW</t>
  </si>
  <si>
    <t>Carmina Hubbuck</t>
  </si>
  <si>
    <t>WDR-06028-345</t>
  </si>
  <si>
    <t>66508-21373-OQ</t>
  </si>
  <si>
    <t>Ingeberg Mulliner</t>
  </si>
  <si>
    <t>MXM-42948-061</t>
  </si>
  <si>
    <t>20203-03950-FY</t>
  </si>
  <si>
    <t>Geneva Standley</t>
  </si>
  <si>
    <t>MGQ-98961-173</t>
  </si>
  <si>
    <t>83895-90735-XH</t>
  </si>
  <si>
    <t>Brook Drage</t>
  </si>
  <si>
    <t>RFH-64349-897</t>
  </si>
  <si>
    <t>61954-61462-RJ</t>
  </si>
  <si>
    <t>Muffin Yallop</t>
  </si>
  <si>
    <t>TKL-20738-660</t>
  </si>
  <si>
    <t>47939-53158-LS</t>
  </si>
  <si>
    <t>Cordi Switsur</t>
  </si>
  <si>
    <t>38903-46478-ZE</t>
  </si>
  <si>
    <t>Ezri Hows</t>
  </si>
  <si>
    <t>76841-77583-BJ</t>
  </si>
  <si>
    <t>Sylas Becaris</t>
  </si>
  <si>
    <t>GOW-03198-575</t>
  </si>
  <si>
    <t>61513-27752-FA</t>
  </si>
  <si>
    <t>Mahala Ludwell</t>
  </si>
  <si>
    <t>QJB-90477-635</t>
  </si>
  <si>
    <t>89714-19856-WX</t>
  </si>
  <si>
    <t>Doll Beauchamp</t>
  </si>
  <si>
    <t>MWP-46239-785</t>
  </si>
  <si>
    <t>87979-56781-YV</t>
  </si>
  <si>
    <t>Stanford Rodliff</t>
  </si>
  <si>
    <t>QDV-03406-248</t>
  </si>
  <si>
    <t>74126-88836-KA</t>
  </si>
  <si>
    <t>Stevana Woodham</t>
  </si>
  <si>
    <t>GPH-40635-105</t>
  </si>
  <si>
    <t>37397-05992-VO</t>
  </si>
  <si>
    <t>Hewet Synnot</t>
  </si>
  <si>
    <t>JOM-80930-071</t>
  </si>
  <si>
    <t>54904-18397-UD</t>
  </si>
  <si>
    <t>Raleigh Lepere</t>
  </si>
  <si>
    <t>OIL-26493-755</t>
  </si>
  <si>
    <t>19017-95853-EK</t>
  </si>
  <si>
    <t>Timofei Woofinden</t>
  </si>
  <si>
    <t>CYV-13426-645</t>
  </si>
  <si>
    <t>88593-59934-VU</t>
  </si>
  <si>
    <t>Evelina Dacca</t>
  </si>
  <si>
    <t>WRP-39846-614</t>
  </si>
  <si>
    <t>47493-68564-YM</t>
  </si>
  <si>
    <t>Bidget Tremellier</t>
  </si>
  <si>
    <t>VDZ-76673-968</t>
  </si>
  <si>
    <t>82246-82543-DW</t>
  </si>
  <si>
    <t>Bobinette Hindsberg</t>
  </si>
  <si>
    <t>VTV-03546-175</t>
  </si>
  <si>
    <t>03384-62101-IY</t>
  </si>
  <si>
    <t>Osbert Robins</t>
  </si>
  <si>
    <t>GHR-72274-715</t>
  </si>
  <si>
    <t>86881-41559-OR</t>
  </si>
  <si>
    <t>Othello Syseland</t>
  </si>
  <si>
    <t>ZGK-97262-313</t>
  </si>
  <si>
    <t>02536-18494-AQ</t>
  </si>
  <si>
    <t>Ewell Hanby</t>
  </si>
  <si>
    <t>ZFS-30776-804</t>
  </si>
  <si>
    <t>29732-74147-HX</t>
  </si>
  <si>
    <t>Chalmers Havenhand</t>
  </si>
  <si>
    <t>QUU-91729-492</t>
  </si>
  <si>
    <t>90312-11148-LA</t>
  </si>
  <si>
    <t>Lowell Keenleyside</t>
  </si>
  <si>
    <t>PVI-72795-960</t>
  </si>
  <si>
    <t>68239-74809-TF</t>
  </si>
  <si>
    <t>Elonore Joliffe</t>
  </si>
  <si>
    <t>PPP-78935-365</t>
  </si>
  <si>
    <t>91074-60023-IP</t>
  </si>
  <si>
    <t>Abraham Coleman</t>
  </si>
  <si>
    <t>JUO-34131-517</t>
  </si>
  <si>
    <t>07972-83748-JI</t>
  </si>
  <si>
    <t>Rivy Farington</t>
  </si>
  <si>
    <t>ZJE-89333-489</t>
  </si>
  <si>
    <t>08694-57330-XR</t>
  </si>
  <si>
    <t>Vallie Kundt</t>
  </si>
  <si>
    <t>Ballivor</t>
  </si>
  <si>
    <t>LOO-35324-159</t>
  </si>
  <si>
    <t>68412-11126-YJ</t>
  </si>
  <si>
    <t>Boyd Bett</t>
  </si>
  <si>
    <t>JBQ-93412-846</t>
  </si>
  <si>
    <t>69037-66822-DW</t>
  </si>
  <si>
    <t>Julio Armytage</t>
  </si>
  <si>
    <t>EHX-66333-637</t>
  </si>
  <si>
    <t>01297-94364-XH</t>
  </si>
  <si>
    <t>Deana Staite</t>
  </si>
  <si>
    <t>WXG-25759-236</t>
  </si>
  <si>
    <t>39919-06540-ZI</t>
  </si>
  <si>
    <t>Winn Keyse</t>
  </si>
  <si>
    <t>QNA-31113-984</t>
  </si>
  <si>
    <t>60512-78550-WS</t>
  </si>
  <si>
    <t>Osmund Clausen-Thue</t>
  </si>
  <si>
    <t>ZWI-52029-159</t>
  </si>
  <si>
    <t>40172-12000-AU</t>
  </si>
  <si>
    <t>Leonore Francisco</t>
  </si>
  <si>
    <t>42394-07234-AM</t>
  </si>
  <si>
    <t>Adey Lowseley</t>
  </si>
  <si>
    <t>DFS-49954-707</t>
  </si>
  <si>
    <t>39019-13649-CL</t>
  </si>
  <si>
    <t>Giacobo Skingle</t>
  </si>
  <si>
    <t>VYP-89830-878</t>
  </si>
  <si>
    <t>12715-05198-QU</t>
  </si>
  <si>
    <t>Gerard Pirdy</t>
  </si>
  <si>
    <t>AMT-40418-362</t>
  </si>
  <si>
    <t>04513-76520-QO</t>
  </si>
  <si>
    <t>Jacinthe Balsillie</t>
  </si>
  <si>
    <t>NFQ-23241-793</t>
  </si>
  <si>
    <t>88446-59251-SQ</t>
  </si>
  <si>
    <t>Quinton Fouracres</t>
  </si>
  <si>
    <t>JQK-64922-985</t>
  </si>
  <si>
    <t>23779-10274-KN</t>
  </si>
  <si>
    <t>Bettina Leffek</t>
  </si>
  <si>
    <t>YET-17732-678</t>
  </si>
  <si>
    <t>57235-92842-DK</t>
  </si>
  <si>
    <t>Hetti Penson</t>
  </si>
  <si>
    <t>NKW-24945-846</t>
  </si>
  <si>
    <t>75977-30364-AY</t>
  </si>
  <si>
    <t>Jocko Pray</t>
  </si>
  <si>
    <t>VKA-82720-513</t>
  </si>
  <si>
    <t>12299-30914-NG</t>
  </si>
  <si>
    <t>Grete Holborn</t>
  </si>
  <si>
    <t>THA-60599-417</t>
  </si>
  <si>
    <t>59971-35626-YJ</t>
  </si>
  <si>
    <t>Fielding Keinrat</t>
  </si>
  <si>
    <t>MEK-39769-035</t>
  </si>
  <si>
    <t>15380-76513-PS</t>
  </si>
  <si>
    <t>Paulo Yea</t>
  </si>
  <si>
    <t>JAF-18294-750</t>
  </si>
  <si>
    <t>73564-98204-EY</t>
  </si>
  <si>
    <t>Say Risborough</t>
  </si>
  <si>
    <t>TME-59627-221</t>
  </si>
  <si>
    <t>72282-40594-RX</t>
  </si>
  <si>
    <t>Alexa Sizey</t>
  </si>
  <si>
    <t>UDG-65353-824</t>
  </si>
  <si>
    <t>17514-94165-RJ</t>
  </si>
  <si>
    <t>Kari Swede</t>
  </si>
  <si>
    <t>ENQ-42923-176</t>
  </si>
  <si>
    <t>56248-75861-JX</t>
  </si>
  <si>
    <t>Leontine Rubrow</t>
  </si>
  <si>
    <t>CBT-55781-720</t>
  </si>
  <si>
    <t>97855-54761-IS</t>
  </si>
  <si>
    <t>Dottie Tift</t>
  </si>
  <si>
    <t>NEU-86533-016</t>
  </si>
  <si>
    <t>96544-91644-IT</t>
  </si>
  <si>
    <t>Gerardo Schonfeld</t>
  </si>
  <si>
    <t>BYU-58154-603</t>
  </si>
  <si>
    <t>51971-70393-QM</t>
  </si>
  <si>
    <t>Claiborne Feye</t>
  </si>
  <si>
    <t>Castlebridge</t>
  </si>
  <si>
    <t>EHJ-05910-257</t>
  </si>
  <si>
    <t>06812-11924-IK</t>
  </si>
  <si>
    <t>Mina Elstone</t>
  </si>
  <si>
    <t>EIL-44855-309</t>
  </si>
  <si>
    <t>59741-90220-OW</t>
  </si>
  <si>
    <t>Sherman Mewrcik</t>
  </si>
  <si>
    <t>HCA-87224-420</t>
  </si>
  <si>
    <t>62682-27930-PD</t>
  </si>
  <si>
    <t>Tamarah Fero</t>
  </si>
  <si>
    <t>ABO-29054-365</t>
  </si>
  <si>
    <t>00256-19905-YG</t>
  </si>
  <si>
    <t>Stanislaus Valsler</t>
  </si>
  <si>
    <t>TKN-58485-031</t>
  </si>
  <si>
    <t>38890-22576-UI</t>
  </si>
  <si>
    <t>Felita Dauney</t>
  </si>
  <si>
    <t>Castlebellingham</t>
  </si>
  <si>
    <t>RCK-04069-371</t>
  </si>
  <si>
    <t>94573-61802-PH</t>
  </si>
  <si>
    <t>Serena Earley</t>
  </si>
  <si>
    <t>IRJ-67095-738</t>
  </si>
  <si>
    <t>86447-02699-UT</t>
  </si>
  <si>
    <t>Minny Chamberlayne</t>
  </si>
  <si>
    <t>VEA-31961-977</t>
  </si>
  <si>
    <t>51432-27169-KN</t>
  </si>
  <si>
    <t>Bartholemy Flaherty</t>
  </si>
  <si>
    <t>BAF-42286-205</t>
  </si>
  <si>
    <t>43074-00987-PB</t>
  </si>
  <si>
    <t>Oran Colbeck</t>
  </si>
  <si>
    <t>WOR-52762-511</t>
  </si>
  <si>
    <t>04739-85772-QT</t>
  </si>
  <si>
    <t>Elysee Sketch</t>
  </si>
  <si>
    <t>ZWK-03995-815</t>
  </si>
  <si>
    <t>28279-78469-YW</t>
  </si>
  <si>
    <t>Ethelda Hobbing</t>
  </si>
  <si>
    <t>CKF-43291-846</t>
  </si>
  <si>
    <t>91829-99544-DS</t>
  </si>
  <si>
    <t>Odille Thynne</t>
  </si>
  <si>
    <t>RMW-74160-339</t>
  </si>
  <si>
    <t>38978-59582-JP</t>
  </si>
  <si>
    <t>Emlynne Heining</t>
  </si>
  <si>
    <t>FMT-94584-786</t>
  </si>
  <si>
    <t>86504-96610-BH</t>
  </si>
  <si>
    <t>Katerina Melloi</t>
  </si>
  <si>
    <t>NWT-78222-575</t>
  </si>
  <si>
    <t>75986-98864-EZ</t>
  </si>
  <si>
    <t>Tiffany Scardafield</t>
  </si>
  <si>
    <t>EOI-02511-919</t>
  </si>
  <si>
    <t>66776-88682-RG</t>
  </si>
  <si>
    <t>Abrahan Mussen</t>
  </si>
  <si>
    <t>33284-98063-SE</t>
  </si>
  <si>
    <t>Essie Nellies</t>
  </si>
  <si>
    <t>UCT-03935-589</t>
  </si>
  <si>
    <t>85851-78384-DM</t>
  </si>
  <si>
    <t>Anny Mundford</t>
  </si>
  <si>
    <t>SBI-60013-494</t>
  </si>
  <si>
    <t>55232-81621-BX</t>
  </si>
  <si>
    <t>Tory Walas</t>
  </si>
  <si>
    <t>QRA-73277-814</t>
  </si>
  <si>
    <t>80310-92912-JA</t>
  </si>
  <si>
    <t>Isa Blazewicz</t>
  </si>
  <si>
    <t>EQE-31648-909</t>
  </si>
  <si>
    <t>19821-05175-WZ</t>
  </si>
  <si>
    <t>Angie Rizzetti</t>
  </si>
  <si>
    <t>QOO-24615-950</t>
  </si>
  <si>
    <t>01338-83217-GV</t>
  </si>
  <si>
    <t>Mord Meriet</t>
  </si>
  <si>
    <t>WDV-73864-037</t>
  </si>
  <si>
    <t>66044-25298-TA</t>
  </si>
  <si>
    <t>Lawrence Pratt</t>
  </si>
  <si>
    <t>PKR-88575-066</t>
  </si>
  <si>
    <t>28728-47861-TZ</t>
  </si>
  <si>
    <t>Astrix Kitchingham</t>
  </si>
  <si>
    <t>BWR-85735-955</t>
  </si>
  <si>
    <t>32638-38620-AX</t>
  </si>
  <si>
    <t>Burnard Bartholin</t>
  </si>
  <si>
    <t>YFX-64795-136</t>
  </si>
  <si>
    <t>83163-65741-IH</t>
  </si>
  <si>
    <t>Madelene Prinn</t>
  </si>
  <si>
    <t>DDO-71442-967</t>
  </si>
  <si>
    <t>89422-58281-FD</t>
  </si>
  <si>
    <t>Alisun Baudino</t>
  </si>
  <si>
    <t>ILQ-11027-588</t>
  </si>
  <si>
    <t>76293-30918-DQ</t>
  </si>
  <si>
    <t>Philipa Petrushanko</t>
  </si>
  <si>
    <t>KRZ-13868-122</t>
  </si>
  <si>
    <t>86779-84838-EJ</t>
  </si>
  <si>
    <t>Kimberli Mustchin</t>
  </si>
  <si>
    <t>VRM-93594-914</t>
  </si>
  <si>
    <t>66806-41795-MX</t>
  </si>
  <si>
    <t>Emlynne Laird</t>
  </si>
  <si>
    <t>HXL-22497-359</t>
  </si>
  <si>
    <t>64875-71224-UI</t>
  </si>
  <si>
    <t>Marlena Howsden</t>
  </si>
  <si>
    <t>NOP-21394-646</t>
  </si>
  <si>
    <t>16982-35708-BZ</t>
  </si>
  <si>
    <t>Nealson Cuttler</t>
  </si>
  <si>
    <t>62425-26461-RK</t>
  </si>
  <si>
    <t>Crin Vernham</t>
  </si>
  <si>
    <t>71468-76923-BU</t>
  </si>
  <si>
    <t>Jenn Munnings</t>
  </si>
  <si>
    <t>23014-48364-QB</t>
  </si>
  <si>
    <t>Olympie Dautry</t>
  </si>
  <si>
    <t>92588-14671-JM</t>
  </si>
  <si>
    <t>Ingaborg Dunwoody</t>
  </si>
  <si>
    <t>FTV-77095-168</t>
  </si>
  <si>
    <t>66708-26678-QK</t>
  </si>
  <si>
    <t>Adriana Lazarus</t>
  </si>
  <si>
    <t>BOR-02906-411</t>
  </si>
  <si>
    <t>08743-09057-OO</t>
  </si>
  <si>
    <t>Tallie felip</t>
  </si>
  <si>
    <t>WMP-68847-770</t>
  </si>
  <si>
    <t>37490-01572-JW</t>
  </si>
  <si>
    <t>Vanna Le - Count</t>
  </si>
  <si>
    <t>TMO-22785-872</t>
  </si>
  <si>
    <t>01811-60350-CU</t>
  </si>
  <si>
    <t>Sarette Ducarel</t>
  </si>
  <si>
    <t>TJG-73587-353</t>
  </si>
  <si>
    <t>24766-58139-GT</t>
  </si>
  <si>
    <t>Kendra Glison</t>
  </si>
  <si>
    <t>OOU-61343-455</t>
  </si>
  <si>
    <t>90123-70970-NY</t>
  </si>
  <si>
    <t>Nertie Poolman</t>
  </si>
  <si>
    <t>RMA-08327-369</t>
  </si>
  <si>
    <t>93809-05424-MG</t>
  </si>
  <si>
    <t>Orbadiah Duny</t>
  </si>
  <si>
    <t>SFB-97929-779</t>
  </si>
  <si>
    <t>85425-33494-HQ</t>
  </si>
  <si>
    <t>Constance Halfhide</t>
  </si>
  <si>
    <t>AUP-10128-606</t>
  </si>
  <si>
    <t>54387-64897-XC</t>
  </si>
  <si>
    <t>Fransisco Malecky</t>
  </si>
  <si>
    <t>YTW-40242-005</t>
  </si>
  <si>
    <t>01035-70465-UO</t>
  </si>
  <si>
    <t>Anselma Attwater</t>
  </si>
  <si>
    <t>PRP-53390-819</t>
  </si>
  <si>
    <t>84260-39432-ML</t>
  </si>
  <si>
    <t>Minette Whellans</t>
  </si>
  <si>
    <t>GSJ-01065-125</t>
  </si>
  <si>
    <t>69779-40609-RS</t>
  </si>
  <si>
    <t>Dael Camilletti</t>
  </si>
  <si>
    <t>YQU-65147-580</t>
  </si>
  <si>
    <t>80247-70000-HT</t>
  </si>
  <si>
    <t>Emiline Galgey</t>
  </si>
  <si>
    <t>QPM-95832-683</t>
  </si>
  <si>
    <t>35058-04550-VC</t>
  </si>
  <si>
    <t>Murdock Hame</t>
  </si>
  <si>
    <t>Balally</t>
  </si>
  <si>
    <t>BNQ-88920-567</t>
  </si>
  <si>
    <t>27226-53717-SY</t>
  </si>
  <si>
    <t>Ilka Gurnee</t>
  </si>
  <si>
    <t>PUX-47906-110</t>
  </si>
  <si>
    <t>02002-98725-CH</t>
  </si>
  <si>
    <t>Alfy Snowding</t>
  </si>
  <si>
    <t>COL-72079-610</t>
  </si>
  <si>
    <t>38487-01549-MV</t>
  </si>
  <si>
    <t>Godfry Poinsett</t>
  </si>
  <si>
    <t>LBC-45686-819</t>
  </si>
  <si>
    <t>98573-41811-EQ</t>
  </si>
  <si>
    <t>Rem Furman</t>
  </si>
  <si>
    <t>BLQ-03709-265</t>
  </si>
  <si>
    <t>72463-75685-MV</t>
  </si>
  <si>
    <t>Charis Crosier</t>
  </si>
  <si>
    <t>14797-35530-HY</t>
  </si>
  <si>
    <t>Monte Percifull</t>
  </si>
  <si>
    <t>VFZ-91673-181</t>
  </si>
  <si>
    <t>10225-91535-AI</t>
  </si>
  <si>
    <t>Lenka Rushmer</t>
  </si>
  <si>
    <t>WKD-81956-870</t>
  </si>
  <si>
    <t>48090-06534-HI</t>
  </si>
  <si>
    <t>Waneta Edinborough</t>
  </si>
  <si>
    <t>TNI-91067-006</t>
  </si>
  <si>
    <t>80444-58185-FX</t>
  </si>
  <si>
    <t>Bobbe Piggott</t>
  </si>
  <si>
    <t>IZA-61469-812</t>
  </si>
  <si>
    <t>13561-92774-WP</t>
  </si>
  <si>
    <t>Ketty Bromehead</t>
  </si>
  <si>
    <t>PSS-22466-862</t>
  </si>
  <si>
    <t>11550-78378-GE</t>
  </si>
  <si>
    <t>Elsbeth Westerman</t>
  </si>
  <si>
    <t>REH-56504-397</t>
  </si>
  <si>
    <t>90961-35603-RP</t>
  </si>
  <si>
    <t>Anabelle Hutchens</t>
  </si>
  <si>
    <t>ALA-62598-016</t>
  </si>
  <si>
    <t>57145-03803-ZL</t>
  </si>
  <si>
    <t>Noak Wyvill</t>
  </si>
  <si>
    <t>EYE-70374-835</t>
  </si>
  <si>
    <t>89115-11966-VF</t>
  </si>
  <si>
    <t>Beltran Mathon</t>
  </si>
  <si>
    <t>CCZ-19589-212</t>
  </si>
  <si>
    <t>05754-41702-FG</t>
  </si>
  <si>
    <t>Kristos Streight</t>
  </si>
  <si>
    <t>BPT-83989-157</t>
  </si>
  <si>
    <t>84269-49816-ML</t>
  </si>
  <si>
    <t>Portie Cutchie</t>
  </si>
  <si>
    <t>YFH-87456-208</t>
  </si>
  <si>
    <t>23600-98432-ME</t>
  </si>
  <si>
    <t>Sinclare Edsell</t>
  </si>
  <si>
    <t>JLN-14700-924</t>
  </si>
  <si>
    <t>79058-02767-CP</t>
  </si>
  <si>
    <t>Conny Gheraldi</t>
  </si>
  <si>
    <t>JVW-22582-137</t>
  </si>
  <si>
    <t>89208-74646-UK</t>
  </si>
  <si>
    <t>Beryle Kenwell</t>
  </si>
  <si>
    <t>LAA-41879-001</t>
  </si>
  <si>
    <t>11408-81032-UR</t>
  </si>
  <si>
    <t>Tomas Sutty</t>
  </si>
  <si>
    <t>BRV-64870-915</t>
  </si>
  <si>
    <t>32070-55528-UG</t>
  </si>
  <si>
    <t>Samuele Ales0</t>
  </si>
  <si>
    <t>RGJ-12544-083</t>
  </si>
  <si>
    <t>48873-84433-PN</t>
  </si>
  <si>
    <t>Carlie Harce</t>
  </si>
  <si>
    <t>JJX-83339-346</t>
  </si>
  <si>
    <t>32928-18158-OW</t>
  </si>
  <si>
    <t>Craggy Bril</t>
  </si>
  <si>
    <t>BIU-21970-705</t>
  </si>
  <si>
    <t>89711-56688-GG</t>
  </si>
  <si>
    <t>Friederike Drysdale</t>
  </si>
  <si>
    <t>ELJ-87741-745</t>
  </si>
  <si>
    <t>48389-71976-JB</t>
  </si>
  <si>
    <t>Devon Magowan</t>
  </si>
  <si>
    <t>SGI-48226-857</t>
  </si>
  <si>
    <t>84033-80762-EQ</t>
  </si>
  <si>
    <t>Codi Littrell</t>
  </si>
  <si>
    <t>AHV-66988-037</t>
  </si>
  <si>
    <t>12743-00952-KO</t>
  </si>
  <si>
    <t>Christel Speak</t>
  </si>
  <si>
    <t>ISK-42066-094</t>
  </si>
  <si>
    <t>41505-42181-EF</t>
  </si>
  <si>
    <t>Sibella Rushbrooke</t>
  </si>
  <si>
    <t>FTC-35822-530</t>
  </si>
  <si>
    <t>14307-87663-KB</t>
  </si>
  <si>
    <t>Tammie Drynan</t>
  </si>
  <si>
    <t>VSS-56247-688</t>
  </si>
  <si>
    <t>08360-19442-GB</t>
  </si>
  <si>
    <t>Effie Yurkov</t>
  </si>
  <si>
    <t>HVW-25584-144</t>
  </si>
  <si>
    <t>93405-51204-UW</t>
  </si>
  <si>
    <t>Lexie Mallan</t>
  </si>
  <si>
    <t>MUY-15309-209</t>
  </si>
  <si>
    <t>97152-03355-IW</t>
  </si>
  <si>
    <t>Georgena Bentjens</t>
  </si>
  <si>
    <t>VAJ-44572-469</t>
  </si>
  <si>
    <t>79216-73157-TE</t>
  </si>
  <si>
    <t>Delmar Beasant</t>
  </si>
  <si>
    <t>YJU-84377-606</t>
  </si>
  <si>
    <t>20259-47723-AC</t>
  </si>
  <si>
    <t>Lyn Entwistle</t>
  </si>
  <si>
    <t>VNC-93921-469</t>
  </si>
  <si>
    <t>04947-41413-JP</t>
  </si>
  <si>
    <t>Stuart Lafee</t>
  </si>
  <si>
    <t>OGB-91614-810</t>
  </si>
  <si>
    <t>08909-77713-CG</t>
  </si>
  <si>
    <t>Mercedes Acott</t>
  </si>
  <si>
    <t>BQI-61647-496</t>
  </si>
  <si>
    <t>84340-73931-VV</t>
  </si>
  <si>
    <t>Connor Heaviside</t>
  </si>
  <si>
    <t>IOM-51636-823</t>
  </si>
  <si>
    <t>04609-95151-XH</t>
  </si>
  <si>
    <t>Devy Bulbrook</t>
  </si>
  <si>
    <t>GGD-38107-641</t>
  </si>
  <si>
    <t>99562-88650-YF</t>
  </si>
  <si>
    <t>Leia Kernan</t>
  </si>
  <si>
    <t>LTO-95975-728</t>
  </si>
  <si>
    <t>46560-73885-PJ</t>
  </si>
  <si>
    <t>Rosaline McLae</t>
  </si>
  <si>
    <t>IGM-84664-265</t>
  </si>
  <si>
    <t>80179-44620-WN</t>
  </si>
  <si>
    <t>Cleve Blowfelde</t>
  </si>
  <si>
    <t>SKO-45740-621</t>
  </si>
  <si>
    <t>04666-71569-RI</t>
  </si>
  <si>
    <t>Zacharias Kiffe</t>
  </si>
  <si>
    <t>FOJ-02234-063</t>
  </si>
  <si>
    <t>59081-87231-VP</t>
  </si>
  <si>
    <t>Denyse O'Calleran</t>
  </si>
  <si>
    <t>MSJ-11909-468</t>
  </si>
  <si>
    <t>07878-45872-CC</t>
  </si>
  <si>
    <t>Cobby Cromwell</t>
  </si>
  <si>
    <t>DKB-78053-329</t>
  </si>
  <si>
    <t>12444-05174-OO</t>
  </si>
  <si>
    <t>Irv Hay</t>
  </si>
  <si>
    <t>DFZ-45083-941</t>
  </si>
  <si>
    <t>34665-62561-AU</t>
  </si>
  <si>
    <t>Tani Taffarello</t>
  </si>
  <si>
    <t>OTA-40969-710</t>
  </si>
  <si>
    <t>77877-11993-QH</t>
  </si>
  <si>
    <t>Monique Canty</t>
  </si>
  <si>
    <t>GRH-45571-667</t>
  </si>
  <si>
    <t>32291-18308-YZ</t>
  </si>
  <si>
    <t>Javier Kopke</t>
  </si>
  <si>
    <t>NXV-05302-067</t>
  </si>
  <si>
    <t>25754-33191-ZI</t>
  </si>
  <si>
    <t>Mar McIver</t>
  </si>
  <si>
    <t>VZH-86274-142</t>
  </si>
  <si>
    <t>53120-45532-KL</t>
  </si>
  <si>
    <t>Arabella Fransewich</t>
  </si>
  <si>
    <t>Kinsealy-Drinan</t>
  </si>
  <si>
    <t>KIX-93248-135</t>
  </si>
  <si>
    <t>36605-83052-WB</t>
  </si>
  <si>
    <t>Violette Hellmore</t>
  </si>
  <si>
    <t>AXR-10962-010</t>
  </si>
  <si>
    <t>53683-35977-KI</t>
  </si>
  <si>
    <t>Myles Seawright</t>
  </si>
  <si>
    <t>IHS-71573-008</t>
  </si>
  <si>
    <t>07972-83134-NM</t>
  </si>
  <si>
    <t>Silvana Northeast</t>
  </si>
  <si>
    <t>QTR-19001-114</t>
  </si>
  <si>
    <t>23229-79220-TE</t>
  </si>
  <si>
    <t>Annecorinne Leehane</t>
  </si>
  <si>
    <t>WBK-62297-910</t>
  </si>
  <si>
    <t>25514-23938-IQ</t>
  </si>
  <si>
    <t>Monica Fearon</t>
  </si>
  <si>
    <t>OGY-19377-175</t>
  </si>
  <si>
    <t>49084-44492-OJ</t>
  </si>
  <si>
    <t>Barney Chisnell</t>
  </si>
  <si>
    <t>ESR-66651-814</t>
  </si>
  <si>
    <t>76624-72205-CK</t>
  </si>
  <si>
    <t>Jasper Sisneros</t>
  </si>
  <si>
    <t>CPX-46916-770</t>
  </si>
  <si>
    <t>12729-50170-JE</t>
  </si>
  <si>
    <t>Zachariah Carlson</t>
  </si>
  <si>
    <t>Shankill</t>
  </si>
  <si>
    <t>MDC-03318-645</t>
  </si>
  <si>
    <t>43974-44760-QI</t>
  </si>
  <si>
    <t>Warner Maddox</t>
  </si>
  <si>
    <t>SFF-86059-407</t>
  </si>
  <si>
    <t>30585-48726-BK</t>
  </si>
  <si>
    <t>Donnie Hedlestone</t>
  </si>
  <si>
    <t>SCL-94540-788</t>
  </si>
  <si>
    <t>16123-07017-TY</t>
  </si>
  <si>
    <t>Teddi Crowthe</t>
  </si>
  <si>
    <t>HVU-21634-076</t>
  </si>
  <si>
    <t>27723-45097-MH</t>
  </si>
  <si>
    <t>Dorelia Bury</t>
  </si>
  <si>
    <t>XUS-73326-418</t>
  </si>
  <si>
    <t>37078-56703-AF</t>
  </si>
  <si>
    <t>Gussy Broadbear</t>
  </si>
  <si>
    <t>XWD-18933-006</t>
  </si>
  <si>
    <t>79420-11075-MY</t>
  </si>
  <si>
    <t>Emlynne Palfrey</t>
  </si>
  <si>
    <t>HPD-65272-772</t>
  </si>
  <si>
    <t>57504-13456-UO</t>
  </si>
  <si>
    <t>Parsifal Metrick</t>
  </si>
  <si>
    <t>JEG-93140-224</t>
  </si>
  <si>
    <t>53751-57560-CN</t>
  </si>
  <si>
    <t>Christopher Grieveson</t>
  </si>
  <si>
    <t>NNH-62058-950</t>
  </si>
  <si>
    <t>96112-42558-EA</t>
  </si>
  <si>
    <t>Karlan Karby</t>
  </si>
  <si>
    <t>LTD-71429-845</t>
  </si>
  <si>
    <t>03157-23165-UB</t>
  </si>
  <si>
    <t>Flory Crumpe</t>
  </si>
  <si>
    <t>MPV-26985-215</t>
  </si>
  <si>
    <t>51466-52850-AG</t>
  </si>
  <si>
    <t>Amity Chatto</t>
  </si>
  <si>
    <t>IYO-10245-081</t>
  </si>
  <si>
    <t>57145-31023-FK</t>
  </si>
  <si>
    <t>Nanine McCarthy</t>
  </si>
  <si>
    <t>BYZ-39669-954</t>
  </si>
  <si>
    <t>66408-53777-VE</t>
  </si>
  <si>
    <t>Lyndsey Megany</t>
  </si>
  <si>
    <t>EFB-72860-209</t>
  </si>
  <si>
    <t>53035-99701-WG</t>
  </si>
  <si>
    <t>Byram Mergue</t>
  </si>
  <si>
    <t>GMM-72397-378</t>
  </si>
  <si>
    <t>45899-92796-EI</t>
  </si>
  <si>
    <t>Kerr Patise</t>
  </si>
  <si>
    <t>LYP-52345-883</t>
  </si>
  <si>
    <t>17649-28133-PY</t>
  </si>
  <si>
    <t>Mathew Goulter</t>
  </si>
  <si>
    <t>DFK-35846-692</t>
  </si>
  <si>
    <t>49612-33852-CN</t>
  </si>
  <si>
    <t>Marris Grcic</t>
  </si>
  <si>
    <t>XAH-93337-609</t>
  </si>
  <si>
    <t>66976-43829-YG</t>
  </si>
  <si>
    <t>Domeniga Duke</t>
  </si>
  <si>
    <t>QKA-72582-644</t>
  </si>
  <si>
    <t>64852-04619-XZ</t>
  </si>
  <si>
    <t>Violante Skouling</t>
  </si>
  <si>
    <t>ZDK-84567-102</t>
  </si>
  <si>
    <t>58690-31815-VY</t>
  </si>
  <si>
    <t>Isidore Hussey</t>
  </si>
  <si>
    <t>WAV-38301-984</t>
  </si>
  <si>
    <t>62863-81239-DT</t>
  </si>
  <si>
    <t>Cassie Pinkerton</t>
  </si>
  <si>
    <t>KZR-33023-209</t>
  </si>
  <si>
    <t>21177-40725-CF</t>
  </si>
  <si>
    <t>Micki Fero</t>
  </si>
  <si>
    <t>ULM-49433-003</t>
  </si>
  <si>
    <t>99421-80253-UI</t>
  </si>
  <si>
    <t>Cybill Graddell</t>
  </si>
  <si>
    <t>SIB-83254-136</t>
  </si>
  <si>
    <t>45315-50206-DK</t>
  </si>
  <si>
    <t>Dorian Vizor</t>
  </si>
  <si>
    <t>NOK-50349-551</t>
  </si>
  <si>
    <t>09595-95726-OV</t>
  </si>
  <si>
    <t>Eddi Sedgebeer</t>
  </si>
  <si>
    <t>YIS-96268-844</t>
  </si>
  <si>
    <t>60221-67036-TD</t>
  </si>
  <si>
    <t>Ken Lestrange</t>
  </si>
  <si>
    <t>CXI-04933-855</t>
  </si>
  <si>
    <t>62923-29397-KX</t>
  </si>
  <si>
    <t>Lacee Tanti</t>
  </si>
  <si>
    <t>IZU-90429-382</t>
  </si>
  <si>
    <t>33011-52383-BA</t>
  </si>
  <si>
    <t>Arel De Lasci</t>
  </si>
  <si>
    <t>WIT-40912-783</t>
  </si>
  <si>
    <t>86768-91598-FA</t>
  </si>
  <si>
    <t>Trescha Jedrachowicz</t>
  </si>
  <si>
    <t>PSD-57291-590</t>
  </si>
  <si>
    <t>37191-12203-MX</t>
  </si>
  <si>
    <t>Perkin Stonner</t>
  </si>
  <si>
    <t>GOI-41472-677</t>
  </si>
  <si>
    <t>16545-76328-JY</t>
  </si>
  <si>
    <t>Darrin Tingly</t>
  </si>
  <si>
    <t>KTX-17944-494</t>
  </si>
  <si>
    <t>32177-42200-TP</t>
  </si>
  <si>
    <t>Rhodie Whife</t>
  </si>
  <si>
    <t>RDM-99811-230</t>
  </si>
  <si>
    <t>22349-47389-GY</t>
  </si>
  <si>
    <t>Benn Checci</t>
  </si>
  <si>
    <t>JTU-55897-581</t>
  </si>
  <si>
    <t>70290-38099-GB</t>
  </si>
  <si>
    <t>Janifer Bagot</t>
  </si>
  <si>
    <t>CRK-07584-240</t>
  </si>
  <si>
    <t>18741-72071-PP</t>
  </si>
  <si>
    <t>Ermin Beeble</t>
  </si>
  <si>
    <t>MKE-75518-399</t>
  </si>
  <si>
    <t>62588-82624-II</t>
  </si>
  <si>
    <t>Cos Fluin</t>
  </si>
  <si>
    <t>AEL-51169-725</t>
  </si>
  <si>
    <t>37430-29579-HD</t>
  </si>
  <si>
    <t>Eveleen Bletsor</t>
  </si>
  <si>
    <t>ZGM-83108-823</t>
  </si>
  <si>
    <t>84132-22322-QT</t>
  </si>
  <si>
    <t>Paola Brydell</t>
  </si>
  <si>
    <t>JBP-78754-392</t>
  </si>
  <si>
    <t>74330-29286-RO</t>
  </si>
  <si>
    <t>Claudetta Rushe</t>
  </si>
  <si>
    <t>RNH-54912-747</t>
  </si>
  <si>
    <t>37445-17791-NQ</t>
  </si>
  <si>
    <t>Natka Leethem</t>
  </si>
  <si>
    <t>JDS-33440-914</t>
  </si>
  <si>
    <t>58511-10548-ZU</t>
  </si>
  <si>
    <t>Ailene Nesfield</t>
  </si>
  <si>
    <t>SYX-48878-182</t>
  </si>
  <si>
    <t>47725-34771-FJ</t>
  </si>
  <si>
    <t>Stacy Pickworth</t>
  </si>
  <si>
    <t>ZGD-94763-868</t>
  </si>
  <si>
    <t>53086-67334-KT</t>
  </si>
  <si>
    <t>Melli Brockway</t>
  </si>
  <si>
    <t>CZY-70361-485</t>
  </si>
  <si>
    <t>83308-82257-UN</t>
  </si>
  <si>
    <t>Nanny Lush</t>
  </si>
  <si>
    <t>RJR-12175-899</t>
  </si>
  <si>
    <t>37274-08534-FM</t>
  </si>
  <si>
    <t>Selma McMillian</t>
  </si>
  <si>
    <t>ELB-07929-407</t>
  </si>
  <si>
    <t>54004-04664-AA</t>
  </si>
  <si>
    <t>Tess Bennison</t>
  </si>
  <si>
    <t>UJQ-54441-340</t>
  </si>
  <si>
    <t>26822-19510-SD</t>
  </si>
  <si>
    <t>Gabie Tweed</t>
  </si>
  <si>
    <t>37916-57149-GE</t>
  </si>
  <si>
    <t>Freddie Cusick</t>
  </si>
  <si>
    <t>OWY-43108-475</t>
  </si>
  <si>
    <t>06432-73165-ML</t>
  </si>
  <si>
    <t>Gaile Goggin</t>
  </si>
  <si>
    <t>GNO-91911-159</t>
  </si>
  <si>
    <t>96503-31833-CW</t>
  </si>
  <si>
    <t>Skylar Jeyness</t>
  </si>
  <si>
    <t>CNY-06284-066</t>
  </si>
  <si>
    <t>63985-64148-MG</t>
  </si>
  <si>
    <t>Donica Bonhome</t>
  </si>
  <si>
    <t>OQS-46321-904</t>
  </si>
  <si>
    <t>19597-91185-CM</t>
  </si>
  <si>
    <t>Diena Peetermann</t>
  </si>
  <si>
    <t>IBW-87442-480</t>
  </si>
  <si>
    <t>79814-23626-JR</t>
  </si>
  <si>
    <t>Trina Le Sarr</t>
  </si>
  <si>
    <t>DGZ-82537-477</t>
  </si>
  <si>
    <t>43439-94003-DW</t>
  </si>
  <si>
    <t>Flynn Antony</t>
  </si>
  <si>
    <t>LPS-39089-432</t>
  </si>
  <si>
    <t>97655-45555-LI</t>
  </si>
  <si>
    <t>Baudoin Alldridge</t>
  </si>
  <si>
    <t>MQU-86100-929</t>
  </si>
  <si>
    <t>64418-01720-VW</t>
  </si>
  <si>
    <t>Homer Dulany</t>
  </si>
  <si>
    <t>XUR-14132-391</t>
  </si>
  <si>
    <t>96836-09258-RI</t>
  </si>
  <si>
    <t>Lisa Goodger</t>
  </si>
  <si>
    <t>OVI-27064-381</t>
  </si>
  <si>
    <t>33622-01348-PF</t>
  </si>
  <si>
    <t>Fiorenze Drogan</t>
  </si>
  <si>
    <t>SHP-17012-870</t>
  </si>
  <si>
    <t>69529-07533-CV</t>
  </si>
  <si>
    <t>Corine Drewett</t>
  </si>
  <si>
    <t>FDY-03414-903</t>
  </si>
  <si>
    <t>94840-49457-UD</t>
  </si>
  <si>
    <t>Quinn Parsons</t>
  </si>
  <si>
    <t>WXT-85291-143</t>
  </si>
  <si>
    <t>81414-81273-DK</t>
  </si>
  <si>
    <t>Vivyan Ceely</t>
  </si>
  <si>
    <t>QNP-18893-547</t>
  </si>
  <si>
    <t>76930-61689-CH</t>
  </si>
  <si>
    <t>Elonore Goodings</t>
  </si>
  <si>
    <t>DOH-92927-530</t>
  </si>
  <si>
    <t>12839-56537-TQ</t>
  </si>
  <si>
    <t>Clement Vasiliev</t>
  </si>
  <si>
    <t>HGJ-82768-173</t>
  </si>
  <si>
    <t>62741-01322-HU</t>
  </si>
  <si>
    <t>Terencio O'Moylan</t>
  </si>
  <si>
    <t>YPT-95383-088</t>
  </si>
  <si>
    <t>34104-15243-UX</t>
  </si>
  <si>
    <t>Jeddy Vanyarkin</t>
  </si>
  <si>
    <t>OYH-16533-767</t>
  </si>
  <si>
    <t>44932-34838-RM</t>
  </si>
  <si>
    <t>Wyatan Fetherston</t>
  </si>
  <si>
    <t>DWW-28642-549</t>
  </si>
  <si>
    <t>91181-19412-RQ</t>
  </si>
  <si>
    <t>Emmaline Rasmus</t>
  </si>
  <si>
    <t>CGO-79583-871</t>
  </si>
  <si>
    <t>37182-54930-XC</t>
  </si>
  <si>
    <t>Wesley Giorgioni</t>
  </si>
  <si>
    <t>TFY-52090-386</t>
  </si>
  <si>
    <t>08613-17327-XT</t>
  </si>
  <si>
    <t>Lucienne Scargle</t>
  </si>
  <si>
    <t>40507-83899-MR</t>
  </si>
  <si>
    <t>Christy Franseco</t>
  </si>
  <si>
    <t>NYY-73968-094</t>
  </si>
  <si>
    <t>70451-38048-AH</t>
  </si>
  <si>
    <t>Noam Climance</t>
  </si>
  <si>
    <t>QEY-71761-460</t>
  </si>
  <si>
    <t>35442-75769-PL</t>
  </si>
  <si>
    <t>Catarina Donn</t>
  </si>
  <si>
    <t>GKQ-82603-910</t>
  </si>
  <si>
    <t>83737-56117-JE</t>
  </si>
  <si>
    <t>Ameline Snazle</t>
  </si>
  <si>
    <t>IOB-32673-745</t>
  </si>
  <si>
    <t>07095-81281-NJ</t>
  </si>
  <si>
    <t>Rebeka Worg</t>
  </si>
  <si>
    <t>YAU-98893-150</t>
  </si>
  <si>
    <t>77043-48851-HG</t>
  </si>
  <si>
    <t>Lewes Danes</t>
  </si>
  <si>
    <t>XNM-14163-951</t>
  </si>
  <si>
    <t>78224-60622-KH</t>
  </si>
  <si>
    <t>Shelli Keynd</t>
  </si>
  <si>
    <t>JPB-45297-000</t>
  </si>
  <si>
    <t>83105-86631-IU</t>
  </si>
  <si>
    <t>Dell Daveridge</t>
  </si>
  <si>
    <t>MOU-74341-266</t>
  </si>
  <si>
    <t>99358-65399-TC</t>
  </si>
  <si>
    <t>Joshuah Awdry</t>
  </si>
  <si>
    <t>DHJ-87461-571</t>
  </si>
  <si>
    <t>94525-76037-JP</t>
  </si>
  <si>
    <t>Ethel Ryles</t>
  </si>
  <si>
    <t>DKM-97676-850</t>
  </si>
  <si>
    <t>91336-36621-RB</t>
  </si>
  <si>
    <t>Selie Baulcombe</t>
  </si>
  <si>
    <t>UEB-09112-118</t>
  </si>
  <si>
    <t>82718-93677-XO</t>
  </si>
  <si>
    <t>Maitilde Boxill</t>
  </si>
  <si>
    <t>ORZ-67699-748</t>
  </si>
  <si>
    <t>44708-78241-DF</t>
  </si>
  <si>
    <t>Jodee Caldicott</t>
  </si>
  <si>
    <t>JXP-28398-485</t>
  </si>
  <si>
    <t>23039-93032-FN</t>
  </si>
  <si>
    <t>Marianna Vedmore</t>
  </si>
  <si>
    <t>WWH-92259-198</t>
  </si>
  <si>
    <t>35256-12529-FT</t>
  </si>
  <si>
    <t>Willey Romao</t>
  </si>
  <si>
    <t>FLR-82914-153</t>
  </si>
  <si>
    <t>86100-33488-WP</t>
  </si>
  <si>
    <t>Enriqueta Ixor</t>
  </si>
  <si>
    <t>AMB-93600-000</t>
  </si>
  <si>
    <t>64435-53100-WM</t>
  </si>
  <si>
    <t>Tomasina Cotmore</t>
  </si>
  <si>
    <t>FEP-36895-658</t>
  </si>
  <si>
    <t>44699-43836-UH</t>
  </si>
  <si>
    <t>Yuma Skipsey</t>
  </si>
  <si>
    <t>RXW-91413-276</t>
  </si>
  <si>
    <t>29588-35679-RG</t>
  </si>
  <si>
    <t>Nicko Corps</t>
  </si>
  <si>
    <t>09003-89770-JO</t>
  </si>
  <si>
    <t>Christabel Rubury</t>
  </si>
  <si>
    <t>SDB-77492-188</t>
  </si>
  <si>
    <t>64815-54078-HH</t>
  </si>
  <si>
    <t>Feliks Babber</t>
  </si>
  <si>
    <t>RZN-65182-395</t>
  </si>
  <si>
    <t>59572-41990-XY</t>
  </si>
  <si>
    <t>Kaja Loxton</t>
  </si>
  <si>
    <t>HDQ-86094-507</t>
  </si>
  <si>
    <t>32481-61533-ZJ</t>
  </si>
  <si>
    <t>Parker Tofful</t>
  </si>
  <si>
    <t>YXO-79631-417</t>
  </si>
  <si>
    <t>31587-92570-HL</t>
  </si>
  <si>
    <t>Casi Gwinnett</t>
  </si>
  <si>
    <t>SNF-57032-096</t>
  </si>
  <si>
    <t>93832-04799-ID</t>
  </si>
  <si>
    <t>Saree Ellesworth</t>
  </si>
  <si>
    <t>DGL-29648-995</t>
  </si>
  <si>
    <t>59367-30821-ZQ</t>
  </si>
  <si>
    <t>Silvio Iorizzi</t>
  </si>
  <si>
    <t>GPU-65651-504</t>
  </si>
  <si>
    <t>83947-45528-ET</t>
  </si>
  <si>
    <t>Leesa Flaonier</t>
  </si>
  <si>
    <t>OJU-34452-896</t>
  </si>
  <si>
    <t>60799-92593-CX</t>
  </si>
  <si>
    <t>Abba Pummell</t>
  </si>
  <si>
    <t>GZS-50547-887</t>
  </si>
  <si>
    <t>61600-55136-UM</t>
  </si>
  <si>
    <t>Corinna Catcheside</t>
  </si>
  <si>
    <t>ESR-54041-053</t>
  </si>
  <si>
    <t>59771-90302-OF</t>
  </si>
  <si>
    <t>Cortney Gibbonson</t>
  </si>
  <si>
    <t>OGD-10781-526</t>
  </si>
  <si>
    <t>16880-78077-FB</t>
  </si>
  <si>
    <t>Terri Farra</t>
  </si>
  <si>
    <t>FVH-29271-315</t>
  </si>
  <si>
    <t>74415-50873-FC</t>
  </si>
  <si>
    <t>Corney Curme</t>
  </si>
  <si>
    <t>Castleknock</t>
  </si>
  <si>
    <t>BNZ-20544-633</t>
  </si>
  <si>
    <t>31798-95707-NR</t>
  </si>
  <si>
    <t>Gothart Bamfield</t>
  </si>
  <si>
    <t>FUX-85791-078</t>
  </si>
  <si>
    <t>59122-08794-WT</t>
  </si>
  <si>
    <t>Waylin Hollingdale</t>
  </si>
  <si>
    <t>YXP-20078-116</t>
  </si>
  <si>
    <t>37238-52421-JJ</t>
  </si>
  <si>
    <t>Judd De Leek</t>
  </si>
  <si>
    <t>VQV-59984-866</t>
  </si>
  <si>
    <t>48854-01899-FN</t>
  </si>
  <si>
    <t>Vanya Skullet</t>
  </si>
  <si>
    <t>JEH-37276-048</t>
  </si>
  <si>
    <t>80896-38819-DW</t>
  </si>
  <si>
    <t>Jany Rudeforth</t>
  </si>
  <si>
    <t>VYD-28555-589</t>
  </si>
  <si>
    <t>29814-01459-RC</t>
  </si>
  <si>
    <t>Ashbey Tomaszewski</t>
  </si>
  <si>
    <t>WUG-76466-650</t>
  </si>
  <si>
    <t>21815-71230-UT</t>
  </si>
  <si>
    <t>Fanni Marti</t>
  </si>
  <si>
    <t>RJV-08261-583</t>
  </si>
  <si>
    <t>48497-29281-FE</t>
  </si>
  <si>
    <t>Pren Bess</t>
  </si>
  <si>
    <t>PMR-56062-609</t>
  </si>
  <si>
    <t>43605-12616-YH</t>
  </si>
  <si>
    <t>Elka Windress</t>
  </si>
  <si>
    <t>XLD-12920-505</t>
  </si>
  <si>
    <t>21907-75962-VB</t>
  </si>
  <si>
    <t>Marty Kidstoun</t>
  </si>
  <si>
    <t>UBW-50312-037</t>
  </si>
  <si>
    <t>69503-12127-YD</t>
  </si>
  <si>
    <t>Nickey Dimbleby</t>
  </si>
  <si>
    <t>QAW-05889-019</t>
  </si>
  <si>
    <t>68810-07329-EU</t>
  </si>
  <si>
    <t>Virgil Baumadier</t>
  </si>
  <si>
    <t>EPT-12715-397</t>
  </si>
  <si>
    <t>08478-75251-OG</t>
  </si>
  <si>
    <t>Lenore Messenbird</t>
  </si>
  <si>
    <t>DHT-93810-053</t>
  </si>
  <si>
    <t>17005-82030-EA</t>
  </si>
  <si>
    <t>Shirleen Welds</t>
  </si>
  <si>
    <t>DMY-96037-963</t>
  </si>
  <si>
    <t>42179-95059-DO</t>
  </si>
  <si>
    <t>Maisie Sarvar</t>
  </si>
  <si>
    <t>MBM-55936-917</t>
  </si>
  <si>
    <t>55989-39849-WO</t>
  </si>
  <si>
    <t>Andrej Havick</t>
  </si>
  <si>
    <t>TPA-93614-840</t>
  </si>
  <si>
    <t>28932-49296-TM</t>
  </si>
  <si>
    <t>Sloan Diviny</t>
  </si>
  <si>
    <t>WDM-77521-710</t>
  </si>
  <si>
    <t>86144-10144-CB</t>
  </si>
  <si>
    <t>Itch Norquoy</t>
  </si>
  <si>
    <t>EIP-19142-462</t>
  </si>
  <si>
    <t>60973-72562-DQ</t>
  </si>
  <si>
    <t>Anson Iddison</t>
  </si>
  <si>
    <t>94341-60520-PF</t>
  </si>
  <si>
    <t>Dov Sprosson</t>
  </si>
  <si>
    <t>ZZL-76364-387</t>
  </si>
  <si>
    <t>11263-86515-VU</t>
  </si>
  <si>
    <t>Randal Longfield</t>
  </si>
  <si>
    <t>GMF-18638-786</t>
  </si>
  <si>
    <t>60004-62976-NI</t>
  </si>
  <si>
    <t>Gregorius Kislingbury</t>
  </si>
  <si>
    <t>TDJ-20844-787</t>
  </si>
  <si>
    <t>77876-28498-HI</t>
  </si>
  <si>
    <t>Xenos Gibbons</t>
  </si>
  <si>
    <t>BWK-39400-446</t>
  </si>
  <si>
    <t>61302-06948-EH</t>
  </si>
  <si>
    <t>Fleur Parres</t>
  </si>
  <si>
    <t>LCB-02099-995</t>
  </si>
  <si>
    <t>06757-96251-UH</t>
  </si>
  <si>
    <t>Gran Sibray</t>
  </si>
  <si>
    <t>UBA-43678-174</t>
  </si>
  <si>
    <t>44530-75983-OD</t>
  </si>
  <si>
    <t>Ingelbert Hotchkin</t>
  </si>
  <si>
    <t>UDH-24280-432</t>
  </si>
  <si>
    <t>44865-58249-RY</t>
  </si>
  <si>
    <t>Neely Broadberrie</t>
  </si>
  <si>
    <t>IDQ-20193-502</t>
  </si>
  <si>
    <t>36021-61205-DF</t>
  </si>
  <si>
    <t>Rutger Pithcock</t>
  </si>
  <si>
    <t>DJG-14442-608</t>
  </si>
  <si>
    <t>75716-12782-SS</t>
  </si>
  <si>
    <t>Gale Croysdale</t>
  </si>
  <si>
    <t>DWB-61381-370</t>
  </si>
  <si>
    <t>11812-00461-KH</t>
  </si>
  <si>
    <t>Benedetto Gozzett</t>
  </si>
  <si>
    <t>FRD-17347-990</t>
  </si>
  <si>
    <t>46681-78850-ZW</t>
  </si>
  <si>
    <t>Tania Craggs</t>
  </si>
  <si>
    <t>YPP-27450-525</t>
  </si>
  <si>
    <t>01932-87052-KO</t>
  </si>
  <si>
    <t>Leonie Cullrford</t>
  </si>
  <si>
    <t>EFC-39577-424</t>
  </si>
  <si>
    <t>16046-34805-ZF</t>
  </si>
  <si>
    <t>Auguste Rizon</t>
  </si>
  <si>
    <t>LAW-80062-016</t>
  </si>
  <si>
    <t>34546-70516-LR</t>
  </si>
  <si>
    <t>Lorin Guerrazzi</t>
  </si>
  <si>
    <t>WKL-27981-758</t>
  </si>
  <si>
    <t>73699-93557-FZ</t>
  </si>
  <si>
    <t>Felice Miell</t>
  </si>
  <si>
    <t>VRT-39834-265</t>
  </si>
  <si>
    <t>86686-37462-CK</t>
  </si>
  <si>
    <t>Hamish Skeech</t>
  </si>
  <si>
    <t>QTC-71005-730</t>
  </si>
  <si>
    <t>14298-02150-KH</t>
  </si>
  <si>
    <t>Giordano Lorenzin</t>
  </si>
  <si>
    <t>TNX-09857-717</t>
  </si>
  <si>
    <t>48675-07824-HJ</t>
  </si>
  <si>
    <t>Harwilll Bishell</t>
  </si>
  <si>
    <t>JZV-43874-185</t>
  </si>
  <si>
    <t>18551-80943-YQ</t>
  </si>
  <si>
    <t>Freeland Missenden</t>
  </si>
  <si>
    <t>ICF-17486-106</t>
  </si>
  <si>
    <t>19196-09748-DB</t>
  </si>
  <si>
    <t>Waylan Springall</t>
  </si>
  <si>
    <t>BMK-49520-383</t>
  </si>
  <si>
    <t>72233-08665-IP</t>
  </si>
  <si>
    <t>Kiri Avramow</t>
  </si>
  <si>
    <t>HTS-15020-632</t>
  </si>
  <si>
    <t>53817-13148-RK</t>
  </si>
  <si>
    <t>Gregg Hawkyens</t>
  </si>
  <si>
    <t>YLE-18247-749</t>
  </si>
  <si>
    <t>92227-49331-QR</t>
  </si>
  <si>
    <t>Reggis Pracy</t>
  </si>
  <si>
    <t>KJJ-12573-591</t>
  </si>
  <si>
    <t>12997-41076-FQ</t>
  </si>
  <si>
    <t>Paula Denis</t>
  </si>
  <si>
    <t>RGU-43561-950</t>
  </si>
  <si>
    <t>44220-00348-MB</t>
  </si>
  <si>
    <t>Broderick McGilvra</t>
  </si>
  <si>
    <t>JSN-73975-443</t>
  </si>
  <si>
    <t>93047-98331-DD</t>
  </si>
  <si>
    <t>Annabella Danzey</t>
  </si>
  <si>
    <t>WNR-71736-993</t>
  </si>
  <si>
    <t>83537-35563-UF</t>
  </si>
  <si>
    <t>Anthia McKeller</t>
  </si>
  <si>
    <t>01881-40815-VO</t>
  </si>
  <si>
    <t>Faith Powley</t>
  </si>
  <si>
    <t>HNI-91338-546</t>
  </si>
  <si>
    <t>67285-75317-XI</t>
  </si>
  <si>
    <t>Nevins Glowacz</t>
  </si>
  <si>
    <t>CYH-53243-218</t>
  </si>
  <si>
    <t>88167-57964-PH</t>
  </si>
  <si>
    <t>Adelice Isabell</t>
  </si>
  <si>
    <t>SVD-75407-177</t>
  </si>
  <si>
    <t>16106-36039-QS</t>
  </si>
  <si>
    <t>Yulma Dombrell</t>
  </si>
  <si>
    <t>NVN-66443-451</t>
  </si>
  <si>
    <t>98921-82417-GN</t>
  </si>
  <si>
    <t>Alric Darth</t>
  </si>
  <si>
    <t>JUA-13580-095</t>
  </si>
  <si>
    <t>55265-75151-AK</t>
  </si>
  <si>
    <t>Manuel Darrigoe</t>
  </si>
  <si>
    <t>ACY-56225-839</t>
  </si>
  <si>
    <t>47386-50743-FG</t>
  </si>
  <si>
    <t>Kynthia Berick</t>
  </si>
  <si>
    <t>QBB-07903-622</t>
  </si>
  <si>
    <t>32622-54551-UC</t>
  </si>
  <si>
    <t>Minetta Ackrill</t>
  </si>
  <si>
    <t>JLJ-81802-619</t>
  </si>
  <si>
    <t>61516-88984-DK</t>
  </si>
  <si>
    <t>Maximo Bricksey</t>
  </si>
  <si>
    <t>HFT-77191-168</t>
  </si>
  <si>
    <t>48419-02347-XP</t>
  </si>
  <si>
    <t>Melosa Kippen</t>
  </si>
  <si>
    <t>SZR-35951-530</t>
  </si>
  <si>
    <t>14121-20527-OJ</t>
  </si>
  <si>
    <t>Witty Ranson</t>
  </si>
  <si>
    <t>IKL-95976-565</t>
  </si>
  <si>
    <t>53486-73919-BQ</t>
  </si>
  <si>
    <t>Rod Gowdie</t>
  </si>
  <si>
    <t>XEY-48929-474</t>
  </si>
  <si>
    <t>21889-94615-WT</t>
  </si>
  <si>
    <t>Lemuel Rignold</t>
  </si>
  <si>
    <t>SQT-07286-736</t>
  </si>
  <si>
    <t>87726-16941-QW</t>
  </si>
  <si>
    <t>Nevsa Fields</t>
  </si>
  <si>
    <t>QDU-45390-361</t>
  </si>
  <si>
    <t>03677-09134-BC</t>
  </si>
  <si>
    <t>Chance Rowthorn</t>
  </si>
  <si>
    <t>RUJ-30649-712</t>
  </si>
  <si>
    <t>93224-71517-WV</t>
  </si>
  <si>
    <t>Orly Ryland</t>
  </si>
  <si>
    <t>WSV-49732-075</t>
  </si>
  <si>
    <t>76263-95145-GJ</t>
  </si>
  <si>
    <t>Willabella Abramski</t>
  </si>
  <si>
    <t>VJF-46305-323</t>
  </si>
  <si>
    <t>48314-32864-VI</t>
  </si>
  <si>
    <t>Brandy Lottrington</t>
  </si>
  <si>
    <t>CXD-74176-600</t>
  </si>
  <si>
    <t>70624-19112-AO</t>
  </si>
  <si>
    <t>Chickie Ragless</t>
  </si>
  <si>
    <t>ADX-50674-975</t>
  </si>
  <si>
    <t>58916-61837-QH</t>
  </si>
  <si>
    <t>Freda Hollows</t>
  </si>
  <si>
    <t>RRP-51647-420</t>
  </si>
  <si>
    <t>89292-52335-YZ</t>
  </si>
  <si>
    <t>Livy Lathleiff</t>
  </si>
  <si>
    <t>PKJ-99134-523</t>
  </si>
  <si>
    <t>77284-34297-YY</t>
  </si>
  <si>
    <t>Koralle Heads</t>
  </si>
  <si>
    <t>FZQ-29439-457</t>
  </si>
  <si>
    <t>50449-80974-BZ</t>
  </si>
  <si>
    <t>Theo Bowne</t>
  </si>
  <si>
    <t>USN-68115-161</t>
  </si>
  <si>
    <t>08120-16183-AW</t>
  </si>
  <si>
    <t>Rasia Jacquemard</t>
  </si>
  <si>
    <t>Monasterevin</t>
  </si>
  <si>
    <t>IXU-20263-532</t>
  </si>
  <si>
    <t>68044-89277-ML</t>
  </si>
  <si>
    <t>Kizzie Warman</t>
  </si>
  <si>
    <t>CBT-15092-420</t>
  </si>
  <si>
    <t>71364-35210-HS</t>
  </si>
  <si>
    <t>Wain Cholomin</t>
  </si>
  <si>
    <t>PKQ-46841-696</t>
  </si>
  <si>
    <t>37177-68797-ON</t>
  </si>
  <si>
    <t>Arleen Braidman</t>
  </si>
  <si>
    <t>XDU-05471-219</t>
  </si>
  <si>
    <t>60308-06944-GS</t>
  </si>
  <si>
    <t>Pru Durban</t>
  </si>
  <si>
    <t>NID-20149-329</t>
  </si>
  <si>
    <t>49888-39458-PF</t>
  </si>
  <si>
    <t>Antone Harrold</t>
  </si>
  <si>
    <t>SVU-27222-213</t>
  </si>
  <si>
    <t>60748-46813-DZ</t>
  </si>
  <si>
    <t>Sim Pamphilon</t>
  </si>
  <si>
    <t>Ballylinan</t>
  </si>
  <si>
    <t>P56</t>
  </si>
  <si>
    <t>RWI-84131-848</t>
  </si>
  <si>
    <t>16385-11286-NX</t>
  </si>
  <si>
    <t>Mohandis Spurden</t>
  </si>
  <si>
    <t>GUU-40666-525</t>
  </si>
  <si>
    <t>68555-89840-GZ</t>
  </si>
  <si>
    <t>Morgen Seson</t>
  </si>
  <si>
    <t>SCN-51395-066</t>
  </si>
  <si>
    <t>72164-90254-EJ</t>
  </si>
  <si>
    <t>Nalani Pirrone</t>
  </si>
  <si>
    <t>ULA-24644-321</t>
  </si>
  <si>
    <t>67010-92988-CT</t>
  </si>
  <si>
    <t>Reube Cawley</t>
  </si>
  <si>
    <t>EOL-92666-762</t>
  </si>
  <si>
    <t>15776-91507-GT</t>
  </si>
  <si>
    <t>Stan Barribal</t>
  </si>
  <si>
    <t>AJV-18231-334</t>
  </si>
  <si>
    <t>23473-41001-CD</t>
  </si>
  <si>
    <t>Agnes Adamides</t>
  </si>
  <si>
    <t>ZQI-47236-301</t>
  </si>
  <si>
    <t>23446-47798-ID</t>
  </si>
  <si>
    <t>Carmelita Thowes</t>
  </si>
  <si>
    <t>ZCR-15721-658</t>
  </si>
  <si>
    <t>28327-84469-ND</t>
  </si>
  <si>
    <t>Rodolfo Willoway</t>
  </si>
  <si>
    <t>QEW-47945-682</t>
  </si>
  <si>
    <t>42466-87067-DT</t>
  </si>
  <si>
    <t>Alvis Elwin</t>
  </si>
  <si>
    <t>PSY-45485-542</t>
  </si>
  <si>
    <t>62246-99443-HF</t>
  </si>
  <si>
    <t>Araldo Bilbrook</t>
  </si>
  <si>
    <t>BAQ-74241-156</t>
  </si>
  <si>
    <t>99869-55718-UU</t>
  </si>
  <si>
    <t>Ransell McKall</t>
  </si>
  <si>
    <t>BVU-77367-451</t>
  </si>
  <si>
    <t>77421-46059-RY</t>
  </si>
  <si>
    <t>Borg Daile</t>
  </si>
  <si>
    <t>TJE-91516-344</t>
  </si>
  <si>
    <t>49894-06550-OQ</t>
  </si>
  <si>
    <t>Adolphe Treherne</t>
  </si>
  <si>
    <t>LIS-96202-702</t>
  </si>
  <si>
    <t>72028-63343-SU</t>
  </si>
  <si>
    <t>Annetta Brentnall</t>
  </si>
  <si>
    <t>VIO-27668-766</t>
  </si>
  <si>
    <t>10074-20104-NN</t>
  </si>
  <si>
    <t>Dick Drinkall</t>
  </si>
  <si>
    <t>ZVG-20473-043</t>
  </si>
  <si>
    <t>71769-10219-IM</t>
  </si>
  <si>
    <t>Dagny Kornel</t>
  </si>
  <si>
    <t>KGZ-56395-231</t>
  </si>
  <si>
    <t>22221-71106-JD</t>
  </si>
  <si>
    <t>Rhona Lequeux</t>
  </si>
  <si>
    <t>CUU-92244-729</t>
  </si>
  <si>
    <t>99735-44927-OL</t>
  </si>
  <si>
    <t>Julius Mccaull</t>
  </si>
  <si>
    <t>EHE-94714-312</t>
  </si>
  <si>
    <t>27064-10803-SB</t>
  </si>
  <si>
    <t>Jolyn Dymoke</t>
  </si>
  <si>
    <t>RTL-16205-161</t>
  </si>
  <si>
    <t>90440-62727-HI</t>
  </si>
  <si>
    <t>Alberto Hutchinson</t>
  </si>
  <si>
    <t>GTS-22482-014</t>
  </si>
  <si>
    <t>36769-16558-SX</t>
  </si>
  <si>
    <t>Lamond Gheeraert</t>
  </si>
  <si>
    <t>DYG-25473-881</t>
  </si>
  <si>
    <t>10138-31681-SD</t>
  </si>
  <si>
    <t>Roxine Drivers</t>
  </si>
  <si>
    <t>HTR-21838-286</t>
  </si>
  <si>
    <t>24669-76297-SF</t>
  </si>
  <si>
    <t>Heloise Zeal</t>
  </si>
  <si>
    <t>KYG-28296-920</t>
  </si>
  <si>
    <t>78050-20355-DI</t>
  </si>
  <si>
    <t>Granger Smallcombe</t>
  </si>
  <si>
    <t>NNB-20459-430</t>
  </si>
  <si>
    <t>79825-17822-UH</t>
  </si>
  <si>
    <t>Daryn Dibley</t>
  </si>
  <si>
    <t>FEK-14025-351</t>
  </si>
  <si>
    <t>03990-21586-MQ</t>
  </si>
  <si>
    <t>Gardy Dimitriou</t>
  </si>
  <si>
    <t>AWH-16980-469</t>
  </si>
  <si>
    <t>27493-46921-TZ</t>
  </si>
  <si>
    <t>Fanny Flanagan</t>
  </si>
  <si>
    <t>ZPW-31329-741</t>
  </si>
  <si>
    <t>27132-68907-RC</t>
  </si>
  <si>
    <t>Ailey Brash</t>
  </si>
  <si>
    <t>21565-13068-SH</t>
  </si>
  <si>
    <t>Tatiana Thorn</t>
  </si>
  <si>
    <t>04776-34127-MX</t>
  </si>
  <si>
    <t>Wendeline McInerney</t>
  </si>
  <si>
    <t>UBI-83843-396</t>
  </si>
  <si>
    <t>58816-74064-TF</t>
  </si>
  <si>
    <t>Nanny Izhakov</t>
  </si>
  <si>
    <t>VID-40587-569</t>
  </si>
  <si>
    <t>09818-59895-EH</t>
  </si>
  <si>
    <t>Stanly Keets</t>
  </si>
  <si>
    <t>KBB-52530-416</t>
  </si>
  <si>
    <t>06488-46303-IZ</t>
  </si>
  <si>
    <t>Orion Dyott</t>
  </si>
  <si>
    <t>ISJ-48676-420</t>
  </si>
  <si>
    <t>93046-67561-AY</t>
  </si>
  <si>
    <t>Keefer Cake</t>
  </si>
  <si>
    <t>MIF-17920-768</t>
  </si>
  <si>
    <t>68946-40750-LK</t>
  </si>
  <si>
    <t>Morna Hansed</t>
  </si>
  <si>
    <t>CPX-19312-088</t>
  </si>
  <si>
    <t>38387-64959-WW</t>
  </si>
  <si>
    <t>Franny Kienlein</t>
  </si>
  <si>
    <t>RXI-67978-260</t>
  </si>
  <si>
    <t>48418-60841-CC</t>
  </si>
  <si>
    <t>Klarika Egglestone</t>
  </si>
  <si>
    <t>LKE-14821-285</t>
  </si>
  <si>
    <t>13736-92418-JS</t>
  </si>
  <si>
    <t>Becky Semkins</t>
  </si>
  <si>
    <t>LRK-97117-150</t>
  </si>
  <si>
    <t>33000-22405-LO</t>
  </si>
  <si>
    <t>Sean Lorenzetti</t>
  </si>
  <si>
    <t>IGK-51227-573</t>
  </si>
  <si>
    <t>46959-60474-LT</t>
  </si>
  <si>
    <t>Bob Giannazzi</t>
  </si>
  <si>
    <t>ZAY-43009-775</t>
  </si>
  <si>
    <t>73431-39823-UP</t>
  </si>
  <si>
    <t>Kendra Backshell</t>
  </si>
  <si>
    <t>EMA-63190-618</t>
  </si>
  <si>
    <t>90993-98984-JK</t>
  </si>
  <si>
    <t>Uriah Lethbrig</t>
  </si>
  <si>
    <t>FBI-35855-418</t>
  </si>
  <si>
    <t>06552-04430-AG</t>
  </si>
  <si>
    <t>Sky Farnish</t>
  </si>
  <si>
    <t>TXB-80533-417</t>
  </si>
  <si>
    <t>54597-57004-QM</t>
  </si>
  <si>
    <t>Felicia Jecock</t>
  </si>
  <si>
    <t>MBM-00112-248</t>
  </si>
  <si>
    <t>50238-24377-ZS</t>
  </si>
  <si>
    <t>Currey MacAllister</t>
  </si>
  <si>
    <t>EUO-69145-988</t>
  </si>
  <si>
    <t>60370-41934-IF</t>
  </si>
  <si>
    <t>Hamlen Pallister</t>
  </si>
  <si>
    <t>GYA-80327-368</t>
  </si>
  <si>
    <t>06899-54551-EH</t>
  </si>
  <si>
    <t>Chantal Mersh</t>
  </si>
  <si>
    <t>Milltown</t>
  </si>
  <si>
    <t>TNW-41601-420</t>
  </si>
  <si>
    <t>71631-11462-TH</t>
  </si>
  <si>
    <t>Brendin Bredee</t>
  </si>
  <si>
    <t>ALR-62963-723</t>
  </si>
  <si>
    <t>80463-43913-WZ</t>
  </si>
  <si>
    <t>Malynda Purbrick</t>
  </si>
  <si>
    <t>JIG-27636-870</t>
  </si>
  <si>
    <t>67204-04870-LG</t>
  </si>
  <si>
    <t>Alf Housaman</t>
  </si>
  <si>
    <t>CTE-31437-326</t>
  </si>
  <si>
    <t>22721-63196-UJ</t>
  </si>
  <si>
    <t>Gladi Ducker</t>
  </si>
  <si>
    <t>88973-59503-DR</t>
  </si>
  <si>
    <t>Emelita Shearsby</t>
  </si>
  <si>
    <t>29738-86305-ZU</t>
  </si>
  <si>
    <t>Berte Gaddes</t>
  </si>
  <si>
    <t>68493-99734-LP</t>
  </si>
  <si>
    <t>Nadia Erswell</t>
  </si>
  <si>
    <t>SLD-63003-334</t>
  </si>
  <si>
    <t>55515-37571-RS</t>
  </si>
  <si>
    <t>Wain Stearley</t>
  </si>
  <si>
    <t>BXN-64230-789</t>
  </si>
  <si>
    <t>25598-77476-CB</t>
  </si>
  <si>
    <t>Diane-marie Wincer</t>
  </si>
  <si>
    <t>XEE-37895-169</t>
  </si>
  <si>
    <t>14888-85625-TM</t>
  </si>
  <si>
    <t>Perry Lyfield</t>
  </si>
  <si>
    <t>ZTX-80764-911</t>
  </si>
  <si>
    <t>92793-68332-NR</t>
  </si>
  <si>
    <t>Heall Perris</t>
  </si>
  <si>
    <t>WVT-88135-549</t>
  </si>
  <si>
    <t>66458-91190-YC</t>
  </si>
  <si>
    <t>Marja Urion</t>
  </si>
  <si>
    <t>IPA-94170-889</t>
  </si>
  <si>
    <t>64439-27325-LG</t>
  </si>
  <si>
    <t>Camellia Kid</t>
  </si>
  <si>
    <t>YQL-63755-365</t>
  </si>
  <si>
    <t>78570-76770-LB</t>
  </si>
  <si>
    <t>Carolann Beine</t>
  </si>
  <si>
    <t>RKW-81145-984</t>
  </si>
  <si>
    <t>98661-69719-VI</t>
  </si>
  <si>
    <t>Celia Bakeup</t>
  </si>
  <si>
    <t>MBT-23379-866</t>
  </si>
  <si>
    <t>82990-92703-IX</t>
  </si>
  <si>
    <t>Nataniel Helkin</t>
  </si>
  <si>
    <t>GEJ-39834-935</t>
  </si>
  <si>
    <t>49412-86877-VY</t>
  </si>
  <si>
    <t>Pippo Witherington</t>
  </si>
  <si>
    <t>KRW-91640-596</t>
  </si>
  <si>
    <t>70879-00984-FJ</t>
  </si>
  <si>
    <t>Tildie Tilzey</t>
  </si>
  <si>
    <t>AOT-70449-651</t>
  </si>
  <si>
    <t>53414-73391-CR</t>
  </si>
  <si>
    <t>Cindra Burling</t>
  </si>
  <si>
    <t>DGC-21813-731</t>
  </si>
  <si>
    <t>43606-83072-OA</t>
  </si>
  <si>
    <t>Channa Belamy</t>
  </si>
  <si>
    <t>JBE-92943-643</t>
  </si>
  <si>
    <t>84466-22864-CE</t>
  </si>
  <si>
    <t>Karl Imorts</t>
  </si>
  <si>
    <t>ZIL-34948-499</t>
  </si>
  <si>
    <t>44086-16292-EU</t>
  </si>
  <si>
    <t>Philippine Starte</t>
  </si>
  <si>
    <t>JSU-23781-256</t>
  </si>
  <si>
    <t>76499-89100-JQ</t>
  </si>
  <si>
    <t>Mag Armistead</t>
  </si>
  <si>
    <t>15451-65859-BG</t>
  </si>
  <si>
    <t>Janela Lemerle</t>
  </si>
  <si>
    <t>VPX-44956-367</t>
  </si>
  <si>
    <t>39582-35773-ZJ</t>
  </si>
  <si>
    <t>Vasili Upstone</t>
  </si>
  <si>
    <t>VTB-46451-959</t>
  </si>
  <si>
    <t>66240-46962-IO</t>
  </si>
  <si>
    <t>Berty Beelby</t>
  </si>
  <si>
    <t>DNZ-11665-950</t>
  </si>
  <si>
    <t>10637-45522-ID</t>
  </si>
  <si>
    <t>Erny Stenyng</t>
  </si>
  <si>
    <t>ITR-54735-364</t>
  </si>
  <si>
    <t>92599-58687-CS</t>
  </si>
  <si>
    <t>Edin Yantsurev</t>
  </si>
  <si>
    <t>YDS-02797-307</t>
  </si>
  <si>
    <t>06058-48844-PI</t>
  </si>
  <si>
    <t>Webb Speechly</t>
  </si>
  <si>
    <t>BPG-68988-842</t>
  </si>
  <si>
    <t>53631-24432-SY</t>
  </si>
  <si>
    <t>Irvine Phillpot</t>
  </si>
  <si>
    <t>XZG-51938-658</t>
  </si>
  <si>
    <t>18275-73980-KL</t>
  </si>
  <si>
    <t>Lem Pennacci</t>
  </si>
  <si>
    <t>KAR-24978-271</t>
  </si>
  <si>
    <t>23187-65750-HZ</t>
  </si>
  <si>
    <t>Starr Arpin</t>
  </si>
  <si>
    <t>FQK-28730-361</t>
  </si>
  <si>
    <t>22725-79522-GP</t>
  </si>
  <si>
    <t>Donny Fries</t>
  </si>
  <si>
    <t>BGB-67996-089</t>
  </si>
  <si>
    <t>06279-72603-JE</t>
  </si>
  <si>
    <t>Rana Sharer</t>
  </si>
  <si>
    <t>XMC-20620-809</t>
  </si>
  <si>
    <t>83543-79246-ON</t>
  </si>
  <si>
    <t>Nannie Naseby</t>
  </si>
  <si>
    <t>ZSO-58292-191</t>
  </si>
  <si>
    <t>66794-66795-VW</t>
  </si>
  <si>
    <t>Rea Offell</t>
  </si>
  <si>
    <t>LWJ-06793-303</t>
  </si>
  <si>
    <t>95424-67020-AP</t>
  </si>
  <si>
    <t>Kris O'Cullen</t>
  </si>
  <si>
    <t>FLM-82229-989</t>
  </si>
  <si>
    <t>73017-69644-MS</t>
  </si>
  <si>
    <t>Timoteo Glisane</t>
  </si>
  <si>
    <t>CPV-90280-133</t>
  </si>
  <si>
    <t>59361-00606-CU</t>
  </si>
  <si>
    <t>Wyatan Cokly</t>
  </si>
  <si>
    <t>OGW-60685-912</t>
  </si>
  <si>
    <t>67423-10113-LM</t>
  </si>
  <si>
    <t>Hildegarde Brangan</t>
  </si>
  <si>
    <t>DEC-11160-362</t>
  </si>
  <si>
    <t>48582-05061-RY</t>
  </si>
  <si>
    <t>Amii Gallyon</t>
  </si>
  <si>
    <t>WCT-07869-499</t>
  </si>
  <si>
    <t>32031-49093-KE</t>
  </si>
  <si>
    <t>Birgit Domange</t>
  </si>
  <si>
    <t>FHD-89872-325</t>
  </si>
  <si>
    <t>31715-98714-OO</t>
  </si>
  <si>
    <t>Killian Osler</t>
  </si>
  <si>
    <t>AZF-45991-584</t>
  </si>
  <si>
    <t>73759-17258-KA</t>
  </si>
  <si>
    <t>Lora Dukes</t>
  </si>
  <si>
    <t>MDG-14481-513</t>
  </si>
  <si>
    <t>64897-79178-MH</t>
  </si>
  <si>
    <t>Zack Pellett</t>
  </si>
  <si>
    <t>OFN-49424-848</t>
  </si>
  <si>
    <t>73346-85564-JB</t>
  </si>
  <si>
    <t>Ilaire Sprakes</t>
  </si>
  <si>
    <t>NFA-03411-746</t>
  </si>
  <si>
    <t>07476-13102-NJ</t>
  </si>
  <si>
    <t>Heda Fromant</t>
  </si>
  <si>
    <t>CYM-74988-450</t>
  </si>
  <si>
    <t>87223-37422-SK</t>
  </si>
  <si>
    <t>Rufus Flear</t>
  </si>
  <si>
    <t>WTV-24996-658</t>
  </si>
  <si>
    <t>57837-15577-YK</t>
  </si>
  <si>
    <t>Dom Milella</t>
  </si>
  <si>
    <t>DSL-69915-544</t>
  </si>
  <si>
    <t>64247-71448-NK</t>
  </si>
  <si>
    <t>Almire MacAless</t>
  </si>
  <si>
    <t>NBT-35757-542</t>
  </si>
  <si>
    <t>73647-66148-VM</t>
  </si>
  <si>
    <t>Bette-ann Munden</t>
  </si>
  <si>
    <t>OYU-25085-528</t>
  </si>
  <si>
    <t>10142-55267-YO</t>
  </si>
  <si>
    <t>Wilek Lightollers</t>
  </si>
  <si>
    <t>XCG-07109-195</t>
  </si>
  <si>
    <t>92976-19453-DT</t>
  </si>
  <si>
    <t>Nick Brakespear</t>
  </si>
  <si>
    <t>YZA-25234-630</t>
  </si>
  <si>
    <t>89757-51438-HX</t>
  </si>
  <si>
    <t>Malynda Glawsop</t>
  </si>
  <si>
    <t>OKU-29966-417</t>
  </si>
  <si>
    <t>76192-13390-HZ</t>
  </si>
  <si>
    <t>Granville Alberts</t>
  </si>
  <si>
    <t>MEX-29350-659</t>
  </si>
  <si>
    <t>02009-87294-SY</t>
  </si>
  <si>
    <t>Vasily Polglase</t>
  </si>
  <si>
    <t>NOY-99738-977</t>
  </si>
  <si>
    <t>82872-34456-LJ</t>
  </si>
  <si>
    <t>Madelaine Sharples</t>
  </si>
  <si>
    <t>TCR-01064-030</t>
  </si>
  <si>
    <t>13181-04387-LI</t>
  </si>
  <si>
    <t>Sigfrid Busch</t>
  </si>
  <si>
    <t>YUL-42750-776</t>
  </si>
  <si>
    <t>24845-36117-TI</t>
  </si>
  <si>
    <t>Cissiee Raisbeck</t>
  </si>
  <si>
    <t>XQJ-86887-506</t>
  </si>
  <si>
    <t>30256-29772-KK</t>
  </si>
  <si>
    <t>Leslie Laughton</t>
  </si>
  <si>
    <t>CUN-90044-279</t>
  </si>
  <si>
    <t>86646-65810-TD</t>
  </si>
  <si>
    <t>Kenton Wetherick</t>
  </si>
  <si>
    <t>ICC-73030-502</t>
  </si>
  <si>
    <t>59480-02795-IU</t>
  </si>
  <si>
    <t>Reamonn Aynold</t>
  </si>
  <si>
    <t>ADP-04506-084</t>
  </si>
  <si>
    <t>61809-87758-LJ</t>
  </si>
  <si>
    <t>Hatty Dovydenas</t>
  </si>
  <si>
    <t>PNU-22150-408</t>
  </si>
  <si>
    <t>77408-43873-RS</t>
  </si>
  <si>
    <t>Nathaniel Bloxland</t>
  </si>
  <si>
    <t>Daingean</t>
  </si>
  <si>
    <t>VSQ-07182-513</t>
  </si>
  <si>
    <t>18366-65239-WF</t>
  </si>
  <si>
    <t>Brendan Grece</t>
  </si>
  <si>
    <t>SPF-31673-217</t>
  </si>
  <si>
    <t>11107-57605-HS</t>
  </si>
  <si>
    <t>Steffie Maddrell</t>
  </si>
  <si>
    <t>NEX-63825-598</t>
  </si>
  <si>
    <t>72072-33025-SD</t>
  </si>
  <si>
    <t>Abbe Thys</t>
  </si>
  <si>
    <t>XPG-66112-335</t>
  </si>
  <si>
    <t>58118-22461-GC</t>
  </si>
  <si>
    <t>Jackquelin Chugg</t>
  </si>
  <si>
    <t>NSQ-72210-345</t>
  </si>
  <si>
    <t>90940-63327-DJ</t>
  </si>
  <si>
    <t>Audra Kelston</t>
  </si>
  <si>
    <t>XRR-28376-277</t>
  </si>
  <si>
    <t>64481-42546-II</t>
  </si>
  <si>
    <t>Elvina Angel</t>
  </si>
  <si>
    <t>WHQ-25197-475</t>
  </si>
  <si>
    <t>27536-28463-NJ</t>
  </si>
  <si>
    <t>Claiborne Mottram</t>
  </si>
  <si>
    <t>HMB-30634-745</t>
  </si>
  <si>
    <t>66005-20240-MI</t>
  </si>
  <si>
    <t>Dilly Marrison</t>
  </si>
  <si>
    <t>XTL-68000-371</t>
  </si>
  <si>
    <t>70140-82812-KD</t>
  </si>
  <si>
    <t>Donalt Sangwin</t>
  </si>
  <si>
    <t>YES-51109-625</t>
  </si>
  <si>
    <t>91895-55605-LS</t>
  </si>
  <si>
    <t>Elizabet Aizikowitz</t>
  </si>
  <si>
    <t>EAY-89850-211</t>
  </si>
  <si>
    <t>43155-71724-XP</t>
  </si>
  <si>
    <t>Herbie Peppard</t>
  </si>
  <si>
    <t>IOQ-84840-827</t>
  </si>
  <si>
    <t>32038-81174-JF</t>
  </si>
  <si>
    <t>Cornie Venour</t>
  </si>
  <si>
    <t>FBD-56220-430</t>
  </si>
  <si>
    <t>59205-20324-NB</t>
  </si>
  <si>
    <t>Maggy Harby</t>
  </si>
  <si>
    <t>COV-52659-202</t>
  </si>
  <si>
    <t>99899-54612-NX</t>
  </si>
  <si>
    <t>Reggie Thickpenny</t>
  </si>
  <si>
    <t>YUO-76652-814</t>
  </si>
  <si>
    <t>26248-84194-FI</t>
  </si>
  <si>
    <t>Phyllys Ormerod</t>
  </si>
  <si>
    <t>PBT-36926-102</t>
  </si>
  <si>
    <t>19485-98072-PS</t>
  </si>
  <si>
    <t>Don Flintiff</t>
  </si>
  <si>
    <t>BLV-60087-454</t>
  </si>
  <si>
    <t>84493-71314-WX</t>
  </si>
  <si>
    <t>Tymon Zanetti</t>
  </si>
  <si>
    <t>09530-56210-WO</t>
  </si>
  <si>
    <t>Bili Follet</t>
  </si>
  <si>
    <t>QYC-63914-195</t>
  </si>
  <si>
    <t>39789-43945-IV</t>
  </si>
  <si>
    <t>Reinaldos Kirtley</t>
  </si>
  <si>
    <t>OIB-77163-890</t>
  </si>
  <si>
    <t>38972-89678-ZM</t>
  </si>
  <si>
    <t>Carney Clemencet</t>
  </si>
  <si>
    <t>SGS-87525-238</t>
  </si>
  <si>
    <t>91465-84526-IJ</t>
  </si>
  <si>
    <t>Russell Donet</t>
  </si>
  <si>
    <t>GQR-12490-152</t>
  </si>
  <si>
    <t>22832-98538-RB</t>
  </si>
  <si>
    <t>Sidney Gawen</t>
  </si>
  <si>
    <t>UOJ-28238-299</t>
  </si>
  <si>
    <t>30844-91890-ZA</t>
  </si>
  <si>
    <t>Rickey Readie</t>
  </si>
  <si>
    <t>ETD-58130-674</t>
  </si>
  <si>
    <t>64328-37891-JA</t>
  </si>
  <si>
    <t>Conchita Dietzler</t>
  </si>
  <si>
    <t>UPF-60123-025</t>
  </si>
  <si>
    <t>88992-49081-AT</t>
  </si>
  <si>
    <t>Zilvia Claisse</t>
  </si>
  <si>
    <t>NQS-01613-687</t>
  </si>
  <si>
    <t>10204-31464-SA</t>
  </si>
  <si>
    <t>Bar O' Mahony</t>
  </si>
  <si>
    <t>MGH-36050-573</t>
  </si>
  <si>
    <t>75156-80911-YT</t>
  </si>
  <si>
    <t>Valenka Stansbury</t>
  </si>
  <si>
    <t>UVF-59322-459</t>
  </si>
  <si>
    <t>53971-49906-PZ</t>
  </si>
  <si>
    <t>Daniel Heinonen</t>
  </si>
  <si>
    <t>VET-41158-896</t>
  </si>
  <si>
    <t>10728-17633-ST</t>
  </si>
  <si>
    <t>Jewelle Shenton</t>
  </si>
  <si>
    <t>XYL-52196-459</t>
  </si>
  <si>
    <t>13549-65017-VE</t>
  </si>
  <si>
    <t>Jennifer Wilkisson</t>
  </si>
  <si>
    <t>BPZ-51283-916</t>
  </si>
  <si>
    <t>87688-42420-TO</t>
  </si>
  <si>
    <t>Kylie Mowat</t>
  </si>
  <si>
    <t>VQW-91903-926</t>
  </si>
  <si>
    <t>05325-97750-WP</t>
  </si>
  <si>
    <t>Cody Verissimo</t>
  </si>
  <si>
    <t>OLF-77983-457</t>
  </si>
  <si>
    <t>51901-35210-UI</t>
  </si>
  <si>
    <t>Gabriel Starcks</t>
  </si>
  <si>
    <t>MVI-04946-827</t>
  </si>
  <si>
    <t>62483-50867-OM</t>
  </si>
  <si>
    <t>Darby Dummer</t>
  </si>
  <si>
    <t>UOG-94188-104</t>
  </si>
  <si>
    <t>92753-50029-SD</t>
  </si>
  <si>
    <t>Kienan Scholard</t>
  </si>
  <si>
    <t>DSN-15872-519</t>
  </si>
  <si>
    <t>53809-98498-SN</t>
  </si>
  <si>
    <t>Bo Kindley</t>
  </si>
  <si>
    <t>OUQ-73954-002</t>
  </si>
  <si>
    <t>66308-13503-KD</t>
  </si>
  <si>
    <t>Krissie Hammett</t>
  </si>
  <si>
    <t>LGL-16843-667</t>
  </si>
  <si>
    <t>82458-87830-JE</t>
  </si>
  <si>
    <t>Alisha Hulburt</t>
  </si>
  <si>
    <t>TCC-89722-031</t>
  </si>
  <si>
    <t>41611-34336-WT</t>
  </si>
  <si>
    <t>Peyter Lauritzen</t>
  </si>
  <si>
    <t>TRA-79507-007</t>
  </si>
  <si>
    <t>70089-27418-UJ</t>
  </si>
  <si>
    <t>Aurelia Burgwin</t>
  </si>
  <si>
    <t>MZJ-77284-941</t>
  </si>
  <si>
    <t>99978-56910-BN</t>
  </si>
  <si>
    <t>Emalee Rolin</t>
  </si>
  <si>
    <t>AXN-57779-891</t>
  </si>
  <si>
    <t>09668-23340-IC</t>
  </si>
  <si>
    <t>Donavon Fowle</t>
  </si>
  <si>
    <t>PJB-15659-994</t>
  </si>
  <si>
    <t>39457-62611-YK</t>
  </si>
  <si>
    <t>Jorge Bettison</t>
  </si>
  <si>
    <t>LTS-03470-353</t>
  </si>
  <si>
    <t>90985-89807-RW</t>
  </si>
  <si>
    <t>Wang Powlesland</t>
  </si>
  <si>
    <t>UMM-28497-689</t>
  </si>
  <si>
    <t>73171-33001-FC</t>
  </si>
  <si>
    <t>Brendin Peattie</t>
  </si>
  <si>
    <t>MJZ-93232-402</t>
  </si>
  <si>
    <t>17816-67941-ZS</t>
  </si>
  <si>
    <t>Laurence Ellingham</t>
  </si>
  <si>
    <t>UHW-74617-126</t>
  </si>
  <si>
    <t>90816-65619-LM</t>
  </si>
  <si>
    <t>Billy Neiland</t>
  </si>
  <si>
    <t>RIK-61730-794</t>
  </si>
  <si>
    <t>69761-61146-KD</t>
  </si>
  <si>
    <t>Ancell Fendt</t>
  </si>
  <si>
    <t>IDJ-55379-750</t>
  </si>
  <si>
    <t>24040-20817-QB</t>
  </si>
  <si>
    <t>Angelia Cleyburn</t>
  </si>
  <si>
    <t>OHX-11953-965</t>
  </si>
  <si>
    <t>19524-21432-XP</t>
  </si>
  <si>
    <t>Temple Castiglione</t>
  </si>
  <si>
    <t>TVV-42245-088</t>
  </si>
  <si>
    <t>14398-43114-RV</t>
  </si>
  <si>
    <t>Betti Lacasa</t>
  </si>
  <si>
    <t>DYP-74337-787</t>
  </si>
  <si>
    <t>41486-52502-QQ</t>
  </si>
  <si>
    <t>Gunilla Lynch</t>
  </si>
  <si>
    <t>OKA-93124-100</t>
  </si>
  <si>
    <t>62762-19458-UY</t>
  </si>
  <si>
    <t>Vita Pummery</t>
  </si>
  <si>
    <t>IXW-20780-268</t>
  </si>
  <si>
    <t>20236-64364-QL</t>
  </si>
  <si>
    <t>Shay Couronne</t>
  </si>
  <si>
    <t>NGG-24006-937</t>
  </si>
  <si>
    <t>29102-40100-TZ</t>
  </si>
  <si>
    <t>Linus Flippelli</t>
  </si>
  <si>
    <t>JZC-31180-557</t>
  </si>
  <si>
    <t>09171-42203-EB</t>
  </si>
  <si>
    <t>Rachelle Elizabeth</t>
  </si>
  <si>
    <t>ZMU-63715-204</t>
  </si>
  <si>
    <t>29060-75856-UI</t>
  </si>
  <si>
    <t>Innis Renhard</t>
  </si>
  <si>
    <t>GND-08192-056</t>
  </si>
  <si>
    <t>17088-16989-PL</t>
  </si>
  <si>
    <t>Winne Roche</t>
  </si>
  <si>
    <t>RYY-38961-093</t>
  </si>
  <si>
    <t>94022-69223-DP</t>
  </si>
  <si>
    <t>Josy Bus</t>
  </si>
  <si>
    <t>CVA-64996-969</t>
  </si>
  <si>
    <t>13324-78688-MI</t>
  </si>
  <si>
    <t>Cordy Odgaard</t>
  </si>
  <si>
    <t>XTH-67276-442</t>
  </si>
  <si>
    <t>73799-04749-BM</t>
  </si>
  <si>
    <t>Bertine Byrd</t>
  </si>
  <si>
    <t>PVU-02950-470</t>
  </si>
  <si>
    <t>01927-46702-YT</t>
  </si>
  <si>
    <t>Nelie Garnson</t>
  </si>
  <si>
    <t>XSN-26809-910</t>
  </si>
  <si>
    <t>80467-17137-TO</t>
  </si>
  <si>
    <t>Dianne Chardin</t>
  </si>
  <si>
    <t>UDN-88321-005</t>
  </si>
  <si>
    <t>14640-87215-BK</t>
  </si>
  <si>
    <t>Hailee Radbone</t>
  </si>
  <si>
    <t>EXP-21628-670</t>
  </si>
  <si>
    <t>94447-35885-HK</t>
  </si>
  <si>
    <t>Wallis Bernth</t>
  </si>
  <si>
    <t>VGM-24161-361</t>
  </si>
  <si>
    <t>71034-49694-CS</t>
  </si>
  <si>
    <t>Byron Acarson</t>
  </si>
  <si>
    <t>PKN-19556-918</t>
  </si>
  <si>
    <t>00445-42781-KX</t>
  </si>
  <si>
    <t>Faunie Brigham</t>
  </si>
  <si>
    <t>Castlerea</t>
  </si>
  <si>
    <t>14756-18321-CL</t>
  </si>
  <si>
    <t>Linn Alaway</t>
  </si>
  <si>
    <t>37997-75562-PI</t>
  </si>
  <si>
    <t>Cami Meir</t>
  </si>
  <si>
    <t>69981-85767-RP</t>
  </si>
  <si>
    <t>Marcie Aingell</t>
  </si>
  <si>
    <t>DXQ-44537-297</t>
  </si>
  <si>
    <t>96116-24737-LV</t>
  </si>
  <si>
    <t>Marjorie Yoxen</t>
  </si>
  <si>
    <t>BPC-54727-307</t>
  </si>
  <si>
    <t>18684-73088-YL</t>
  </si>
  <si>
    <t>Gaspar McGavin</t>
  </si>
  <si>
    <t>KSH-47717-456</t>
  </si>
  <si>
    <t>74671-55639-TU</t>
  </si>
  <si>
    <t>Lindy Uttermare</t>
  </si>
  <si>
    <t>ANK-59436-446</t>
  </si>
  <si>
    <t>17488-65879-XL</t>
  </si>
  <si>
    <t>Eal D'Ambrogio</t>
  </si>
  <si>
    <t>AYY-83051-752</t>
  </si>
  <si>
    <t>46431-09298-OU</t>
  </si>
  <si>
    <t>Carolee Winchcombe</t>
  </si>
  <si>
    <t>CSW-59644-267</t>
  </si>
  <si>
    <t>60378-26473-FE</t>
  </si>
  <si>
    <t>Benedikta Paumier</t>
  </si>
  <si>
    <t>Ballisodare</t>
  </si>
  <si>
    <t>ITY-92466-909</t>
  </si>
  <si>
    <t>34927-68586-ZV</t>
  </si>
  <si>
    <t>Neville Piatto</t>
  </si>
  <si>
    <t>IGW-04801-466</t>
  </si>
  <si>
    <t>29051-27555-GD</t>
  </si>
  <si>
    <t>Jeno Capey</t>
  </si>
  <si>
    <t>LJN-34281-921</t>
  </si>
  <si>
    <t>05503-73375-RU</t>
  </si>
  <si>
    <t>Carmella Bruffell</t>
  </si>
  <si>
    <t>BWZ-46364-547</t>
  </si>
  <si>
    <t>64918-67725-MN</t>
  </si>
  <si>
    <t>Yardley Basill</t>
  </si>
  <si>
    <t>SBC-95710-706</t>
  </si>
  <si>
    <t>85634-61759-ND</t>
  </si>
  <si>
    <t>Maggy Baistow</t>
  </si>
  <si>
    <t>Ford</t>
  </si>
  <si>
    <t>GL54</t>
  </si>
  <si>
    <t>WRN-55114-031</t>
  </si>
  <si>
    <t>40180-22940-QB</t>
  </si>
  <si>
    <t>Courtney Pallant</t>
  </si>
  <si>
    <t>TZU-64255-831</t>
  </si>
  <si>
    <t>34666-76738-SQ</t>
  </si>
  <si>
    <t>Marne Mingey</t>
  </si>
  <si>
    <t>JVF-91003-729</t>
  </si>
  <si>
    <t>98536-88616-FF</t>
  </si>
  <si>
    <t>Denny O' Ronan</t>
  </si>
  <si>
    <t>MVB-22135-665</t>
  </si>
  <si>
    <t>55621-06130-SA</t>
  </si>
  <si>
    <t>Dottie Rallin</t>
  </si>
  <si>
    <t>CKS-47815-571</t>
  </si>
  <si>
    <t>45666-86771-EH</t>
  </si>
  <si>
    <t>Ardith Chill</t>
  </si>
  <si>
    <t>OAW-17338-101</t>
  </si>
  <si>
    <t>52143-35672-JF</t>
  </si>
  <si>
    <t>Tuckie Mathonnet</t>
  </si>
  <si>
    <t>ALP-37623-536</t>
  </si>
  <si>
    <t>24689-69376-XX</t>
  </si>
  <si>
    <t>Charmane Denys</t>
  </si>
  <si>
    <t>WMU-87639-108</t>
  </si>
  <si>
    <t>71891-51101-VQ</t>
  </si>
  <si>
    <t>Cecily Stebbings</t>
  </si>
  <si>
    <t>USN-44968-231</t>
  </si>
  <si>
    <t>71749-05400-CN</t>
  </si>
  <si>
    <t>Giana Tonnesen</t>
  </si>
  <si>
    <t>YZG-20575-451</t>
  </si>
  <si>
    <t>64845-00270-NO</t>
  </si>
  <si>
    <t>Rhetta Zywicki</t>
  </si>
  <si>
    <t>HTH-52867-812</t>
  </si>
  <si>
    <t>29851-36402-UX</t>
  </si>
  <si>
    <t>Almeria Burgett</t>
  </si>
  <si>
    <t>FWU-44971-444</t>
  </si>
  <si>
    <t>12190-25421-WM</t>
  </si>
  <si>
    <t>Marvin Malloy</t>
  </si>
  <si>
    <t>EQI-82205-066</t>
  </si>
  <si>
    <t>52316-30571-GD</t>
  </si>
  <si>
    <t>Maxim McParland</t>
  </si>
  <si>
    <t>NAR-00747-074</t>
  </si>
  <si>
    <t>23243-92649-RY</t>
  </si>
  <si>
    <t>Sylas Jennaroy</t>
  </si>
  <si>
    <t>JYR-22052-185</t>
  </si>
  <si>
    <t>39528-19971-OR</t>
  </si>
  <si>
    <t>Wren Place</t>
  </si>
  <si>
    <t>XKO-54097-932</t>
  </si>
  <si>
    <t>10248-53779-DT</t>
  </si>
  <si>
    <t>Hewitt Jarret</t>
  </si>
  <si>
    <t>HXA-72415-025</t>
  </si>
  <si>
    <t>93417-12322-YB</t>
  </si>
  <si>
    <t>Dollie Gadsden</t>
  </si>
  <si>
    <t>MJF-20065-335</t>
  </si>
  <si>
    <t>56891-86662-UY</t>
  </si>
  <si>
    <t>Val Wakelin</t>
  </si>
  <si>
    <t>GFI-83300-059</t>
  </si>
  <si>
    <t>40414-26467-VE</t>
  </si>
  <si>
    <t>Annie Campsall</t>
  </si>
  <si>
    <t>WJR-51493-682</t>
  </si>
  <si>
    <t>87858-83734-RK</t>
  </si>
  <si>
    <t>Shermy Moseby</t>
  </si>
  <si>
    <t>SHP-55648-472</t>
  </si>
  <si>
    <t>46818-20198-GB</t>
  </si>
  <si>
    <t>Corrie Wass</t>
  </si>
  <si>
    <t>HYR-03455-684</t>
  </si>
  <si>
    <t>29808-89098-XD</t>
  </si>
  <si>
    <t>Ira Sjostrom</t>
  </si>
  <si>
    <t>71845-97930-ME</t>
  </si>
  <si>
    <t>Helli Load</t>
  </si>
  <si>
    <t>HUG-52766-375</t>
  </si>
  <si>
    <t>78786-77449-RQ</t>
  </si>
  <si>
    <t>Jermaine Branchett</t>
  </si>
  <si>
    <t>DAH-46595-917</t>
  </si>
  <si>
    <t>27878-42224-QF</t>
  </si>
  <si>
    <t>Nissie Rudland</t>
  </si>
  <si>
    <t>VEM-79839-466</t>
  </si>
  <si>
    <t>32743-78448-KT</t>
  </si>
  <si>
    <t>Janella Millett</t>
  </si>
  <si>
    <t>OWH-11126-533</t>
  </si>
  <si>
    <t>25331-13794-SB</t>
  </si>
  <si>
    <t>Ferdie Tourry</t>
  </si>
  <si>
    <t>UMT-26130-151</t>
  </si>
  <si>
    <t>55864-37682-GQ</t>
  </si>
  <si>
    <t>Cecil Weatherall</t>
  </si>
  <si>
    <t>JKA-27899-806</t>
  </si>
  <si>
    <t>97005-25609-CQ</t>
  </si>
  <si>
    <t>Gale Heindrick</t>
  </si>
  <si>
    <t>ULU-07744-724</t>
  </si>
  <si>
    <t>94058-95794-IJ</t>
  </si>
  <si>
    <t>Layne Imason</t>
  </si>
  <si>
    <t>NOM-56457-507</t>
  </si>
  <si>
    <t>40214-03678-GU</t>
  </si>
  <si>
    <t>Hazel Saill</t>
  </si>
  <si>
    <t>NZN-71683-705</t>
  </si>
  <si>
    <t>04921-85445-SL</t>
  </si>
  <si>
    <t>Hermann Larvor</t>
  </si>
  <si>
    <t>WMA-34232-850</t>
  </si>
  <si>
    <t>53386-94266-LJ</t>
  </si>
  <si>
    <t>Terri Lyford</t>
  </si>
  <si>
    <t>EZL-27919-704</t>
  </si>
  <si>
    <t>49480-85909-DG</t>
  </si>
  <si>
    <t>Gabey Cogan</t>
  </si>
  <si>
    <t>ZYU-11345-774</t>
  </si>
  <si>
    <t>18293-78136-MN</t>
  </si>
  <si>
    <t>Charin Penwarden</t>
  </si>
  <si>
    <t>CPW-34587-459</t>
  </si>
  <si>
    <t>84641-67384-TD</t>
  </si>
  <si>
    <t>Milty Middis</t>
  </si>
  <si>
    <t>NQZ-82067-394</t>
  </si>
  <si>
    <t>72320-29738-EB</t>
  </si>
  <si>
    <t>Adrianne Vairow</t>
  </si>
  <si>
    <t>JBW-95055-851</t>
  </si>
  <si>
    <t>47355-97488-XS</t>
  </si>
  <si>
    <t>Anjanette Goldie</t>
  </si>
  <si>
    <t>AHY-20324-088</t>
  </si>
  <si>
    <t>63499-24884-PP</t>
  </si>
  <si>
    <t>Nicky Ayris</t>
  </si>
  <si>
    <t>ZSL-66684-103</t>
  </si>
  <si>
    <t>39193-51770-FM</t>
  </si>
  <si>
    <t>Laryssa Benediktovich</t>
  </si>
  <si>
    <t>WNE-73911-475</t>
  </si>
  <si>
    <t>61323-91967-GG</t>
  </si>
  <si>
    <t>Theo Jacobovitz</t>
  </si>
  <si>
    <t>EZB-68383-559</t>
  </si>
  <si>
    <t>90123-01967-KS</t>
  </si>
  <si>
    <t>Becca Ableson</t>
  </si>
  <si>
    <t>OVO-01283-090</t>
  </si>
  <si>
    <t>15958-25089-OS</t>
  </si>
  <si>
    <t>Jeno Druitt</t>
  </si>
  <si>
    <t>TXH-78646-919</t>
  </si>
  <si>
    <t>98430-37820-UV</t>
  </si>
  <si>
    <t>Deonne Shortall</t>
  </si>
  <si>
    <t>CYZ-37122-164</t>
  </si>
  <si>
    <t>21798-04171-XC</t>
  </si>
  <si>
    <t>Wilton Cottier</t>
  </si>
  <si>
    <t>AGQ-06534-750</t>
  </si>
  <si>
    <t>52798-46508-HP</t>
  </si>
  <si>
    <t>Kevan Grinsted</t>
  </si>
  <si>
    <t>QVL-32245-818</t>
  </si>
  <si>
    <t>46478-42970-EM</t>
  </si>
  <si>
    <t>Dionne Skyner</t>
  </si>
  <si>
    <t>LTD-96842-834</t>
  </si>
  <si>
    <t>00246-15080-LE</t>
  </si>
  <si>
    <t>Francesco Dressel</t>
  </si>
  <si>
    <t>SEC-91807-425</t>
  </si>
  <si>
    <t>09357-10966-VA</t>
  </si>
  <si>
    <t>Paola Normanvill</t>
  </si>
  <si>
    <t>MHM-44857-599</t>
  </si>
  <si>
    <t>26295-44907-DK</t>
  </si>
  <si>
    <t>Ambrosio Weinmann</t>
  </si>
  <si>
    <t>KGC-95046-911</t>
  </si>
  <si>
    <t>95351-96177-QV</t>
  </si>
  <si>
    <t>Elden Andriessen</t>
  </si>
  <si>
    <t>RZC-75150-413</t>
  </si>
  <si>
    <t>92204-96636-BS</t>
  </si>
  <si>
    <t>Roxie Deaconson</t>
  </si>
  <si>
    <t>EYH-88288-452</t>
  </si>
  <si>
    <t>03010-30348-UA</t>
  </si>
  <si>
    <t>Davida Caro</t>
  </si>
  <si>
    <t>NYQ-24237-772</t>
  </si>
  <si>
    <t>13441-34686-SW</t>
  </si>
  <si>
    <t>Johna Bluck</t>
  </si>
  <si>
    <t>WKB-21680-566</t>
  </si>
  <si>
    <t>96612-41722-VJ</t>
  </si>
  <si>
    <t>Myrle Dearden</t>
  </si>
  <si>
    <t>THE-61147-027</t>
  </si>
  <si>
    <t>94091-86957-HX</t>
  </si>
  <si>
    <t>Jimmy Dymoke</t>
  </si>
  <si>
    <t>PTY-86420-119</t>
  </si>
  <si>
    <t>25504-41681-WA</t>
  </si>
  <si>
    <t>Orland Tadman</t>
  </si>
  <si>
    <t>QHL-27188-431</t>
  </si>
  <si>
    <t>75443-07820-DZ</t>
  </si>
  <si>
    <t>Barrett Gudde</t>
  </si>
  <si>
    <t>MIS-54381-047</t>
  </si>
  <si>
    <t>39276-95489-XV</t>
  </si>
  <si>
    <t>Nathan Sictornes</t>
  </si>
  <si>
    <t>TBB-29780-459</t>
  </si>
  <si>
    <t>61437-83623-PZ</t>
  </si>
  <si>
    <t>Vivyan Dunning</t>
  </si>
  <si>
    <t>QLC-52637-305</t>
  </si>
  <si>
    <t>34317-87258-HQ</t>
  </si>
  <si>
    <t>Doralin Baison</t>
  </si>
  <si>
    <t>CWT-27056-328</t>
  </si>
  <si>
    <t>18570-80998-ZS</t>
  </si>
  <si>
    <t>Josefina Ferens</t>
  </si>
  <si>
    <t>ASS-05878-128</t>
  </si>
  <si>
    <t>66580-33745-OQ</t>
  </si>
  <si>
    <t>Shelley Gehring</t>
  </si>
  <si>
    <t>EGK-03027-418</t>
  </si>
  <si>
    <t>19820-29285-FD</t>
  </si>
  <si>
    <t>Barrie Fallowes</t>
  </si>
  <si>
    <t>KCY-61732-849</t>
  </si>
  <si>
    <t>11349-55147-SN</t>
  </si>
  <si>
    <t>Nicolas Aiton</t>
  </si>
  <si>
    <t>BLI-21697-702</t>
  </si>
  <si>
    <t>21141-12455-VB</t>
  </si>
  <si>
    <t>Shelli De Banke</t>
  </si>
  <si>
    <t>KFJ-46568-890</t>
  </si>
  <si>
    <t>71003-85639-HB</t>
  </si>
  <si>
    <t>Lyell Murch</t>
  </si>
  <si>
    <t>SOK-43535-680</t>
  </si>
  <si>
    <t>58443-95866-YO</t>
  </si>
  <si>
    <t>Stearne Count</t>
  </si>
  <si>
    <t>XUE-87260-201</t>
  </si>
  <si>
    <t>89646-21249-OH</t>
  </si>
  <si>
    <t>Selia Ragles</t>
  </si>
  <si>
    <t>Fort Smith</t>
  </si>
  <si>
    <t>CZF-40873-691</t>
  </si>
  <si>
    <t>64988-20636-XQ</t>
  </si>
  <si>
    <t>Silas Deehan</t>
  </si>
  <si>
    <t>AIA-98989-755</t>
  </si>
  <si>
    <t>34704-83143-KS</t>
  </si>
  <si>
    <t>Sacha Bruun</t>
  </si>
  <si>
    <t>ITZ-21793-986</t>
  </si>
  <si>
    <t>67388-17544-XX</t>
  </si>
  <si>
    <t>Alon Pllu</t>
  </si>
  <si>
    <t>YOK-93322-608</t>
  </si>
  <si>
    <t>69411-48470-ID</t>
  </si>
  <si>
    <t>Gilberto Cornier</t>
  </si>
  <si>
    <t>LXK-00634-611</t>
  </si>
  <si>
    <t>20077-67239-EC</t>
  </si>
  <si>
    <t>Selestina Greedyer</t>
  </si>
  <si>
    <t>CQW-37388-302</t>
  </si>
  <si>
    <t>97741-98924-KT</t>
  </si>
  <si>
    <t>Willabella Harvison</t>
  </si>
  <si>
    <t>SPA-79365-334</t>
  </si>
  <si>
    <t>79857-78167-KO</t>
  </si>
  <si>
    <t>Darice Heaford</t>
  </si>
  <si>
    <t>VPX-08817-517</t>
  </si>
  <si>
    <t>46963-10322-ZA</t>
  </si>
  <si>
    <t>Granger Fantham</t>
  </si>
  <si>
    <t>PBP-87115-410</t>
  </si>
  <si>
    <t>93812-74772-MV</t>
  </si>
  <si>
    <t>Reynolds Crookshanks</t>
  </si>
  <si>
    <t>SFB-93752-440</t>
  </si>
  <si>
    <t>48203-23480-UB</t>
  </si>
  <si>
    <t>Niels Leake</t>
  </si>
  <si>
    <t>TBU-65158-068</t>
  </si>
  <si>
    <t>60357-65386-RD</t>
  </si>
  <si>
    <t>Hetti Measures</t>
  </si>
  <si>
    <t>TEH-08414-216</t>
  </si>
  <si>
    <t>35099-13971-JI</t>
  </si>
  <si>
    <t>Gay Eilhersen</t>
  </si>
  <si>
    <t>MAY-77231-536</t>
  </si>
  <si>
    <t>01304-59807-OB</t>
  </si>
  <si>
    <t>Nico Hubert</t>
  </si>
  <si>
    <t>ATY-28980-884</t>
  </si>
  <si>
    <t>50705-17295-NK</t>
  </si>
  <si>
    <t>Cristina Aleixo</t>
  </si>
  <si>
    <t>SWP-88281-918</t>
  </si>
  <si>
    <t>77657-61366-FY</t>
  </si>
  <si>
    <t>Derrek Allpress</t>
  </si>
  <si>
    <t>VCE-56531-986</t>
  </si>
  <si>
    <t>57192-13428-PL</t>
  </si>
  <si>
    <t>Rikki Tomkowicz</t>
  </si>
  <si>
    <t>FVV-75700-005</t>
  </si>
  <si>
    <t>24891-77957-LU</t>
  </si>
  <si>
    <t>Rochette Huscroft</t>
  </si>
  <si>
    <t>CFZ-53492-600</t>
  </si>
  <si>
    <t>64896-18468-BT</t>
  </si>
  <si>
    <t>Selle Scurrer</t>
  </si>
  <si>
    <t>LDK-71031-121</t>
  </si>
  <si>
    <t>84761-40784-SV</t>
  </si>
  <si>
    <t>Andie Rudram</t>
  </si>
  <si>
    <t>EBA-82404-343</t>
  </si>
  <si>
    <t>20236-42322-CM</t>
  </si>
  <si>
    <t>Leta Clarricoates</t>
  </si>
  <si>
    <t>USA-42811-560</t>
  </si>
  <si>
    <t>49671-11547-WG</t>
  </si>
  <si>
    <t>Jacquelyn Maha</t>
  </si>
  <si>
    <t>SNL-83703-516</t>
  </si>
  <si>
    <t>57976-33535-WK</t>
  </si>
  <si>
    <t>Glory Clemon</t>
  </si>
  <si>
    <t>SUZ-83036-175</t>
  </si>
  <si>
    <t>55915-19477-MK</t>
  </si>
  <si>
    <t>Alica Kift</t>
  </si>
  <si>
    <t>RGM-01187-513</t>
  </si>
  <si>
    <t>28121-11641-UA</t>
  </si>
  <si>
    <t>Babb Pollins</t>
  </si>
  <si>
    <t>CZG-01299-952</t>
  </si>
  <si>
    <t>09540-70637-EV</t>
  </si>
  <si>
    <t>Jarret Toye</t>
  </si>
  <si>
    <t>KLD-88731-484</t>
  </si>
  <si>
    <t>17775-77072-PP</t>
  </si>
  <si>
    <t>Carlie Linskill</t>
  </si>
  <si>
    <t>BQK-38412-229</t>
  </si>
  <si>
    <t>90392-73338-BC</t>
  </si>
  <si>
    <t>Natal Vigrass</t>
  </si>
  <si>
    <t>TCX-76953-071</t>
  </si>
  <si>
    <t>94278-27169-QC</t>
  </si>
  <si>
    <t>Burlie Issac</t>
  </si>
  <si>
    <t>LIN-88046-551</t>
  </si>
  <si>
    <t>10725-45724-CO</t>
  </si>
  <si>
    <t>Kandace Cragell</t>
  </si>
  <si>
    <t>PMV-54491-220</t>
  </si>
  <si>
    <t>87242-18006-IR</t>
  </si>
  <si>
    <t>Lyon Ibert</t>
  </si>
  <si>
    <t>SKA-73676-005</t>
  </si>
  <si>
    <t>36572-91896-PP</t>
  </si>
  <si>
    <t>Reese Lidgey</t>
  </si>
  <si>
    <t>TKH-62197-239</t>
  </si>
  <si>
    <t>25181-97933-UX</t>
  </si>
  <si>
    <t>Tersina Castagne</t>
  </si>
  <si>
    <t>YXF-57218-272</t>
  </si>
  <si>
    <t>55374-03175-IA</t>
  </si>
  <si>
    <t>Samuele Klaaassen</t>
  </si>
  <si>
    <t>PKJ-30083-501</t>
  </si>
  <si>
    <t>76948-43532-JS</t>
  </si>
  <si>
    <t>Jordana Halden</t>
  </si>
  <si>
    <t>WTT-91832-645</t>
  </si>
  <si>
    <t>24344-88599-PP</t>
  </si>
  <si>
    <t>Hussein Olliff</t>
  </si>
  <si>
    <t>TRZ-94735-865</t>
  </si>
  <si>
    <t>54462-58311-YF</t>
  </si>
  <si>
    <t>Teddi Quadri</t>
  </si>
  <si>
    <t>UDB-09651-780</t>
  </si>
  <si>
    <t>90767-92589-LV</t>
  </si>
  <si>
    <t>Felita Eshmade</t>
  </si>
  <si>
    <t>EHJ-82097-549</t>
  </si>
  <si>
    <t>27517-43747-YD</t>
  </si>
  <si>
    <t>Melodie OIlier</t>
  </si>
  <si>
    <t>Glasnevin</t>
  </si>
  <si>
    <t>ZFR-79447-696</t>
  </si>
  <si>
    <t>77828-66867-KH</t>
  </si>
  <si>
    <t>Hazel Iacopini</t>
  </si>
  <si>
    <t>NUU-03893-975</t>
  </si>
  <si>
    <t>41054-59693-XE</t>
  </si>
  <si>
    <t>Vinny Shoebotham</t>
  </si>
  <si>
    <t>GVG-59542-307</t>
  </si>
  <si>
    <t>26314-66792-VP</t>
  </si>
  <si>
    <t>Bran Sterke</t>
  </si>
  <si>
    <t>YLY-35287-172</t>
  </si>
  <si>
    <t>69410-04668-MA</t>
  </si>
  <si>
    <t>Simone Capon</t>
  </si>
  <si>
    <t>DCI-96254-548</t>
  </si>
  <si>
    <t>91950-91273-JT</t>
  </si>
  <si>
    <t>Philomena Traite</t>
  </si>
  <si>
    <t>KHZ-26264-253</t>
  </si>
  <si>
    <t>24972-55878-KX</t>
  </si>
  <si>
    <t>Foster Constance</t>
  </si>
  <si>
    <t>AAQ-13644-699</t>
  </si>
  <si>
    <t>46296-42617-OQ</t>
  </si>
  <si>
    <t>Fernando Sulman</t>
  </si>
  <si>
    <t>LWL-68108-794</t>
  </si>
  <si>
    <t>44494-89923-UW</t>
  </si>
  <si>
    <t>Dorotea Hollyman</t>
  </si>
  <si>
    <t>JQT-14347-517</t>
  </si>
  <si>
    <t>11621-09964-ID</t>
  </si>
  <si>
    <t>Lorelei Nardoni</t>
  </si>
  <si>
    <t>BMM-86471-923</t>
  </si>
  <si>
    <t>76319-80715-II</t>
  </si>
  <si>
    <t>Dallas Yarham</t>
  </si>
  <si>
    <t>IXU-67272-326</t>
  </si>
  <si>
    <t>91654-79216-IC</t>
  </si>
  <si>
    <t>Arlana Ferrea</t>
  </si>
  <si>
    <t>ITE-28312-615</t>
  </si>
  <si>
    <t>56450-21890-HK</t>
  </si>
  <si>
    <t>Chuck Kendrick</t>
  </si>
  <si>
    <t>ZHQ-30471-635</t>
  </si>
  <si>
    <t>40600-58915-WZ</t>
  </si>
  <si>
    <t>Sharona Danilchik</t>
  </si>
  <si>
    <t>LTP-31133-134</t>
  </si>
  <si>
    <t>66527-94478-PB</t>
  </si>
  <si>
    <t>Sarajane Potter</t>
  </si>
  <si>
    <t>ZVQ-26122-859</t>
  </si>
  <si>
    <t>77154-45038-IH</t>
  </si>
  <si>
    <t>Bobby Folomkin</t>
  </si>
  <si>
    <t>MIU-01481-194</t>
  </si>
  <si>
    <t>08439-55669-AI</t>
  </si>
  <si>
    <t>Rafferty Pursglove</t>
  </si>
  <si>
    <t>81059-24087-UE</t>
  </si>
  <si>
    <t>Riva De Micoli</t>
  </si>
  <si>
    <t>UEA-72681-629</t>
  </si>
  <si>
    <t>46168-23489-RD</t>
  </si>
  <si>
    <t>Antoine Taunton.</t>
  </si>
  <si>
    <t>CVE-15042-481</t>
  </si>
  <si>
    <t>11664-43119-GV</t>
  </si>
  <si>
    <t>Krishnah Incogna</t>
  </si>
  <si>
    <t>EJA-79176-833</t>
  </si>
  <si>
    <t>91509-62250-GN</t>
  </si>
  <si>
    <t>Dalia Eburah</t>
  </si>
  <si>
    <t>AHQ-40440-522</t>
  </si>
  <si>
    <t>83833-46106-ZC</t>
  </si>
  <si>
    <t>Martie Brimilcombe</t>
  </si>
  <si>
    <t>TID-21626-411</t>
  </si>
  <si>
    <t>19383-33606-PW</t>
  </si>
  <si>
    <t>Suzanna Bollam</t>
  </si>
  <si>
    <t>RSR-96390-187</t>
  </si>
  <si>
    <t>67052-76184-CB</t>
  </si>
  <si>
    <t>Mellisa Mebes</t>
  </si>
  <si>
    <t>BZE-96093-118</t>
  </si>
  <si>
    <t>43452-18035-DH</t>
  </si>
  <si>
    <t>Alva Filipczak</t>
  </si>
  <si>
    <t>LOU-41819-242</t>
  </si>
  <si>
    <t>88060-50676-MV</t>
  </si>
  <si>
    <t>Dorette Hinemoor</t>
  </si>
  <si>
    <t>FND-99527-640</t>
  </si>
  <si>
    <t>89574-96203-EP</t>
  </si>
  <si>
    <t>Rhetta Elnaugh</t>
  </si>
  <si>
    <t>ASG-27179-958</t>
  </si>
  <si>
    <t>12607-75113-UV</t>
  </si>
  <si>
    <t>Jule Deehan</t>
  </si>
  <si>
    <t>YKX-23510-272</t>
  </si>
  <si>
    <t>56991-05510-PR</t>
  </si>
  <si>
    <t>Janella Eden</t>
  </si>
  <si>
    <t>FSA-98650-921</t>
  </si>
  <si>
    <t>35463-72088-KU</t>
  </si>
  <si>
    <t>Devora Maton</t>
  </si>
  <si>
    <t>ZUR-55774-294</t>
  </si>
  <si>
    <t>33269-10023-CO</t>
  </si>
  <si>
    <t>Ugo Southerden</t>
  </si>
  <si>
    <t>FUO-99821-974</t>
  </si>
  <si>
    <t>31245-81098-PJ</t>
  </si>
  <si>
    <t>Verne Dunkerley</t>
  </si>
  <si>
    <t>YVH-19865-819</t>
  </si>
  <si>
    <t>08946-56610-IH</t>
  </si>
  <si>
    <t>Lacee Burtenshaw</t>
  </si>
  <si>
    <t>NNF-47422-501</t>
  </si>
  <si>
    <t>20260-32948-EB</t>
  </si>
  <si>
    <t>Adorne Gregoratti</t>
  </si>
  <si>
    <t>RJI-71409-490</t>
  </si>
  <si>
    <t>31613-41626-KX</t>
  </si>
  <si>
    <t>Chris Croster</t>
  </si>
  <si>
    <t>UZL-46108-213</t>
  </si>
  <si>
    <t>75961-20170-RD</t>
  </si>
  <si>
    <t>Graeme Whitehead</t>
  </si>
  <si>
    <t>AOX-44467-109</t>
  </si>
  <si>
    <t>72524-06410-KD</t>
  </si>
  <si>
    <t>Haslett Jodrelle</t>
  </si>
  <si>
    <t>TZD-67261-174</t>
  </si>
  <si>
    <t>01841-48191-NL</t>
  </si>
  <si>
    <t>Cam Jewster</t>
  </si>
  <si>
    <t>TBU-64277-625</t>
  </si>
  <si>
    <t>98918-34330-GY</t>
  </si>
  <si>
    <t>Beryl Osborn</t>
  </si>
  <si>
    <t>TYP-85767-944</t>
  </si>
  <si>
    <t>51497-50894-WU</t>
  </si>
  <si>
    <t>Kaela Nottram</t>
  </si>
  <si>
    <t>GTT-73214-334</t>
  </si>
  <si>
    <t>98636-90072-YE</t>
  </si>
  <si>
    <t>Nobe Buney</t>
  </si>
  <si>
    <t>WAI-89905-069</t>
  </si>
  <si>
    <t>47011-57815-HJ</t>
  </si>
  <si>
    <t>Silvan McShea</t>
  </si>
  <si>
    <t>OJL-96844-459</t>
  </si>
  <si>
    <t>61253-98356-VD</t>
  </si>
  <si>
    <t>Karylin Huddart</t>
  </si>
  <si>
    <t>VGI-33205-360</t>
  </si>
  <si>
    <t>96762-10814-DA</t>
  </si>
  <si>
    <t>Jereme Gippes</t>
  </si>
  <si>
    <t>PCA-14081-576</t>
  </si>
  <si>
    <t>63112-10870-LC</t>
  </si>
  <si>
    <t>Lukas Whittlesee</t>
  </si>
  <si>
    <t>SCS-67069-962</t>
  </si>
  <si>
    <t>21403-49423-PD</t>
  </si>
  <si>
    <t>Gregorius Trengrove</t>
  </si>
  <si>
    <t>BDM-03174-485</t>
  </si>
  <si>
    <t>29581-13303-VB</t>
  </si>
  <si>
    <t>Wright Caldero</t>
  </si>
  <si>
    <t>UJV-32333-364</t>
  </si>
  <si>
    <t>86110-83695-YS</t>
  </si>
  <si>
    <t>Merell Zanazzi</t>
  </si>
  <si>
    <t>FLI-11493-954</t>
  </si>
  <si>
    <t>80454-42225-FT</t>
  </si>
  <si>
    <t>Jed Kennicott</t>
  </si>
  <si>
    <t>IWL-13117-537</t>
  </si>
  <si>
    <t>29129-60664-KO</t>
  </si>
  <si>
    <t>Guenevere Ruggen</t>
  </si>
  <si>
    <t>OAM-76916-748</t>
  </si>
  <si>
    <t>63025-62939-AN</t>
  </si>
  <si>
    <t>Gonzales Cicculi</t>
  </si>
  <si>
    <t>UMB-11223-710</t>
  </si>
  <si>
    <t>49012-12987-QT</t>
  </si>
  <si>
    <t>Man Fright</t>
  </si>
  <si>
    <t>LXR-09892-726</t>
  </si>
  <si>
    <t>50924-94200-SQ</t>
  </si>
  <si>
    <t>Boyce Tarte</t>
  </si>
  <si>
    <t>QXX-89943-393</t>
  </si>
  <si>
    <t>15673-18812-IU</t>
  </si>
  <si>
    <t>Caddric Krzysztofiak</t>
  </si>
  <si>
    <t>WVS-57822-366</t>
  </si>
  <si>
    <t>52151-75971-YY</t>
  </si>
  <si>
    <t>Darn Penquet</t>
  </si>
  <si>
    <t>CLJ-23403-689</t>
  </si>
  <si>
    <t>19413-02045-CG</t>
  </si>
  <si>
    <t>Jammie Cloke</t>
  </si>
  <si>
    <t>XNU-83276-288</t>
  </si>
  <si>
    <t>98185-92775-KT</t>
  </si>
  <si>
    <t>Chester Clowton</t>
  </si>
  <si>
    <t>Monticello</t>
  </si>
  <si>
    <t>YOG-94666-679</t>
  </si>
  <si>
    <t>86991-53901-AT</t>
  </si>
  <si>
    <t>Kathleen Diable</t>
  </si>
  <si>
    <t>KHG-33953-115</t>
  </si>
  <si>
    <t>78226-97287-JI</t>
  </si>
  <si>
    <t>Koren Ferretti</t>
  </si>
  <si>
    <t>MHD-95615-696</t>
  </si>
  <si>
    <t>44938-31785-YZ</t>
  </si>
  <si>
    <t>Agretha Melland</t>
  </si>
  <si>
    <t>HBH-64794-080</t>
  </si>
  <si>
    <t>40560-18556-YE</t>
  </si>
  <si>
    <t>Chaddie Bennie</t>
  </si>
  <si>
    <t>CNJ-56058-223</t>
  </si>
  <si>
    <t>40780-22081-LX</t>
  </si>
  <si>
    <t>Alberta Balsdone</t>
  </si>
  <si>
    <t>KHO-27106-786</t>
  </si>
  <si>
    <t>01603-43789-TN</t>
  </si>
  <si>
    <t>Brice Romera</t>
  </si>
  <si>
    <t>45009-09239-IV</t>
  </si>
  <si>
    <t>Micky Glover</t>
  </si>
  <si>
    <t>YAC-50329-982</t>
  </si>
  <si>
    <t>75419-92838-TI</t>
  </si>
  <si>
    <t>Conchita Bryde</t>
  </si>
  <si>
    <t>VVL-95291-039</t>
  </si>
  <si>
    <t>96516-97464-MF</t>
  </si>
  <si>
    <t>Silvanus Enefer</t>
  </si>
  <si>
    <t>VUT-20974-364</t>
  </si>
  <si>
    <t>90285-56295-PO</t>
  </si>
  <si>
    <t>Lenci Haggerstone</t>
  </si>
  <si>
    <t>SFC-34054-213</t>
  </si>
  <si>
    <t>08100-71102-HQ</t>
  </si>
  <si>
    <t>Marvin Gundry</t>
  </si>
  <si>
    <t>UDS-04807-593</t>
  </si>
  <si>
    <t>84074-28110-OV</t>
  </si>
  <si>
    <t>Bayard Wellan</t>
  </si>
  <si>
    <t>FWE-98471-488</t>
  </si>
  <si>
    <t>27930-59250-JT</t>
  </si>
  <si>
    <t>Allis Wilmore</t>
  </si>
  <si>
    <t>RAU-17060-674</t>
  </si>
  <si>
    <t>12747-63766-EU</t>
  </si>
  <si>
    <t>Caddric Atcheson</t>
  </si>
  <si>
    <t>AOL-13866-711</t>
  </si>
  <si>
    <t>83490-88357-LJ</t>
  </si>
  <si>
    <t>Eustace Stenton</t>
  </si>
  <si>
    <t>NOA-79645-377</t>
  </si>
  <si>
    <t>53729-30320-XZ</t>
  </si>
  <si>
    <t>Ericka Tripp</t>
  </si>
  <si>
    <t>KMS-49214-806</t>
  </si>
  <si>
    <t>50384-52703-LA</t>
  </si>
  <si>
    <t>Lyndsey MacManus</t>
  </si>
  <si>
    <t>ABK-08091-531</t>
  </si>
  <si>
    <t>53864-36201-FG</t>
  </si>
  <si>
    <t>Tess Benediktovich</t>
  </si>
  <si>
    <t>GPT-67705-953</t>
  </si>
  <si>
    <t>70631-33225-MZ</t>
  </si>
  <si>
    <t>Correy Bourner</t>
  </si>
  <si>
    <t>JNA-21450-177</t>
  </si>
  <si>
    <t>78661-52235-WG</t>
  </si>
  <si>
    <t>Uta Kohring</t>
  </si>
  <si>
    <t>MPQ-23421-608</t>
  </si>
  <si>
    <t>08023-52962-ET</t>
  </si>
  <si>
    <t>Kandy Heddan</t>
  </si>
  <si>
    <t>NLI-63891-565</t>
  </si>
  <si>
    <t>41899-00283-VK</t>
  </si>
  <si>
    <t>Ibby Charters</t>
  </si>
  <si>
    <t>HHF-36647-854</t>
  </si>
  <si>
    <t>39011-18412-GR</t>
  </si>
  <si>
    <t>Adora Roubert</t>
  </si>
  <si>
    <t>SBN-16537-046</t>
  </si>
  <si>
    <t>60255-12579-PZ</t>
  </si>
  <si>
    <t>Hillel Mairs</t>
  </si>
  <si>
    <t>XZD-44484-632</t>
  </si>
  <si>
    <t>80541-38332-BP</t>
  </si>
  <si>
    <t>Helaina Rainforth</t>
  </si>
  <si>
    <t>54798-14109-HC</t>
  </si>
  <si>
    <t>Odelia Skerme</t>
  </si>
  <si>
    <t>IKQ-39946-768</t>
  </si>
  <si>
    <t>72778-50968-UQ</t>
  </si>
  <si>
    <t>Isac Jesper</t>
  </si>
  <si>
    <t>KMB-95211-174</t>
  </si>
  <si>
    <t>23941-30203-MO</t>
  </si>
  <si>
    <t>Lenette Dwerryhouse</t>
  </si>
  <si>
    <t>QWY-99467-368</t>
  </si>
  <si>
    <t>96434-50068-DZ</t>
  </si>
  <si>
    <t>Nadeen Broomer</t>
  </si>
  <si>
    <t>SRG-76791-614</t>
  </si>
  <si>
    <t>11729-74102-XB</t>
  </si>
  <si>
    <t>Konstantine Thoumasson</t>
  </si>
  <si>
    <t>VSN-94485-621</t>
  </si>
  <si>
    <t>88116-12604-TE</t>
  </si>
  <si>
    <t>Frans Habbergham</t>
  </si>
  <si>
    <t>UFZ-24348-219</t>
  </si>
  <si>
    <t>86783-78048-GC</t>
  </si>
  <si>
    <t>Margarette Woolham</t>
  </si>
  <si>
    <t>UKS-93055-397</t>
  </si>
  <si>
    <t>13082-41034-PD</t>
  </si>
  <si>
    <t>Romain Avrashin</t>
  </si>
  <si>
    <t>AVH-56062-335</t>
  </si>
  <si>
    <t>18082-74419-QH</t>
  </si>
  <si>
    <t>Miran Doidge</t>
  </si>
  <si>
    <t>HGE-19842-613</t>
  </si>
  <si>
    <t>49401-45041-ZU</t>
  </si>
  <si>
    <t>Janeva Edinboro</t>
  </si>
  <si>
    <t>WBA-85905-175</t>
  </si>
  <si>
    <t>41252-45992-VS</t>
  </si>
  <si>
    <t>Trumaine Tewelson</t>
  </si>
  <si>
    <t>DZI-35365-596</t>
  </si>
  <si>
    <t>06624-75300-AR</t>
  </si>
  <si>
    <t>Niles Krimmer</t>
  </si>
  <si>
    <t>XIR-88982-743</t>
  </si>
  <si>
    <t>00852-54571-WP</t>
  </si>
  <si>
    <t>De Drewitt</t>
  </si>
  <si>
    <t>VUC-72395-865</t>
  </si>
  <si>
    <t>13321-57602-GK</t>
  </si>
  <si>
    <t>Adelheid Gladhill</t>
  </si>
  <si>
    <t>BQJ-44755-910</t>
  </si>
  <si>
    <t>75006-89922-VW</t>
  </si>
  <si>
    <t>Murielle Lorinez</t>
  </si>
  <si>
    <t>JKC-64636-831</t>
  </si>
  <si>
    <t>52098-80103-FD</t>
  </si>
  <si>
    <t>Edin Mathe</t>
  </si>
  <si>
    <t>ZKI-78561-066</t>
  </si>
  <si>
    <t>60121-12432-VU</t>
  </si>
  <si>
    <t>Mordy Van Der Vlies</t>
  </si>
  <si>
    <t>IMP-12563-728</t>
  </si>
  <si>
    <t>68346-14810-UA</t>
  </si>
  <si>
    <t>Spencer Wastell</t>
  </si>
  <si>
    <t>MZL-81126-390</t>
  </si>
  <si>
    <t>48464-99723-HK</t>
  </si>
  <si>
    <t>Jemimah Ethelston</t>
  </si>
  <si>
    <t>39652-20484-RV</t>
  </si>
  <si>
    <t>Bobbe Jevon</t>
  </si>
  <si>
    <t>TVF-57766-608</t>
  </si>
  <si>
    <t>88420-46464-XE</t>
  </si>
  <si>
    <t>Perice Eberz</t>
  </si>
  <si>
    <t>RUX-37995-892</t>
  </si>
  <si>
    <t>37762-09530-MP</t>
  </si>
  <si>
    <t>Bear Gaish</t>
  </si>
  <si>
    <t>AVK-76526-953</t>
  </si>
  <si>
    <t>47268-50127-XY</t>
  </si>
  <si>
    <t>Lynnea Danton</t>
  </si>
  <si>
    <t>RIU-02231-623</t>
  </si>
  <si>
    <t>25544-84179-QC</t>
  </si>
  <si>
    <t>Skipton Morrall</t>
  </si>
  <si>
    <t>WFK-99317-827</t>
  </si>
  <si>
    <t>32058-76765-ZL</t>
  </si>
  <si>
    <t>Devan Crownshaw</t>
  </si>
  <si>
    <t>SFD-00372-284</t>
  </si>
  <si>
    <t>67938-81768-NX</t>
  </si>
  <si>
    <t>Kriste Wessel</t>
  </si>
  <si>
    <t>SXC-62166-515</t>
  </si>
  <si>
    <t>69171-65646-UC</t>
  </si>
  <si>
    <t>Joceline Reddoch</t>
  </si>
  <si>
    <t>YIE-87008-621</t>
  </si>
  <si>
    <t>22503-52799-MI</t>
  </si>
  <si>
    <t>Shelley Titley</t>
  </si>
  <si>
    <t>HRM-94548-288</t>
  </si>
  <si>
    <t>08934-65581-ZI</t>
  </si>
  <si>
    <t>Redd Simao</t>
  </si>
  <si>
    <t>UJG-34731-295</t>
  </si>
  <si>
    <t>15764-22559-ZT</t>
  </si>
  <si>
    <t>Cece Inker</t>
  </si>
  <si>
    <t>TWD-70988-853</t>
  </si>
  <si>
    <t>87519-68847-ZG</t>
  </si>
  <si>
    <t>Noel Chisholm</t>
  </si>
  <si>
    <t>CIX-22904-641</t>
  </si>
  <si>
    <t>78012-56878-UB</t>
  </si>
  <si>
    <t>Grazia Oats</t>
  </si>
  <si>
    <t>DLV-65840-759</t>
  </si>
  <si>
    <t>77192-72145-RG</t>
  </si>
  <si>
    <t>Meade Birkin</t>
  </si>
  <si>
    <t>RXN-55491-201</t>
  </si>
  <si>
    <t>86071-79238-CX</t>
  </si>
  <si>
    <t>Ronda Pyson</t>
  </si>
  <si>
    <t>UHK-63283-868</t>
  </si>
  <si>
    <t>13764-02913-LA</t>
  </si>
  <si>
    <t>Rachele Ebrall</t>
  </si>
  <si>
    <t>PJC-31401-893</t>
  </si>
  <si>
    <t>11212-69985-ZJ</t>
  </si>
  <si>
    <t>Rafaela Treacher</t>
  </si>
  <si>
    <t>HHO-79903-185</t>
  </si>
  <si>
    <t>53893-01719-CL</t>
  </si>
  <si>
    <t>Bee Fattorini</t>
  </si>
  <si>
    <t>YWM-07310-594</t>
  </si>
  <si>
    <t>66028-99867-WJ</t>
  </si>
  <si>
    <t>Margie Palleske</t>
  </si>
  <si>
    <t>FHD-94983-982</t>
  </si>
  <si>
    <t>62839-56723-CH</t>
  </si>
  <si>
    <t>Alexina Randals</t>
  </si>
  <si>
    <t>WQK-10857-119</t>
  </si>
  <si>
    <t>96849-52854-CR</t>
  </si>
  <si>
    <t>Filip Antcliffe</t>
  </si>
  <si>
    <t>DXA-50313-073</t>
  </si>
  <si>
    <t>19755-55847-VW</t>
  </si>
  <si>
    <t>Peyter Matignon</t>
  </si>
  <si>
    <t>Kirkton</t>
  </si>
  <si>
    <t>KW10</t>
  </si>
  <si>
    <t>ONW-00560-570</t>
  </si>
  <si>
    <t>32900-82606-BO</t>
  </si>
  <si>
    <t>Claudie Weond</t>
  </si>
  <si>
    <t>BRJ-19414-277</t>
  </si>
  <si>
    <t>16809-16936-WF</t>
  </si>
  <si>
    <t>Modesty MacConnechie</t>
  </si>
  <si>
    <t>MIQ-16322-908</t>
  </si>
  <si>
    <t>20118-28138-QD</t>
  </si>
  <si>
    <t>Jaquenette Skentelbery</t>
  </si>
  <si>
    <t>MVO-39328-830</t>
  </si>
  <si>
    <t>84057-45461-AH</t>
  </si>
  <si>
    <t>Orazio Comber</t>
  </si>
  <si>
    <t>66934-67426-WC</t>
  </si>
  <si>
    <t>Domini Bram</t>
  </si>
  <si>
    <t>NTJ-88319-746</t>
  </si>
  <si>
    <t>90882-88130-KQ</t>
  </si>
  <si>
    <t>Zachary Tramel</t>
  </si>
  <si>
    <t>LCY-24377-948</t>
  </si>
  <si>
    <t>21617-79890-DD</t>
  </si>
  <si>
    <t>Izaak Primak</t>
  </si>
  <si>
    <t>FWD-85967-769</t>
  </si>
  <si>
    <t>20256-54689-LO</t>
  </si>
  <si>
    <t>Brittani Thoresbie</t>
  </si>
  <si>
    <t>KTO-53793-109</t>
  </si>
  <si>
    <t>17572-27091-AA</t>
  </si>
  <si>
    <t>Constanta Hatfull</t>
  </si>
  <si>
    <t>OCK-89033-348</t>
  </si>
  <si>
    <t>82300-88786-UE</t>
  </si>
  <si>
    <t>Bobbe Castagneto</t>
  </si>
  <si>
    <t>GPZ-36017-366</t>
  </si>
  <si>
    <t>32562-55185-DQ</t>
  </si>
  <si>
    <t>Chastity Swatman</t>
  </si>
  <si>
    <t>BZP-33213-637</t>
  </si>
  <si>
    <t>77175-09826-SF</t>
  </si>
  <si>
    <t>Lindon Agnolo</t>
  </si>
  <si>
    <t>WFH-21507-708</t>
  </si>
  <si>
    <t>07237-32539-NB</t>
  </si>
  <si>
    <t>Delainey Kiddy</t>
  </si>
  <si>
    <t>HST-96923-073</t>
  </si>
  <si>
    <t>54722-76431-EX</t>
  </si>
  <si>
    <t>Helli Petroulis</t>
  </si>
  <si>
    <t>ENN-79947-323</t>
  </si>
  <si>
    <t>67847-82662-TE</t>
  </si>
  <si>
    <t>Marty Scholl</t>
  </si>
  <si>
    <t>BHA-47429-889</t>
  </si>
  <si>
    <t>51114-51191-EW</t>
  </si>
  <si>
    <t>Kienan Ferson</t>
  </si>
  <si>
    <t>SZY-63017-318</t>
  </si>
  <si>
    <t>91809-58808-TV</t>
  </si>
  <si>
    <t>Blake Kelloway</t>
  </si>
  <si>
    <t>LCU-93317-340</t>
  </si>
  <si>
    <t>84996-26826-DK</t>
  </si>
  <si>
    <t>Scarlett Oliffe</t>
  </si>
  <si>
    <t>UOM-71431-481</t>
  </si>
  <si>
    <t>65732-22589-OW</t>
  </si>
  <si>
    <t>Kippie Marrison</t>
  </si>
  <si>
    <t>PJH-42618-877</t>
  </si>
  <si>
    <t>93676-95250-XJ</t>
  </si>
  <si>
    <t>Celestia Dolohunty</t>
  </si>
  <si>
    <t>XED-90333-402</t>
  </si>
  <si>
    <t>28300-14355-GF</t>
  </si>
  <si>
    <t>Patsy Vasilenko</t>
  </si>
  <si>
    <t>IKK-62234-199</t>
  </si>
  <si>
    <t>91190-84826-IQ</t>
  </si>
  <si>
    <t>Raphaela Schankelborg</t>
  </si>
  <si>
    <t>KAW-95195-329</t>
  </si>
  <si>
    <t>34570-99384-AF</t>
  </si>
  <si>
    <t>Sharity Wickens</t>
  </si>
  <si>
    <t>QDO-57268-842</t>
  </si>
  <si>
    <t>57808-90533-UE</t>
  </si>
  <si>
    <t>Derick Snow</t>
  </si>
  <si>
    <t>IIZ-24416-212</t>
  </si>
  <si>
    <t>76060-30540-LB</t>
  </si>
  <si>
    <t>Baxy Cargen</t>
  </si>
  <si>
    <t>AWP-11469-510</t>
  </si>
  <si>
    <t>76730-63769-ND</t>
  </si>
  <si>
    <t>Ryann Stickler</t>
  </si>
  <si>
    <t>KXA-27983-918</t>
  </si>
  <si>
    <t>96042-27290-EQ</t>
  </si>
  <si>
    <t>Daryn Cassius</t>
  </si>
  <si>
    <t>VKQ-39009-292</t>
  </si>
  <si>
    <t>06062-66586-TK</t>
  </si>
  <si>
    <t>Bud Danett</t>
  </si>
  <si>
    <t>PDB-98743-282</t>
  </si>
  <si>
    <t>51940-02669-OR</t>
  </si>
  <si>
    <t>Skelly Dolohunty</t>
  </si>
  <si>
    <t>SXW-34014-556</t>
  </si>
  <si>
    <t>99144-98314-GN</t>
  </si>
  <si>
    <t>Drake Jevon</t>
  </si>
  <si>
    <t>QOJ-38788-727</t>
  </si>
  <si>
    <t>16358-63919-CE</t>
  </si>
  <si>
    <t>Hall Ranner</t>
  </si>
  <si>
    <t>TGF-38649-658</t>
  </si>
  <si>
    <t>67743-54817-UT</t>
  </si>
  <si>
    <t>Berkly Imrie</t>
  </si>
  <si>
    <t>EAI-25194-209</t>
  </si>
  <si>
    <t>44601-51441-BH</t>
  </si>
  <si>
    <t>Dorey Sopper</t>
  </si>
  <si>
    <t>IJK-34441-720</t>
  </si>
  <si>
    <t>97201-58870-WB</t>
  </si>
  <si>
    <t>Darcy Lochran</t>
  </si>
  <si>
    <t>ZMC-00336-619</t>
  </si>
  <si>
    <t>19849-12926-QF</t>
  </si>
  <si>
    <t>Lauritz Ledgley</t>
  </si>
  <si>
    <t>UPX-54529-618</t>
  </si>
  <si>
    <t>40535-56770-UM</t>
  </si>
  <si>
    <t>Tawnya Menary</t>
  </si>
  <si>
    <t>DLX-01059-899</t>
  </si>
  <si>
    <t>74940-09646-MU</t>
  </si>
  <si>
    <t>Gustaf Ciccotti</t>
  </si>
  <si>
    <t>MEK-85120-243</t>
  </si>
  <si>
    <t>06623-54610-HC</t>
  </si>
  <si>
    <t>Bobbe Renner</t>
  </si>
  <si>
    <t>NFI-37188-246</t>
  </si>
  <si>
    <t>89490-75361-AF</t>
  </si>
  <si>
    <t>Wilton Jallin</t>
  </si>
  <si>
    <t>BXH-62195-013</t>
  </si>
  <si>
    <t>94526-79230-GZ</t>
  </si>
  <si>
    <t>Mindy Bogey</t>
  </si>
  <si>
    <t>YLK-78851-470</t>
  </si>
  <si>
    <t>58559-08254-UY</t>
  </si>
  <si>
    <t>Paulie Fonzone</t>
  </si>
  <si>
    <t>DXY-76225-633</t>
  </si>
  <si>
    <t>88574-37083-WX</t>
  </si>
  <si>
    <t>Merrile Cobbledick</t>
  </si>
  <si>
    <t>UHP-24614-199</t>
  </si>
  <si>
    <t>67953-79896-AC</t>
  </si>
  <si>
    <t>Antonius Lewry</t>
  </si>
  <si>
    <t>HBY-35655-049</t>
  </si>
  <si>
    <t>69207-93422-CQ</t>
  </si>
  <si>
    <t>Isis Hessel</t>
  </si>
  <si>
    <t>DCE-22886-861</t>
  </si>
  <si>
    <t>56060-17602-RG</t>
  </si>
  <si>
    <t>Harland Trematick</t>
  </si>
  <si>
    <t>QTG-93823-843</t>
  </si>
  <si>
    <t>46859-14212-FI</t>
  </si>
  <si>
    <t>Chloris Sorrell</t>
  </si>
  <si>
    <t>11513-19816-IJ</t>
  </si>
  <si>
    <t>Odette Tocque</t>
  </si>
  <si>
    <t>WFT-16178-396</t>
  </si>
  <si>
    <t>33555-01585-RP</t>
  </si>
  <si>
    <t>Quintina Heavyside</t>
  </si>
  <si>
    <t>ERC-54560-934</t>
  </si>
  <si>
    <t>11932-85629-CU</t>
  </si>
  <si>
    <t>Hadley Reuven</t>
  </si>
  <si>
    <t>RUK-78200-416</t>
  </si>
  <si>
    <t>36192-07175-XC</t>
  </si>
  <si>
    <t>Mitch Attwool</t>
  </si>
  <si>
    <t>KHK-13105-388</t>
  </si>
  <si>
    <t>46242-54946-ZW</t>
  </si>
  <si>
    <t>Charin Maplethorp</t>
  </si>
  <si>
    <t>NJR-03699-189</t>
  </si>
  <si>
    <t>95152-82155-VQ</t>
  </si>
  <si>
    <t>Goldie Wynes</t>
  </si>
  <si>
    <t>PJV-20427-019</t>
  </si>
  <si>
    <t>13404-39127-WQ</t>
  </si>
  <si>
    <t>Celie MacCourt</t>
  </si>
  <si>
    <t>UGK-07613-982</t>
  </si>
  <si>
    <t>00841-75330-ZV</t>
  </si>
  <si>
    <t>Rori Ollin</t>
  </si>
  <si>
    <t>OLA-68289-577</t>
  </si>
  <si>
    <t>40226-52317-IO</t>
  </si>
  <si>
    <t>Evy Wilsone</t>
  </si>
  <si>
    <t>TNR-84447-052</t>
  </si>
  <si>
    <t>34419-18068-AG</t>
  </si>
  <si>
    <t>Dolores Duffie</t>
  </si>
  <si>
    <t>FBZ-64200-586</t>
  </si>
  <si>
    <t>51738-61457-RS</t>
  </si>
  <si>
    <t>Mathilda Matiasek</t>
  </si>
  <si>
    <t>OBN-66334-505</t>
  </si>
  <si>
    <t>86757-52367-ON</t>
  </si>
  <si>
    <t>Jarred Camillo</t>
  </si>
  <si>
    <t>NXM-89323-646</t>
  </si>
  <si>
    <t>28158-93383-CK</t>
  </si>
  <si>
    <t>Kameko Philbrick</t>
  </si>
  <si>
    <t>NHI-23264-055</t>
  </si>
  <si>
    <t>44799-09711-XW</t>
  </si>
  <si>
    <t>Mallory Shrimpling</t>
  </si>
  <si>
    <t>EQH-53569-934</t>
  </si>
  <si>
    <t>53667-91553-LT</t>
  </si>
  <si>
    <t>Barnett Sillis</t>
  </si>
  <si>
    <t>XKK-06692-189</t>
  </si>
  <si>
    <t>86579-92122-OC</t>
  </si>
  <si>
    <t>Brenn Dundredge</t>
  </si>
  <si>
    <t>BYP-16005-016</t>
  </si>
  <si>
    <t>01474-63436-TP</t>
  </si>
  <si>
    <t>Read Cutts</t>
  </si>
  <si>
    <t>LWS-13938-905</t>
  </si>
  <si>
    <t>90533-82440-EE</t>
  </si>
  <si>
    <t>Michale Delves</t>
  </si>
  <si>
    <t>OLH-95722-362</t>
  </si>
  <si>
    <t>48553-69225-VX</t>
  </si>
  <si>
    <t>Devland Gritton</t>
  </si>
  <si>
    <t>91240-83405-ZQ</t>
  </si>
  <si>
    <t>Caitlin Cattermull</t>
  </si>
  <si>
    <t>KCW-50949-318</t>
  </si>
  <si>
    <t>52374-27313-IV</t>
  </si>
  <si>
    <t>Dell Gut</t>
  </si>
  <si>
    <t>JGZ-16947-591</t>
  </si>
  <si>
    <t>14264-41252-SL</t>
  </si>
  <si>
    <t>Willy Pummery</t>
  </si>
  <si>
    <t>LXS-63326-144</t>
  </si>
  <si>
    <t>35367-50483-AR</t>
  </si>
  <si>
    <t>Geoffrey Siuda</t>
  </si>
  <si>
    <t>CZG-86544-655</t>
  </si>
  <si>
    <t>69443-77665-QW</t>
  </si>
  <si>
    <t>Henderson Crowne</t>
  </si>
  <si>
    <t>Sallins</t>
  </si>
  <si>
    <t>WFV-88138-247</t>
  </si>
  <si>
    <t>63411-51758-QC</t>
  </si>
  <si>
    <t>Vernor Pawsey</t>
  </si>
  <si>
    <t>RFG-28227-288</t>
  </si>
  <si>
    <t>68605-21835-UF</t>
  </si>
  <si>
    <t>Augustin Waterhouse</t>
  </si>
  <si>
    <t>QAK-77286-758</t>
  </si>
  <si>
    <t>34786-30419-XY</t>
  </si>
  <si>
    <t>Fanchon Haughian</t>
  </si>
  <si>
    <t>CZD-56716-840</t>
  </si>
  <si>
    <t>15456-29250-RU</t>
  </si>
  <si>
    <t>Jaimie Hatz</t>
  </si>
  <si>
    <t>UBI-59229-277</t>
  </si>
  <si>
    <t>00886-35803-FG</t>
  </si>
  <si>
    <t>Edeline Edney</t>
  </si>
  <si>
    <t>WJJ-37489-898</t>
  </si>
  <si>
    <t>31599-82152-AD</t>
  </si>
  <si>
    <t>Rickie Faltin</t>
  </si>
  <si>
    <t>ORX-57454-917</t>
  </si>
  <si>
    <t>76209-39601-ZR</t>
  </si>
  <si>
    <t>Gnni Cheeke</t>
  </si>
  <si>
    <t>GRB-68838-629</t>
  </si>
  <si>
    <t>15064-65241-HB</t>
  </si>
  <si>
    <t>Gwenni Ratt</t>
  </si>
  <si>
    <t>SHT-04865-419</t>
  </si>
  <si>
    <t>69215-90789-DL</t>
  </si>
  <si>
    <t>Johnath Fairebrother</t>
  </si>
  <si>
    <t>UQI-28177-865</t>
  </si>
  <si>
    <t>04317-46176-TB</t>
  </si>
  <si>
    <t>Ingamar Eberlein</t>
  </si>
  <si>
    <t>OIB-13664-879</t>
  </si>
  <si>
    <t>04713-57765-KR</t>
  </si>
  <si>
    <t>Jilly Dreng</t>
  </si>
  <si>
    <t>PJS-30996-485</t>
  </si>
  <si>
    <t>47723-84396-MT</t>
  </si>
  <si>
    <t>Jillane Jedrzej</t>
  </si>
  <si>
    <t>HEL-86709-449</t>
  </si>
  <si>
    <t>48392-32021-EC</t>
  </si>
  <si>
    <t>Correy Lampel</t>
  </si>
  <si>
    <t>NCH-55389-562</t>
  </si>
  <si>
    <t>65786-21069-IP</t>
  </si>
  <si>
    <t>Dulcie Mapowder</t>
  </si>
  <si>
    <t>89074-09459-KV</t>
  </si>
  <si>
    <t>Eward Dearman</t>
  </si>
  <si>
    <t>44330-33172-IT</t>
  </si>
  <si>
    <t>Dominique Lenard</t>
  </si>
  <si>
    <t>63349-66809-NF</t>
  </si>
  <si>
    <t>Lloyd Toffano</t>
  </si>
  <si>
    <t>GUG-45603-775</t>
  </si>
  <si>
    <t>40959-32642-DN</t>
  </si>
  <si>
    <t>Rhodie Strathern</t>
  </si>
  <si>
    <t>KJB-98240-098</t>
  </si>
  <si>
    <t>77746-08153-PM</t>
  </si>
  <si>
    <t>Chad Miguel</t>
  </si>
  <si>
    <t>JMS-48374-462</t>
  </si>
  <si>
    <t>49667-96708-JL</t>
  </si>
  <si>
    <t>Florinda Matusovsky</t>
  </si>
  <si>
    <t>YIT-15877-117</t>
  </si>
  <si>
    <t>24155-79322-EQ</t>
  </si>
  <si>
    <t>Morly Rocks</t>
  </si>
  <si>
    <t>YVK-82679-655</t>
  </si>
  <si>
    <t>95342-88311-SF</t>
  </si>
  <si>
    <t>Yuri Burrells</t>
  </si>
  <si>
    <t>TYH-81940-054</t>
  </si>
  <si>
    <t>69374-08133-RI</t>
  </si>
  <si>
    <t>Cleopatra Goodrum</t>
  </si>
  <si>
    <t>HTY-30660-254</t>
  </si>
  <si>
    <t>83844-95908-RX</t>
  </si>
  <si>
    <t>Joey Jefferys</t>
  </si>
  <si>
    <t>GPW-43956-761</t>
  </si>
  <si>
    <t>09667-09231-YM</t>
  </si>
  <si>
    <t>Bearnard Wardell</t>
  </si>
  <si>
    <t>DWY-56352-412</t>
  </si>
  <si>
    <t>55427-08059-DF</t>
  </si>
  <si>
    <t>Zeke Walisiak</t>
  </si>
  <si>
    <t>PUH-55647-976</t>
  </si>
  <si>
    <t>06624-54037-BQ</t>
  </si>
  <si>
    <t>Wiley Leopold</t>
  </si>
  <si>
    <t>DTB-71371-705</t>
  </si>
  <si>
    <t>48544-90737-AZ</t>
  </si>
  <si>
    <t>Chiarra Shalders</t>
  </si>
  <si>
    <t>ZDC-64769-740</t>
  </si>
  <si>
    <t>79463-01597-FQ</t>
  </si>
  <si>
    <t>Sharl Southerill</t>
  </si>
  <si>
    <t>TED-81959-419</t>
  </si>
  <si>
    <t>27702-50024-XC</t>
  </si>
  <si>
    <t>Noni Furber</t>
  </si>
  <si>
    <t>FDO-25756-141</t>
  </si>
  <si>
    <t>57360-46846-NS</t>
  </si>
  <si>
    <t>Dinah Crutcher</t>
  </si>
  <si>
    <t>HKN-31467-517</t>
  </si>
  <si>
    <t>84045-66771-SL</t>
  </si>
  <si>
    <t>Charlean Keave</t>
  </si>
  <si>
    <t>POF-29666-012</t>
  </si>
  <si>
    <t>46885-00260-TL</t>
  </si>
  <si>
    <t>Sada Roseborough</t>
  </si>
  <si>
    <t>IRX-59256-644</t>
  </si>
  <si>
    <t>96446-62142-EN</t>
  </si>
  <si>
    <t>Clayton Kingwell</t>
  </si>
  <si>
    <t>LTN-89139-350</t>
  </si>
  <si>
    <t>07756-71018-GU</t>
  </si>
  <si>
    <t>Kacy Canto</t>
  </si>
  <si>
    <t>TXF-79780-017</t>
  </si>
  <si>
    <t>92048-47813-QB</t>
  </si>
  <si>
    <t>Mab Blakemore</t>
  </si>
  <si>
    <t>ALM-80762-974</t>
  </si>
  <si>
    <t>58408-27638-IB</t>
  </si>
  <si>
    <t>Dedie Gooderridge</t>
  </si>
  <si>
    <t>NXF-15738-707</t>
  </si>
  <si>
    <t>28699-16256-XV</t>
  </si>
  <si>
    <t>Javier Causnett</t>
  </si>
  <si>
    <t>MVV-19034-198</t>
  </si>
  <si>
    <t>98476-63654-CG</t>
  </si>
  <si>
    <t>Demetris Micheli</t>
  </si>
  <si>
    <t>KUX-19632-830</t>
  </si>
  <si>
    <t>55409-07759-YG</t>
  </si>
  <si>
    <t>Chloette Bernardot</t>
  </si>
  <si>
    <t>SNZ-44595-152</t>
  </si>
  <si>
    <t>06136-65250-PG</t>
  </si>
  <si>
    <t>Kim Kemery</t>
  </si>
  <si>
    <t>GQA-37241-629</t>
  </si>
  <si>
    <t>08405-33165-BS</t>
  </si>
  <si>
    <t>Fanchette Parlot</t>
  </si>
  <si>
    <t>WVV-79948-067</t>
  </si>
  <si>
    <t>66070-30559-WI</t>
  </si>
  <si>
    <t>Ramon Cheak</t>
  </si>
  <si>
    <t>LHX-81117-166</t>
  </si>
  <si>
    <t>01282-28364-RZ</t>
  </si>
  <si>
    <t>Koressa O'Geneay</t>
  </si>
  <si>
    <t>GCD-75444-320</t>
  </si>
  <si>
    <t>51277-93873-RP</t>
  </si>
  <si>
    <t>Claudell Ayre</t>
  </si>
  <si>
    <t>SGA-30059-217</t>
  </si>
  <si>
    <t>84405-83364-DG</t>
  </si>
  <si>
    <t>Lorianne Kyneton</t>
  </si>
  <si>
    <t>GNL-98714-885</t>
  </si>
  <si>
    <t>83731-53280-YC</t>
  </si>
  <si>
    <t>Adele McFayden</t>
  </si>
  <si>
    <t>OQA-93249-841</t>
  </si>
  <si>
    <t>03917-13632-KC</t>
  </si>
  <si>
    <t>Herta Layne</t>
  </si>
  <si>
    <t>DUV-12075-132</t>
  </si>
  <si>
    <t>98051-37183-SK</t>
  </si>
  <si>
    <t>Dierdre Scrigmour</t>
  </si>
  <si>
    <t>48689-81852-DT</t>
  </si>
  <si>
    <t>Romy Whittlesea</t>
  </si>
  <si>
    <t>KPO-24942-184</t>
  </si>
  <si>
    <t>70567-65133-CN</t>
  </si>
  <si>
    <t>Desdemona Eye</t>
  </si>
  <si>
    <t>SRJ-79353-838</t>
  </si>
  <si>
    <t>77869-81373-AY</t>
  </si>
  <si>
    <t>Margarette Sterland</t>
  </si>
  <si>
    <t>XBV-40336-071</t>
  </si>
  <si>
    <t>38536-98293-JZ</t>
  </si>
  <si>
    <t>Catharine Scoines</t>
  </si>
  <si>
    <t>RLM-96511-467</t>
  </si>
  <si>
    <t>43014-53743-XK</t>
  </si>
  <si>
    <t>Jennica Tewelson</t>
  </si>
  <si>
    <t>AEZ-13242-456</t>
  </si>
  <si>
    <t>62494-09113-RP</t>
  </si>
  <si>
    <t>Marguerite Graves</t>
  </si>
  <si>
    <t>UME-75640-698</t>
  </si>
  <si>
    <t>10940-42739-ET</t>
  </si>
  <si>
    <t>Etan Featenby</t>
  </si>
  <si>
    <t>GJC-66474-557</t>
  </si>
  <si>
    <t>64965-78386-MY</t>
  </si>
  <si>
    <t>Nicolina Jenny</t>
  </si>
  <si>
    <t>IRV-20769-219</t>
  </si>
  <si>
    <t>77131-58092-GE</t>
  </si>
  <si>
    <t>Vidovic Antonelli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</si>
  <si>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</si>
  <si>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</si>
  <si>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</si>
  <si>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</si>
  <si>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</si>
  <si>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</si>
  <si>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</si>
  <si>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</si>
  <si>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</si>
  <si>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</si>
  <si>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</si>
  <si>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</si>
  <si>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</si>
  <si>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</si>
  <si>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</si>
  <si>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</si>
  <si>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</si>
  <si>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</si>
  <si>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</si>
  <si>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</si>
  <si>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</si>
  <si>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</si>
  <si>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</si>
  <si>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</si>
  <si>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</si>
  <si>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</si>
  <si>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</si>
  <si>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</si>
  <si>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</si>
  <si>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</si>
  <si>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</si>
  <si>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</si>
  <si>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</si>
  <si>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</si>
  <si>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</si>
  <si>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</si>
  <si>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</si>
  <si>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</si>
  <si>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</si>
  <si>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</si>
  <si>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</si>
  <si>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</si>
  <si>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</si>
  <si>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</si>
  <si>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</si>
  <si>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</si>
  <si>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</si>
  <si>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</si>
  <si>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</si>
  <si>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</si>
  <si>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</si>
  <si>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</si>
  <si>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</si>
  <si>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</si>
  <si>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Arabica</t>
  </si>
  <si>
    <t>Robusta</t>
  </si>
  <si>
    <t>Liberica</t>
  </si>
  <si>
    <t>Excelsa</t>
  </si>
  <si>
    <t>GEE-54060-824</t>
  </si>
  <si>
    <t>ZEG-69088-674</t>
  </si>
  <si>
    <t>XUJ-13259-975</t>
  </si>
  <si>
    <t>VJU-97447-534</t>
  </si>
  <si>
    <t>KYM-05681-426</t>
  </si>
  <si>
    <t>TWA-75352-008</t>
  </si>
  <si>
    <t>KQE-68832-305</t>
  </si>
  <si>
    <t>JZL-27812-639</t>
  </si>
  <si>
    <t>UOG-72944-050</t>
  </si>
  <si>
    <t>EBP-95091-854</t>
  </si>
  <si>
    <t>LID-81907-578</t>
  </si>
  <si>
    <t>QUT-67048-767</t>
  </si>
  <si>
    <t>KIC-84232-105</t>
  </si>
  <si>
    <t>GIB-58428-380</t>
  </si>
  <si>
    <t>OXQ-50328-304</t>
  </si>
  <si>
    <t>CLR-53101-228</t>
  </si>
  <si>
    <t>CLB-17218-274</t>
  </si>
  <si>
    <t>DCY-87617-498</t>
  </si>
  <si>
    <t>ACT-91722-310</t>
  </si>
  <si>
    <t>NPM-39175-487</t>
  </si>
  <si>
    <t>RDC-38768-172</t>
  </si>
  <si>
    <t>RFA-07686-380</t>
  </si>
  <si>
    <t>OTX-47693-952</t>
  </si>
  <si>
    <t>VYA-38551-587</t>
  </si>
  <si>
    <t>CNB-72754-885</t>
  </si>
  <si>
    <t>CDZ-84397-442</t>
  </si>
  <si>
    <t>ZRW-73807-256</t>
  </si>
  <si>
    <t>RRV-23793-149</t>
  </si>
  <si>
    <t>JGC-45218-497</t>
  </si>
  <si>
    <t>GZD-23768-149</t>
  </si>
  <si>
    <t>FPI-29117-894</t>
  </si>
  <si>
    <t>FNL-21181-050</t>
  </si>
  <si>
    <t>TGG-49952-995</t>
  </si>
  <si>
    <t>EEU-19412-167</t>
  </si>
  <si>
    <t>UXB-39324-294</t>
  </si>
  <si>
    <t>CGW-73532-556</t>
  </si>
  <si>
    <t>OAO-07968-968</t>
  </si>
  <si>
    <t>DVO-14593-779</t>
  </si>
  <si>
    <t>VBJ-52781-129</t>
  </si>
  <si>
    <t>DYD-23946-614</t>
  </si>
  <si>
    <t>AWU-38178-113</t>
  </si>
  <si>
    <t>CGS-65254-591</t>
  </si>
  <si>
    <t>HQY-83938-585</t>
  </si>
  <si>
    <t>AHL-57477-868</t>
  </si>
  <si>
    <t>GIV-81274-269</t>
  </si>
  <si>
    <t>LZQ-43552-834</t>
  </si>
  <si>
    <t>PKZ-83942-134</t>
  </si>
  <si>
    <t>SEO-73345-266</t>
  </si>
  <si>
    <t>FCN-05386-680</t>
  </si>
  <si>
    <t>PUA-27743-911</t>
  </si>
  <si>
    <t>HHL-57190-258</t>
  </si>
  <si>
    <t>PXS-29706-096</t>
  </si>
  <si>
    <t>TGD-97516-349</t>
  </si>
  <si>
    <t>GXK-07029-561</t>
  </si>
  <si>
    <t>UNN-69142-507</t>
  </si>
  <si>
    <t>CZM-91487-965</t>
  </si>
  <si>
    <t>ZBK-58049-541</t>
  </si>
  <si>
    <t>OLP-73447-127</t>
  </si>
  <si>
    <t>YUS-24670-752</t>
  </si>
  <si>
    <t>LSS-60123-130</t>
  </si>
  <si>
    <t>MLT-17501-049</t>
  </si>
  <si>
    <t>RJP-47304-960</t>
  </si>
  <si>
    <t>DBZ-88926-896</t>
  </si>
  <si>
    <t>WSH-62614-027</t>
  </si>
  <si>
    <t>MOZ-79448-333</t>
  </si>
  <si>
    <t>JZR-57283-598</t>
  </si>
  <si>
    <t>BBF-27966-453</t>
  </si>
  <si>
    <t>JKF-70629-914</t>
  </si>
  <si>
    <t>ZHJ-72201-110</t>
  </si>
  <si>
    <t>MVL-30951-641</t>
  </si>
  <si>
    <t>FDO-20104-612</t>
  </si>
  <si>
    <t>ARM-74391-363</t>
  </si>
  <si>
    <t>AHO-35294-678</t>
  </si>
  <si>
    <t>PRE-49593-833</t>
  </si>
  <si>
    <t>BPJ-69404-894</t>
  </si>
  <si>
    <t>VEG-37680-969</t>
  </si>
  <si>
    <t>ZIY-34264-183</t>
  </si>
  <si>
    <t>IOO-13648-766</t>
  </si>
  <si>
    <t>FXW-50593-913</t>
  </si>
  <si>
    <t>PSN-05775-121</t>
  </si>
  <si>
    <t>TOD-62796-918</t>
  </si>
  <si>
    <t>QOZ-33685-114</t>
  </si>
  <si>
    <t>KQM-88562-104</t>
  </si>
  <si>
    <t>TRI-26753-944</t>
  </si>
  <si>
    <t>YFG-96909-220</t>
  </si>
  <si>
    <t>WDJ-67910-049</t>
  </si>
  <si>
    <t>FTZ-24518-882</t>
  </si>
  <si>
    <t>BRV-38217-275</t>
  </si>
  <si>
    <t>WGK-66245-046</t>
  </si>
  <si>
    <t>GBR-49874-740</t>
  </si>
  <si>
    <t>ULY-39237-631</t>
  </si>
  <si>
    <t>VYE-88354-288</t>
  </si>
  <si>
    <t>HCJ-85451-898</t>
  </si>
  <si>
    <t>GMW-42787-588</t>
  </si>
  <si>
    <t>SKT-43452-807</t>
  </si>
  <si>
    <t>TME-46577-789</t>
  </si>
  <si>
    <t>SQR-76468-160</t>
  </si>
  <si>
    <t>TMN-59427-709</t>
  </si>
  <si>
    <t>MVE-72246-337</t>
  </si>
  <si>
    <t>QKR-51304-965</t>
  </si>
  <si>
    <t>TJB-49317-605</t>
  </si>
  <si>
    <t>KCQ-18583-327</t>
  </si>
  <si>
    <t>UMU-61467-249</t>
  </si>
  <si>
    <t>FAO-72376-560</t>
  </si>
  <si>
    <t>FCJ-06910-473</t>
  </si>
  <si>
    <t>QYH-63277-910</t>
  </si>
  <si>
    <t>BDL-55134-642</t>
  </si>
  <si>
    <t>BKV-33734-947</t>
  </si>
  <si>
    <t>ZHV-34565-167</t>
  </si>
  <si>
    <t>MJU-09662-568</t>
  </si>
  <si>
    <t>FKI-06749-342</t>
  </si>
  <si>
    <t>KRU-24188-057</t>
  </si>
  <si>
    <t>QGB-90971-630</t>
  </si>
  <si>
    <t>AFJ-62937-203</t>
  </si>
  <si>
    <t>RLD-59468-541</t>
  </si>
  <si>
    <t>KRP-00363-309</t>
  </si>
  <si>
    <t>BLO-26710-755</t>
  </si>
  <si>
    <t>ZMF-39824-673</t>
  </si>
  <si>
    <t>OVO-35911-939</t>
  </si>
  <si>
    <t>ZLY-56506-090</t>
  </si>
  <si>
    <t>NEZ-48903-230</t>
  </si>
  <si>
    <t>EIB-26353-477</t>
  </si>
  <si>
    <t>MBR-62694-970</t>
  </si>
  <si>
    <t>BER-18597-501</t>
  </si>
  <si>
    <t>PCX-02919-698</t>
  </si>
  <si>
    <t>VKW-60473-277</t>
  </si>
  <si>
    <t>FOG-32529-706</t>
  </si>
  <si>
    <t>FSM-11496-272</t>
  </si>
  <si>
    <t>HTL-14703-073</t>
  </si>
  <si>
    <t>CVH-97923-590</t>
  </si>
  <si>
    <t>PWP-41227-537</t>
  </si>
  <si>
    <t>ICC-10644-889</t>
  </si>
  <si>
    <t>FZL-13511-539</t>
  </si>
  <si>
    <t>VUU-86917-849</t>
  </si>
  <si>
    <t>BMZ-89174-581</t>
  </si>
  <si>
    <t>KPE-15084-783</t>
  </si>
  <si>
    <t>VHR-28959-459</t>
  </si>
  <si>
    <t>PLH-63894-509</t>
  </si>
  <si>
    <t>OHF-03665-070</t>
  </si>
  <si>
    <t>YVN-63161-241</t>
  </si>
  <si>
    <t>NMM-71176-956</t>
  </si>
  <si>
    <t>LVY-56600-990</t>
  </si>
  <si>
    <t>EMD-36269-704</t>
  </si>
  <si>
    <t>ITR-87478-604</t>
  </si>
  <si>
    <t>SWZ-56631-525</t>
  </si>
  <si>
    <t>VER-67406-873</t>
  </si>
  <si>
    <t>LWO-41559-205</t>
  </si>
  <si>
    <t>ACA-62519-846</t>
  </si>
  <si>
    <t>TKR-69590-093</t>
  </si>
  <si>
    <t>REG-58122-769</t>
  </si>
  <si>
    <t>XJZ-45189-880</t>
  </si>
  <si>
    <t>AUV-33189-083</t>
  </si>
  <si>
    <t>YGK-40412-790</t>
  </si>
  <si>
    <t>XST-43532-442</t>
  </si>
  <si>
    <t>VGH-29009-498</t>
  </si>
  <si>
    <t>TIK-18044-788</t>
  </si>
  <si>
    <t>BIG-55176-276</t>
  </si>
  <si>
    <t>ULK-32196-219</t>
  </si>
  <si>
    <t>MGB-39064-601</t>
  </si>
  <si>
    <t>LGR-33793-484</t>
  </si>
  <si>
    <t>QRV-33246-874</t>
  </si>
  <si>
    <t>TMI-83572-408</t>
  </si>
  <si>
    <t>CHS-58843-522</t>
  </si>
  <si>
    <t>RVR-15909-794</t>
  </si>
  <si>
    <t>VIS-60027-422</t>
  </si>
  <si>
    <t>ZYX-53815-251</t>
  </si>
  <si>
    <t>TFP-06141-178</t>
  </si>
  <si>
    <t>BMY-44285-641</t>
  </si>
  <si>
    <t>WWT-45310-621</t>
  </si>
  <si>
    <t>IBZ-77725-242</t>
  </si>
  <si>
    <t>WQX-17430-387</t>
  </si>
  <si>
    <t>SEJ-70987-969</t>
  </si>
  <si>
    <t>VGQ-21011-415</t>
  </si>
  <si>
    <t>JKQ-23651-261</t>
  </si>
  <si>
    <t>DBF-46344-046</t>
  </si>
  <si>
    <t>FHC-20880-446</t>
  </si>
  <si>
    <t>KJP-58973-207</t>
  </si>
  <si>
    <t>VFF-98462-706</t>
  </si>
  <si>
    <t>XOK-47177-159</t>
  </si>
  <si>
    <t>IQH-77178-273</t>
  </si>
  <si>
    <t>ZWY-42543-118</t>
  </si>
  <si>
    <t>CSO-91252-260</t>
  </si>
  <si>
    <t>BSX-26042-726</t>
  </si>
  <si>
    <t>FIH-58133-176</t>
  </si>
  <si>
    <t>WTM-98530-856</t>
  </si>
  <si>
    <t>OVF-46991-811</t>
  </si>
  <si>
    <t>CJM-59026-778</t>
  </si>
  <si>
    <t>MXH-75244-295</t>
  </si>
  <si>
    <t>PAL-61092-582</t>
  </si>
  <si>
    <t>RQR-87839-402</t>
  </si>
  <si>
    <t>KRN-93128-074</t>
  </si>
  <si>
    <t>AWY-11807-064</t>
  </si>
  <si>
    <t>DVO-60771-064</t>
  </si>
  <si>
    <t>FYU-22496-373</t>
  </si>
  <si>
    <t>CGP-49816-073</t>
  </si>
  <si>
    <t>SHY-11472-047</t>
  </si>
  <si>
    <t>KJP-41256-080</t>
  </si>
  <si>
    <t>PLL-76033-579</t>
  </si>
  <si>
    <t>GSJ-29299-043</t>
  </si>
  <si>
    <t>YSU-72934-540</t>
  </si>
  <si>
    <t>JRE-86947-053</t>
  </si>
  <si>
    <t>RMR-70052-332</t>
  </si>
  <si>
    <t>CBN-48489-836</t>
  </si>
  <si>
    <t>NPT-70828-673</t>
  </si>
  <si>
    <t>PSI-38595-343</t>
  </si>
  <si>
    <t>NKY-28307-758</t>
  </si>
  <si>
    <t>GET-70165-729</t>
  </si>
  <si>
    <t>TCP-68440-455</t>
  </si>
  <si>
    <t>KNG-36974-390</t>
  </si>
  <si>
    <t>YIQ-50436-906</t>
  </si>
  <si>
    <t>QGG-97954-749</t>
  </si>
  <si>
    <t>RCW-61492-914</t>
  </si>
  <si>
    <t>PMG-22948-626</t>
  </si>
  <si>
    <t>JPE-92586-060</t>
  </si>
  <si>
    <t>DDE-31193-199</t>
  </si>
  <si>
    <t>QMC-59520-313</t>
  </si>
  <si>
    <t>MSK-23284-250</t>
  </si>
  <si>
    <t>DJQ-56702-398</t>
  </si>
  <si>
    <t>MKO-68482-349</t>
  </si>
  <si>
    <t>KHZ-34084-624</t>
  </si>
  <si>
    <t>SPP-94658-672</t>
  </si>
  <si>
    <t>CLA-53546-457</t>
  </si>
  <si>
    <t>XUY-81157-072</t>
  </si>
  <si>
    <t>UIF-54495-705</t>
  </si>
  <si>
    <t>WCI-87452-891</t>
  </si>
  <si>
    <t>FJU-74859-659</t>
  </si>
  <si>
    <t>COU-23528-763</t>
  </si>
  <si>
    <t>XEF-27171-704</t>
  </si>
  <si>
    <t>HHW-29677-029</t>
  </si>
  <si>
    <t>BYY-42805-571</t>
  </si>
  <si>
    <t>WXO-65876-798</t>
  </si>
  <si>
    <t>XZV-01534-594</t>
  </si>
  <si>
    <t>AKZ-61758-312</t>
  </si>
  <si>
    <t>WKU-46439-527</t>
  </si>
  <si>
    <t>JAU-29678-382</t>
  </si>
  <si>
    <t>HIK-95623-487</t>
  </si>
  <si>
    <t>CKX-19541-123</t>
  </si>
  <si>
    <t>RMU-41269-823</t>
  </si>
  <si>
    <t>YWP-79277-380</t>
  </si>
  <si>
    <t>EKI-88371-579</t>
  </si>
  <si>
    <t>LSE-56956-351</t>
  </si>
  <si>
    <t>KCK-73474-136</t>
  </si>
  <si>
    <t>OHH-35395-574</t>
  </si>
  <si>
    <t>WFH-45839-125</t>
  </si>
  <si>
    <t>VUH-59198-365</t>
  </si>
  <si>
    <t>RPA-11658-277</t>
  </si>
  <si>
    <t>NDE-54142-454</t>
  </si>
  <si>
    <t>AIU-74484-473</t>
  </si>
  <si>
    <t>XAH-21274-648</t>
  </si>
  <si>
    <t>DDG-36055-433</t>
  </si>
  <si>
    <t>AOY-53042-067</t>
  </si>
  <si>
    <t>CNM-82844-997</t>
  </si>
  <si>
    <t>VUK-96693-151</t>
  </si>
  <si>
    <t>VGP-19909-530</t>
  </si>
  <si>
    <t>FAM-87509-992</t>
  </si>
  <si>
    <t>GBR-09930-715</t>
  </si>
  <si>
    <t>ZUC-97336-121</t>
  </si>
  <si>
    <t>FRL-76237-214</t>
  </si>
  <si>
    <t>LMU-81475-091</t>
  </si>
  <si>
    <t>IJM-25677-787</t>
  </si>
  <si>
    <t>WVD-08662-019</t>
  </si>
  <si>
    <t>BQD-69080-420</t>
  </si>
  <si>
    <t>SQV-26127-679</t>
  </si>
  <si>
    <t>RLX-78104-615</t>
  </si>
  <si>
    <t>JCB-88645-676</t>
  </si>
  <si>
    <t>SGR-63593-219</t>
  </si>
  <si>
    <t>TQZ-53171-162</t>
  </si>
  <si>
    <t>JHK-47561-175</t>
  </si>
  <si>
    <t>IMT-05098-136</t>
  </si>
  <si>
    <t>ZDY-85205-070</t>
  </si>
  <si>
    <t>VVG-55418-709</t>
  </si>
  <si>
    <t>LJS-81801-834</t>
  </si>
  <si>
    <t>JES-15531-258</t>
  </si>
  <si>
    <t>KTT-67351-251</t>
  </si>
  <si>
    <t>UDA-81363-258</t>
  </si>
  <si>
    <t>CPA-72224-906</t>
  </si>
  <si>
    <t>MVO-29481-724</t>
  </si>
  <si>
    <t>PBB-56770-536</t>
  </si>
  <si>
    <t>QYZ-38378-662</t>
  </si>
  <si>
    <t>AVY-61230-572</t>
  </si>
  <si>
    <t>SFS-54909-737</t>
  </si>
  <si>
    <t>ZUC-37965-964</t>
  </si>
  <si>
    <t>ZLJ-42155-230</t>
  </si>
  <si>
    <t>EYI-32812-800</t>
  </si>
  <si>
    <t>DRI-43083-769</t>
  </si>
  <si>
    <t>MFR-62191-705</t>
  </si>
  <si>
    <t>PAF-51067-422</t>
  </si>
  <si>
    <t>NWR-28991-042</t>
  </si>
  <si>
    <t>SLC-14602-760</t>
  </si>
  <si>
    <t>DNW-43339-125</t>
  </si>
  <si>
    <t>XXN-97298-085</t>
  </si>
  <si>
    <t>HUY-39311-715</t>
  </si>
  <si>
    <t>ELG-96643-225</t>
  </si>
  <si>
    <t>QAS-83192-990</t>
  </si>
  <si>
    <t>AGF-91055-533</t>
  </si>
  <si>
    <t>SQI-42978-113</t>
  </si>
  <si>
    <t>WMX-99168-270</t>
  </si>
  <si>
    <t>EEG-55359-824</t>
  </si>
  <si>
    <t>YCP-53674-089</t>
  </si>
  <si>
    <t>XTD-55954-254</t>
  </si>
  <si>
    <t>IPC-71297-478</t>
  </si>
  <si>
    <t>OXX-99007-126</t>
  </si>
  <si>
    <t>BLV-43069-242</t>
  </si>
  <si>
    <t>VKW-29525-349</t>
  </si>
  <si>
    <t>ISX-15354-413</t>
  </si>
  <si>
    <t>JLM-90716-260</t>
  </si>
  <si>
    <t>LCX-98165-489</t>
  </si>
  <si>
    <t>HQL-62998-670</t>
  </si>
  <si>
    <t>FVD-48814-388</t>
  </si>
  <si>
    <t>PDQ-84486-968</t>
  </si>
  <si>
    <t>DYC-13890-648</t>
  </si>
  <si>
    <t>JMX-81365-494</t>
  </si>
  <si>
    <t>XOE-93628-895</t>
  </si>
  <si>
    <t>GYY-80886-908</t>
  </si>
  <si>
    <t>KXL-97545-333</t>
  </si>
  <si>
    <t>KHV-17340-528</t>
  </si>
  <si>
    <t>RHI-30708-191</t>
  </si>
  <si>
    <t>NLD-42539-593</t>
  </si>
  <si>
    <t>OFW-00446-226</t>
  </si>
  <si>
    <t>DQC-18115-537</t>
  </si>
  <si>
    <t>BTG-63561-740</t>
  </si>
  <si>
    <t>FFW-66783-821</t>
  </si>
  <si>
    <t>DCT-63904-459</t>
  </si>
  <si>
    <t>PXZ-55770-669</t>
  </si>
  <si>
    <t>VRQ-03624-300</t>
  </si>
  <si>
    <t>AMV-65942-977</t>
  </si>
  <si>
    <t>BTX-98822-065</t>
  </si>
  <si>
    <t>VVA-78918-593</t>
  </si>
  <si>
    <t>VNS-30362-055</t>
  </si>
  <si>
    <t>NBF-96858-737</t>
  </si>
  <si>
    <t>LZS-34936-638</t>
  </si>
  <si>
    <t>PQR-09129-804</t>
  </si>
  <si>
    <t>FSQ-05679-855</t>
  </si>
  <si>
    <t>NYT-91094-293</t>
  </si>
  <si>
    <t>YFN-77764-587</t>
  </si>
  <si>
    <t>HMF-25782-524</t>
  </si>
  <si>
    <t>DJO-17692-939</t>
  </si>
  <si>
    <t>POV-02770-248</t>
  </si>
  <si>
    <t>AOL-11001-650</t>
  </si>
  <si>
    <t>OTL-09076-633</t>
  </si>
  <si>
    <t>IFB-73724-122</t>
  </si>
  <si>
    <t>JLN-21642-065</t>
  </si>
  <si>
    <t>ZBP-98415-963</t>
  </si>
  <si>
    <t>MWI-30905-580</t>
  </si>
  <si>
    <t>ZOW-63105-465</t>
  </si>
  <si>
    <t>FNJ-25116-011</t>
  </si>
  <si>
    <t>XFM-30931-352</t>
  </si>
  <si>
    <t>ZTU-87074-714</t>
  </si>
  <si>
    <t>ROI-08435-725</t>
  </si>
  <si>
    <t>WHW-45819-510</t>
  </si>
  <si>
    <t>LLZ-77598-442</t>
  </si>
  <si>
    <t>AMD-74127-495</t>
  </si>
  <si>
    <t>RXW-81270-579</t>
  </si>
  <si>
    <t>CEP-99804-314</t>
  </si>
  <si>
    <t>PGL-30441-101</t>
  </si>
  <si>
    <t>WWO-88473-767</t>
  </si>
  <si>
    <t>BNN-24943-127</t>
  </si>
  <si>
    <t>SCP-67509-131</t>
  </si>
  <si>
    <t>BER-30943-822</t>
  </si>
  <si>
    <t>UNG-49873-974</t>
  </si>
  <si>
    <t>FQR-88297-051</t>
  </si>
  <si>
    <t>WVN-54921-957</t>
  </si>
  <si>
    <t>LLB-77302-098</t>
  </si>
  <si>
    <t>NFW-07671-869</t>
  </si>
  <si>
    <t>VMW-11628-348</t>
  </si>
  <si>
    <t>JJC-91905-195</t>
  </si>
  <si>
    <t>VHU-76871-040</t>
  </si>
  <si>
    <t>PCR-01931-689</t>
  </si>
  <si>
    <t>OGA-97353-479</t>
  </si>
  <si>
    <t>GQS-84421-797</t>
  </si>
  <si>
    <t>SOI-79019-122</t>
  </si>
  <si>
    <t>OVH-02532-954</t>
  </si>
  <si>
    <t>EAC-56286-452</t>
  </si>
  <si>
    <t>FAO-14982-291</t>
  </si>
  <si>
    <t>DDH-53816-153</t>
  </si>
  <si>
    <t>LJO-03673-110</t>
  </si>
  <si>
    <t>AHX-35502-491</t>
  </si>
  <si>
    <t>JHW-35921-136</t>
  </si>
  <si>
    <t>AEF-01336-304</t>
  </si>
  <si>
    <t>UUU-97338-125</t>
  </si>
  <si>
    <t>FLD-39762-948</t>
  </si>
  <si>
    <t>GII-04846-394</t>
  </si>
  <si>
    <t>HTV-75313-308</t>
  </si>
  <si>
    <t>JSC-40045-380</t>
  </si>
  <si>
    <t>BHG-67812-516</t>
  </si>
  <si>
    <t>ZWY-24928-366</t>
  </si>
  <si>
    <t>WEJ-10131-970</t>
  </si>
  <si>
    <t>KTY-05699-669</t>
  </si>
  <si>
    <t>ZJO-32455-014</t>
  </si>
  <si>
    <t>NDX-45651-867</t>
  </si>
  <si>
    <t>QLQ-86855-993</t>
  </si>
  <si>
    <t>IXM-55478-942</t>
  </si>
  <si>
    <t>RUD-18011-768</t>
  </si>
  <si>
    <t>RAU-13077-216</t>
  </si>
  <si>
    <t>IZC-94569-110</t>
  </si>
  <si>
    <t>XQE-17922-857</t>
  </si>
  <si>
    <t>QAN-15286-527</t>
  </si>
  <si>
    <t>XGF-59628-770</t>
  </si>
  <si>
    <t>TVH-43028-606</t>
  </si>
  <si>
    <t>OQL-09155-552</t>
  </si>
  <si>
    <t>IYZ-66050-860</t>
  </si>
  <si>
    <t>EMS-47323-161</t>
  </si>
  <si>
    <t>PQA-95734-609</t>
  </si>
  <si>
    <t>DGZ-71275-463</t>
  </si>
  <si>
    <t>POI-62716-446</t>
  </si>
  <si>
    <t>ILV-43825-006</t>
  </si>
  <si>
    <t>IEK-42129-254</t>
  </si>
  <si>
    <t>PJU-60745-326</t>
  </si>
  <si>
    <t>RLL-16097-464</t>
  </si>
  <si>
    <t>VYK-82968-934</t>
  </si>
  <si>
    <t>DIV-60639-592</t>
  </si>
  <si>
    <t>MXK-09721-550</t>
  </si>
  <si>
    <t>CIK-64818-250</t>
  </si>
  <si>
    <t>EOK-72510-239</t>
  </si>
  <si>
    <t>PEC-39990-573</t>
  </si>
  <si>
    <t>SSA-87253-496</t>
  </si>
  <si>
    <t>UFY-55067-185</t>
  </si>
  <si>
    <t>RNE-85240-072</t>
  </si>
  <si>
    <t>GCM-94027-360</t>
  </si>
  <si>
    <t>FZH-96124-515</t>
  </si>
  <si>
    <t>GDM-51715-744</t>
  </si>
  <si>
    <t>RNR-30933-813</t>
  </si>
  <si>
    <t>IWM-88264-124</t>
  </si>
  <si>
    <t>CMV-23424-932</t>
  </si>
  <si>
    <t>SCP-63780-818</t>
  </si>
  <si>
    <t>CSS-21257-671</t>
  </si>
  <si>
    <t>WAT-09458-899</t>
  </si>
  <si>
    <t>DTV-91538-547</t>
  </si>
  <si>
    <t>BPJ-99483-431</t>
  </si>
  <si>
    <t>QTT-83798-641</t>
  </si>
  <si>
    <t>MPI-49210-930</t>
  </si>
  <si>
    <t>TQO-30141-266</t>
  </si>
  <si>
    <t>WTG-09679-930</t>
  </si>
  <si>
    <t>EAR-14075-603</t>
  </si>
  <si>
    <t>ZUC-18874-689</t>
  </si>
  <si>
    <t>BDK-21199-621</t>
  </si>
  <si>
    <t>QNA-30112-903</t>
  </si>
  <si>
    <t>PAM-09259-242</t>
  </si>
  <si>
    <t>VEU-49674-205</t>
  </si>
  <si>
    <t>DZX-95672-866</t>
  </si>
  <si>
    <t>ZVI-13864-341</t>
  </si>
  <si>
    <t>BIA-86660-935</t>
  </si>
  <si>
    <t>FNJ-31602-236</t>
  </si>
  <si>
    <t>OXV-64872-564</t>
  </si>
  <si>
    <t>DHB-00613-174</t>
  </si>
  <si>
    <t>CVZ-15465-793</t>
  </si>
  <si>
    <t>ZVH-09926-611</t>
  </si>
  <si>
    <t>EDG-83289-651</t>
  </si>
  <si>
    <t>AOW-58788-015</t>
  </si>
  <si>
    <t>ARK-73021-894</t>
  </si>
  <si>
    <t>XTZ-86896-127</t>
  </si>
  <si>
    <t>CRJ-35873-295</t>
  </si>
  <si>
    <t>OYZ-28025-450</t>
  </si>
  <si>
    <t>LZQ-19884-200</t>
  </si>
  <si>
    <t>ZLI-16875-397</t>
  </si>
  <si>
    <t>TCP-56586-229</t>
  </si>
  <si>
    <t>TPL-08665-286</t>
  </si>
  <si>
    <t>PAV-54107-233</t>
  </si>
  <si>
    <t>WON-05226-427</t>
  </si>
  <si>
    <t>MKE-39476-602</t>
  </si>
  <si>
    <t>CSI-48346-559</t>
  </si>
  <si>
    <t>ENJ-62128-022</t>
  </si>
  <si>
    <t>USS-18795-845</t>
  </si>
  <si>
    <t>AAD-05162-834</t>
  </si>
  <si>
    <t>VYP-69888-563</t>
  </si>
  <si>
    <t>XGE-07917-855</t>
  </si>
  <si>
    <t>PDB-71117-641</t>
  </si>
  <si>
    <t>DMO-18372-271</t>
  </si>
  <si>
    <t>LZC-52293-126</t>
  </si>
  <si>
    <t>RHT-22813-584</t>
  </si>
  <si>
    <t>QOS-48196-633</t>
  </si>
  <si>
    <t>LTZ-25583-461</t>
  </si>
  <si>
    <t>FVR-98409-483</t>
  </si>
  <si>
    <t>BPZ-03201-086</t>
  </si>
  <si>
    <t>AYM-04304-888</t>
  </si>
  <si>
    <t>YOF-30466-280</t>
  </si>
  <si>
    <t>PHN-30876-878</t>
  </si>
  <si>
    <t>VTD-61797-632</t>
  </si>
  <si>
    <t>MIW-91097-271</t>
  </si>
  <si>
    <t>JAF-97703-555</t>
  </si>
  <si>
    <t>GLV-36157-377</t>
  </si>
  <si>
    <t>EOG-65907-768</t>
  </si>
  <si>
    <t>ONH-05917-399</t>
  </si>
  <si>
    <t>XCU-63766-518</t>
  </si>
  <si>
    <t>LOL-79916-440</t>
  </si>
  <si>
    <t>RAE-16244-568</t>
  </si>
  <si>
    <t>ODN-18422-159</t>
  </si>
  <si>
    <t>YIX-64564-278</t>
  </si>
  <si>
    <t>MZI-36546-786</t>
  </si>
  <si>
    <t>YRO-60098-471</t>
  </si>
  <si>
    <t>QQD-03414-676</t>
  </si>
  <si>
    <t>TAN-85565-466</t>
  </si>
  <si>
    <t>OKE-31169-952</t>
  </si>
  <si>
    <t>CWJ-36943-182</t>
  </si>
  <si>
    <t>SYG-09030-318</t>
  </si>
  <si>
    <t>UYC-73619-358</t>
  </si>
  <si>
    <t>EBC-46060-056</t>
  </si>
  <si>
    <t>BGI-03586-576</t>
  </si>
  <si>
    <t>CXJ-13065-364</t>
  </si>
  <si>
    <t>JGA-96196-398</t>
  </si>
  <si>
    <t>TUP-90972-524</t>
  </si>
  <si>
    <t>FQR-16128-446</t>
  </si>
  <si>
    <t>VWZ-28505-951</t>
  </si>
  <si>
    <t>FYF-53946-527</t>
  </si>
  <si>
    <t>VLJ-06134-394</t>
  </si>
  <si>
    <t>TTP-37863-910</t>
  </si>
  <si>
    <t>PDY-42398-132</t>
  </si>
  <si>
    <t>WEJ-48773-578</t>
  </si>
  <si>
    <t>EDR-17774-581</t>
  </si>
  <si>
    <t>YFQ-87323-142</t>
  </si>
  <si>
    <t>WXP-23587-124</t>
  </si>
  <si>
    <t>GUP-18063-942</t>
  </si>
  <si>
    <t>WRO-09569-306</t>
  </si>
  <si>
    <t>BQN-49995-204</t>
  </si>
  <si>
    <t>EZC-58518-590</t>
  </si>
  <si>
    <t>ZBE-09350-731</t>
  </si>
  <si>
    <t>CON-64613-445</t>
  </si>
  <si>
    <t>WQT-62903-484</t>
  </si>
  <si>
    <t>XIN-99558-496</t>
  </si>
  <si>
    <t>JRO-28382-127</t>
  </si>
  <si>
    <t>XMS-78571-566</t>
  </si>
  <si>
    <t>SGT-91230-256</t>
  </si>
  <si>
    <t>ZLP-22624-934</t>
  </si>
  <si>
    <t>PTL-13096-587</t>
  </si>
  <si>
    <t>MTE-57066-039</t>
  </si>
  <si>
    <t>IKP-02987-549</t>
  </si>
  <si>
    <t>EII-08352-262</t>
  </si>
  <si>
    <t>HEC-46945-773</t>
  </si>
  <si>
    <t>NKU-87974-629</t>
  </si>
  <si>
    <t>TQJ-17205-076</t>
  </si>
  <si>
    <t>NKL-24442-854</t>
  </si>
  <si>
    <t>RDR-41885-611</t>
  </si>
  <si>
    <t>MUU-99936-765</t>
  </si>
  <si>
    <t>MHM-86431-391</t>
  </si>
  <si>
    <t>MLV-75048-134</t>
  </si>
  <si>
    <t>GNM-17136-253</t>
  </si>
  <si>
    <t>IJJ-24905-810</t>
  </si>
  <si>
    <t>SAF-39601-409</t>
  </si>
  <si>
    <t>AWN-25842-089</t>
  </si>
  <si>
    <t>FUV-67657-391</t>
  </si>
  <si>
    <t>CAT-39131-476</t>
  </si>
  <si>
    <t>OCZ-90366-545</t>
  </si>
  <si>
    <t>VDU-62595-447</t>
  </si>
  <si>
    <t>GCP-79935-438</t>
  </si>
  <si>
    <t>NBX-97537-306</t>
  </si>
  <si>
    <t>VQF-04636-775</t>
  </si>
  <si>
    <t>JXI-59546-897</t>
  </si>
  <si>
    <t>COC-73650-623</t>
  </si>
  <si>
    <t>RUN-52777-323</t>
  </si>
  <si>
    <t>ZDD-57802-253</t>
  </si>
  <si>
    <t>QKD-95533-672</t>
  </si>
  <si>
    <t>OMQ-62585-033</t>
  </si>
  <si>
    <t>UMO-54496-261</t>
  </si>
  <si>
    <t>RZE-51675-918</t>
  </si>
  <si>
    <t>GER-99017-256</t>
  </si>
  <si>
    <t>CRV-64713-870</t>
  </si>
  <si>
    <t>NLM-09145-884</t>
  </si>
  <si>
    <t>MWT-13951-711</t>
  </si>
  <si>
    <t>GDL-44406-073</t>
  </si>
  <si>
    <t>XEU-93882-540</t>
  </si>
  <si>
    <t>MLD-04167-004</t>
  </si>
  <si>
    <t>JZH-19066-032</t>
  </si>
  <si>
    <t>YTX-44198-142</t>
  </si>
  <si>
    <t>ZML-92007-371</t>
  </si>
  <si>
    <t>JMN-20323-167</t>
  </si>
  <si>
    <t>ZKB-89400-916</t>
  </si>
  <si>
    <t>MAC-97628-351</t>
  </si>
  <si>
    <t>EZL-71086-838</t>
  </si>
  <si>
    <t>QDB-25084-432</t>
  </si>
  <si>
    <t>VYI-62404-793</t>
  </si>
  <si>
    <t>RVW-74046-974</t>
  </si>
  <si>
    <t>KTR-36338-990</t>
  </si>
  <si>
    <t>QIZ-62829-089</t>
  </si>
  <si>
    <t>RYF-56658-119</t>
  </si>
  <si>
    <t>NOW-66837-355</t>
  </si>
  <si>
    <t>DVT-12096-914</t>
  </si>
  <si>
    <t>QYC-14763-336</t>
  </si>
  <si>
    <t>SXG-09025-039</t>
  </si>
  <si>
    <t>PWN-23557-911</t>
  </si>
  <si>
    <t>EMS-92305-335</t>
  </si>
  <si>
    <t>XFJ-95875-356</t>
  </si>
  <si>
    <t>BBC-91484-809</t>
  </si>
  <si>
    <t>LVU-57813-087</t>
  </si>
  <si>
    <t>EML-29766-322</t>
  </si>
  <si>
    <t>HCF-61271-706</t>
  </si>
  <si>
    <t>INY-54766-591</t>
  </si>
  <si>
    <t>SAH-05168-361</t>
  </si>
  <si>
    <t>UOI-29802-823</t>
  </si>
  <si>
    <t>JIM-45567-553</t>
  </si>
  <si>
    <t>HRQ-11782-332</t>
  </si>
  <si>
    <t>WVC-62597-606</t>
  </si>
  <si>
    <t>AJY-52250-614</t>
  </si>
  <si>
    <t>IBV-33544-586</t>
  </si>
  <si>
    <t>FUG-24105-170</t>
  </si>
  <si>
    <t>WUB-77194-938</t>
  </si>
  <si>
    <t>JOQ-25148-819</t>
  </si>
  <si>
    <t>KIH-70901-618</t>
  </si>
  <si>
    <t>NTF-67324-913</t>
  </si>
  <si>
    <t>HZZ-37675-578</t>
  </si>
  <si>
    <t>WSK-51267-309</t>
  </si>
  <si>
    <t>HBD-06251-502</t>
  </si>
  <si>
    <t>HSN-15029-539</t>
  </si>
  <si>
    <t>ZXG-16877-843</t>
  </si>
  <si>
    <t>CBM-09010-256</t>
  </si>
  <si>
    <t>GAM-44276-206</t>
  </si>
  <si>
    <t>FJY-99132-240</t>
  </si>
  <si>
    <t>SKA-64725-277</t>
  </si>
  <si>
    <t>XJU-67640-087</t>
  </si>
  <si>
    <t>JBG-60806-603</t>
  </si>
  <si>
    <t>BVF-70284-611</t>
  </si>
  <si>
    <t>TBA-99499-664</t>
  </si>
  <si>
    <t>BEQ-27055-723</t>
  </si>
  <si>
    <t>GGZ-90451-373</t>
  </si>
  <si>
    <t>VNW-77352-383</t>
  </si>
  <si>
    <t>DZE-44197-607</t>
  </si>
  <si>
    <t>TUY-70205-375</t>
  </si>
  <si>
    <t>PJF-29234-022</t>
  </si>
  <si>
    <t>ZOG-86960-576</t>
  </si>
  <si>
    <t>HBV-43851-315</t>
  </si>
  <si>
    <t>UTV-01495-774</t>
  </si>
  <si>
    <t>QQL-43766-569</t>
  </si>
  <si>
    <t>HFG-17756-012</t>
  </si>
  <si>
    <t>UEC-81578-051</t>
  </si>
  <si>
    <t>HJR-57397-506</t>
  </si>
  <si>
    <t>NWG-14477-403</t>
  </si>
  <si>
    <t>PZB-65202-486</t>
  </si>
  <si>
    <t>CKN-23403-141</t>
  </si>
  <si>
    <t>NCU-25865-267</t>
  </si>
  <si>
    <t>FMJ-98014-136</t>
  </si>
  <si>
    <t>MDK-76204-809</t>
  </si>
  <si>
    <t>ULR-38834-768</t>
  </si>
  <si>
    <t>LZK-75041-379</t>
  </si>
  <si>
    <t>VUP-65288-890</t>
  </si>
  <si>
    <t>LTD-69460-404</t>
  </si>
  <si>
    <t>UQZ-28133-287</t>
  </si>
  <si>
    <t>YBK-01733-976</t>
  </si>
  <si>
    <t>WRL-31671-242</t>
  </si>
  <si>
    <t>YCK-77336-023</t>
  </si>
  <si>
    <t>YQU-89296-126</t>
  </si>
  <si>
    <t>BFE-05141-733</t>
  </si>
  <si>
    <t>GNY-20823-132</t>
  </si>
  <si>
    <t>QEP-29785-559</t>
  </si>
  <si>
    <t>BZA-57643-955</t>
  </si>
  <si>
    <t>PNR-95992-271</t>
  </si>
  <si>
    <t>WES-72263-326</t>
  </si>
  <si>
    <t>KCV-50953-121</t>
  </si>
  <si>
    <t>ULZ-40086-293</t>
  </si>
  <si>
    <t>WQB-35640-224</t>
  </si>
  <si>
    <t>FRO-20687-843</t>
  </si>
  <si>
    <t>UUF-03090-488</t>
  </si>
  <si>
    <t>TQX-71490-517</t>
  </si>
  <si>
    <t>QSI-42693-176</t>
  </si>
  <si>
    <t>MKC-96756-051</t>
  </si>
  <si>
    <t>FJO-57142-010</t>
  </si>
  <si>
    <t>MJY-25541-882</t>
  </si>
  <si>
    <t>ALB-20904-731</t>
  </si>
  <si>
    <t>URG-56129-049</t>
  </si>
  <si>
    <t>WTL-82563-334</t>
  </si>
  <si>
    <t>VPP-73870-122</t>
  </si>
  <si>
    <t>RTS-62780-487</t>
  </si>
  <si>
    <t>MJP-80264-888</t>
  </si>
  <si>
    <t>URQ-12005-902</t>
  </si>
  <si>
    <t>GLK-48528-505</t>
  </si>
  <si>
    <t>GGD-30371-271</t>
  </si>
  <si>
    <t>HHN-27420-637</t>
  </si>
  <si>
    <t>LNF-53105-446</t>
  </si>
  <si>
    <t>PVG-03603-991</t>
  </si>
  <si>
    <t>CWX-67829-382</t>
  </si>
  <si>
    <t>NMY-07065-806</t>
  </si>
  <si>
    <t>UOY-53673-291</t>
  </si>
  <si>
    <t>TJI-93961-746</t>
  </si>
  <si>
    <t>HIV-64992-900</t>
  </si>
  <si>
    <t>GVF-19103-210</t>
  </si>
  <si>
    <t>YHQ-01480-452</t>
  </si>
  <si>
    <t>CQW-98863-498</t>
  </si>
  <si>
    <t>YVC-93381-494</t>
  </si>
  <si>
    <t>ZOW-02156-820</t>
  </si>
  <si>
    <t>PFF-67211-410</t>
  </si>
  <si>
    <t>YMI-65286-944</t>
  </si>
  <si>
    <t>COP-45212-130</t>
  </si>
  <si>
    <t>YJQ-04552-865</t>
  </si>
  <si>
    <t>OYC-32975-329</t>
  </si>
  <si>
    <t>MTL-04455-605</t>
  </si>
  <si>
    <t>DAZ-20374-281</t>
  </si>
  <si>
    <t>DAD-15010-880</t>
  </si>
  <si>
    <t>RIG-26797-501</t>
  </si>
  <si>
    <t>UMO-21683-070</t>
  </si>
  <si>
    <t>XTA-33195-477</t>
  </si>
  <si>
    <t>EZR-53722-375</t>
  </si>
  <si>
    <t>NHO-12712-186</t>
  </si>
  <si>
    <t>IKG-69596-354</t>
  </si>
  <si>
    <t>HBF-50204-785</t>
  </si>
  <si>
    <t>WNO-50075-637</t>
  </si>
  <si>
    <t>VBZ-73872-657</t>
  </si>
  <si>
    <t>GVB-26001-332</t>
  </si>
  <si>
    <t>AQT-73069-957</t>
  </si>
  <si>
    <t>ZZL-71312-427</t>
  </si>
  <si>
    <t>AXI-88005-171</t>
  </si>
  <si>
    <t>EMQ-21405-240</t>
  </si>
  <si>
    <t>FCO-94318-923</t>
  </si>
  <si>
    <t>CLH-41351-548</t>
  </si>
  <si>
    <t>SAY-12506-727</t>
  </si>
  <si>
    <t>FLN-15706-116</t>
  </si>
  <si>
    <t>LWR-05860-637</t>
  </si>
  <si>
    <t>SSH-20276-120</t>
  </si>
  <si>
    <t>VIG-40991-978</t>
  </si>
  <si>
    <t>BZU-81436-604</t>
  </si>
  <si>
    <t>PUD-52197-641</t>
  </si>
  <si>
    <t>JHK-56673-909</t>
  </si>
  <si>
    <t>MGV-12912-264</t>
  </si>
  <si>
    <t>QFH-82529-437</t>
  </si>
  <si>
    <t>UXK-58093-674</t>
  </si>
  <si>
    <t>OBZ-92393-026</t>
  </si>
  <si>
    <t>XAP-10160-836</t>
  </si>
  <si>
    <t>FAG-90724-530</t>
  </si>
  <si>
    <t>ZKU-42134-281</t>
  </si>
  <si>
    <t>BKX-20623-296</t>
  </si>
  <si>
    <t>YSS-59840-206</t>
  </si>
  <si>
    <t>AAX-78097-557</t>
  </si>
  <si>
    <t>CSB-31128-470</t>
  </si>
  <si>
    <t>VBI-80171-014</t>
  </si>
  <si>
    <t>JIM-52568-990</t>
  </si>
  <si>
    <t>SNS-13235-003</t>
  </si>
  <si>
    <t>GJL-70448-973</t>
  </si>
  <si>
    <t>EFT-01343-976</t>
  </si>
  <si>
    <t>AQG-18287-899</t>
  </si>
  <si>
    <t>MEP-74527-467</t>
  </si>
  <si>
    <t>ALM-42664-274</t>
  </si>
  <si>
    <t>VVC-25433-784</t>
  </si>
  <si>
    <t>UQM-21673-482</t>
  </si>
  <si>
    <t>VPZ-90477-184</t>
  </si>
  <si>
    <t>IGK-01085-014</t>
  </si>
  <si>
    <t>UVC-81018-845</t>
  </si>
  <si>
    <t>PGW-42229-797</t>
  </si>
  <si>
    <t>NIV-32725-448</t>
  </si>
  <si>
    <t>RBX-45003-212</t>
  </si>
  <si>
    <t>QVE-44115-487</t>
  </si>
  <si>
    <t>UAJ-39565-950</t>
  </si>
  <si>
    <t>ZDY-40675-922</t>
  </si>
  <si>
    <t>OWV-72448-893</t>
  </si>
  <si>
    <t>AEZ-19219-801</t>
  </si>
  <si>
    <t>KYS-52788-025</t>
  </si>
  <si>
    <t>ZFM-22341-399</t>
  </si>
  <si>
    <t>ZSH-79396-733</t>
  </si>
  <si>
    <t>ANF-08721-124</t>
  </si>
  <si>
    <t>DTO-89170-804</t>
  </si>
  <si>
    <t>TNQ-55916-285</t>
  </si>
  <si>
    <t>DBA-27184-845</t>
  </si>
  <si>
    <t>EXB-46779-605</t>
  </si>
  <si>
    <t>GHZ-40641-194</t>
  </si>
  <si>
    <t>ZIL-34092-154</t>
  </si>
  <si>
    <t>LLY-79084-302</t>
  </si>
  <si>
    <t>ODT-54475-168</t>
  </si>
  <si>
    <t>DYL-41204-457</t>
  </si>
  <si>
    <t>FXP-33111-455</t>
  </si>
  <si>
    <t>VJO-21149-978</t>
  </si>
  <si>
    <t>RIZ-51506-489</t>
  </si>
  <si>
    <t>ECI-32329-073</t>
  </si>
  <si>
    <t>BPE-46042-902</t>
  </si>
  <si>
    <t>WXZ-78303-992</t>
  </si>
  <si>
    <t>YET-11486-614</t>
  </si>
  <si>
    <t>SJP-90543-161</t>
  </si>
  <si>
    <t>HHY-21190-033</t>
  </si>
  <si>
    <t>HFX-51457-264</t>
  </si>
  <si>
    <t>BGV-34551-261</t>
  </si>
  <si>
    <t>GKJ-19917-115</t>
  </si>
  <si>
    <t>LMJ-93435-328</t>
  </si>
  <si>
    <t>TWA-59503-496</t>
  </si>
  <si>
    <t>NGI-13881-156</t>
  </si>
  <si>
    <t>ZKB-83173-045</t>
  </si>
  <si>
    <t>KAF-81358-847</t>
  </si>
  <si>
    <t>STP-65300-536</t>
  </si>
  <si>
    <t>SBR-71345-653</t>
  </si>
  <si>
    <t>VLN-26739-992</t>
  </si>
  <si>
    <t>ZNQ-19274-687</t>
  </si>
  <si>
    <t>OII-76814-550</t>
  </si>
  <si>
    <t>EMH-89230-870</t>
  </si>
  <si>
    <t>WSE-81489-665</t>
  </si>
  <si>
    <t>URM-65965-020</t>
  </si>
  <si>
    <t>NUP-50706-385</t>
  </si>
  <si>
    <t>VKN-31760-842</t>
  </si>
  <si>
    <t>TML-41635-549</t>
  </si>
  <si>
    <t>PRQ-39900-014</t>
  </si>
  <si>
    <t>MFF-75502-139</t>
  </si>
  <si>
    <t>YIN-77618-100</t>
  </si>
  <si>
    <t>SDQ-59408-215</t>
  </si>
  <si>
    <t>FAR-27517-969</t>
  </si>
  <si>
    <t>VVI-30292-851</t>
  </si>
  <si>
    <t>ZCS-15683-373</t>
  </si>
  <si>
    <t>BFZ-66385-998</t>
  </si>
  <si>
    <t>VZQ-66134-186</t>
  </si>
  <si>
    <t>ZRN-05918-045</t>
  </si>
  <si>
    <t>VMV-27230-468</t>
  </si>
  <si>
    <t>LAL-60379-510</t>
  </si>
  <si>
    <t>FND-63861-142</t>
  </si>
  <si>
    <t>JVD-21729-964</t>
  </si>
  <si>
    <t>MWL-52413-855</t>
  </si>
  <si>
    <t>SRP-21625-545</t>
  </si>
  <si>
    <t>JPV-78893-091</t>
  </si>
  <si>
    <t>YXF-25219-411</t>
  </si>
  <si>
    <t>HNV-95599-341</t>
  </si>
  <si>
    <t>PSG-35676-925</t>
  </si>
  <si>
    <t>YKP-59223-257</t>
  </si>
  <si>
    <t>MBZ-91765-752</t>
  </si>
  <si>
    <t>YGI-17761-679</t>
  </si>
  <si>
    <t>ADI-09432-643</t>
  </si>
  <si>
    <t>UDC-81615-478</t>
  </si>
  <si>
    <t>TDF-95173-272</t>
  </si>
  <si>
    <t>XGO-83869-721</t>
  </si>
  <si>
    <t>MMD-58136-958</t>
  </si>
  <si>
    <t>AST-98320-041</t>
  </si>
  <si>
    <t>PWZ-32490-860</t>
  </si>
  <si>
    <t>BYM-96541-064</t>
  </si>
  <si>
    <t>UDN-56245-383</t>
  </si>
  <si>
    <t>JNQ-91164-076</t>
  </si>
  <si>
    <t>UDO-31460-022</t>
  </si>
  <si>
    <t>NMA-52273-223</t>
  </si>
  <si>
    <t>IHN-68616-875</t>
  </si>
  <si>
    <t>CTN-00449-682</t>
  </si>
  <si>
    <t>OLS-91644-555</t>
  </si>
  <si>
    <t>LYU-57832-457</t>
  </si>
  <si>
    <t>BBQ-26088-554</t>
  </si>
  <si>
    <t>AXV-98864-066</t>
  </si>
  <si>
    <t>MEL-37642-086</t>
  </si>
  <si>
    <t>BUC-45225-311</t>
  </si>
  <si>
    <t>KMK-54218-342</t>
  </si>
  <si>
    <t>MQL-97463-247</t>
  </si>
  <si>
    <t>ZBH-75877-622</t>
  </si>
  <si>
    <t>LOO-14399-694</t>
  </si>
  <si>
    <t>LSF-97450-071</t>
  </si>
  <si>
    <t>OSD-26796-209</t>
  </si>
  <si>
    <t>DUA-27445-155</t>
  </si>
  <si>
    <t>AUI-14126-682</t>
  </si>
  <si>
    <t>QLU-19044-012</t>
  </si>
  <si>
    <t>YCG-53221-466</t>
  </si>
  <si>
    <t>GKX-06135-834</t>
  </si>
  <si>
    <t>FAX-80123-322</t>
  </si>
  <si>
    <t>SOW-12199-187</t>
  </si>
  <si>
    <t>UBO-30647-640</t>
  </si>
  <si>
    <t>KWA-46252-576</t>
  </si>
  <si>
    <t>HBN-48019-123</t>
  </si>
  <si>
    <t>HIY-50488-833</t>
  </si>
  <si>
    <t>XSQ-72746-460</t>
  </si>
  <si>
    <t>XTQ-87134-930</t>
  </si>
  <si>
    <t>AWD-06263-998</t>
  </si>
  <si>
    <t>QWV-45244-230</t>
  </si>
  <si>
    <t>CUU-04618-342</t>
  </si>
  <si>
    <t>ZUV-48498-108</t>
  </si>
  <si>
    <t>UOI-65729-104</t>
  </si>
  <si>
    <t>UCL-65273-024</t>
  </si>
  <si>
    <t>CBW-87453-097</t>
  </si>
  <si>
    <t>CCS-81115-834</t>
  </si>
  <si>
    <t>ALD-58772-952</t>
  </si>
  <si>
    <t>IGM-89024-699</t>
  </si>
  <si>
    <t>MGF-54928-821</t>
  </si>
  <si>
    <t>CIX-82980-385</t>
  </si>
  <si>
    <t>EIB-77879-757</t>
  </si>
  <si>
    <t>OHV-55978-510</t>
  </si>
  <si>
    <t>IPS-97939-814</t>
  </si>
  <si>
    <t>RRT-06412-967</t>
  </si>
  <si>
    <t>BBY-79959-371</t>
  </si>
  <si>
    <t>MAF-08410-449</t>
  </si>
  <si>
    <t>SOO-35029-404</t>
  </si>
  <si>
    <t>CNB-27441-562</t>
  </si>
  <si>
    <t>EBH-80509-544</t>
  </si>
  <si>
    <t>FRX-69720-631</t>
  </si>
  <si>
    <t>FUD-68818-594</t>
  </si>
  <si>
    <t>AXF-07861-232</t>
  </si>
  <si>
    <t>SEL-33883-927</t>
  </si>
  <si>
    <t>RMT-49501-397</t>
  </si>
  <si>
    <t>GEH-35879-991</t>
  </si>
  <si>
    <t>ZBT-73723-918</t>
  </si>
  <si>
    <t>CXR-56765-232</t>
  </si>
  <si>
    <t>RDD-27948-197</t>
  </si>
  <si>
    <t>SAL-58494-228</t>
  </si>
  <si>
    <t>GZC-91356-629</t>
  </si>
  <si>
    <t>RBY-93031-778</t>
  </si>
  <si>
    <t>FYX-74400-408</t>
  </si>
  <si>
    <t>UKP-44286-822</t>
  </si>
  <si>
    <t>SPV-79438-600</t>
  </si>
  <si>
    <t>GRQ-79140-103</t>
  </si>
  <si>
    <t>TCV-06093-404</t>
  </si>
  <si>
    <t>JZU-44896-367</t>
  </si>
  <si>
    <t>EWX-94375-243</t>
  </si>
  <si>
    <t>PJR-07835-354</t>
  </si>
  <si>
    <t>ATN-42181-146</t>
  </si>
  <si>
    <t>BYX-52439-614</t>
  </si>
  <si>
    <t>TYG-79105-247</t>
  </si>
  <si>
    <t>SQX-13494-894</t>
  </si>
  <si>
    <t>OKK-84515-127</t>
  </si>
  <si>
    <t>VIA-35105-964</t>
  </si>
  <si>
    <t>TPG-88125-579</t>
  </si>
  <si>
    <t>DAN-19600-339</t>
  </si>
  <si>
    <t>AME-67814-046</t>
  </si>
  <si>
    <t>QFD-77158-201</t>
  </si>
  <si>
    <t>TSV-97694-359</t>
  </si>
  <si>
    <t>DLC-74671-817</t>
  </si>
  <si>
    <t>HVX-67811-274</t>
  </si>
  <si>
    <t>IPG-87715-495</t>
  </si>
  <si>
    <t>TFF-29838-572</t>
  </si>
  <si>
    <t>VKR-70894-214</t>
  </si>
  <si>
    <t>YQZ-56667-794</t>
  </si>
  <si>
    <t>RDL-56683-969</t>
  </si>
  <si>
    <t>EJT-01406-525</t>
  </si>
  <si>
    <t>VCN-42638-680</t>
  </si>
  <si>
    <t>GQV-85089-709</t>
  </si>
  <si>
    <t>QMM-72771-709</t>
  </si>
  <si>
    <t>MAM-55878-048</t>
  </si>
  <si>
    <t>VEU-37915-259</t>
  </si>
  <si>
    <t>SPI-49830-346</t>
  </si>
  <si>
    <t>NDO-84430-005</t>
  </si>
  <si>
    <t>RRV-10207-750</t>
  </si>
  <si>
    <t>MLR-87702-618</t>
  </si>
  <si>
    <t>PXO-63211-255</t>
  </si>
  <si>
    <t>BUQ-49580-853</t>
  </si>
  <si>
    <t>CVD-05377-211</t>
  </si>
  <si>
    <t>CVU-57094-157</t>
  </si>
  <si>
    <t>OGX-17289-471</t>
  </si>
  <si>
    <t>LDU-53618-359</t>
  </si>
  <si>
    <t>YMX-42429-054</t>
  </si>
  <si>
    <t>PJE-24337-337</t>
  </si>
  <si>
    <t>UOH-49373-483</t>
  </si>
  <si>
    <t>TAL-05646-070</t>
  </si>
  <si>
    <t>HUF-82364-498</t>
  </si>
  <si>
    <t>XSG-17187-347</t>
  </si>
  <si>
    <t>LQF-31597-026</t>
  </si>
  <si>
    <t>EBS-07531-933</t>
  </si>
  <si>
    <t>CEN-72845-401</t>
  </si>
  <si>
    <t>WUU-20548-582</t>
  </si>
  <si>
    <t>DXU-52409-493</t>
  </si>
  <si>
    <t>DLK-71405-210</t>
  </si>
  <si>
    <t>CLR-69472-169</t>
  </si>
  <si>
    <t>MGJ-22294-889</t>
  </si>
  <si>
    <t>JVA-06658-493</t>
  </si>
  <si>
    <t>NHU-70715-695</t>
  </si>
  <si>
    <t>KUA-04137-283</t>
  </si>
  <si>
    <t>QQN-74463-261</t>
  </si>
  <si>
    <t>VKI-67899-905</t>
  </si>
  <si>
    <t>HVS-68165-169</t>
  </si>
  <si>
    <t>VFD-49031-642</t>
  </si>
  <si>
    <t>WWF-53110-995</t>
  </si>
  <si>
    <t>QKH-10954-295</t>
  </si>
  <si>
    <t>TPU-08205-349</t>
  </si>
  <si>
    <t>CCY-16654-861</t>
  </si>
  <si>
    <t>XHC-41043-699</t>
  </si>
  <si>
    <t>NBI-56798-242</t>
  </si>
  <si>
    <t>LNT-61810-986</t>
  </si>
  <si>
    <t>GWZ-46663-331</t>
  </si>
  <si>
    <t>BZR-89091-653</t>
  </si>
  <si>
    <t>YNB-58683-928</t>
  </si>
  <si>
    <t>JFL-78099-386</t>
  </si>
  <si>
    <t>XLN-62098-891</t>
  </si>
  <si>
    <t>OQC-14696-870</t>
  </si>
  <si>
    <t>UZV-72634-976</t>
  </si>
  <si>
    <t>IOT-32560-928</t>
  </si>
  <si>
    <t>YDD-09649-696</t>
  </si>
  <si>
    <t>OSS-00997-051</t>
  </si>
  <si>
    <t>UOH-82528-183</t>
  </si>
  <si>
    <t>YZO-07099-941</t>
  </si>
  <si>
    <t>GFN-40500-812</t>
  </si>
  <si>
    <t>UPR-01347-520</t>
  </si>
  <si>
    <t>AKM-78175-771</t>
  </si>
  <si>
    <t>GOI-93376-152</t>
  </si>
  <si>
    <t>QBT-30938-133</t>
  </si>
  <si>
    <t>KRE-36279-288</t>
  </si>
  <si>
    <t>OCX-24637-266</t>
  </si>
  <si>
    <t>AYK-44720-536</t>
  </si>
  <si>
    <t>PPU-10282-616</t>
  </si>
  <si>
    <t>NKX-45667-188</t>
  </si>
  <si>
    <t>ICR-53389-579</t>
  </si>
  <si>
    <t>BWU-54046-802</t>
  </si>
  <si>
    <t>ZTM-36007-898</t>
  </si>
  <si>
    <t>OIG-66916-817</t>
  </si>
  <si>
    <t>WAZ-79239-843</t>
  </si>
  <si>
    <t>VGL-84228-728</t>
  </si>
  <si>
    <t>EDU-06224-428</t>
  </si>
  <si>
    <t>TUI-68364-162</t>
  </si>
  <si>
    <t>DPS-91862-765</t>
  </si>
  <si>
    <t>UKX-99725-332</t>
  </si>
  <si>
    <t>UUG-04407-545</t>
  </si>
  <si>
    <t>QKC-20047-772</t>
  </si>
  <si>
    <t>GPE-95268-589</t>
  </si>
  <si>
    <t>XIF-17023-378</t>
  </si>
  <si>
    <t>LTC-72461-512</t>
  </si>
  <si>
    <t>AMS-17210-396</t>
  </si>
  <si>
    <t>MWH-84564-621</t>
  </si>
  <si>
    <t>WME-64060-432</t>
  </si>
  <si>
    <t>UPG-02672-924</t>
  </si>
  <si>
    <t>DDE-82773-578</t>
  </si>
  <si>
    <t>UOG-24026-682</t>
  </si>
  <si>
    <t>PKF-15009-354</t>
  </si>
  <si>
    <t>LIM-69934-513</t>
  </si>
  <si>
    <t>QOC-31726-774</t>
  </si>
  <si>
    <t>UFD-65756-804</t>
  </si>
  <si>
    <t>SJU-68709-799</t>
  </si>
  <si>
    <t>EGF-92251-294</t>
  </si>
  <si>
    <t>MGM-02325-336</t>
  </si>
  <si>
    <t>YVK-64580-444</t>
  </si>
  <si>
    <t>HHJ-53123-635</t>
  </si>
  <si>
    <t>PNS-88139-947</t>
  </si>
  <si>
    <t>HCN-62037-237</t>
  </si>
  <si>
    <t>DCC-65755-222</t>
  </si>
  <si>
    <t>FWA-74172-011</t>
  </si>
  <si>
    <t>YMP-28146-290</t>
  </si>
  <si>
    <t>VBS-73002-693</t>
  </si>
  <si>
    <t>UHH-23126-961</t>
  </si>
  <si>
    <t>QFI-34885-359</t>
  </si>
  <si>
    <t>PCM-77365-228</t>
  </si>
  <si>
    <t>FYB-01645-404</t>
  </si>
  <si>
    <t>TZR-26681-076</t>
  </si>
  <si>
    <t>LVY-95590-837</t>
  </si>
  <si>
    <t>JCX-75007-156</t>
  </si>
  <si>
    <t>FTK-38037-562</t>
  </si>
  <si>
    <t>ASQ-14278-629</t>
  </si>
  <si>
    <t>EAZ-97808-473</t>
  </si>
  <si>
    <t>SXL-42462-506</t>
  </si>
  <si>
    <t>GYU-10636-801</t>
  </si>
  <si>
    <t>EOA-07578-298</t>
  </si>
  <si>
    <t>ZZO-92323-685</t>
  </si>
  <si>
    <t>GBB-79888-272</t>
  </si>
  <si>
    <t>WXX-18141-306</t>
  </si>
  <si>
    <t>TSS-26105-088</t>
  </si>
  <si>
    <t>CZD-45493-715</t>
  </si>
  <si>
    <t>MHM-99410-464</t>
  </si>
  <si>
    <t>KYH-42227-962</t>
  </si>
  <si>
    <t>RJN-31649-914</t>
  </si>
  <si>
    <t>MKB-95075-243</t>
  </si>
  <si>
    <t>CDD-85149-754</t>
  </si>
  <si>
    <t>EKZ-55817-697</t>
  </si>
  <si>
    <t>TDE-97040-594</t>
  </si>
  <si>
    <t>EUP-82078-291</t>
  </si>
  <si>
    <t>KAG-91774-021</t>
  </si>
  <si>
    <t>TAX-21108-866</t>
  </si>
  <si>
    <t>CNF-36248-129</t>
  </si>
  <si>
    <t>QZV-49882-332</t>
  </si>
  <si>
    <t>VVY-40543-797</t>
  </si>
  <si>
    <t>WNU-68938-118</t>
  </si>
  <si>
    <t>UPZ-76007-177</t>
  </si>
  <si>
    <t>YME-59214-249</t>
  </si>
  <si>
    <t>POO-66603-821</t>
  </si>
  <si>
    <t>ZRS-92428-164</t>
  </si>
  <si>
    <t>TJD-38864-168</t>
  </si>
  <si>
    <t>WZR-35566-406</t>
  </si>
  <si>
    <t>RAV-20043-214</t>
  </si>
  <si>
    <t>AWD-87725-652</t>
  </si>
  <si>
    <t>BCS-84714-690</t>
  </si>
  <si>
    <t>QPL-75386-884</t>
  </si>
  <si>
    <t>YON-89106-413</t>
  </si>
  <si>
    <t>RKP-15294-116</t>
  </si>
  <si>
    <t>CVT-90583-210</t>
  </si>
  <si>
    <t>MBH-52439-402</t>
  </si>
  <si>
    <t>LMV-41584-380</t>
  </si>
  <si>
    <t>VGN-94066-579</t>
  </si>
  <si>
    <t>PIB-28471-564</t>
  </si>
  <si>
    <t>QYL-36700-067</t>
  </si>
  <si>
    <t>NWU-91125-272</t>
  </si>
  <si>
    <t>UWO-45728-821</t>
  </si>
  <si>
    <t>OYH-01611-447</t>
  </si>
  <si>
    <t>PXO-53531-675</t>
  </si>
  <si>
    <t>EMT-80613-280</t>
  </si>
  <si>
    <t>ARV-63846-754</t>
  </si>
  <si>
    <t>HDQ-54068-474</t>
  </si>
  <si>
    <t>XRF-24922-403</t>
  </si>
  <si>
    <t>LMD-12800-880</t>
  </si>
  <si>
    <t>ENX-24767-564</t>
  </si>
  <si>
    <t>ZJZ-57682-502</t>
  </si>
  <si>
    <t>HOR-41207-193</t>
  </si>
  <si>
    <t>TFI-76977-342</t>
  </si>
  <si>
    <t>PSM-50915-105</t>
  </si>
  <si>
    <t>HWB-38943-735</t>
  </si>
  <si>
    <t>UYY-33137-161</t>
  </si>
  <si>
    <t>IQO-38264-269</t>
  </si>
  <si>
    <t>EKQ-28732-081</t>
  </si>
  <si>
    <t>OAR-27295-286</t>
  </si>
  <si>
    <t>TCT-84273-022</t>
  </si>
  <si>
    <t>IJN-09656-568</t>
  </si>
  <si>
    <t>HCL-81387-322</t>
  </si>
  <si>
    <t>MRD-66897-568</t>
  </si>
  <si>
    <t>ENY-14494-905</t>
  </si>
  <si>
    <t>UDG-61368-347</t>
  </si>
  <si>
    <t>ULU-91034-677</t>
  </si>
  <si>
    <t>KMK-13095-289</t>
  </si>
  <si>
    <t>QSM-42725-717</t>
  </si>
  <si>
    <t>OBZ-03623-011</t>
  </si>
  <si>
    <t>JRP-65926-193</t>
  </si>
  <si>
    <t>BQU-18444-395</t>
  </si>
  <si>
    <t>THC-16619-764</t>
  </si>
  <si>
    <t>KSL-20855-646</t>
  </si>
  <si>
    <t>ABW-13240-048</t>
  </si>
  <si>
    <t>SLV-85718-414</t>
  </si>
  <si>
    <t>XOX-91297-200</t>
  </si>
  <si>
    <t>RLJ-58546-575</t>
  </si>
  <si>
    <t>MTG-90184-521</t>
  </si>
  <si>
    <t>YOY-84419-771</t>
  </si>
  <si>
    <t>CAO-05467-085</t>
  </si>
  <si>
    <t>EIJ-05967-579</t>
  </si>
  <si>
    <t>SBP-85388-039</t>
  </si>
  <si>
    <t>CYA-31910-596</t>
  </si>
  <si>
    <t>SCE-41625-481</t>
  </si>
  <si>
    <t>YEZ-74064-660</t>
  </si>
  <si>
    <t>OYE-97847-358</t>
  </si>
  <si>
    <t>LOE-74513-211</t>
  </si>
  <si>
    <t>KLP-77000-126</t>
  </si>
  <si>
    <t>FPH-29806-899</t>
  </si>
  <si>
    <t>BFK-09692-147</t>
  </si>
  <si>
    <t>JMG-00937-503</t>
  </si>
  <si>
    <t>YLG-10215-925</t>
  </si>
  <si>
    <t>ZZB-55223-018</t>
  </si>
  <si>
    <t>WBV-76760-002</t>
  </si>
  <si>
    <t>JOL-90209-625</t>
  </si>
  <si>
    <t>JAB-19335-745</t>
  </si>
  <si>
    <t>ZCW-58045-190</t>
  </si>
  <si>
    <t>SHD-10497-875</t>
  </si>
  <si>
    <t>PWU-30645-045</t>
  </si>
  <si>
    <t>WUA-09556-593</t>
  </si>
  <si>
    <t>RQN-49509-743</t>
  </si>
  <si>
    <t>FSU-20283-525</t>
  </si>
  <si>
    <t>ILY-83254-778</t>
  </si>
  <si>
    <t>RHJ-13155-389</t>
  </si>
  <si>
    <t>ZGV-76801-315</t>
  </si>
  <si>
    <t>CMX-59896-778</t>
  </si>
  <si>
    <t>QVX-55449-244</t>
  </si>
  <si>
    <t>QMA-66248-919</t>
  </si>
  <si>
    <t>AMX-51246-994</t>
  </si>
  <si>
    <t>QEQ-33922-650</t>
  </si>
  <si>
    <t>SAD-52184-072</t>
  </si>
  <si>
    <t>BVO-89480-190</t>
  </si>
  <si>
    <t>FFX-01499-561</t>
  </si>
  <si>
    <t>AAH-92015-740</t>
  </si>
  <si>
    <t>DFZ-36895-815</t>
  </si>
  <si>
    <t>GMP-99693-769</t>
  </si>
  <si>
    <t>ERX-92016-011</t>
  </si>
  <si>
    <t>IIK-03150-400</t>
  </si>
  <si>
    <t>DGQ-73674-707</t>
  </si>
  <si>
    <t>MGX-34219-230</t>
  </si>
  <si>
    <t>QJT-04542-721</t>
  </si>
  <si>
    <t>PCG-60583-255</t>
  </si>
  <si>
    <t>XQR-08205-524</t>
  </si>
  <si>
    <t>SDM-95055-115</t>
  </si>
  <si>
    <t>WNC-35688-909</t>
  </si>
  <si>
    <t>OYZ-22591-324</t>
  </si>
  <si>
    <t>DTR-93141-733</t>
  </si>
  <si>
    <t>YIS-67606-902</t>
  </si>
  <si>
    <t>KNL-80498-518</t>
  </si>
  <si>
    <t>JJX-90719-705</t>
  </si>
  <si>
    <t>SYS-29622-914</t>
  </si>
  <si>
    <t>LHU-57606-224</t>
  </si>
  <si>
    <t>HMJ-04881-912</t>
  </si>
  <si>
    <t>CEA-63159-549</t>
  </si>
  <si>
    <t>SGQ-78786-638</t>
  </si>
  <si>
    <t>VYV-51449-570</t>
  </si>
  <si>
    <t>SKX-71387-255</t>
  </si>
  <si>
    <t>FIT-54990-623</t>
  </si>
  <si>
    <t>EPC-19254-925</t>
  </si>
  <si>
    <t>OLQ-01395-916</t>
  </si>
  <si>
    <t>FEC-03528-367</t>
  </si>
  <si>
    <t>IEK-65222-028</t>
  </si>
  <si>
    <t>QMW-76081-292</t>
  </si>
  <si>
    <t>TDD-89115-403</t>
  </si>
  <si>
    <t>BXJ-37207-531</t>
  </si>
  <si>
    <t>VKS-31834-049</t>
  </si>
  <si>
    <t>VZD-71848-698</t>
  </si>
  <si>
    <t>WBV-94384-307</t>
  </si>
  <si>
    <t>RTH-89949-618</t>
  </si>
  <si>
    <t>TVO-92314-336</t>
  </si>
  <si>
    <t>KRB-79634-843</t>
  </si>
  <si>
    <t>IXJ-73333-990</t>
  </si>
  <si>
    <t>MFV-04867-285</t>
  </si>
  <si>
    <t>RWN-73249-336</t>
  </si>
  <si>
    <t>XRU-51379-300</t>
  </si>
  <si>
    <t>HTK-33444-576</t>
  </si>
  <si>
    <t>IKP-64503-116</t>
  </si>
  <si>
    <t>ZNK-55220-893</t>
  </si>
  <si>
    <t>DEF-89836-350</t>
  </si>
  <si>
    <t>TZY-65617-414</t>
  </si>
  <si>
    <t>NJF-19948-752</t>
  </si>
  <si>
    <t>ZEW-82072-357</t>
  </si>
  <si>
    <t>LKV-90123-207</t>
  </si>
  <si>
    <t>QPP-13543-052</t>
  </si>
  <si>
    <t>OPZ-78485-995</t>
  </si>
  <si>
    <t>IJM-24580-779</t>
  </si>
  <si>
    <t>ZIM-29491-978</t>
  </si>
  <si>
    <t>GEP-94156-477</t>
  </si>
  <si>
    <t>TTK-78661-065</t>
  </si>
  <si>
    <t>MSJ-30646-900</t>
  </si>
  <si>
    <t>EFB-68248-627</t>
  </si>
  <si>
    <t>TBB-49771-222</t>
  </si>
  <si>
    <t>AMY-84287-239</t>
  </si>
  <si>
    <t>FMZ-72178-933</t>
  </si>
  <si>
    <t>QSO-97757-288</t>
  </si>
  <si>
    <t>YVD-52830-441</t>
  </si>
  <si>
    <t>KPV-53137-480</t>
  </si>
  <si>
    <t>TSC-17034-267</t>
  </si>
  <si>
    <t>UJY-31280-358</t>
  </si>
  <si>
    <t>ZZL-95472-207</t>
  </si>
  <si>
    <t>OIS-96277-702</t>
  </si>
  <si>
    <t>YWJ-36330-108</t>
  </si>
  <si>
    <t>NMO-87721-188</t>
  </si>
  <si>
    <t>WSF-02298-852</t>
  </si>
  <si>
    <t>GUJ-44730-758</t>
  </si>
  <si>
    <t>BSN-81036-740</t>
  </si>
  <si>
    <t>ITB-58180-387</t>
  </si>
  <si>
    <t>DQQ-49568-151</t>
  </si>
  <si>
    <t>UOS-62363-049</t>
  </si>
  <si>
    <t>ZXA-44660-210</t>
  </si>
  <si>
    <t>WAO-75298-316</t>
  </si>
  <si>
    <t>CEE-02487-894</t>
  </si>
  <si>
    <t>GNA-10772-106</t>
  </si>
  <si>
    <t>JES-46751-517</t>
  </si>
  <si>
    <t>DDT-70938-523</t>
  </si>
  <si>
    <t>UKE-23592-280</t>
  </si>
  <si>
    <t>VBL-42431-774</t>
  </si>
  <si>
    <t>GTI-22459-202</t>
  </si>
  <si>
    <t>YWC-21080-661</t>
  </si>
  <si>
    <t>USF-11137-186</t>
  </si>
  <si>
    <t>HVV-02740-486</t>
  </si>
  <si>
    <t>NMS-00070-976</t>
  </si>
  <si>
    <t>REA-68775-264</t>
  </si>
  <si>
    <t>KEZ-75890-626</t>
  </si>
  <si>
    <t>RWB-58301-927</t>
  </si>
  <si>
    <t>ESJ-75216-291</t>
  </si>
  <si>
    <t>DLH-21077-274</t>
  </si>
  <si>
    <t>ARZ-97254-951</t>
  </si>
  <si>
    <t>VWZ-60478-770</t>
  </si>
  <si>
    <t>GWG-62060-187</t>
  </si>
  <si>
    <t>SFU-95010-456</t>
  </si>
  <si>
    <t>EYF-59567-268</t>
  </si>
  <si>
    <t>ZPP-78254-764</t>
  </si>
  <si>
    <t>TSN-95590-961</t>
  </si>
  <si>
    <t>XNX-12101-254</t>
  </si>
  <si>
    <t>FWA-91964-475</t>
  </si>
  <si>
    <t>AZY-07751-254</t>
  </si>
  <si>
    <t>IXF-43395-103</t>
  </si>
  <si>
    <t>PRI-57129-236</t>
  </si>
  <si>
    <t>OGP-92643-096</t>
  </si>
  <si>
    <t>JWJ-96577-864</t>
  </si>
  <si>
    <t>CUP-52282-531</t>
  </si>
  <si>
    <t>IYG-46344-993</t>
  </si>
  <si>
    <t>ENR-51410-665</t>
  </si>
  <si>
    <t>GEC-91724-281</t>
  </si>
  <si>
    <t>BLM-73556-520</t>
  </si>
  <si>
    <t>UGR-59201-472</t>
  </si>
  <si>
    <t>AZC-66138-333</t>
  </si>
  <si>
    <t>FHG-93209-788</t>
  </si>
  <si>
    <t>PNA-03879-502</t>
  </si>
  <si>
    <t>OOP-17685-483</t>
  </si>
  <si>
    <t>SMO-42613-392</t>
  </si>
  <si>
    <t>PMY-06974-188</t>
  </si>
  <si>
    <t>CPZ-80505-919</t>
  </si>
  <si>
    <t>SOG-35628-122</t>
  </si>
  <si>
    <t>NHU-94936-223</t>
  </si>
  <si>
    <t>UJT-97939-762</t>
  </si>
  <si>
    <t>WQU-94040-703</t>
  </si>
  <si>
    <t>AWY-18986-321</t>
  </si>
  <si>
    <t>HUY-09180-884</t>
  </si>
  <si>
    <t>LKT-41354-785</t>
  </si>
  <si>
    <t>POG-35473-363</t>
  </si>
  <si>
    <t>QJW-04013-711</t>
  </si>
  <si>
    <t>ENB-76499-484</t>
  </si>
  <si>
    <t>LHG-96445-199</t>
  </si>
  <si>
    <t>BLO-37477-921</t>
  </si>
  <si>
    <t>LVU-84189-843</t>
  </si>
  <si>
    <t>NIW-08338-344</t>
  </si>
  <si>
    <t>BDD-24876-524</t>
  </si>
  <si>
    <t>BRA-69298-380</t>
  </si>
  <si>
    <t>DVO-18667-913</t>
  </si>
  <si>
    <t>IUT-40271-047</t>
  </si>
  <si>
    <t>MCH-53919-356</t>
  </si>
  <si>
    <t>AUT-66937-639</t>
  </si>
  <si>
    <t>SBW-31814-018</t>
  </si>
  <si>
    <t>TJJ-98458-304</t>
  </si>
  <si>
    <t>WGS-91208-538</t>
  </si>
  <si>
    <t>MLY-49849-610</t>
  </si>
  <si>
    <t>TQD-86126-936</t>
  </si>
  <si>
    <t>NCY-45038-962</t>
  </si>
  <si>
    <t>QNE-58687-668</t>
  </si>
  <si>
    <t>WFK-77492-887</t>
  </si>
  <si>
    <t>BWC-68349-925</t>
  </si>
  <si>
    <t>OCW-84912-243</t>
  </si>
  <si>
    <t>IGZ-58508-060</t>
  </si>
  <si>
    <t>BRN-69029-944</t>
  </si>
  <si>
    <t>IPB-66248-973</t>
  </si>
  <si>
    <t>OGY-29064-164</t>
  </si>
  <si>
    <t>QUI-85852-918</t>
  </si>
  <si>
    <t>RJI-75823-845</t>
  </si>
  <si>
    <t>IBX-82788-367</t>
  </si>
  <si>
    <t>AZS-03787-500</t>
  </si>
  <si>
    <t>HJQ-36486-766</t>
  </si>
  <si>
    <t>CAV-96837-384</t>
  </si>
  <si>
    <t>PGN-90539-152</t>
  </si>
  <si>
    <t>AID-60176-140</t>
  </si>
  <si>
    <t>UQD-94995-493</t>
  </si>
  <si>
    <t>PNH-99237-749</t>
  </si>
  <si>
    <t>BHE-27936-116</t>
  </si>
  <si>
    <t>KIM-01026-492</t>
  </si>
  <si>
    <t>VWN-18665-856</t>
  </si>
  <si>
    <t>PWQ-71858-922</t>
  </si>
  <si>
    <t>HAR-66429-516</t>
  </si>
  <si>
    <t>YBO-79090-151</t>
  </si>
  <si>
    <t>ILP-51086-325</t>
  </si>
  <si>
    <t>MEY-78534-114</t>
  </si>
  <si>
    <t>UBU-77802-340</t>
  </si>
  <si>
    <t>BDJ-72059-715</t>
  </si>
  <si>
    <t>API-78019-129</t>
  </si>
  <si>
    <t>NYR-08803-491</t>
  </si>
  <si>
    <t>IQC-91269-170</t>
  </si>
  <si>
    <t>OTP-95372-091</t>
  </si>
  <si>
    <t>PMT-87783-373</t>
  </si>
  <si>
    <t>PLX-17757-829</t>
  </si>
  <si>
    <t>WNL-77793-074</t>
  </si>
  <si>
    <t>KOV-82388-818</t>
  </si>
  <si>
    <t>QSE-12624-558</t>
  </si>
  <si>
    <t>XSL-14727-699</t>
  </si>
  <si>
    <t>XAS-31288-036</t>
  </si>
  <si>
    <t>ZKX-36062-190</t>
  </si>
  <si>
    <t>VJJ-23490-730</t>
  </si>
  <si>
    <t>FJO-32819-879</t>
  </si>
  <si>
    <t>OSU-27926-351</t>
  </si>
  <si>
    <t>NBO-23212-594</t>
  </si>
  <si>
    <t>CGG-78025-304</t>
  </si>
  <si>
    <t>RSU-42969-494</t>
  </si>
  <si>
    <t>SIZ-05528-686</t>
  </si>
  <si>
    <t>RSI-33361-000</t>
  </si>
  <si>
    <t>ZWE-69766-630</t>
  </si>
  <si>
    <t>ROF-56474-408</t>
  </si>
  <si>
    <t>FPP-70429-472</t>
  </si>
  <si>
    <t>VAH-39635-764</t>
  </si>
  <si>
    <t>BQJ-86372-373</t>
  </si>
  <si>
    <t>DNE-29004-518</t>
  </si>
  <si>
    <t>KDE-86251-624</t>
  </si>
  <si>
    <t>COS-25061-244</t>
  </si>
  <si>
    <t>JGV-59328-608</t>
  </si>
  <si>
    <t>PGU-97183-442</t>
  </si>
  <si>
    <t>MRH-00667-550</t>
  </si>
  <si>
    <t>AKJ-92127-449</t>
  </si>
  <si>
    <t>YWF-79084-694</t>
  </si>
  <si>
    <t>SNX-52177-817</t>
  </si>
  <si>
    <t>MSO-80193-951</t>
  </si>
  <si>
    <t>EFA-05655-060</t>
  </si>
  <si>
    <t>MLT-60979-313</t>
  </si>
  <si>
    <t>RWW-37232-835</t>
  </si>
  <si>
    <t>NSK-74296-045</t>
  </si>
  <si>
    <t>HKZ-53759-542</t>
  </si>
  <si>
    <t>YQG-03789-943</t>
  </si>
  <si>
    <t>YND-24796-221</t>
  </si>
  <si>
    <t>OWS-79484-160</t>
  </si>
  <si>
    <t>WPK-48103-193</t>
  </si>
  <si>
    <t>ASZ-60156-659</t>
  </si>
  <si>
    <t>YLO-39731-286</t>
  </si>
  <si>
    <t>XCB-99993-029</t>
  </si>
  <si>
    <t>JIB-23022-835</t>
  </si>
  <si>
    <t>RPT-36150-417</t>
  </si>
  <si>
    <t>QNQ-32461-160</t>
  </si>
  <si>
    <t>USM-22928-400</t>
  </si>
  <si>
    <t>EEV-02052-960</t>
  </si>
  <si>
    <t>BCR-64788-950</t>
  </si>
  <si>
    <t>DYY-98728-287</t>
  </si>
  <si>
    <t>XZR-94746-726</t>
  </si>
  <si>
    <t>FPX-32667-347</t>
  </si>
  <si>
    <t>LQV-08907-888</t>
  </si>
  <si>
    <t>IWZ-36084-807</t>
  </si>
  <si>
    <t>QFD-43145-892</t>
  </si>
  <si>
    <t>RCD-13767-030</t>
  </si>
  <si>
    <t>QOG-10688-848</t>
  </si>
  <si>
    <t>GHI-39174-467</t>
  </si>
  <si>
    <t>NXN-29416-668</t>
  </si>
  <si>
    <t>TFC-41541-690</t>
  </si>
  <si>
    <t>ONA-26516-559</t>
  </si>
  <si>
    <t>KJH-74720-098</t>
  </si>
  <si>
    <t>ITZ-67110-921</t>
  </si>
  <si>
    <t>PIJ-01129-699</t>
  </si>
  <si>
    <t>ZKY-19303-967</t>
  </si>
  <si>
    <t>QON-85185-227</t>
  </si>
  <si>
    <t>YUH-73554-360</t>
  </si>
  <si>
    <t>ACV-96472-063</t>
  </si>
  <si>
    <t>LMZ-84620-254</t>
  </si>
  <si>
    <t>YBF-34241-168</t>
  </si>
  <si>
    <t>ZYO-98104-070</t>
  </si>
  <si>
    <t>USM-81264-388</t>
  </si>
  <si>
    <t>KUH-68995-876</t>
  </si>
  <si>
    <t>ZUV-24268-343</t>
  </si>
  <si>
    <t>PCV-00401-110</t>
  </si>
  <si>
    <t>FVP-39614-880</t>
  </si>
  <si>
    <t>LIK-81683-334</t>
  </si>
  <si>
    <t>HXT-02505-243</t>
  </si>
  <si>
    <t>LGZ-91138-254</t>
  </si>
  <si>
    <t>MRJ-86773-033</t>
  </si>
  <si>
    <t>WUO-70255-698</t>
  </si>
  <si>
    <t>JEH-75924-956</t>
  </si>
  <si>
    <t>QGW-77191-547</t>
  </si>
  <si>
    <t>XKJ-01400-795</t>
  </si>
  <si>
    <t>DET-67635-415</t>
  </si>
  <si>
    <t>LBB-36368-822</t>
  </si>
  <si>
    <t>WWX-06119-090</t>
  </si>
  <si>
    <t>NVU-17208-416</t>
  </si>
  <si>
    <t>BQB-82744-304</t>
  </si>
  <si>
    <t>IAE-67615-677</t>
  </si>
  <si>
    <t>GTG-64628-097</t>
  </si>
  <si>
    <t>HQS-53931-735</t>
  </si>
  <si>
    <t>PLG-68713-366</t>
  </si>
  <si>
    <t>XPG-62886-987</t>
  </si>
  <si>
    <t>VWX-56356-156</t>
  </si>
  <si>
    <t>BVP-08339-393</t>
  </si>
  <si>
    <t>YYN-31996-538</t>
  </si>
  <si>
    <t>IOW-05680-174</t>
  </si>
  <si>
    <t>ZOK-13268-682</t>
  </si>
  <si>
    <t>ZSA-13130-713</t>
  </si>
  <si>
    <t>YHA-78690-105</t>
  </si>
  <si>
    <t>ZKC-14624-824</t>
  </si>
  <si>
    <t>UWA-34029-231</t>
  </si>
  <si>
    <t>XVN-04928-285</t>
  </si>
  <si>
    <t>SMD-20885-564</t>
  </si>
  <si>
    <t>HWN-37583-332</t>
  </si>
  <si>
    <t>IAT-66209-306</t>
  </si>
  <si>
    <t>OOM-64459-732</t>
  </si>
  <si>
    <t>VAQ-90904-188</t>
  </si>
  <si>
    <t>UHG-73013-015</t>
  </si>
  <si>
    <t>MWP-44913-258</t>
  </si>
  <si>
    <t>ITP-31025-125</t>
  </si>
  <si>
    <t>ESG-35882-277</t>
  </si>
  <si>
    <t>MOS-82961-155</t>
  </si>
  <si>
    <t>XZA-53954-940</t>
  </si>
  <si>
    <t>NOA-65838-446</t>
  </si>
  <si>
    <t>OZS-46809-621</t>
  </si>
  <si>
    <t>BJU-22038-416</t>
  </si>
  <si>
    <t>MQC-33553-133</t>
  </si>
  <si>
    <t>GFJ-04138-155</t>
  </si>
  <si>
    <t>DBD-77749-968</t>
  </si>
  <si>
    <t>NJH-02742-566</t>
  </si>
  <si>
    <t>RST-98664-737</t>
  </si>
  <si>
    <t>WTX-43621-290</t>
  </si>
  <si>
    <t>DWY-17119-451</t>
  </si>
  <si>
    <t>VMS-83346-105</t>
  </si>
  <si>
    <t>VPY-15929-939</t>
  </si>
  <si>
    <t>BMR-97019-184</t>
  </si>
  <si>
    <t>UXB-13224-185</t>
  </si>
  <si>
    <t>LJB-50855-943</t>
  </si>
  <si>
    <t>ZWT-83478-341</t>
  </si>
  <si>
    <t>MQA-12495-463</t>
  </si>
  <si>
    <t>PZC-14815-551</t>
  </si>
  <si>
    <t>EFB-56414-187</t>
  </si>
  <si>
    <t>EGY-63065-668</t>
  </si>
  <si>
    <t>IVE-82228-691</t>
  </si>
  <si>
    <t>NRE-27200-208</t>
  </si>
  <si>
    <t>KPN-17908-210</t>
  </si>
  <si>
    <t>FEP-25243-707</t>
  </si>
  <si>
    <t>NKT-73548-791</t>
  </si>
  <si>
    <t>NDM-26800-597</t>
  </si>
  <si>
    <t>YLZ-79250-444</t>
  </si>
  <si>
    <t>OFF-01131-406</t>
  </si>
  <si>
    <t>HKG-28125-341</t>
  </si>
  <si>
    <t>CAK-60907-091</t>
  </si>
  <si>
    <t>QIE-24822-023</t>
  </si>
  <si>
    <t>RCL-78710-424</t>
  </si>
  <si>
    <t>TKI-74315-993</t>
  </si>
  <si>
    <t>PXH-46666-479</t>
  </si>
  <si>
    <t>GFC-66461-008</t>
  </si>
  <si>
    <t>KZN-97625-750</t>
  </si>
  <si>
    <t>LRP-19540-832</t>
  </si>
  <si>
    <t>QDE-66105-657</t>
  </si>
  <si>
    <t>PTA-89765-388</t>
  </si>
  <si>
    <t>EWP-38683-934</t>
  </si>
  <si>
    <t>WQX-61761-390</t>
  </si>
  <si>
    <t>QJJ-40987-124</t>
  </si>
  <si>
    <t>QBU-61105-103</t>
  </si>
  <si>
    <t>DIA-41650-387</t>
  </si>
  <si>
    <t>BGT-00010-155</t>
  </si>
  <si>
    <t>QNM-75051-727</t>
  </si>
  <si>
    <t>CWL-57693-260</t>
  </si>
  <si>
    <t>YPD-59009-951</t>
  </si>
  <si>
    <t>SOL-13937-369</t>
  </si>
  <si>
    <t>JST-23808-244</t>
  </si>
  <si>
    <t>KTU-27218-541</t>
  </si>
  <si>
    <t>UYS-81239-944</t>
  </si>
  <si>
    <t>QPC-35695-175</t>
  </si>
  <si>
    <t>UUK-90150-648</t>
  </si>
  <si>
    <t>XIJ-96015-026</t>
  </si>
  <si>
    <t>CUP-72508-599</t>
  </si>
  <si>
    <t>LYY-79428-212</t>
  </si>
  <si>
    <t>CMQ-44014-479</t>
  </si>
  <si>
    <t>GYP-82130-275</t>
  </si>
  <si>
    <t>EOZ-61591-964</t>
  </si>
  <si>
    <t>XNV-83239-219</t>
  </si>
  <si>
    <t>RYA-85358-654</t>
  </si>
  <si>
    <t>JPZ-58885-587</t>
  </si>
  <si>
    <t>MSI-52947-972</t>
  </si>
  <si>
    <t>VWB-61932-675</t>
  </si>
  <si>
    <t>FIU-12337-688</t>
  </si>
  <si>
    <t>TLW-78005-817</t>
  </si>
  <si>
    <t>FKS-60443-737</t>
  </si>
  <si>
    <t>ETR-72191-785</t>
  </si>
  <si>
    <t>HHR-72830-127</t>
  </si>
  <si>
    <t>ASM-38028-774</t>
  </si>
  <si>
    <t>ONJ-95022-230</t>
  </si>
  <si>
    <t>SUV-14370-726</t>
  </si>
  <si>
    <t>XEY-49905-846</t>
  </si>
  <si>
    <t>BFN-38988-017</t>
  </si>
  <si>
    <t>UMV-19292-083</t>
  </si>
  <si>
    <t>REU-64900-579</t>
  </si>
  <si>
    <t>HPV-34340-129</t>
  </si>
  <si>
    <t>FYM-56259-468</t>
  </si>
  <si>
    <t>WKX-43390-785</t>
  </si>
  <si>
    <t>OZR-37201-886</t>
  </si>
  <si>
    <t>EJR-29909-300</t>
  </si>
  <si>
    <t>EOO-17815-845</t>
  </si>
  <si>
    <t>RXO-66930-687</t>
  </si>
  <si>
    <t>OQB-89209-173</t>
  </si>
  <si>
    <t>XLO-18400-649</t>
  </si>
  <si>
    <t>WCZ-99640-216</t>
  </si>
  <si>
    <t>GLE-79991-195</t>
  </si>
  <si>
    <t>OHO-17707-695</t>
  </si>
  <si>
    <t>SRR-13733-323</t>
  </si>
  <si>
    <t>GVF-81359-529</t>
  </si>
  <si>
    <t>UPN-57378-640</t>
  </si>
  <si>
    <t>JGY-70789-255</t>
  </si>
  <si>
    <t>NGX-02728-042</t>
  </si>
  <si>
    <t>UDG-22619-103</t>
  </si>
  <si>
    <t>JJS-27161-238</t>
  </si>
  <si>
    <t>JVP-76537-169</t>
  </si>
  <si>
    <t>BXZ-57698-176</t>
  </si>
  <si>
    <t>GNU-92081-379</t>
  </si>
  <si>
    <t>GRC-44926-588</t>
  </si>
  <si>
    <t>ARA-65246-652</t>
  </si>
  <si>
    <t>ITY-69472-133</t>
  </si>
  <si>
    <t>QRE-21807-238</t>
  </si>
  <si>
    <t>QVU-32892-880</t>
  </si>
  <si>
    <t>KHX-92197-961</t>
  </si>
  <si>
    <t>OUG-51726-349</t>
  </si>
  <si>
    <t>TIN-42812-230</t>
  </si>
  <si>
    <t>KEF-88104-357</t>
  </si>
  <si>
    <t>JHG-12888-129</t>
  </si>
  <si>
    <t>TMZ-01651-554</t>
  </si>
  <si>
    <t>XEO-42384-465</t>
  </si>
  <si>
    <t>QHV-36823-450</t>
  </si>
  <si>
    <t>GAC-86757-487</t>
  </si>
  <si>
    <t>OUC-27291-098</t>
  </si>
  <si>
    <t>YDT-01672-508</t>
  </si>
  <si>
    <t>ISV-95654-325</t>
  </si>
  <si>
    <t>XAZ-26930-349</t>
  </si>
  <si>
    <t>KQO-72660-836</t>
  </si>
  <si>
    <t>AMY-79442-286</t>
  </si>
  <si>
    <t>LTJ-23314-720</t>
  </si>
  <si>
    <t>IZY-75156-782</t>
  </si>
  <si>
    <t>SAK-39168-459</t>
  </si>
  <si>
    <t>XPM-20081-978</t>
  </si>
  <si>
    <t>AGS-41896-022</t>
  </si>
  <si>
    <t>EOV-62951-025</t>
  </si>
  <si>
    <t>KDP-81967-893</t>
  </si>
  <si>
    <t>HEM-18490-550</t>
  </si>
  <si>
    <t>JSR-60268-544</t>
  </si>
  <si>
    <t>ADN-54667-720</t>
  </si>
  <si>
    <t>SOL-39183-014</t>
  </si>
  <si>
    <t>PCN-50725-855</t>
  </si>
  <si>
    <t>KGW-68537-365</t>
  </si>
  <si>
    <t>RKS-21704-541</t>
  </si>
  <si>
    <t>DLQ-48131-821</t>
  </si>
  <si>
    <t>QZQ-62993-934</t>
  </si>
  <si>
    <t>DSR-25876-411</t>
  </si>
  <si>
    <t>IKF-48421-659</t>
  </si>
  <si>
    <t>GNX-18427-745</t>
  </si>
  <si>
    <t>QIH-74952-324</t>
  </si>
  <si>
    <t>GOT-45440-251</t>
  </si>
  <si>
    <t>YZD-87714-885</t>
  </si>
  <si>
    <t>BFF-99497-532</t>
  </si>
  <si>
    <t>UGW-44584-966</t>
  </si>
  <si>
    <t>ZXP-61323-159</t>
  </si>
  <si>
    <t>ZYN-02728-486</t>
  </si>
  <si>
    <t>HYB-43245-638</t>
  </si>
  <si>
    <t>CEI-92254-954</t>
  </si>
  <si>
    <t>ELB-41408-343</t>
  </si>
  <si>
    <t>WXM-09891-485</t>
  </si>
  <si>
    <t>KKM-97993-892</t>
  </si>
  <si>
    <t>KHU-39462-850</t>
  </si>
  <si>
    <t>UUR-58036-531</t>
  </si>
  <si>
    <t>EDJ-30865-010</t>
  </si>
  <si>
    <t>QEV-73960-736</t>
  </si>
  <si>
    <t>BLN-67444-131</t>
  </si>
  <si>
    <t>MTJ-43128-561</t>
  </si>
  <si>
    <t>TGE-89096-749</t>
  </si>
  <si>
    <t>TZK-80451-310</t>
  </si>
  <si>
    <t>LMP-08473-977</t>
  </si>
  <si>
    <t>PKE-06061-462</t>
  </si>
  <si>
    <t>BHO-47108-963</t>
  </si>
  <si>
    <t>BPE-13566-894</t>
  </si>
  <si>
    <t>VEU-25163-329</t>
  </si>
  <si>
    <t>PQB-12468-147</t>
  </si>
  <si>
    <t>LUQ-10392-396</t>
  </si>
  <si>
    <t>NCC-12051-382</t>
  </si>
  <si>
    <t>HIR-32827-205</t>
  </si>
  <si>
    <t>OGT-91082-711</t>
  </si>
  <si>
    <t>PEW-69361-569</t>
  </si>
  <si>
    <t>FIB-09372-283</t>
  </si>
  <si>
    <t>BXN-51863-181</t>
  </si>
  <si>
    <t>PNZ-46389-787</t>
  </si>
  <si>
    <t>XMX-01312-827</t>
  </si>
  <si>
    <t>TYC-93122-543</t>
  </si>
  <si>
    <t>QDB-65756-980</t>
  </si>
  <si>
    <t>PLW-29056-686</t>
  </si>
  <si>
    <t>ZSY-48378-155</t>
  </si>
  <si>
    <t>WLI-89723-919</t>
  </si>
  <si>
    <t>LRM-74163-324</t>
  </si>
  <si>
    <t>BRF-34443-402</t>
  </si>
  <si>
    <t>YTH-47507-385</t>
  </si>
  <si>
    <t>CEN-00321-160</t>
  </si>
  <si>
    <t>FIX-21940-080</t>
  </si>
  <si>
    <t>RVH-97217-474</t>
  </si>
  <si>
    <t>RGQ-29009-270</t>
  </si>
  <si>
    <t>SJO-25838-188</t>
  </si>
  <si>
    <t>MZA-74918-280</t>
  </si>
  <si>
    <t>MCW-68791-600</t>
  </si>
  <si>
    <t>NVL-12708-597</t>
  </si>
  <si>
    <t>AKV-72506-877</t>
  </si>
  <si>
    <t>RLL-40233-603</t>
  </si>
  <si>
    <t>LBX-43254-885</t>
  </si>
  <si>
    <t>FFH-34330-156</t>
  </si>
  <si>
    <t>XRB-27721-233</t>
  </si>
  <si>
    <t>TNJ-14984-627</t>
  </si>
  <si>
    <t>HAX-58354-530</t>
  </si>
  <si>
    <t>NIB-88842-183</t>
  </si>
  <si>
    <t>ZGT-25403-754</t>
  </si>
  <si>
    <t>AXA-27231-669</t>
  </si>
  <si>
    <t>JKP-45802-031</t>
  </si>
  <si>
    <t>GLV-81889-025</t>
  </si>
  <si>
    <t>KAG-33302-129</t>
  </si>
  <si>
    <t>CBW-47923-620</t>
  </si>
  <si>
    <t>ZNF-52302-550</t>
  </si>
  <si>
    <t>KGZ-63214-506</t>
  </si>
  <si>
    <t>OHY-88451-314</t>
  </si>
  <si>
    <t>SSX-72559-430</t>
  </si>
  <si>
    <t>TGE-69812-390</t>
  </si>
  <si>
    <t>LZI-20030-374</t>
  </si>
  <si>
    <t>FVO-59794-499</t>
  </si>
  <si>
    <t>UDW-96385-959</t>
  </si>
  <si>
    <t>AHT-73242-235</t>
  </si>
  <si>
    <t>VKS-36841-302</t>
  </si>
  <si>
    <t>EPZ-24085-546</t>
  </si>
  <si>
    <t>KRD-19518-322</t>
  </si>
  <si>
    <t>HSB-52700-312</t>
  </si>
  <si>
    <t>YRN-67187-573</t>
  </si>
  <si>
    <t>WJA-50330-474</t>
  </si>
  <si>
    <t>GPU-03341-570</t>
  </si>
  <si>
    <t>KKT-92581-717</t>
  </si>
  <si>
    <t>CGM-07490-216</t>
  </si>
  <si>
    <t>JKA-07852-829</t>
  </si>
  <si>
    <t>NRB-19048-266</t>
  </si>
  <si>
    <t>LBI-51385-759</t>
  </si>
  <si>
    <t>IED-30387-098</t>
  </si>
  <si>
    <t>UDF-04137-748</t>
  </si>
  <si>
    <t>BJC-47611-188</t>
  </si>
  <si>
    <t>OBB-12644-336</t>
  </si>
  <si>
    <t>ACJ-29667-009</t>
  </si>
  <si>
    <t>SFH-58844-741</t>
  </si>
  <si>
    <t>MSB-66471-752</t>
  </si>
  <si>
    <t>LHY-22549-665</t>
  </si>
  <si>
    <t>ONB-45745-983</t>
  </si>
  <si>
    <t>VHC-88379-378</t>
  </si>
  <si>
    <t>MXF-72993-195</t>
  </si>
  <si>
    <t>OAF-44856-874</t>
  </si>
  <si>
    <t>LRA-21886-280</t>
  </si>
  <si>
    <t>LDJ-58314-968</t>
  </si>
  <si>
    <t>ETH-70641-726</t>
  </si>
  <si>
    <t>UBN-08289-168</t>
  </si>
  <si>
    <t>AMU-42836-908</t>
  </si>
  <si>
    <t>WPJ-37184-368</t>
  </si>
  <si>
    <t>NHF-71882-773</t>
  </si>
  <si>
    <t>RAZ-93592-202</t>
  </si>
  <si>
    <t>TTM-08614-544</t>
  </si>
  <si>
    <t>RTW-43940-070</t>
  </si>
  <si>
    <t>PDF-73405-646</t>
  </si>
  <si>
    <t>TVX-82939-270</t>
  </si>
  <si>
    <t>ZJQ-84690-505</t>
  </si>
  <si>
    <t>OPV-59411-792</t>
  </si>
  <si>
    <t>VYY-86267-860</t>
  </si>
  <si>
    <t>WZR-66086-430</t>
  </si>
  <si>
    <t>HQG-61149-996</t>
  </si>
  <si>
    <t>BQJ-58404-141</t>
  </si>
  <si>
    <t>MZQ-59603-099</t>
  </si>
  <si>
    <t>FOL-97586-324</t>
  </si>
  <si>
    <t>IAI-38462-965</t>
  </si>
  <si>
    <t>BKW-52011-130</t>
  </si>
  <si>
    <t>BVH-09445-731</t>
  </si>
  <si>
    <t>SYZ-13536-234</t>
  </si>
  <si>
    <t>FNR-09619-008</t>
  </si>
  <si>
    <t>ZKG-96297-775</t>
  </si>
  <si>
    <t>GQY-34790-732</t>
  </si>
  <si>
    <t>XUX-61075-987</t>
  </si>
  <si>
    <t>UYU-97731-254</t>
  </si>
  <si>
    <t>CCR-23175-221</t>
  </si>
  <si>
    <t>YCD-60530-236</t>
  </si>
  <si>
    <t>AIN-87641-828</t>
  </si>
  <si>
    <t>JGW-76345-728</t>
  </si>
  <si>
    <t>KEU-87823-784</t>
  </si>
  <si>
    <t>LCI-25936-301</t>
  </si>
  <si>
    <t>KOJ-58346-767</t>
  </si>
  <si>
    <t>BRA-67178-024</t>
  </si>
  <si>
    <t>MHK-05527-804</t>
  </si>
  <si>
    <t>UJM-68456-853</t>
  </si>
  <si>
    <t>NZJ-20249-645</t>
  </si>
  <si>
    <t>GPS-04377-061</t>
  </si>
  <si>
    <t>RFQ-50487-674</t>
  </si>
  <si>
    <t>EZG-43493-151</t>
  </si>
  <si>
    <t>ZOI-79960-972</t>
  </si>
  <si>
    <t>UBF-82649-506</t>
  </si>
  <si>
    <t>BRP-67506-646</t>
  </si>
  <si>
    <t>IZB-09573-052</t>
  </si>
  <si>
    <t>XOW-85571-860</t>
  </si>
  <si>
    <t>EAQ-68106-825</t>
  </si>
  <si>
    <t>VNW-52035-073</t>
  </si>
  <si>
    <t>RQK-33095-777</t>
  </si>
  <si>
    <t>AJO-81581-269</t>
  </si>
  <si>
    <t>QAY-58648-648</t>
  </si>
  <si>
    <t>YAX-46130-021</t>
  </si>
  <si>
    <t>DFW-95053-941</t>
  </si>
  <si>
    <t>FDN-48826-766</t>
  </si>
  <si>
    <t>VES-90781-152</t>
  </si>
  <si>
    <t>PUA-58713-830</t>
  </si>
  <si>
    <t>VMM-58990-620</t>
  </si>
  <si>
    <t>JSD-66830-992</t>
  </si>
  <si>
    <t>GVK-21466-148</t>
  </si>
  <si>
    <t>BXZ-41343-904</t>
  </si>
  <si>
    <t>UYV-15877-935</t>
  </si>
  <si>
    <t>NOB-84477-111</t>
  </si>
  <si>
    <t>FRY-33637-669</t>
  </si>
  <si>
    <t>LCI-18129-771</t>
  </si>
  <si>
    <t>GBB-65368-165</t>
  </si>
  <si>
    <t>GHT-10761-114</t>
  </si>
  <si>
    <t>FEZ-04091-279</t>
  </si>
  <si>
    <t>BBM-79959-039</t>
  </si>
  <si>
    <t>PIX-02911-010</t>
  </si>
  <si>
    <t>IPC-08076-292</t>
  </si>
  <si>
    <t>GNE-29544-006</t>
  </si>
  <si>
    <t>DGX-40158-879</t>
  </si>
  <si>
    <t>BBT-44563-306</t>
  </si>
  <si>
    <t>IPJ-23509-616</t>
  </si>
  <si>
    <t>JOV-75702-614</t>
  </si>
  <si>
    <t>NKU-97068-202</t>
  </si>
  <si>
    <t>SCW-07695-425</t>
  </si>
  <si>
    <t>QKP-13044-261</t>
  </si>
  <si>
    <t>UDB-25610-152</t>
  </si>
  <si>
    <t>TCG-23019-296</t>
  </si>
  <si>
    <t>JOI-81473-988</t>
  </si>
  <si>
    <t>KIV-10309-078</t>
  </si>
  <si>
    <t>CUB-07246-593</t>
  </si>
  <si>
    <t>BBC-00844-948</t>
  </si>
  <si>
    <t>YBL-17108-773</t>
  </si>
  <si>
    <t>TIM-85817-547</t>
  </si>
  <si>
    <t>JJT-14194-343</t>
  </si>
  <si>
    <t>FEY-51728-509</t>
  </si>
  <si>
    <t>MIU-42859-839</t>
  </si>
  <si>
    <t>BMM-09653-133</t>
  </si>
  <si>
    <t>AOV-25510-520</t>
  </si>
  <si>
    <t>IQN-97850-610</t>
  </si>
  <si>
    <t>ZUM-55385-182</t>
  </si>
  <si>
    <t>YRO-11088-915</t>
  </si>
  <si>
    <t>HYV-34748-430</t>
  </si>
  <si>
    <t>CEN-34786-831</t>
  </si>
  <si>
    <t>CVA-81320-746</t>
  </si>
  <si>
    <t>KZD-53126-828</t>
  </si>
  <si>
    <t>LRH-32198-904</t>
  </si>
  <si>
    <t>JUV-77179-066</t>
  </si>
  <si>
    <t>LTT-19935-557</t>
  </si>
  <si>
    <t>JXU-56599-094</t>
  </si>
  <si>
    <t>FQJ-34856-395</t>
  </si>
  <si>
    <t>FFD-44717-113</t>
  </si>
  <si>
    <t>HWQ-37862-201</t>
  </si>
  <si>
    <t>QXM-25304-126</t>
  </si>
  <si>
    <t>AVK-28972-459</t>
  </si>
  <si>
    <t>GFY-89987-060</t>
  </si>
  <si>
    <t>BWL-45414-338</t>
  </si>
  <si>
    <t>IET-80134-148</t>
  </si>
  <si>
    <t>LNR-12258-913</t>
  </si>
  <si>
    <t>ITL-93241-108</t>
  </si>
  <si>
    <t>UTL-63926-011</t>
  </si>
  <si>
    <t>DDE-32325-684</t>
  </si>
  <si>
    <t>ZFA-09281-051</t>
  </si>
  <si>
    <t>GPF-21383-576</t>
  </si>
  <si>
    <t>ADV-45597-250</t>
  </si>
  <si>
    <t>OEN-32459-359</t>
  </si>
  <si>
    <t>VQH-31096-452</t>
  </si>
  <si>
    <t>GSY-74668-666</t>
  </si>
  <si>
    <t>DZR-15575-818</t>
  </si>
  <si>
    <t>OAJ-40611-256</t>
  </si>
  <si>
    <t>JZY-27447-018</t>
  </si>
  <si>
    <t>PED-50476-095</t>
  </si>
  <si>
    <t>XUQ-66007-571</t>
  </si>
  <si>
    <t>TUP-95705-221</t>
  </si>
  <si>
    <t>HFF-74950-292</t>
  </si>
  <si>
    <t>MCM-33432-438</t>
  </si>
  <si>
    <t>NEQ-81770-791</t>
  </si>
  <si>
    <t>FKA-99455-722</t>
  </si>
  <si>
    <t>RAR-37271-434</t>
  </si>
  <si>
    <t>CJY-68709-123</t>
  </si>
  <si>
    <t>NWD-11305-690</t>
  </si>
  <si>
    <t>BBQ-64878-740</t>
  </si>
  <si>
    <t>JSA-28253-327</t>
  </si>
  <si>
    <t>NCK-13985-644</t>
  </si>
  <si>
    <t>ECO-09626-877</t>
  </si>
  <si>
    <t>GCU-72325-199</t>
  </si>
  <si>
    <t>MIY-69869-893</t>
  </si>
  <si>
    <t>GOI-89312-663</t>
  </si>
  <si>
    <t>IYG-94113-113</t>
  </si>
  <si>
    <t>ZKY-90485-981</t>
  </si>
  <si>
    <t>ZVL-59841-027</t>
  </si>
  <si>
    <t>XFU-22395-693</t>
  </si>
  <si>
    <t>JTU-58762-014</t>
  </si>
  <si>
    <t>LFS-29667-536</t>
  </si>
  <si>
    <t>EYE-10048-739</t>
  </si>
  <si>
    <t>NFK-79582-410</t>
  </si>
  <si>
    <t>ESI-69204-642</t>
  </si>
  <si>
    <t>OZA-27117-521</t>
  </si>
  <si>
    <t>KJM-28305-811</t>
  </si>
  <si>
    <t>CUZ-35906-888</t>
  </si>
  <si>
    <t>DVC-32982-025</t>
  </si>
  <si>
    <t>EAR-37644-415</t>
  </si>
  <si>
    <t>WUO-86088-954</t>
  </si>
  <si>
    <t>KSE-60319-165</t>
  </si>
  <si>
    <t>UTR-40465-761</t>
  </si>
  <si>
    <t>NEB-93497-423</t>
  </si>
  <si>
    <t>KII-58262-521</t>
  </si>
  <si>
    <t>EJU-15144-710</t>
  </si>
  <si>
    <t>UHN-92924-146</t>
  </si>
  <si>
    <t>UTY-47038-644</t>
  </si>
  <si>
    <t>WAZ-77050-693</t>
  </si>
  <si>
    <t>BEP-74602-235</t>
  </si>
  <si>
    <t>MPV-49374-175</t>
  </si>
  <si>
    <t>CLX-53767-735</t>
  </si>
  <si>
    <t>QHJ-27600-454</t>
  </si>
  <si>
    <t>FSY-11086-882</t>
  </si>
  <si>
    <t>KNB-98476-161</t>
  </si>
  <si>
    <t>VZY-50849-439</t>
  </si>
  <si>
    <t>KNP-48995-177</t>
  </si>
  <si>
    <t>QKK-39102-691</t>
  </si>
  <si>
    <t>YZH-96890-921</t>
  </si>
  <si>
    <t>RGK-15884-121</t>
  </si>
  <si>
    <t>KJQ-92174-959</t>
  </si>
  <si>
    <t>UDR-10951-758</t>
  </si>
  <si>
    <t>EUF-73977-379</t>
  </si>
  <si>
    <t>JDO-76000-893</t>
  </si>
  <si>
    <t>HQK-39604-458</t>
  </si>
  <si>
    <t>OLZ-65716-734</t>
  </si>
  <si>
    <t>FGD-41623-377</t>
  </si>
  <si>
    <t>FCB-63663-185</t>
  </si>
  <si>
    <t>DPG-31527-047</t>
  </si>
  <si>
    <t>RPY-68738-567</t>
  </si>
  <si>
    <t>IEZ-91534-510</t>
  </si>
  <si>
    <t>NCS-66804-664</t>
  </si>
  <si>
    <t>OGB-81282-569</t>
  </si>
  <si>
    <t>NLA-90454-321</t>
  </si>
  <si>
    <t>MHL-72489-835</t>
  </si>
  <si>
    <t>RFC-67286-251</t>
  </si>
  <si>
    <t>RJJ-91299-163</t>
  </si>
  <si>
    <t>FMF-61027-991</t>
  </si>
  <si>
    <t>WKF-64201-845</t>
  </si>
  <si>
    <t>DJX-07021-392</t>
  </si>
  <si>
    <t>WSW-02148-701</t>
  </si>
  <si>
    <t>EGI-16657-034</t>
  </si>
  <si>
    <t>XBJ-09889-251</t>
  </si>
  <si>
    <t>OQM-06579-289</t>
  </si>
  <si>
    <t>XHL-20536-754</t>
  </si>
  <si>
    <t>CQC-45585-916</t>
  </si>
  <si>
    <t>CMO-94340-617</t>
  </si>
  <si>
    <t>KNE-57264-034</t>
  </si>
  <si>
    <t>HZZ-48026-209</t>
  </si>
  <si>
    <t>GKX-86053-332</t>
  </si>
  <si>
    <t>KZD-58838-414</t>
  </si>
  <si>
    <t>PIL-91838-539</t>
  </si>
  <si>
    <t>IWM-25384-067</t>
  </si>
  <si>
    <t>DGN-99089-235</t>
  </si>
  <si>
    <t>QDA-34995-889</t>
  </si>
  <si>
    <t>SIV-71465-936</t>
  </si>
  <si>
    <t>RYR-57464-516</t>
  </si>
  <si>
    <t>RXA-67473-440</t>
  </si>
  <si>
    <t>BGD-04049-466</t>
  </si>
  <si>
    <t>LZP-48954-385</t>
  </si>
  <si>
    <t>SXN-00479-913</t>
  </si>
  <si>
    <t>ADR-05605-307</t>
  </si>
  <si>
    <t>DND-78013-112</t>
  </si>
  <si>
    <t>AHY-03785-809</t>
  </si>
  <si>
    <t>LDP-15237-531</t>
  </si>
  <si>
    <t>NMN-28717-719</t>
  </si>
  <si>
    <t>VVI-38106-574</t>
  </si>
  <si>
    <t>IDQ-07165-569</t>
  </si>
  <si>
    <t>HAD-44330-596</t>
  </si>
  <si>
    <t>NMV-80233-632</t>
  </si>
  <si>
    <t>CIS-21279-021</t>
  </si>
  <si>
    <t>UAD-77650-249</t>
  </si>
  <si>
    <t>COL-74854-664</t>
  </si>
  <si>
    <t>ICP-17573-174</t>
  </si>
  <si>
    <t>IFH-80306-780</t>
  </si>
  <si>
    <t>BQS-82552-627</t>
  </si>
  <si>
    <t>LTU-00510-192</t>
  </si>
  <si>
    <t>WPG-73234-342</t>
  </si>
  <si>
    <t>QHE-71656-383</t>
  </si>
  <si>
    <t>WRX-98235-769</t>
  </si>
  <si>
    <t>HWY-21895-342</t>
  </si>
  <si>
    <t>BHV-26253-712</t>
  </si>
  <si>
    <t>FPD-19179-069</t>
  </si>
  <si>
    <t>BWB-87028-535</t>
  </si>
  <si>
    <t>SZU-78746-463</t>
  </si>
  <si>
    <t>EHZ-41588-597</t>
  </si>
  <si>
    <t>AHT-89927-128</t>
  </si>
  <si>
    <t>ZAT-12643-290</t>
  </si>
  <si>
    <t>TKG-41230-985</t>
  </si>
  <si>
    <t>EED-27937-848</t>
  </si>
  <si>
    <t>IKL-10561-807</t>
  </si>
  <si>
    <t>POI-01336-572</t>
  </si>
  <si>
    <t>YAS-54694-801</t>
  </si>
  <si>
    <t>HCV-13382-350</t>
  </si>
  <si>
    <t>FXA-80249-962</t>
  </si>
  <si>
    <t>YHW-14515-542</t>
  </si>
  <si>
    <t>RFG-21632-352</t>
  </si>
  <si>
    <t>GEV-37950-943</t>
  </si>
  <si>
    <t>HYU-84468-939</t>
  </si>
  <si>
    <t>XZR-97890-489</t>
  </si>
  <si>
    <t>JHQ-89998-830</t>
  </si>
  <si>
    <t>QMN-87709-403</t>
  </si>
  <si>
    <t>HAW-19602-505</t>
  </si>
  <si>
    <t>CIW-30571-578</t>
  </si>
  <si>
    <t>BMA-00596-745</t>
  </si>
  <si>
    <t>IKQ-83837-062</t>
  </si>
  <si>
    <t>ZTJ-47722-456</t>
  </si>
  <si>
    <t>QSJ-21443-879</t>
  </si>
  <si>
    <t>KYY-05893-119</t>
  </si>
  <si>
    <t>DCV-53714-729</t>
  </si>
  <si>
    <t>EOU-35582-423</t>
  </si>
  <si>
    <t>VJE-62283-666</t>
  </si>
  <si>
    <t>NNH-94095-392</t>
  </si>
  <si>
    <t>FVN-69943-718</t>
  </si>
  <si>
    <t>MJN-94783-964</t>
  </si>
  <si>
    <t>VIX-51115-945</t>
  </si>
  <si>
    <t>VCT-34699-892</t>
  </si>
  <si>
    <t>UGO-71084-598</t>
  </si>
  <si>
    <t>AFQ-08234-975</t>
  </si>
  <si>
    <t>UHV-62099-533</t>
  </si>
  <si>
    <t>UMG-92954-178</t>
  </si>
  <si>
    <t>ABD-59010-499</t>
  </si>
  <si>
    <t>YUU-17242-370</t>
  </si>
  <si>
    <t>USN-50698-784</t>
  </si>
  <si>
    <t>HTP-28444-468</t>
  </si>
  <si>
    <t>ORA-76198-524</t>
  </si>
  <si>
    <t>COL-72467-054</t>
  </si>
  <si>
    <t>CAZ-08066-590</t>
  </si>
  <si>
    <t>WQH-18974-962</t>
  </si>
  <si>
    <t>MAL-34974-114</t>
  </si>
  <si>
    <t>LPJ-31271-729</t>
  </si>
  <si>
    <t>YHC-12869-015</t>
  </si>
  <si>
    <t>INF-91813-363</t>
  </si>
  <si>
    <t>XPV-40017-991</t>
  </si>
  <si>
    <t>BNY-25202-795</t>
  </si>
  <si>
    <t>CIT-93681-088</t>
  </si>
  <si>
    <t>NBX-05857-424</t>
  </si>
  <si>
    <t>VFG-91246-897</t>
  </si>
  <si>
    <t>SZC-85885-953</t>
  </si>
  <si>
    <t>IGD-84755-217</t>
  </si>
  <si>
    <t>BBU-76310-627</t>
  </si>
  <si>
    <t>YWZ-26226-786</t>
  </si>
  <si>
    <t>FHO-31454-823</t>
  </si>
  <si>
    <t>MSM-36904-670</t>
  </si>
  <si>
    <t>IMU-18757-388</t>
  </si>
  <si>
    <t>SHF-87738-505</t>
  </si>
  <si>
    <t>MQI-67309-510</t>
  </si>
  <si>
    <t>KSN-31447-226</t>
  </si>
  <si>
    <t>HAV-02307-573</t>
  </si>
  <si>
    <t>GFP-18711-489</t>
  </si>
  <si>
    <t>YWY-68549-263</t>
  </si>
  <si>
    <t>TLR-03945-636</t>
  </si>
  <si>
    <t>GTC-44760-335</t>
  </si>
  <si>
    <t>GHL-07105-470</t>
  </si>
  <si>
    <t>MDM-18970-399</t>
  </si>
  <si>
    <t>XDO-56914-064</t>
  </si>
  <si>
    <t>APY-33707-998</t>
  </si>
  <si>
    <t>RMP-36295-289</t>
  </si>
  <si>
    <t>UAO-14625-332</t>
  </si>
  <si>
    <t>XIW-24727-084</t>
  </si>
  <si>
    <t>LGX-00292-460</t>
  </si>
  <si>
    <t>PHR-63919-210</t>
  </si>
  <si>
    <t>DLO-64723-424</t>
  </si>
  <si>
    <t>SSR-95015-079</t>
  </si>
  <si>
    <t>KEU-72135-224</t>
  </si>
  <si>
    <t>ZJV-92791-805</t>
  </si>
  <si>
    <t>BXZ-17649-890</t>
  </si>
  <si>
    <t>YMO-06197-707</t>
  </si>
  <si>
    <t>JAP-77147-801</t>
  </si>
  <si>
    <t>RIS-36087-170</t>
  </si>
  <si>
    <t>UKF-44245-790</t>
  </si>
  <si>
    <t>HWL-38488-575</t>
  </si>
  <si>
    <t>QSC-08347-623</t>
  </si>
  <si>
    <t>GCZ-50775-148</t>
  </si>
  <si>
    <t>QHS-46735-670</t>
  </si>
  <si>
    <t>TTS-17182-311</t>
  </si>
  <si>
    <t>WSL-84937-399</t>
  </si>
  <si>
    <t>PHC-11363-851</t>
  </si>
  <si>
    <t>RJW-65133-360</t>
  </si>
  <si>
    <t>UWW-88992-734</t>
  </si>
  <si>
    <t>KJY-84195-150</t>
  </si>
  <si>
    <t>LOD-89823-026</t>
  </si>
  <si>
    <t>TTK-84480-138</t>
  </si>
  <si>
    <t>QEH-28107-539</t>
  </si>
  <si>
    <t>QDO-57087-727</t>
  </si>
  <si>
    <t>LVA-55181-090</t>
  </si>
  <si>
    <t>VQP-46305-980</t>
  </si>
  <si>
    <t>TFC-96124-524</t>
  </si>
  <si>
    <t>IQF-88790-828</t>
  </si>
  <si>
    <t>WDP-11622-034</t>
  </si>
  <si>
    <t>FFO-44744-449</t>
  </si>
  <si>
    <t>TWY-35828-173</t>
  </si>
  <si>
    <t>EQX-94374-558</t>
  </si>
  <si>
    <t>MSW-80994-503</t>
  </si>
  <si>
    <t>TSQ-25831-528</t>
  </si>
  <si>
    <t>FIF-72442-085</t>
  </si>
  <si>
    <t>FJJ-53290-507</t>
  </si>
  <si>
    <t>YCR-25020-158</t>
  </si>
  <si>
    <t>KXP-93925-903</t>
  </si>
  <si>
    <t>OZU-25668-272</t>
  </si>
  <si>
    <t>ZNH-42732-645</t>
  </si>
  <si>
    <t>EIH-29736-136</t>
  </si>
  <si>
    <t>RMY-28555-444</t>
  </si>
  <si>
    <t>KPF-55431-789</t>
  </si>
  <si>
    <t>ROQ-19844-445</t>
  </si>
  <si>
    <t>OFT-40332-948</t>
  </si>
  <si>
    <t>IEA-86189-992</t>
  </si>
  <si>
    <t>DBY-20134-097</t>
  </si>
  <si>
    <t>EAG-62102-090</t>
  </si>
  <si>
    <t>HKO-89847-450</t>
  </si>
  <si>
    <t>WKN-71193-144</t>
  </si>
  <si>
    <t>XBH-28902-139</t>
  </si>
  <si>
    <t>UJL-67478-428</t>
  </si>
  <si>
    <t>FLV-01003-899</t>
  </si>
  <si>
    <t>NHZ-79978-503</t>
  </si>
  <si>
    <t>EBJ-81073-021</t>
  </si>
  <si>
    <t>HQN-12559-715</t>
  </si>
  <si>
    <t>DWL-41089-710</t>
  </si>
  <si>
    <t>RDZ-96576-178</t>
  </si>
  <si>
    <t>MKM-81870-741</t>
  </si>
  <si>
    <t>HVG-72133-045</t>
  </si>
  <si>
    <t>AFN-29683-284</t>
  </si>
  <si>
    <t>MEW-86382-509</t>
  </si>
  <si>
    <t>JKR-38587-119</t>
  </si>
  <si>
    <t>XYP-11735-464</t>
  </si>
  <si>
    <t>QQP-07907-786</t>
  </si>
  <si>
    <t>OPC-07327-867</t>
  </si>
  <si>
    <t>SDU-63377-847</t>
  </si>
  <si>
    <t>YBI-79855-601</t>
  </si>
  <si>
    <t>DFJ-10730-538</t>
  </si>
  <si>
    <t>EZV-23878-532</t>
  </si>
  <si>
    <t>JDU-26900-433</t>
  </si>
  <si>
    <t>WAQ-62311-278</t>
  </si>
  <si>
    <t>UFL-08970-655</t>
  </si>
  <si>
    <t>GOB-02452-717</t>
  </si>
  <si>
    <t>PBN-78491-689</t>
  </si>
  <si>
    <t>RNI-75296-460</t>
  </si>
  <si>
    <t>SGH-43222-978</t>
  </si>
  <si>
    <t>RBJ-98666-001</t>
  </si>
  <si>
    <t>DPF-20099-666</t>
  </si>
  <si>
    <t>RBR-12364-405</t>
  </si>
  <si>
    <t>ACC-37328-241</t>
  </si>
  <si>
    <t>MTO-57568-522</t>
  </si>
  <si>
    <t>UII-90964-104</t>
  </si>
  <si>
    <t>JCI-75742-355</t>
  </si>
  <si>
    <t>HBC-22952-421</t>
  </si>
  <si>
    <t>ESY-20524-786</t>
  </si>
  <si>
    <t>LZR-23971-117</t>
  </si>
  <si>
    <t>OPK-20761-666</t>
  </si>
  <si>
    <t>LHZ-05283-826</t>
  </si>
  <si>
    <t>HKV-05497-312</t>
  </si>
  <si>
    <t>BOV-33575-507</t>
  </si>
  <si>
    <t>KNV-28517-165</t>
  </si>
  <si>
    <t>GFC-59673-144</t>
  </si>
  <si>
    <t>SKI-82412-271</t>
  </si>
  <si>
    <t>LZK-33023-304</t>
  </si>
  <si>
    <t>KZX-31758-562</t>
  </si>
  <si>
    <t>AWR-90634-794</t>
  </si>
  <si>
    <t>GMI-63539-740</t>
  </si>
  <si>
    <t>VVQ-30993-790</t>
  </si>
  <si>
    <t>NUO-92300-616</t>
  </si>
  <si>
    <t>SYR-67942-850</t>
  </si>
  <si>
    <t>SFZ-96239-159</t>
  </si>
  <si>
    <t>OSZ-73307-592</t>
  </si>
  <si>
    <t>NBO-87312-427</t>
  </si>
  <si>
    <t>XPB-02473-032</t>
  </si>
  <si>
    <t>NCG-26741-021</t>
  </si>
  <si>
    <t>JIV-91677-384</t>
  </si>
  <si>
    <t>JXC-07780-813</t>
  </si>
  <si>
    <t>DBA-83116-541</t>
  </si>
  <si>
    <t>CYC-53981-722</t>
  </si>
  <si>
    <t>RZP-64508-659</t>
  </si>
  <si>
    <t>BUK-43806-552</t>
  </si>
  <si>
    <t>WTS-56335-362</t>
  </si>
  <si>
    <t>CIH-39765-608</t>
  </si>
  <si>
    <t>WNL-68644-105</t>
  </si>
  <si>
    <t>NSD-40515-288</t>
  </si>
  <si>
    <t>YHI-86489-637</t>
  </si>
  <si>
    <t>HZY-50644-521</t>
  </si>
  <si>
    <t>AOY-40732-834</t>
  </si>
  <si>
    <t>DXN-51771-104</t>
  </si>
  <si>
    <t>QVT-85367-765</t>
  </si>
  <si>
    <t>ZQA-37954-405</t>
  </si>
  <si>
    <t>UFI-12789-723</t>
  </si>
  <si>
    <t>EBB-19163-080</t>
  </si>
  <si>
    <t>SYE-68031-408</t>
  </si>
  <si>
    <t>GMU-34519-167</t>
  </si>
  <si>
    <t>UCI-83130-347</t>
  </si>
  <si>
    <t>XFR-78138-098</t>
  </si>
  <si>
    <t>XKC-59668-831</t>
  </si>
  <si>
    <t>TET-72697-412</t>
  </si>
  <si>
    <t>CUX-14075-849</t>
  </si>
  <si>
    <t>FHT-97307-877</t>
  </si>
  <si>
    <t>GPH-01121-670</t>
  </si>
  <si>
    <t>EGK-14361-806</t>
  </si>
  <si>
    <t>YCJ-14543-795</t>
  </si>
  <si>
    <t>ERH-92759-317</t>
  </si>
  <si>
    <t>EEM-06839-331</t>
  </si>
  <si>
    <t>NKG-39816-615</t>
  </si>
  <si>
    <t>IFH-30647-003</t>
  </si>
  <si>
    <t>FKS-02686-337</t>
  </si>
  <si>
    <t>TCY-36091-387</t>
  </si>
  <si>
    <t>TRK-34218-407</t>
  </si>
  <si>
    <t>TVX-55412-310</t>
  </si>
  <si>
    <t>ICO-19982-668</t>
  </si>
  <si>
    <t>TSM-66049-449</t>
  </si>
  <si>
    <t>AHE-57244-610</t>
  </si>
  <si>
    <t>MDI-73696-787</t>
  </si>
  <si>
    <t>OJX-38379-750</t>
  </si>
  <si>
    <t>POM-00960-570</t>
  </si>
  <si>
    <t>NVA-68093-253</t>
  </si>
  <si>
    <t>FSY-24721-892</t>
  </si>
  <si>
    <t>BWO-79256-991</t>
  </si>
  <si>
    <t>ITD-14198-367</t>
  </si>
  <si>
    <t>MHM-34166-388</t>
  </si>
  <si>
    <t>GFZ-94944-423</t>
  </si>
  <si>
    <t>DNE-29480-512</t>
  </si>
  <si>
    <t>MZO-47343-173</t>
  </si>
  <si>
    <t>YVJ-57735-897</t>
  </si>
  <si>
    <t>YXI-03589-316</t>
  </si>
  <si>
    <t>RTE-80457-762</t>
  </si>
  <si>
    <t>LDU-13939-850</t>
  </si>
  <si>
    <t>KHX-40589-215</t>
  </si>
  <si>
    <t>NWN-45165-481</t>
  </si>
  <si>
    <t>ZDX-55802-064</t>
  </si>
  <si>
    <t>HFC-16953-444</t>
  </si>
  <si>
    <t>HIT-47045-521</t>
  </si>
  <si>
    <t>QVZ-14906-068</t>
  </si>
  <si>
    <t>ILR-29771-550</t>
  </si>
  <si>
    <t>MHV-21709-212</t>
  </si>
  <si>
    <t>RIV-45890-626</t>
  </si>
  <si>
    <t>LKH-98985-741</t>
  </si>
  <si>
    <t>NMN-14878-545</t>
  </si>
  <si>
    <t>WSE-75683-485</t>
  </si>
  <si>
    <t>RJL-23643-160</t>
  </si>
  <si>
    <t>IGJ-45679-127</t>
  </si>
  <si>
    <t>PWG-27857-870</t>
  </si>
  <si>
    <t>DOQ-79611-203</t>
  </si>
  <si>
    <t>KQP-41556-590</t>
  </si>
  <si>
    <t>OZU-10080-008</t>
  </si>
  <si>
    <t>TLV-37884-248</t>
  </si>
  <si>
    <t>IRM-95429-691</t>
  </si>
  <si>
    <t>SNE-12508-173</t>
  </si>
  <si>
    <t>WIY-37213-627</t>
  </si>
  <si>
    <t>JMP-19416-454</t>
  </si>
  <si>
    <t>OXW-68037-838</t>
  </si>
  <si>
    <t>TOF-05185-836</t>
  </si>
  <si>
    <t>CMP-32351-797</t>
  </si>
  <si>
    <t>CTL-83228-157</t>
  </si>
  <si>
    <t>RUQ-34615-450</t>
  </si>
  <si>
    <t>LXR-13388-475</t>
  </si>
  <si>
    <t>GJQ-23596-929</t>
  </si>
  <si>
    <t>DGM-56650-775</t>
  </si>
  <si>
    <t>HEG-56811-029</t>
  </si>
  <si>
    <t>QWM-67662-745</t>
  </si>
  <si>
    <t>STX-13796-746</t>
  </si>
  <si>
    <t>ECN-22967-878</t>
  </si>
  <si>
    <t>RHM-18820-753</t>
  </si>
  <si>
    <t>FSH-50470-353</t>
  </si>
  <si>
    <t>EHQ-16326-436</t>
  </si>
  <si>
    <t>PRU-27673-414</t>
  </si>
  <si>
    <t>YXS-64692-504</t>
  </si>
  <si>
    <t>GAM-34444-678</t>
  </si>
  <si>
    <t>RFZ-72946-290</t>
  </si>
  <si>
    <t>AAS-52308-719</t>
  </si>
  <si>
    <t>VSH-56730-094</t>
  </si>
  <si>
    <t>THF-45022-208</t>
  </si>
  <si>
    <t>SHL-02506-206</t>
  </si>
  <si>
    <t>QMV-59021-544</t>
  </si>
  <si>
    <t>LCL-68361-734</t>
  </si>
  <si>
    <t>KXT-43244-476</t>
  </si>
  <si>
    <t>XIY-31221-830</t>
  </si>
  <si>
    <t>WRS-78401-574</t>
  </si>
  <si>
    <t>UAU-78322-064</t>
  </si>
  <si>
    <t>JFB-02932-190</t>
  </si>
  <si>
    <t>DFA-37766-296</t>
  </si>
  <si>
    <t>ABN-41327-055</t>
  </si>
  <si>
    <t>LKI-87294-892</t>
  </si>
  <si>
    <t>EWX-15257-762</t>
  </si>
  <si>
    <t>ZVL-33785-233</t>
  </si>
  <si>
    <t>LBE-80854-610</t>
  </si>
  <si>
    <t>GZA-81947-075</t>
  </si>
  <si>
    <t>ZLF-31786-928</t>
  </si>
  <si>
    <t>TBE-08430-231</t>
  </si>
  <si>
    <t>MHM-15786-858</t>
  </si>
  <si>
    <t>IEK-38040-029</t>
  </si>
  <si>
    <t>DGK-85805-419</t>
  </si>
  <si>
    <t>BPS-84464-528</t>
  </si>
  <si>
    <t>NEN-12405-431</t>
  </si>
  <si>
    <t>YXJ-40036-405</t>
  </si>
  <si>
    <t>KFE-86594-368</t>
  </si>
  <si>
    <t>RPP-03679-469</t>
  </si>
  <si>
    <t>IKG-49682-780</t>
  </si>
  <si>
    <t>FDC-42533-657</t>
  </si>
  <si>
    <t>PAH-82976-586</t>
  </si>
  <si>
    <t>ERW-99986-135</t>
  </si>
  <si>
    <t>MTP-01022-329</t>
  </si>
  <si>
    <t>KOD-28914-493</t>
  </si>
  <si>
    <t>KKL-70034-073</t>
  </si>
  <si>
    <t>CEP-98014-830</t>
  </si>
  <si>
    <t>QAK-58032-269</t>
  </si>
  <si>
    <t>UKC-18441-224</t>
  </si>
  <si>
    <t>DVO-28976-708</t>
  </si>
  <si>
    <t>WUF-16784-207</t>
  </si>
  <si>
    <t>WME-73709-743</t>
  </si>
  <si>
    <t>HCK-87577-875</t>
  </si>
  <si>
    <t>RGP-72866-293</t>
  </si>
  <si>
    <t>PUO-49640-106</t>
  </si>
  <si>
    <t>DBN-97400-991</t>
  </si>
  <si>
    <t>KWC-56900-572</t>
  </si>
  <si>
    <t>JIU-44075-562</t>
  </si>
  <si>
    <t>JUD-15639-132</t>
  </si>
  <si>
    <t>MHE-02423-335</t>
  </si>
  <si>
    <t>LAG-56458-061</t>
  </si>
  <si>
    <t>WQO-91141-028</t>
  </si>
  <si>
    <t>YWS-69893-237</t>
  </si>
  <si>
    <t>TPN-54866-185</t>
  </si>
  <si>
    <t>CTS-25169-536</t>
  </si>
  <si>
    <t>HWS-21812-193</t>
  </si>
  <si>
    <t>YSG-02360-735</t>
  </si>
  <si>
    <t>HTM-06458-027</t>
  </si>
  <si>
    <t>FMX-02583-648</t>
  </si>
  <si>
    <t>WRK-64248-075</t>
  </si>
  <si>
    <t>HRE-08479-913</t>
  </si>
  <si>
    <t>BFU-01320-194</t>
  </si>
  <si>
    <t>PWY-07745-757</t>
  </si>
  <si>
    <t>VLL-01064-129</t>
  </si>
  <si>
    <t>JGA-76775-564</t>
  </si>
  <si>
    <t>HFE-68909-854</t>
  </si>
  <si>
    <t>XVV-97218-058</t>
  </si>
  <si>
    <t>WMW-69277-219</t>
  </si>
  <si>
    <t>SLF-06215-648</t>
  </si>
  <si>
    <t>WJB-61543-514</t>
  </si>
  <si>
    <t>XEJ-11628-570</t>
  </si>
  <si>
    <t>XHY-43768-461</t>
  </si>
  <si>
    <t>NQU-11519-053</t>
  </si>
  <si>
    <t>MEE-64373-197</t>
  </si>
  <si>
    <t>INH-86638-984</t>
  </si>
  <si>
    <t>TVR-52281-878</t>
  </si>
  <si>
    <t>WHR-78243-301</t>
  </si>
  <si>
    <t>UXD-94044-956</t>
  </si>
  <si>
    <t>ONO-73899-070</t>
  </si>
  <si>
    <t>QWZ-58348-419</t>
  </si>
  <si>
    <t>LOU-10098-984</t>
  </si>
  <si>
    <t>ZQX-24273-441</t>
  </si>
  <si>
    <t>PBO-21741-337</t>
  </si>
  <si>
    <t>RHJ-89003-459</t>
  </si>
  <si>
    <t>HFO-81066-264</t>
  </si>
  <si>
    <t>FED-86052-029</t>
  </si>
  <si>
    <t>ZPF-91852-518</t>
  </si>
  <si>
    <t>PYA-22907-264</t>
  </si>
  <si>
    <t>HKJ-61293-398</t>
  </si>
  <si>
    <t>AQH-19963-189</t>
  </si>
  <si>
    <t>KXT-97941-767</t>
  </si>
  <si>
    <t>OWW-81026-001</t>
  </si>
  <si>
    <t>RRT-49303-611</t>
  </si>
  <si>
    <t>LDE-29348-462</t>
  </si>
  <si>
    <t>MFI-32632-130</t>
  </si>
  <si>
    <t>YLM-17443-175</t>
  </si>
  <si>
    <t>QJA-17006-104</t>
  </si>
  <si>
    <t>CSA-73478-957</t>
  </si>
  <si>
    <t>MPN-91850-409</t>
  </si>
  <si>
    <t>WXV-22808-967</t>
  </si>
  <si>
    <t>DGS-98633-265</t>
  </si>
  <si>
    <t>WPL-11857-535</t>
  </si>
  <si>
    <t>AGX-49088-052</t>
  </si>
  <si>
    <t>NYX-12516-045</t>
  </si>
  <si>
    <t>CPJ-48484-391</t>
  </si>
  <si>
    <t>QQV-27079-861</t>
  </si>
  <si>
    <t>LHH-46825-597</t>
  </si>
  <si>
    <t>SXR-46973-819</t>
  </si>
  <si>
    <t>HJD-13875-960</t>
  </si>
  <si>
    <t>VMK-64380-984</t>
  </si>
  <si>
    <t>JGG-45840-552</t>
  </si>
  <si>
    <t>HLF-79116-467</t>
  </si>
  <si>
    <t>KKE-52124-071</t>
  </si>
  <si>
    <t>HXU-65015-429</t>
  </si>
  <si>
    <t>DXV-88678-971</t>
  </si>
  <si>
    <t>MRL-44827-215</t>
  </si>
  <si>
    <t>AVR-62774-114</t>
  </si>
  <si>
    <t>ZBU-93341-858</t>
  </si>
  <si>
    <t>TDN-19465-036</t>
  </si>
  <si>
    <t>JSE-61599-054</t>
  </si>
  <si>
    <t>KVN-65688-835</t>
  </si>
  <si>
    <t>QGT-02061-338</t>
  </si>
  <si>
    <t>CXR-14626-731</t>
  </si>
  <si>
    <t>NAC-23439-317</t>
  </si>
  <si>
    <t>NSU-09000-455</t>
  </si>
  <si>
    <t>RZJ-59664-261</t>
  </si>
  <si>
    <t>UMP-79179-713</t>
  </si>
  <si>
    <t>AMK-75373-298</t>
  </si>
  <si>
    <t>BIA-20843-677</t>
  </si>
  <si>
    <t>AJS-01249-902</t>
  </si>
  <si>
    <t>IHG-71796-410</t>
  </si>
  <si>
    <t>SBE-90353-422</t>
  </si>
  <si>
    <t>QWR-72722-444</t>
  </si>
  <si>
    <t>AAK-90035-375</t>
  </si>
  <si>
    <t>ENL-59159-683</t>
  </si>
  <si>
    <t>EMZ-98686-112</t>
  </si>
  <si>
    <t>IEM-32901-743</t>
  </si>
  <si>
    <t>SGJ-35021-608</t>
  </si>
  <si>
    <t>EMH-44894-704</t>
  </si>
  <si>
    <t>CTE-71654-641</t>
  </si>
  <si>
    <t>GGV-51878-680</t>
  </si>
  <si>
    <t>XVU-89641-770</t>
  </si>
  <si>
    <t>RGO-82567-694</t>
  </si>
  <si>
    <t>JUL-26071-162</t>
  </si>
  <si>
    <t>YGM-90009-814</t>
  </si>
  <si>
    <t>QWZ-21695-800</t>
  </si>
  <si>
    <t>GJN-45775-285</t>
  </si>
  <si>
    <t>BCE-84131-423</t>
  </si>
  <si>
    <t>UBR-16339-067</t>
  </si>
  <si>
    <t>NAI-78799-766</t>
  </si>
  <si>
    <t>IKM-47089-480</t>
  </si>
  <si>
    <t>NLD-21052-668</t>
  </si>
  <si>
    <t>PIX-37799-462</t>
  </si>
  <si>
    <t>LEF-51935-795</t>
  </si>
  <si>
    <t>NSI-37505-735</t>
  </si>
  <si>
    <t>LPM-69405-072</t>
  </si>
  <si>
    <t>YKH-75132-299</t>
  </si>
  <si>
    <t>ORE-32726-387</t>
  </si>
  <si>
    <t>IUF-92680-088</t>
  </si>
  <si>
    <t>SWA-01379-066</t>
  </si>
  <si>
    <t>KKZ-21676-744</t>
  </si>
  <si>
    <t>LMQ-08750-542</t>
  </si>
  <si>
    <t>YQS-35093-192</t>
  </si>
  <si>
    <t>UXT-93347-827</t>
  </si>
  <si>
    <t>DQK-48044-601</t>
  </si>
  <si>
    <t>FUV-38751-609</t>
  </si>
  <si>
    <t>CUO-63327-521</t>
  </si>
  <si>
    <t>PJS-46291-940</t>
  </si>
  <si>
    <t>UAK-28615-331</t>
  </si>
  <si>
    <t>DUP-71202-498</t>
  </si>
  <si>
    <t>PBD-38300-415</t>
  </si>
  <si>
    <t>VWV-08193-287</t>
  </si>
  <si>
    <t>RPA-30107-306</t>
  </si>
  <si>
    <t>FMP-63133-883</t>
  </si>
  <si>
    <t>SIW-98031-724</t>
  </si>
  <si>
    <t>FCX-45073-832</t>
  </si>
  <si>
    <t>HMS-93592-306</t>
  </si>
  <si>
    <t>LIR-15107-961</t>
  </si>
  <si>
    <t>YTT-78447-452</t>
  </si>
  <si>
    <t>HJY-87412-905</t>
  </si>
  <si>
    <t>IFJ-64376-603</t>
  </si>
  <si>
    <t>QUU-30868-389</t>
  </si>
  <si>
    <t>LAU-40058-332</t>
  </si>
  <si>
    <t>QAG-77815-667</t>
  </si>
  <si>
    <t>NPZ-94516-857</t>
  </si>
  <si>
    <t>GYT-34905-169</t>
  </si>
  <si>
    <t>QXS-48264-479</t>
  </si>
  <si>
    <t>IFB-53829-298</t>
  </si>
  <si>
    <t>AUB-68356-167</t>
  </si>
  <si>
    <t>HRJ-49806-072</t>
  </si>
  <si>
    <t>XNP-01082-962</t>
  </si>
  <si>
    <t>DWD-60798-801</t>
  </si>
  <si>
    <t>WCN-66164-999</t>
  </si>
  <si>
    <t>ILS-56818-908</t>
  </si>
  <si>
    <t>GOD-98650-608</t>
  </si>
  <si>
    <t>KAX-81696-966</t>
  </si>
  <si>
    <t>RSS-02741-652</t>
  </si>
  <si>
    <t>FWI-60808-377</t>
  </si>
  <si>
    <t>EAJ-69724-869</t>
  </si>
  <si>
    <t>DLQ-82134-672</t>
  </si>
  <si>
    <t>MEP-60001-756</t>
  </si>
  <si>
    <t>JUK-96833-227</t>
  </si>
  <si>
    <t>STO-59494-841</t>
  </si>
  <si>
    <t>WYY-91297-920</t>
  </si>
  <si>
    <t>SUB-58880-099</t>
  </si>
  <si>
    <t>XWN-58779-846</t>
  </si>
  <si>
    <t>AJS-40242-567</t>
  </si>
  <si>
    <t>QPS-82011-584</t>
  </si>
  <si>
    <t>LIS-02320-269</t>
  </si>
  <si>
    <t>SWT-07170-316</t>
  </si>
  <si>
    <t>NOV-76280-753</t>
  </si>
  <si>
    <t>QUG-87533-931</t>
  </si>
  <si>
    <t>LPX-83603-296</t>
  </si>
  <si>
    <t>IYF-34178-652</t>
  </si>
  <si>
    <t>QNZ-01919-993</t>
  </si>
  <si>
    <t>FSH-67579-873</t>
  </si>
  <si>
    <t>FZR-05071-024</t>
  </si>
  <si>
    <t>WRI-58168-263</t>
  </si>
  <si>
    <t>JWN-56315-821</t>
  </si>
  <si>
    <t>KKH-81753-897</t>
  </si>
  <si>
    <t>YHB-18154-908</t>
  </si>
  <si>
    <t>NRE-86432-186</t>
  </si>
  <si>
    <t>YWZ-68247-860</t>
  </si>
  <si>
    <t>CXI-59408-746</t>
  </si>
  <si>
    <t>ZAY-29262-626</t>
  </si>
  <si>
    <t>GRD-02493-001</t>
  </si>
  <si>
    <t>MAH-55512-564</t>
  </si>
  <si>
    <t>XRV-48775-654</t>
  </si>
  <si>
    <t>WAA-73608-342</t>
  </si>
  <si>
    <t>VGC-11049-641</t>
  </si>
  <si>
    <t>NLH-20538-536</t>
  </si>
  <si>
    <t>OIL-65985-077</t>
  </si>
  <si>
    <t>MUK-26694-691</t>
  </si>
  <si>
    <t>ZJX-13992-591</t>
  </si>
  <si>
    <t>TPK-02915-178</t>
  </si>
  <si>
    <t>HUA-56153-787</t>
  </si>
  <si>
    <t>RKM-23240-414</t>
  </si>
  <si>
    <t>FIS-46830-125</t>
  </si>
  <si>
    <t>EOX-81028-035</t>
  </si>
  <si>
    <t>HJX-99909-563</t>
  </si>
  <si>
    <t>MBA-40907-531</t>
  </si>
  <si>
    <t>ILJ-78695-687</t>
  </si>
  <si>
    <t>GTV-49210-613</t>
  </si>
  <si>
    <t>DCC-94163-884</t>
  </si>
  <si>
    <t>DDG-03669-007</t>
  </si>
  <si>
    <t>GQW-85092-432</t>
  </si>
  <si>
    <t>RTR-78049-792</t>
  </si>
  <si>
    <t>RCQ-52496-870</t>
  </si>
  <si>
    <t>KKV-21883-593</t>
  </si>
  <si>
    <t>REG-73368-146</t>
  </si>
  <si>
    <t>ULJ-11514-844</t>
  </si>
  <si>
    <t>IIG-12314-577</t>
  </si>
  <si>
    <t>JTI-05355-485</t>
  </si>
  <si>
    <t>FTN-11074-030</t>
  </si>
  <si>
    <t>SRW-01769-670</t>
  </si>
  <si>
    <t>MVX-36049-103</t>
  </si>
  <si>
    <t>PXD-48138-358</t>
  </si>
  <si>
    <t>XIT-94038-696</t>
  </si>
  <si>
    <t>PFP-98111-979</t>
  </si>
  <si>
    <t>OSO-54145-133</t>
  </si>
  <si>
    <t>SVZ-70572-464</t>
  </si>
  <si>
    <t>ZSX-40678-953</t>
  </si>
  <si>
    <t>JUS-18821-840</t>
  </si>
  <si>
    <t>OUJ-01344-707</t>
  </si>
  <si>
    <t>YVV-98925-149</t>
  </si>
  <si>
    <t>OST-17376-676</t>
  </si>
  <si>
    <t>CFV-68966-053</t>
  </si>
  <si>
    <t>QMQ-33418-248</t>
  </si>
  <si>
    <t>TJU-88129-155</t>
  </si>
  <si>
    <t>GJH-65118-337</t>
  </si>
  <si>
    <t>VBI-17560-089</t>
  </si>
  <si>
    <t>INR-45101-331</t>
  </si>
  <si>
    <t>XUK-12027-352</t>
  </si>
  <si>
    <t>HWU-25058-025</t>
  </si>
  <si>
    <t>BWU-23464-184</t>
  </si>
  <si>
    <t>ABV-30445-330</t>
  </si>
  <si>
    <t>GZO-21965-034</t>
  </si>
  <si>
    <t>JWA-91179-322</t>
  </si>
  <si>
    <t>AFX-30119-245</t>
  </si>
  <si>
    <t>IKS-63112-575</t>
  </si>
  <si>
    <t>WSB-61808-713</t>
  </si>
  <si>
    <t>TWK-10889-124</t>
  </si>
  <si>
    <t>FSM-38390-549</t>
  </si>
  <si>
    <t>FZM-39304-910</t>
  </si>
  <si>
    <t>CAH-58525-252</t>
  </si>
  <si>
    <t>ZCC-22100-841</t>
  </si>
  <si>
    <t>JWC-55333-816</t>
  </si>
  <si>
    <t>IIV-14764-492</t>
  </si>
  <si>
    <t>NOV-77800-399</t>
  </si>
  <si>
    <t>OAQ-28477-242</t>
  </si>
  <si>
    <t>KHI-33371-098</t>
  </si>
  <si>
    <t>YGO-83984-446</t>
  </si>
  <si>
    <t>VKY-91931-395</t>
  </si>
  <si>
    <t>KZF-92455-723</t>
  </si>
  <si>
    <t>CWL-13563-699</t>
  </si>
  <si>
    <t>DYG-25703-778</t>
  </si>
  <si>
    <t>JXO-21294-311</t>
  </si>
  <si>
    <t>KHY-81752-955</t>
  </si>
  <si>
    <t>VEA-62324-167</t>
  </si>
  <si>
    <t>SXD-42478-786</t>
  </si>
  <si>
    <t>NFQ-70207-973</t>
  </si>
  <si>
    <t>KER-32442-700</t>
  </si>
  <si>
    <t>AQV-29975-787</t>
  </si>
  <si>
    <t>UGY-91050-575</t>
  </si>
  <si>
    <t>GOG-25148-860</t>
  </si>
  <si>
    <t>CFF-32764-878</t>
  </si>
  <si>
    <t>YLN-04421-616</t>
  </si>
  <si>
    <t>YBJ-27770-609</t>
  </si>
  <si>
    <t>RSH-88465-885</t>
  </si>
  <si>
    <t>RTS-96568-999</t>
  </si>
  <si>
    <t>USF-89360-564</t>
  </si>
  <si>
    <t>FHQ-55837-757</t>
  </si>
  <si>
    <t>OVW-52498-521</t>
  </si>
  <si>
    <t>KCB-75405-552</t>
  </si>
  <si>
    <t>EFG-02301-713</t>
  </si>
  <si>
    <t>TEN-78416-631</t>
  </si>
  <si>
    <t>JJW-84956-376</t>
  </si>
  <si>
    <t>CSQ-60102-227</t>
  </si>
  <si>
    <t>AHW-68194-872</t>
  </si>
  <si>
    <t>JKB-62612-109</t>
  </si>
  <si>
    <t>FCD-42475-221</t>
  </si>
  <si>
    <t>BWZ-45047-350</t>
  </si>
  <si>
    <t>WOK-94202-595</t>
  </si>
  <si>
    <t>JGB-33895-405</t>
  </si>
  <si>
    <t>RCJ-23527-976</t>
  </si>
  <si>
    <t>RCJ-35338-123</t>
  </si>
  <si>
    <t>LIG-69157-225</t>
  </si>
  <si>
    <t>IRV-21784-531</t>
  </si>
  <si>
    <t>QLE-32259-363</t>
  </si>
  <si>
    <t>LWB-63108-346</t>
  </si>
  <si>
    <t>YRJ-60285-293</t>
  </si>
  <si>
    <t>PCI-71595-005</t>
  </si>
  <si>
    <t>WZY-87091-432</t>
  </si>
  <si>
    <t>UVI-22401-192</t>
  </si>
  <si>
    <t>UFQ-46524-643</t>
  </si>
  <si>
    <t>MSO-34620-553</t>
  </si>
  <si>
    <t>KTG-40277-687</t>
  </si>
  <si>
    <t>DVV-22457-582</t>
  </si>
  <si>
    <t>EOX-10532-218</t>
  </si>
  <si>
    <t>WAM-84757-152</t>
  </si>
  <si>
    <t>ZNI-59024-765</t>
  </si>
  <si>
    <t>HEP-15475-046</t>
  </si>
  <si>
    <t>FXP-36350-437</t>
  </si>
  <si>
    <t>XPW-60493-453</t>
  </si>
  <si>
    <t>BUL-80770-349</t>
  </si>
  <si>
    <t>XFU-88922-307</t>
  </si>
  <si>
    <t>VYV-62206-339</t>
  </si>
  <si>
    <t>HZA-75581-790</t>
  </si>
  <si>
    <t>PUY-49858-691</t>
  </si>
  <si>
    <t>LLV-50252-188</t>
  </si>
  <si>
    <t>DCF-21149-413</t>
  </si>
  <si>
    <t>YMS-91195-949</t>
  </si>
  <si>
    <t>NXW-92899-679</t>
  </si>
  <si>
    <t>DEC-51692-942</t>
  </si>
  <si>
    <t>XCP-19299-207</t>
  </si>
  <si>
    <t>EIW-91665-528</t>
  </si>
  <si>
    <t>RAW-16189-078</t>
  </si>
  <si>
    <t>HFJ-01958-036</t>
  </si>
  <si>
    <t>UIB-90316-083</t>
  </si>
  <si>
    <t>SZT-81285-297</t>
  </si>
  <si>
    <t>BXO-24301-303</t>
  </si>
  <si>
    <t>HJK-30740-490</t>
  </si>
  <si>
    <t>OMX-23421-788</t>
  </si>
  <si>
    <t>HPD-71593-454</t>
  </si>
  <si>
    <t>LNC-93154-106</t>
  </si>
  <si>
    <t>PRE-79495-916</t>
  </si>
  <si>
    <t>JSF-66542-538</t>
  </si>
  <si>
    <t>AEP-37370-184</t>
  </si>
  <si>
    <t>VGG-65651-937</t>
  </si>
  <si>
    <t>LNP-06546-434</t>
  </si>
  <si>
    <t>CCT-33251-665</t>
  </si>
  <si>
    <t>MWS-17655-961</t>
  </si>
  <si>
    <t>IDZ-02513-916</t>
  </si>
  <si>
    <t>VFZ-74751-494</t>
  </si>
  <si>
    <t>UGO-23783-978</t>
  </si>
  <si>
    <t>WSB-30783-779</t>
  </si>
  <si>
    <t>JCO-20013-759</t>
  </si>
  <si>
    <t>FOE-55638-361</t>
  </si>
  <si>
    <t>UHK-15820-204</t>
  </si>
  <si>
    <t>NEE-77408-647</t>
  </si>
  <si>
    <t>ALW-82984-954</t>
  </si>
  <si>
    <t>TKF-79625-116</t>
  </si>
  <si>
    <t>UVG-62344-970</t>
  </si>
  <si>
    <t>HBA-69643-579</t>
  </si>
  <si>
    <t>KPQ-34443-461</t>
  </si>
  <si>
    <t>ZLD-42700-000</t>
  </si>
  <si>
    <t>ZGP-34781-758</t>
  </si>
  <si>
    <t>BPD-22894-740</t>
  </si>
  <si>
    <t>SUT-02288-723</t>
  </si>
  <si>
    <t>LIV-16195-832</t>
  </si>
  <si>
    <t>RDY-47252-830</t>
  </si>
  <si>
    <t>QWB-61853-305</t>
  </si>
  <si>
    <t>BEQ-72652-908</t>
  </si>
  <si>
    <t>ADU-99985-155</t>
  </si>
  <si>
    <t>EEJ-00949-734</t>
  </si>
  <si>
    <t>ZWA-40188-315</t>
  </si>
  <si>
    <t>KEA-77380-153</t>
  </si>
  <si>
    <t>QOH-33731-284</t>
  </si>
  <si>
    <t>YOR-14070-863</t>
  </si>
  <si>
    <t>XVI-82803-846</t>
  </si>
  <si>
    <t>EHT-11980-767</t>
  </si>
  <si>
    <t>VIQ-86774-055</t>
  </si>
  <si>
    <t>MWC-69290-307</t>
  </si>
  <si>
    <t>FMF-69799-199</t>
  </si>
  <si>
    <t>UMJ-44508-237</t>
  </si>
  <si>
    <t>RGE-93950-649</t>
  </si>
  <si>
    <t>TFW-46981-632</t>
  </si>
  <si>
    <t>FZG-70494-312</t>
  </si>
  <si>
    <t>KJU-75518-424</t>
  </si>
  <si>
    <t>AGP-21555-930</t>
  </si>
  <si>
    <t>ECU-92768-314</t>
  </si>
  <si>
    <t>KLC-05056-430</t>
  </si>
  <si>
    <t>AXH-87209-301</t>
  </si>
  <si>
    <t>JVE-18213-557</t>
  </si>
  <si>
    <t>LSK-81448-158</t>
  </si>
  <si>
    <t>BMX-56686-315</t>
  </si>
  <si>
    <t>BMK-91678-687</t>
  </si>
  <si>
    <t>QBR-81795-181</t>
  </si>
  <si>
    <t>BIV-88355-957</t>
  </si>
  <si>
    <t>VTJ-58967-444</t>
  </si>
  <si>
    <t>VVB-08354-919</t>
  </si>
  <si>
    <t>YXA-74844-219</t>
  </si>
  <si>
    <t>NJO-89953-529</t>
  </si>
  <si>
    <t>SCS-38277-215</t>
  </si>
  <si>
    <t>EGL-38795-975</t>
  </si>
  <si>
    <t>UUS-36821-363</t>
  </si>
  <si>
    <t>DJT-31981-925</t>
  </si>
  <si>
    <t>SCN-22151-350</t>
  </si>
  <si>
    <t>PRS-43812-212</t>
  </si>
  <si>
    <t>WCL-54374-291</t>
  </si>
  <si>
    <t>FKZ-27347-679</t>
  </si>
  <si>
    <t>SWL-40471-574</t>
  </si>
  <si>
    <t>SLK-98326-714</t>
  </si>
  <si>
    <t>ZBT-38501-426</t>
  </si>
  <si>
    <t>JPG-23249-064</t>
  </si>
  <si>
    <t>AAJ-02494-719</t>
  </si>
  <si>
    <t>YYL-09836-956</t>
  </si>
  <si>
    <t>OLC-31274-311</t>
  </si>
  <si>
    <t>ZJT-08830-937</t>
  </si>
  <si>
    <t>OEQ-89155-263</t>
  </si>
  <si>
    <t>OAR-77639-059</t>
  </si>
  <si>
    <t>YZI-91645-293</t>
  </si>
  <si>
    <t>GHQ-62496-236</t>
  </si>
  <si>
    <t>FCP-01403-635</t>
  </si>
  <si>
    <t>OUF-48990-899</t>
  </si>
  <si>
    <t>TEV-04436-302</t>
  </si>
  <si>
    <t>PNU-69290-616</t>
  </si>
  <si>
    <t>RPS-17427-850</t>
  </si>
  <si>
    <t>WRK-67027-532</t>
  </si>
  <si>
    <t>TOM-29509-212</t>
  </si>
  <si>
    <t>GPH-23143-925</t>
  </si>
  <si>
    <t>CFW-59149-841</t>
  </si>
  <si>
    <t>FKN-46184-332</t>
  </si>
  <si>
    <t>GFX-32849-344</t>
  </si>
  <si>
    <t>OCI-04875-629</t>
  </si>
  <si>
    <t>WKM-75703-184</t>
  </si>
  <si>
    <t>URI-69304-121</t>
  </si>
  <si>
    <t>IDO-74983-326</t>
  </si>
  <si>
    <t>AED-38585-941</t>
  </si>
  <si>
    <t>AWL-39227-287</t>
  </si>
  <si>
    <t>IUN-79993-397</t>
  </si>
  <si>
    <t>WLF-29826-379</t>
  </si>
  <si>
    <t>LPM-05926-311</t>
  </si>
  <si>
    <t>IVV-39670-911</t>
  </si>
  <si>
    <t>FJT-36768-515</t>
  </si>
  <si>
    <t>QIR-26647-589</t>
  </si>
  <si>
    <t>WKJ-90304-962</t>
  </si>
  <si>
    <t>BRT-10509-198</t>
  </si>
  <si>
    <t>CRV-50901-956</t>
  </si>
  <si>
    <t>XRQ-32687-945</t>
  </si>
  <si>
    <t>FIR-90284-394</t>
  </si>
  <si>
    <t>EYD-22988-422</t>
  </si>
  <si>
    <t>FAI-98292-780</t>
  </si>
  <si>
    <t>PFX-53570-797</t>
  </si>
  <si>
    <t>TTD-35939-432</t>
  </si>
  <si>
    <t>FPU-10972-279</t>
  </si>
  <si>
    <t>ESP-11568-743</t>
  </si>
  <si>
    <t>UXL-77481-848</t>
  </si>
  <si>
    <t>KDC-34876-850</t>
  </si>
  <si>
    <t>NJS-33007-379</t>
  </si>
  <si>
    <t>VKC-79870-883</t>
  </si>
  <si>
    <t>YIK-13223-345</t>
  </si>
  <si>
    <t>VOB-97940-263</t>
  </si>
  <si>
    <t>ZLM-46034-857</t>
  </si>
  <si>
    <t>HFU-89081-975</t>
  </si>
  <si>
    <t>AYU-99904-197</t>
  </si>
  <si>
    <t>XER-42436-529</t>
  </si>
  <si>
    <t>ZSI-29359-422</t>
  </si>
  <si>
    <t>PGV-04685-068</t>
  </si>
  <si>
    <t>DGJ-00442-797</t>
  </si>
  <si>
    <t>LNZ-79676-988</t>
  </si>
  <si>
    <t>BXY-98256-862</t>
  </si>
  <si>
    <t>BYC-73224-042</t>
  </si>
  <si>
    <t>YKC-84323-540</t>
  </si>
  <si>
    <t>PKD-15988-905</t>
  </si>
  <si>
    <t>RVO-71218-992</t>
  </si>
  <si>
    <t>PBJ-25473-970</t>
  </si>
  <si>
    <t>TLA-12448-752</t>
  </si>
  <si>
    <t>SLL-16363-037</t>
  </si>
  <si>
    <t>RUN-72176-952</t>
  </si>
  <si>
    <t>AEL-18208-337</t>
  </si>
  <si>
    <t>DLK-49085-528</t>
  </si>
  <si>
    <t>NRD-00353-449</t>
  </si>
  <si>
    <t>TYM-34396-191</t>
  </si>
  <si>
    <t>SGQ-49841-178</t>
  </si>
  <si>
    <t>QQE-08592-374</t>
  </si>
  <si>
    <t>ZCE-80474-923</t>
  </si>
  <si>
    <t>DXC-77941-227</t>
  </si>
  <si>
    <t>ZMK-98873-961</t>
  </si>
  <si>
    <t>FQD-79319-396</t>
  </si>
  <si>
    <t>BRD-74645-054</t>
  </si>
  <si>
    <t>PRJ-97839-924</t>
  </si>
  <si>
    <t>LNE-28134-342</t>
  </si>
  <si>
    <t>SZC-15961-896</t>
  </si>
  <si>
    <t>YUG-71186-148</t>
  </si>
  <si>
    <t>LDP-29053-411</t>
  </si>
  <si>
    <t>VMN-91541-976</t>
  </si>
  <si>
    <t>IFE-36327-961</t>
  </si>
  <si>
    <t>DSG-26154-825</t>
  </si>
  <si>
    <t>ZGE-10066-503</t>
  </si>
  <si>
    <t>JCG-01282-726</t>
  </si>
  <si>
    <t>DUA-77948-210</t>
  </si>
  <si>
    <t>BHZ-94107-872</t>
  </si>
  <si>
    <t>NOR-72666-209</t>
  </si>
  <si>
    <t>QGI-42309-869</t>
  </si>
  <si>
    <t>VUR-78380-060</t>
  </si>
  <si>
    <t>QUT-78497-578</t>
  </si>
  <si>
    <t>KNZ-16838-340</t>
  </si>
  <si>
    <t>AJP-52614-375</t>
  </si>
  <si>
    <t>BNZ-03203-381</t>
  </si>
  <si>
    <t>VNJ-32726-440</t>
  </si>
  <si>
    <t>XYL-16011-475</t>
  </si>
  <si>
    <t>ZBD-97192-060</t>
  </si>
  <si>
    <t>TSQ-45516-398</t>
  </si>
  <si>
    <t>DZR-65875-487</t>
  </si>
  <si>
    <t>SXM-77782-987</t>
  </si>
  <si>
    <t>ONL-77255-210</t>
  </si>
  <si>
    <t>UQH-04121-080</t>
  </si>
  <si>
    <t>JFM-85940-257</t>
  </si>
  <si>
    <t>FEU-60336-981</t>
  </si>
  <si>
    <t>TLX-49294-618</t>
  </si>
  <si>
    <t>ZEP-26077-616</t>
  </si>
  <si>
    <t>EES-53250-757</t>
  </si>
  <si>
    <t>LUI-53408-799</t>
  </si>
  <si>
    <t>RGE-27592-135</t>
  </si>
  <si>
    <t>QOU-00645-010</t>
  </si>
  <si>
    <t>RBB-70129-757</t>
  </si>
  <si>
    <t>VXD-69829-590</t>
  </si>
  <si>
    <t>QKO-65904-768</t>
  </si>
  <si>
    <t>SHE-56895-910</t>
  </si>
  <si>
    <t>RPC-93803-316</t>
  </si>
  <si>
    <t>OKB-68216-783</t>
  </si>
  <si>
    <t>MHP-37481-566</t>
  </si>
  <si>
    <t>BYS-40209-547</t>
  </si>
  <si>
    <t>QYO-88709-400</t>
  </si>
  <si>
    <t>ALG-98789-166</t>
  </si>
  <si>
    <t>POS-17152-228</t>
  </si>
  <si>
    <t>MAF-65723-937</t>
  </si>
  <si>
    <t>JOV-39621-959</t>
  </si>
  <si>
    <t>UDG-01459-921</t>
  </si>
  <si>
    <t>VLA-23108-595</t>
  </si>
  <si>
    <t>WNF-35236-219</t>
  </si>
  <si>
    <t>QYY-41102-766</t>
  </si>
  <si>
    <t>QMJ-31089-429</t>
  </si>
  <si>
    <t>SVV-89158-152</t>
  </si>
  <si>
    <t>BFM-43837-217</t>
  </si>
  <si>
    <t>AFF-01723-071</t>
  </si>
  <si>
    <t>ATU-22747-208</t>
  </si>
  <si>
    <t>ERZ-94755-345</t>
  </si>
  <si>
    <t>WXT-19179-705</t>
  </si>
  <si>
    <t>ZGI-21607-183</t>
  </si>
  <si>
    <t>YTS-63534-054</t>
  </si>
  <si>
    <t>JRI-48959-278</t>
  </si>
  <si>
    <t>SXZ-16358-563</t>
  </si>
  <si>
    <t>VHP-05703-932</t>
  </si>
  <si>
    <t>WTJ-14126-251</t>
  </si>
  <si>
    <t>PLJ-87297-275</t>
  </si>
  <si>
    <t>VJU-27828-556</t>
  </si>
  <si>
    <t>OYD-56473-903</t>
  </si>
  <si>
    <t>GFK-23575-977</t>
  </si>
  <si>
    <t>RAQ-95131-683</t>
  </si>
  <si>
    <t>ART-09887-441</t>
  </si>
  <si>
    <t>PEM-69552-525</t>
  </si>
  <si>
    <t>GMH-77423-493</t>
  </si>
  <si>
    <t>FYP-74558-464</t>
  </si>
  <si>
    <t>GWU-81186-087</t>
  </si>
  <si>
    <t>PWV-11299-367</t>
  </si>
  <si>
    <t>IJW-33174-467</t>
  </si>
  <si>
    <t>ACS-04449-259</t>
  </si>
  <si>
    <t>EIX-38357-826</t>
  </si>
  <si>
    <t>RKF-75301-186</t>
  </si>
  <si>
    <t>MIZ-45300-064</t>
  </si>
  <si>
    <t>OPS-06242-528</t>
  </si>
  <si>
    <t>PEE-91989-165</t>
  </si>
  <si>
    <t>DNS-43269-230</t>
  </si>
  <si>
    <t>SSJ-15436-244</t>
  </si>
  <si>
    <t>YGA-94556-555</t>
  </si>
  <si>
    <t>DRW-95843-232</t>
  </si>
  <si>
    <t>JNA-95854-539</t>
  </si>
  <si>
    <t>TJT-27129-197</t>
  </si>
  <si>
    <t>KLJ-30126-242</t>
  </si>
  <si>
    <t>MBO-85012-141</t>
  </si>
  <si>
    <t>NUN-69754-319</t>
  </si>
  <si>
    <t>FIZ-17967-655</t>
  </si>
  <si>
    <t>BZP-34725-097</t>
  </si>
  <si>
    <t>XFE-20518-785</t>
  </si>
  <si>
    <t>NWE-00496-710</t>
  </si>
  <si>
    <t>FAD-37526-467</t>
  </si>
  <si>
    <t>SCR-58620-079</t>
  </si>
  <si>
    <t>JZF-79519-944</t>
  </si>
  <si>
    <t>SQW-00464-300</t>
  </si>
  <si>
    <t>BSK-34838-735</t>
  </si>
  <si>
    <t>KFO-10696-593</t>
  </si>
  <si>
    <t>XOK-37840-289</t>
  </si>
  <si>
    <t>GXD-97590-145</t>
  </si>
  <si>
    <t>WDD-38411-595</t>
  </si>
  <si>
    <t>UGX-26865-093</t>
  </si>
  <si>
    <t>SWV-98724-472</t>
  </si>
  <si>
    <t>PSW-75929-288</t>
  </si>
  <si>
    <t>WOF-04468-960</t>
  </si>
  <si>
    <t>ESL-37589-899</t>
  </si>
  <si>
    <t>DGJ-26052-746</t>
  </si>
  <si>
    <t>VXA-85021-577</t>
  </si>
  <si>
    <t>EDM-99287-059</t>
  </si>
  <si>
    <t>EAI-72736-050</t>
  </si>
  <si>
    <t>DAT-45766-530</t>
  </si>
  <si>
    <t>CVN-02741-599</t>
  </si>
  <si>
    <t>HYM-60458-994</t>
  </si>
  <si>
    <t>UQE-52980-072</t>
  </si>
  <si>
    <t>RYE-58458-877</t>
  </si>
  <si>
    <t>KGC-04654-093</t>
  </si>
  <si>
    <t>JYH-37590-306</t>
  </si>
  <si>
    <t>YAS-79491-804</t>
  </si>
  <si>
    <t>CRP-96721-704</t>
  </si>
  <si>
    <t>DFE-29436-513</t>
  </si>
  <si>
    <t>KOI-57296-699</t>
  </si>
  <si>
    <t>GOD-02439-195</t>
  </si>
  <si>
    <t>YXI-11770-581</t>
  </si>
  <si>
    <t>FYU-70582-713</t>
  </si>
  <si>
    <t>FSN-72205-142</t>
  </si>
  <si>
    <t>VFH-10474-678</t>
  </si>
  <si>
    <t>UOR-45112-012</t>
  </si>
  <si>
    <t>IMC-65445-999</t>
  </si>
  <si>
    <t>TSX-22462-093</t>
  </si>
  <si>
    <t>MFV-49773-366</t>
  </si>
  <si>
    <t>STN-78741-295</t>
  </si>
  <si>
    <t>BGU-60833-132</t>
  </si>
  <si>
    <t>VRG-95415-880</t>
  </si>
  <si>
    <t>RME-42330-645</t>
  </si>
  <si>
    <t>RQL-84800-140</t>
  </si>
  <si>
    <t>IQK-13868-784</t>
  </si>
  <si>
    <t>AHT-40693-758</t>
  </si>
  <si>
    <t>MQN-40298-871</t>
  </si>
  <si>
    <t>ADA-70726-875</t>
  </si>
  <si>
    <t>WDJ-35996-789</t>
  </si>
  <si>
    <t>DBE-36227-400</t>
  </si>
  <si>
    <t>UMW-34121-084</t>
  </si>
  <si>
    <t>GZV-53714-770</t>
  </si>
  <si>
    <t>CFB-99417-532</t>
  </si>
  <si>
    <t>DFB-17444-519</t>
  </si>
  <si>
    <t>AQN-54271-432</t>
  </si>
  <si>
    <t>KLU-56441-796</t>
  </si>
  <si>
    <t>QQR-98542-396</t>
  </si>
  <si>
    <t>DKF-05459-390</t>
  </si>
  <si>
    <t>SSO-57605-503</t>
  </si>
  <si>
    <t>ONV-12545-461</t>
  </si>
  <si>
    <t>CEB-69753-882</t>
  </si>
  <si>
    <t>USG-94088-136</t>
  </si>
  <si>
    <t>ZAI-08475-778</t>
  </si>
  <si>
    <t>RUW-75060-629</t>
  </si>
  <si>
    <t>WRN-10454-811</t>
  </si>
  <si>
    <t>ZSF-35748-360</t>
  </si>
  <si>
    <t>KRC-53677-849</t>
  </si>
  <si>
    <t>JQG-15202-742</t>
  </si>
  <si>
    <t>LXZ-62960-845</t>
  </si>
  <si>
    <t>UTR-25948-065</t>
  </si>
  <si>
    <t>ODQ-27693-492</t>
  </si>
  <si>
    <t>MIJ-92611-168</t>
  </si>
  <si>
    <t>JYF-59783-754</t>
  </si>
  <si>
    <t>FFO-51894-485</t>
  </si>
  <si>
    <t>QDN-33497-702</t>
  </si>
  <si>
    <t>ODS-86564-886</t>
  </si>
  <si>
    <t>NRZ-74299-944</t>
  </si>
  <si>
    <t>QJD-41272-535</t>
  </si>
  <si>
    <t>IRV-59413-869</t>
  </si>
  <si>
    <t>PFQ-29018-344</t>
  </si>
  <si>
    <t>MIX-34749-832</t>
  </si>
  <si>
    <t>ANP-07264-709</t>
  </si>
  <si>
    <t>OUA-21681-675</t>
  </si>
  <si>
    <t>DGQ-29639-866</t>
  </si>
  <si>
    <t>NMW-13086-895</t>
  </si>
  <si>
    <t>LGK-77069-028</t>
  </si>
  <si>
    <t>FRC-78114-220</t>
  </si>
  <si>
    <t>TWH-70888-883</t>
  </si>
  <si>
    <t>KIJ-09450-634</t>
  </si>
  <si>
    <t>PGZ-97123-467</t>
  </si>
  <si>
    <t>LED-17619-320</t>
  </si>
  <si>
    <t>UAR-95657-941</t>
  </si>
  <si>
    <t>FIV-72257-683</t>
  </si>
  <si>
    <t>XQE-01430-472</t>
  </si>
  <si>
    <t>TIE-08343-953</t>
  </si>
  <si>
    <t>YUS-66265-682</t>
  </si>
  <si>
    <t>TLV-95307-902</t>
  </si>
  <si>
    <t>LRV-67923-232</t>
  </si>
  <si>
    <t>XUU-32204-644</t>
  </si>
  <si>
    <t>WXK-64786-824</t>
  </si>
  <si>
    <t>EBQ-02838-861</t>
  </si>
  <si>
    <t>PFM-29012-675</t>
  </si>
  <si>
    <t>UWQ-67558-373</t>
  </si>
  <si>
    <t>LLK-19703-375</t>
  </si>
  <si>
    <t>OAC-19037-501</t>
  </si>
  <si>
    <t>PPG-41009-713</t>
  </si>
  <si>
    <t>NAV-11526-346</t>
  </si>
  <si>
    <t>TPM-56112-816</t>
  </si>
  <si>
    <t>NHW-97898-997</t>
  </si>
  <si>
    <t>IYG-12679-842</t>
  </si>
  <si>
    <t>AWA-39379-290</t>
  </si>
  <si>
    <t>AIY-76252-783</t>
  </si>
  <si>
    <t>RFJ-80078-586</t>
  </si>
  <si>
    <t>WCW-80576-595</t>
  </si>
  <si>
    <t>HUD-61564-503</t>
  </si>
  <si>
    <t>VEC-71521-711</t>
  </si>
  <si>
    <t>DLH-02556-800</t>
  </si>
  <si>
    <t>PAE-23482-555</t>
  </si>
  <si>
    <t>PXP-02790-324</t>
  </si>
  <si>
    <t>RFI-53986-656</t>
  </si>
  <si>
    <t>EEL-76234-874</t>
  </si>
  <si>
    <t>MQN-96259-313</t>
  </si>
  <si>
    <t>FBE-14492-832</t>
  </si>
  <si>
    <t>XDZ-29934-122</t>
  </si>
  <si>
    <t>FRO-14292-224</t>
  </si>
  <si>
    <t>NCX-02398-693</t>
  </si>
  <si>
    <t>EAJ-51959-504</t>
  </si>
  <si>
    <t>GNY-90213-032</t>
  </si>
  <si>
    <t>VFV-91718-163</t>
  </si>
  <si>
    <t>HIC-75858-740</t>
  </si>
  <si>
    <t>LEZ-37969-598</t>
  </si>
  <si>
    <t>ZGW-14152-945</t>
  </si>
  <si>
    <t>WDO-49762-291</t>
  </si>
  <si>
    <t>MYY-74291-470</t>
  </si>
  <si>
    <t>FBY-51036-568</t>
  </si>
  <si>
    <t>FQE-76937-830</t>
  </si>
  <si>
    <t>JPZ-86732-274</t>
  </si>
  <si>
    <t>JCA-72220-473</t>
  </si>
  <si>
    <t>ZLW-71759-534</t>
  </si>
  <si>
    <t>BRW-02886-701</t>
  </si>
  <si>
    <t>OFL-83095-549</t>
  </si>
  <si>
    <t>JEE-86728-231</t>
  </si>
  <si>
    <t>VAK-11784-845</t>
  </si>
  <si>
    <t>ZEB-48260-603</t>
  </si>
  <si>
    <t>SLR-45625-451</t>
  </si>
  <si>
    <t>SOD-82258-981</t>
  </si>
  <si>
    <t>YNB-58297-760</t>
  </si>
  <si>
    <t>UDT-72308-846</t>
  </si>
  <si>
    <t>OYV-45690-350</t>
  </si>
  <si>
    <t>BCC-79032-015</t>
  </si>
  <si>
    <t>LHZ-81894-991</t>
  </si>
  <si>
    <t>HAU-54230-973</t>
  </si>
  <si>
    <t>MSQ-85669-340</t>
  </si>
  <si>
    <t>ATV-74772-898</t>
  </si>
  <si>
    <t>NPE-25650-563</t>
  </si>
  <si>
    <t>MCT-25532-318</t>
  </si>
  <si>
    <t>OTH-56501-459</t>
  </si>
  <si>
    <t>OJF-75108-565</t>
  </si>
  <si>
    <t>HLM-81567-641</t>
  </si>
  <si>
    <t>MIP-10787-939</t>
  </si>
  <si>
    <t>ZYA-62392-046</t>
  </si>
  <si>
    <t>TQN-00754-400</t>
  </si>
  <si>
    <t>QJK-50369-818</t>
  </si>
  <si>
    <t>GEH-76962-734</t>
  </si>
  <si>
    <t>QFV-00985-652</t>
  </si>
  <si>
    <t>DZF-67148-381</t>
  </si>
  <si>
    <t>UMX-83220-561</t>
  </si>
  <si>
    <t>YDO-39700-322</t>
  </si>
  <si>
    <t>JQK-08951-552</t>
  </si>
  <si>
    <t>HHV-55582-366</t>
  </si>
  <si>
    <t>TRR-32744-381</t>
  </si>
  <si>
    <t>GKU-86744-883</t>
  </si>
  <si>
    <t>KPA-88708-547</t>
  </si>
  <si>
    <t>QIO-22127-999</t>
  </si>
  <si>
    <t>BUU-15630-957</t>
  </si>
  <si>
    <t>OND-03929-262</t>
  </si>
  <si>
    <t>NNA-90949-462</t>
  </si>
  <si>
    <t>WPG-63979-106</t>
  </si>
  <si>
    <t>DCF-75759-250</t>
  </si>
  <si>
    <t>XGA-35061-842</t>
  </si>
  <si>
    <t>FJI-19758-997</t>
  </si>
  <si>
    <t>MGU-77408-610</t>
  </si>
  <si>
    <t>QEY-17292-351</t>
  </si>
  <si>
    <t>MXB-63703-834</t>
  </si>
  <si>
    <t>SED-36187-536</t>
  </si>
  <si>
    <t>HEF-64637-645</t>
  </si>
  <si>
    <t>JST-02208-947</t>
  </si>
  <si>
    <t>ETH-69160-500</t>
  </si>
  <si>
    <t>MLY-25294-796</t>
  </si>
  <si>
    <t>WGL-43207-547</t>
  </si>
  <si>
    <t>OUZ-43078-841</t>
  </si>
  <si>
    <t>RRT-19053-576</t>
  </si>
  <si>
    <t>KNY-32420-618</t>
  </si>
  <si>
    <t>WPU-82455-384</t>
  </si>
  <si>
    <t>SGG-40841-886</t>
  </si>
  <si>
    <t>MUT-53443-196</t>
  </si>
  <si>
    <t>UOS-36047-068</t>
  </si>
  <si>
    <t>UNN-83967-396</t>
  </si>
  <si>
    <t>IKV-25800-429</t>
  </si>
  <si>
    <t>NFQ-64570-506</t>
  </si>
  <si>
    <t>DJB-16580-829</t>
  </si>
  <si>
    <t>GEH-18333-385</t>
  </si>
  <si>
    <t>JSM-03394-159</t>
  </si>
  <si>
    <t>UQM-63952-790</t>
  </si>
  <si>
    <t>DPX-33380-515</t>
  </si>
  <si>
    <t>PPM-87109-853</t>
  </si>
  <si>
    <t>ARP-84769-533</t>
  </si>
  <si>
    <t>VXI-67340-670</t>
  </si>
  <si>
    <t>ADW-07850-614</t>
  </si>
  <si>
    <t>CNW-55723-250</t>
  </si>
  <si>
    <t>VDH-70749-834</t>
  </si>
  <si>
    <t>QXW-53375-744</t>
  </si>
  <si>
    <t>SOH-28975-484</t>
  </si>
  <si>
    <t>PBM-67936-272</t>
  </si>
  <si>
    <t>QID-15215-001</t>
  </si>
  <si>
    <t>WLM-97915-696</t>
  </si>
  <si>
    <t>QAQ-93472-458</t>
  </si>
  <si>
    <t>RIK-74039-817</t>
  </si>
  <si>
    <t>CBF-82150-653</t>
  </si>
  <si>
    <t>JDQ-99588-253</t>
  </si>
  <si>
    <t>SZP-55590-870</t>
  </si>
  <si>
    <t>FEY-77589-409</t>
  </si>
  <si>
    <t>YVD-44753-596</t>
  </si>
  <si>
    <t>RQG-97975-042</t>
  </si>
  <si>
    <t>WYK-66754-778</t>
  </si>
  <si>
    <t>HKO-01956-118</t>
  </si>
  <si>
    <t>UQQ-40057-188</t>
  </si>
  <si>
    <t>MKH-66008-813</t>
  </si>
  <si>
    <t>ZJZ-56221-153</t>
  </si>
  <si>
    <t>UFA-77352-978</t>
  </si>
  <si>
    <t>YDC-77055-310</t>
  </si>
  <si>
    <t>LQE-12157-081</t>
  </si>
  <si>
    <t>RET-77098-419</t>
  </si>
  <si>
    <t>SCZ-11744-394</t>
  </si>
  <si>
    <t>RXS-36504-891</t>
  </si>
  <si>
    <t>IIF-45166-104</t>
  </si>
  <si>
    <t>FBJ-92666-173</t>
  </si>
  <si>
    <t>OUH-54293-728</t>
  </si>
  <si>
    <t>IFB-03522-497</t>
  </si>
  <si>
    <t>PRI-56180-696</t>
  </si>
  <si>
    <t>ZZP-56743-566</t>
  </si>
  <si>
    <t>UGH-34772-262</t>
  </si>
  <si>
    <t>EJI-03861-890</t>
  </si>
  <si>
    <t>IYH-52610-070</t>
  </si>
  <si>
    <t>ZEB-08907-314</t>
  </si>
  <si>
    <t>VGB-13199-898</t>
  </si>
  <si>
    <t>ATT-62401-806</t>
  </si>
  <si>
    <t>FZU-42254-285</t>
  </si>
  <si>
    <t>CND-28173-222</t>
  </si>
  <si>
    <t>HOL-76725-010</t>
  </si>
  <si>
    <t>OGZ-05120-603</t>
  </si>
  <si>
    <t>SIL-73801-932</t>
  </si>
  <si>
    <t>EGA-75562-793</t>
  </si>
  <si>
    <t>PQC-36088-199</t>
  </si>
  <si>
    <t>MMB-21916-820</t>
  </si>
  <si>
    <t>PVU-51367-781</t>
  </si>
  <si>
    <t>UCO-30585-298</t>
  </si>
  <si>
    <t>DYL-80090-998</t>
  </si>
  <si>
    <t>NDB-19945-083</t>
  </si>
  <si>
    <t>TCP-97849-099</t>
  </si>
  <si>
    <t>RDJ-34460-216</t>
  </si>
  <si>
    <t>WKT-71678-543</t>
  </si>
  <si>
    <t>DKN-22786-387</t>
  </si>
  <si>
    <t>EVM-57536-963</t>
  </si>
  <si>
    <t>HGS-85481-337</t>
  </si>
  <si>
    <t>WOJ-49969-867</t>
  </si>
  <si>
    <t>DJG-94674-672</t>
  </si>
  <si>
    <t>JXO-78000-090</t>
  </si>
  <si>
    <t>XMB-27582-953</t>
  </si>
  <si>
    <t>WWU-98514-557</t>
  </si>
  <si>
    <t>HZA-19451-835</t>
  </si>
  <si>
    <t>TDY-95374-332</t>
  </si>
  <si>
    <t>WIN-82379-113</t>
  </si>
  <si>
    <t>IQP-79473-995</t>
  </si>
  <si>
    <t>UOM-88800-144</t>
  </si>
  <si>
    <t>EAJ-45164-256</t>
  </si>
  <si>
    <t>HVY-27458-392</t>
  </si>
  <si>
    <t>SWB-62210-695</t>
  </si>
  <si>
    <t>CVX-80963-597</t>
  </si>
  <si>
    <t>USP-31330-159</t>
  </si>
  <si>
    <t>YIC-31356-618</t>
  </si>
  <si>
    <t>QHF-67553-345</t>
  </si>
  <si>
    <t>UOR-94892-644</t>
  </si>
  <si>
    <t>OHQ-78089-847</t>
  </si>
  <si>
    <t>CJG-44937-490</t>
  </si>
  <si>
    <t>TJN-62591-579</t>
  </si>
  <si>
    <t>GSZ-24011-100</t>
  </si>
  <si>
    <t>YJF-47905-571</t>
  </si>
  <si>
    <t>QYZ-64929-254</t>
  </si>
  <si>
    <t>NYI-71759-369</t>
  </si>
  <si>
    <t>SJN-94759-115</t>
  </si>
  <si>
    <t>ILE-64011-794</t>
  </si>
  <si>
    <t>IYB-31398-010</t>
  </si>
  <si>
    <t>CMI-97578-507</t>
  </si>
  <si>
    <t>OIM-60832-961</t>
  </si>
  <si>
    <t>BKM-40448-510</t>
  </si>
  <si>
    <t>RKU-35004-021</t>
  </si>
  <si>
    <t>LDR-71531-813</t>
  </si>
  <si>
    <t>CBW-69312-253</t>
  </si>
  <si>
    <t>NHE-97703-940</t>
  </si>
  <si>
    <t>JMB-56252-077</t>
  </si>
  <si>
    <t>MXV-84255-276</t>
  </si>
  <si>
    <t>DLA-69090-161</t>
  </si>
  <si>
    <t>XNU-42985-541</t>
  </si>
  <si>
    <t>LPI-54227-114</t>
  </si>
  <si>
    <t>RRX-89960-273</t>
  </si>
  <si>
    <t>QBH-71026-096</t>
  </si>
  <si>
    <t>QUC-97884-642</t>
  </si>
  <si>
    <t>HVU-87518-863</t>
  </si>
  <si>
    <t>ZDH-78191-562</t>
  </si>
  <si>
    <t>GBV-15500-557</t>
  </si>
  <si>
    <t>VLY-41451-389</t>
  </si>
  <si>
    <t>OUA-35582-277</t>
  </si>
  <si>
    <t>URR-74547-477</t>
  </si>
  <si>
    <t>SZF-29574-801</t>
  </si>
  <si>
    <t>YMA-00500-374</t>
  </si>
  <si>
    <t>BJA-81759-224</t>
  </si>
  <si>
    <t>DQK-33474-235</t>
  </si>
  <si>
    <t>FBA-21536-932</t>
  </si>
  <si>
    <t>XOM-29509-679</t>
  </si>
  <si>
    <t>MLS-48519-069</t>
  </si>
  <si>
    <t>MZQ-54704-327</t>
  </si>
  <si>
    <t>SII-25614-716</t>
  </si>
  <si>
    <t>AJC-49239-292</t>
  </si>
  <si>
    <t>YUN-09296-768</t>
  </si>
  <si>
    <t>EPJ-07728-991</t>
  </si>
  <si>
    <t>ZGT-58680-040</t>
  </si>
  <si>
    <t>XOT-23819-663</t>
  </si>
  <si>
    <t>DTS-76867-447</t>
  </si>
  <si>
    <t>VGU-24478-861</t>
  </si>
  <si>
    <t>YVS-24958-425</t>
  </si>
  <si>
    <t>ORH-06473-320</t>
  </si>
  <si>
    <t>MIH-13529-941</t>
  </si>
  <si>
    <t>PGR-72065-275</t>
  </si>
  <si>
    <t>SQR-15752-288</t>
  </si>
  <si>
    <t>IZU-15974-453</t>
  </si>
  <si>
    <t>EPC-15087-801</t>
  </si>
  <si>
    <t>GSV-40617-239</t>
  </si>
  <si>
    <t>AMY-84673-968</t>
  </si>
  <si>
    <t>CCZ-83680-371</t>
  </si>
  <si>
    <t>JBX-97534-465</t>
  </si>
  <si>
    <t>YUU-14313-263</t>
  </si>
  <si>
    <t>HUH-97233-293</t>
  </si>
  <si>
    <t>WBO-43483-758</t>
  </si>
  <si>
    <t>JMU-26470-224</t>
  </si>
  <si>
    <t>GLT-07714-704</t>
  </si>
  <si>
    <t>NHJ-14731-034</t>
  </si>
  <si>
    <t>TZR-78120-307</t>
  </si>
  <si>
    <t>GHH-81717-474</t>
  </si>
  <si>
    <t>KJP-24984-284</t>
  </si>
  <si>
    <t>COL-56066-190</t>
  </si>
  <si>
    <t>ATT-14081-730</t>
  </si>
  <si>
    <t>LWQ-55124-038</t>
  </si>
  <si>
    <t>ICF-17543-258</t>
  </si>
  <si>
    <t>BTC-36162-133</t>
  </si>
  <si>
    <t>MSM-76789-230</t>
  </si>
  <si>
    <t>CTU-15626-694</t>
  </si>
  <si>
    <t>USG-06448-322</t>
  </si>
  <si>
    <t>DSG-63783-114</t>
  </si>
  <si>
    <t>LFX-11371-681</t>
  </si>
  <si>
    <t>SZL-04540-540</t>
  </si>
  <si>
    <t>JEY-02953-444</t>
  </si>
  <si>
    <t>QJR-93879-172</t>
  </si>
  <si>
    <t>XXV-18510-889</t>
  </si>
  <si>
    <t>QML-37278-508</t>
  </si>
  <si>
    <t>AED-39612-141</t>
  </si>
  <si>
    <t>QSD-66122-087</t>
  </si>
  <si>
    <t>ZCZ-19601-878</t>
  </si>
  <si>
    <t>DVG-88293-626</t>
  </si>
  <si>
    <t>IHO-89644-941</t>
  </si>
  <si>
    <t>BSY-52732-663</t>
  </si>
  <si>
    <t>DIO-30474-217</t>
  </si>
  <si>
    <t>FXO-79711-511</t>
  </si>
  <si>
    <t>WYT-08565-904</t>
  </si>
  <si>
    <t>OVH-28979-316</t>
  </si>
  <si>
    <t>VVW-12742-326</t>
  </si>
  <si>
    <t>SBQ-87483-443</t>
  </si>
  <si>
    <t>TEG-75029-420</t>
  </si>
  <si>
    <t>IKC-76032-063</t>
  </si>
  <si>
    <t>PXK-51191-487</t>
  </si>
  <si>
    <t>IGZ-31262-237</t>
  </si>
  <si>
    <t>HKA-65617-750</t>
  </si>
  <si>
    <t>NLK-13154-520</t>
  </si>
  <si>
    <t>AOV-87074-377</t>
  </si>
  <si>
    <t>TBZ-60732-018</t>
  </si>
  <si>
    <t>GVA-05082-097</t>
  </si>
  <si>
    <t>JMM-86305-328</t>
  </si>
  <si>
    <t>SPA-47693-164</t>
  </si>
  <si>
    <t>JZH-26313-579</t>
  </si>
  <si>
    <t>OKE-21581-169</t>
  </si>
  <si>
    <t>MKV-20637-397</t>
  </si>
  <si>
    <t>COY-99541-548</t>
  </si>
  <si>
    <t>PUF-13014-678</t>
  </si>
  <si>
    <t>EYV-37401-322</t>
  </si>
  <si>
    <t>ABF-21212-130</t>
  </si>
  <si>
    <t>BLD-50128-532</t>
  </si>
  <si>
    <t>BNH-96573-942</t>
  </si>
  <si>
    <t>DPK-70012-170</t>
  </si>
  <si>
    <t>ZWH-07800-123</t>
  </si>
  <si>
    <t>FGC-86608-231</t>
  </si>
  <si>
    <t>AHZ-15741-307</t>
  </si>
  <si>
    <t>ZNF-40010-464</t>
  </si>
  <si>
    <t>TCO-03282-574</t>
  </si>
  <si>
    <t>LAY-76300-959</t>
  </si>
  <si>
    <t>OKR-51659-604</t>
  </si>
  <si>
    <t>TRS-05175-409</t>
  </si>
  <si>
    <t>QJQ-48202-376</t>
  </si>
  <si>
    <t>NKK-80919-870</t>
  </si>
  <si>
    <t>DJO-36034-917</t>
  </si>
  <si>
    <t>DWR-78587-639</t>
  </si>
  <si>
    <t>GTZ-63702-721</t>
  </si>
  <si>
    <t>UBA-81745-143</t>
  </si>
  <si>
    <t>RGS-08186-486</t>
  </si>
  <si>
    <t>MNM-64794-352</t>
  </si>
  <si>
    <t>BGM-37728-723</t>
  </si>
  <si>
    <t>CJN-29428-487</t>
  </si>
  <si>
    <t>ICU-32022-928</t>
  </si>
  <si>
    <t>LJU-31266-044</t>
  </si>
  <si>
    <t>ZBC-62165-344</t>
  </si>
  <si>
    <t>XYB-42637-924</t>
  </si>
  <si>
    <t>XPS-51017-341</t>
  </si>
  <si>
    <t>YMU-31583-480</t>
  </si>
  <si>
    <t>BFK-80602-291</t>
  </si>
  <si>
    <t>CDP-55826-032</t>
  </si>
  <si>
    <t>NDI-82768-123</t>
  </si>
  <si>
    <t>RYQ-18347-877</t>
  </si>
  <si>
    <t>ANF-28024-767</t>
  </si>
  <si>
    <t>WWV-49683-050</t>
  </si>
  <si>
    <t>UBY-78880-262</t>
  </si>
  <si>
    <t>CUP-83823-612</t>
  </si>
  <si>
    <t>PTJ-48210-746</t>
  </si>
  <si>
    <t>NYC-96103-916</t>
  </si>
  <si>
    <t>HYJ-13634-184</t>
  </si>
  <si>
    <t>YXN-04204-525</t>
  </si>
  <si>
    <t>ZJP-51087-758</t>
  </si>
  <si>
    <t>RJI-62787-246</t>
  </si>
  <si>
    <t>MBT-09971-307</t>
  </si>
  <si>
    <t>PDI-48862-884</t>
  </si>
  <si>
    <t>JLA-50290-201</t>
  </si>
  <si>
    <t>TGM-78530-334</t>
  </si>
  <si>
    <t>KJO-93699-554</t>
  </si>
  <si>
    <t>LGE-42506-091</t>
  </si>
  <si>
    <t>UFL-72360-726</t>
  </si>
  <si>
    <t>RTX-09745-618</t>
  </si>
  <si>
    <t>KBG-61214-211</t>
  </si>
  <si>
    <t>FPJ-98443-126</t>
  </si>
  <si>
    <t>RAN-44638-447</t>
  </si>
  <si>
    <t>HNO-85301-985</t>
  </si>
  <si>
    <t>ADB-39534-478</t>
  </si>
  <si>
    <t>QEN-04504-961</t>
  </si>
  <si>
    <t>RUA-75311-085</t>
  </si>
  <si>
    <t>OFB-77322-106</t>
  </si>
  <si>
    <t>BYL-32486-463</t>
  </si>
  <si>
    <t>LGQ-26847-983</t>
  </si>
  <si>
    <t>BFT-72111-066</t>
  </si>
  <si>
    <t>LPC-20295-505</t>
  </si>
  <si>
    <t>ANB-53304-225</t>
  </si>
  <si>
    <t>URF-63149-303</t>
  </si>
  <si>
    <t>DRQ-84475-333</t>
  </si>
  <si>
    <t>NOP-29876-724</t>
  </si>
  <si>
    <t>CML-80936-591</t>
  </si>
  <si>
    <t>PAN-47755-878</t>
  </si>
  <si>
    <t>MEU-33743-167</t>
  </si>
  <si>
    <t>AWL-54918-078</t>
  </si>
  <si>
    <t>AHT-01026-831</t>
  </si>
  <si>
    <t>BHD-28210-838</t>
  </si>
  <si>
    <t>ESD-41594-445</t>
  </si>
  <si>
    <t>UEF-37332-463</t>
  </si>
  <si>
    <t>LWP-53000-271</t>
  </si>
  <si>
    <t>NWK-68646-146</t>
  </si>
  <si>
    <t>MQM-88922-868</t>
  </si>
  <si>
    <t>OSH-41823-301</t>
  </si>
  <si>
    <t>KKI-54004-325</t>
  </si>
  <si>
    <t>GUT-54007-840</t>
  </si>
  <si>
    <t>HEN-83791-120</t>
  </si>
  <si>
    <t>DGK-66591-074</t>
  </si>
  <si>
    <t>FQT-91883-163</t>
  </si>
  <si>
    <t>KWD-73572-056</t>
  </si>
  <si>
    <t>BNK-33096-568</t>
  </si>
  <si>
    <t>AOR-09538-539</t>
  </si>
  <si>
    <t>YTM-51025-069</t>
  </si>
  <si>
    <t>NIK-35928-482</t>
  </si>
  <si>
    <t>JSC-73895-264</t>
  </si>
  <si>
    <t>YVW-58705-535</t>
  </si>
  <si>
    <t>IFY-56022-660</t>
  </si>
  <si>
    <t>PXQ-99517-457</t>
  </si>
  <si>
    <t>AJX-31342-859</t>
  </si>
  <si>
    <t>AIS-24670-942</t>
  </si>
  <si>
    <t>NJL-13012-154</t>
  </si>
  <si>
    <t>IIU-21942-879</t>
  </si>
  <si>
    <t>NVN-97356-282</t>
  </si>
  <si>
    <t>RQN-42209-864</t>
  </si>
  <si>
    <t>LMJ-27126-010</t>
  </si>
  <si>
    <t>OGE-57266-527</t>
  </si>
  <si>
    <t>FTU-26548-439</t>
  </si>
  <si>
    <t>SXZ-78931-269</t>
  </si>
  <si>
    <t>OPS-41380-383</t>
  </si>
  <si>
    <t>QHP-88026-843</t>
  </si>
  <si>
    <t>EQZ-32018-330</t>
  </si>
  <si>
    <t>KMS-68400-561</t>
  </si>
  <si>
    <t>ZLK-38725-994</t>
  </si>
  <si>
    <t>BXJ-52495-100</t>
  </si>
  <si>
    <t>KGY-49047-095</t>
  </si>
  <si>
    <t>CTN-32219-628</t>
  </si>
  <si>
    <t>OSQ-60512-048</t>
  </si>
  <si>
    <t>AYK-07924-474</t>
  </si>
  <si>
    <t>ZPA-95972-631</t>
  </si>
  <si>
    <t>UCE-01886-809</t>
  </si>
  <si>
    <t>HSH-00124-318</t>
  </si>
  <si>
    <t>TEI-31513-238</t>
  </si>
  <si>
    <t>PCX-64673-124</t>
  </si>
  <si>
    <t>XVS-21734-696</t>
  </si>
  <si>
    <t>LEV-10442-821</t>
  </si>
  <si>
    <t>RSI-06640-065</t>
  </si>
  <si>
    <t>IXZ-53534-440</t>
  </si>
  <si>
    <t>CXV-90315-965</t>
  </si>
  <si>
    <t>RPN-63761-270</t>
  </si>
  <si>
    <t>ICP-10581-630</t>
  </si>
  <si>
    <t>TLT-10804-877</t>
  </si>
  <si>
    <t>EWS-15275-735</t>
  </si>
  <si>
    <t>BGR-24613-223</t>
  </si>
  <si>
    <t>YLI-81599-052</t>
  </si>
  <si>
    <t>PMN-25728-753</t>
  </si>
  <si>
    <t>MWH-75696-308</t>
  </si>
  <si>
    <t>ZCK-12777-351</t>
  </si>
  <si>
    <t>OTB-40262-842</t>
  </si>
  <si>
    <t>YEG-28388-058</t>
  </si>
  <si>
    <t>VXT-27290-969</t>
  </si>
  <si>
    <t>VLQ-66081-140</t>
  </si>
  <si>
    <t>YJS-98884-397</t>
  </si>
  <si>
    <t>FRX-38494-486</t>
  </si>
  <si>
    <t>RPC-77356-590</t>
  </si>
  <si>
    <t>VOH-10688-055</t>
  </si>
  <si>
    <t>TWU-24505-672</t>
  </si>
  <si>
    <t>UGJ-61375-434</t>
  </si>
  <si>
    <t>MCO-83661-119</t>
  </si>
  <si>
    <t>ETN-46533-394</t>
  </si>
  <si>
    <t>EQQ-67530-829</t>
  </si>
  <si>
    <t>XTT-17212-879</t>
  </si>
  <si>
    <t>ZYZ-01884-775</t>
  </si>
  <si>
    <t>TGD-76231-817</t>
  </si>
  <si>
    <t>MLE-18104-958</t>
  </si>
  <si>
    <t>AFX-93770-225</t>
  </si>
  <si>
    <t>SJP-82980-386</t>
  </si>
  <si>
    <t>WKC-19576-475</t>
  </si>
  <si>
    <t>SFX-90962-480</t>
  </si>
  <si>
    <t>ISR-79126-680</t>
  </si>
  <si>
    <t>NXR-21636-066</t>
  </si>
  <si>
    <t>KSK-36477-936</t>
  </si>
  <si>
    <t>UUM-16709-701</t>
  </si>
  <si>
    <t>ZNH-73851-650</t>
  </si>
  <si>
    <t>XMJ-52533-476</t>
  </si>
  <si>
    <t>EJK-56807-817</t>
  </si>
  <si>
    <t>EZM-70675-706</t>
  </si>
  <si>
    <t>VJE-75596-924</t>
  </si>
  <si>
    <t>FOA-18768-430</t>
  </si>
  <si>
    <t>IOS-47391-833</t>
  </si>
  <si>
    <t>GGO-14971-749</t>
  </si>
  <si>
    <t>QPQ-39815-828</t>
  </si>
  <si>
    <t>FQY-69682-232</t>
  </si>
  <si>
    <t>BUB-85476-817</t>
  </si>
  <si>
    <t>QTJ-42674-825</t>
  </si>
  <si>
    <t>UUF-22875-936</t>
  </si>
  <si>
    <t>GKL-29967-670</t>
  </si>
  <si>
    <t>SIK-67459-362</t>
  </si>
  <si>
    <t>BVE-09156-970</t>
  </si>
  <si>
    <t>VXH-04516-934</t>
  </si>
  <si>
    <t>KLL-78201-240</t>
  </si>
  <si>
    <t>OCN-18755-995</t>
  </si>
  <si>
    <t>XTZ-76567-598</t>
  </si>
  <si>
    <t>OOW-92604-193</t>
  </si>
  <si>
    <t>WJM-62908-805</t>
  </si>
  <si>
    <t>CGG-33278-252</t>
  </si>
  <si>
    <t>PCJ-67565-989</t>
  </si>
  <si>
    <t>TMQ-62624-704</t>
  </si>
  <si>
    <t>MBT-37489-082</t>
  </si>
  <si>
    <t>OOY-25769-839</t>
  </si>
  <si>
    <t>FFM-04938-859</t>
  </si>
  <si>
    <t>PXX-00951-756</t>
  </si>
  <si>
    <t>YVA-43334-513</t>
  </si>
  <si>
    <t>KWQ-80340-480</t>
  </si>
  <si>
    <t>THI-46668-019</t>
  </si>
  <si>
    <t>MOV-23430-228</t>
  </si>
  <si>
    <t>OPH-86795-332</t>
  </si>
  <si>
    <t>VBB-64368-633</t>
  </si>
  <si>
    <t>HER-88934-706</t>
  </si>
  <si>
    <t>TBM-84812-945</t>
  </si>
  <si>
    <t>TDV-18273-422</t>
  </si>
  <si>
    <t>OFD-10567-218</t>
  </si>
  <si>
    <t>MZF-52870-780</t>
  </si>
  <si>
    <t>YOV-11573-790</t>
  </si>
  <si>
    <t>ZFV-34772-905</t>
  </si>
  <si>
    <t>TIG-35597-423</t>
  </si>
  <si>
    <t>KMT-06991-561</t>
  </si>
  <si>
    <t>ERD-82564-165</t>
  </si>
  <si>
    <t>DHA-09647-073</t>
  </si>
  <si>
    <t>FKW-67392-017</t>
  </si>
  <si>
    <t>KNT-94821-529</t>
  </si>
  <si>
    <t>LXU-47465-435</t>
  </si>
  <si>
    <t>IMS-26146-972</t>
  </si>
  <si>
    <t>MRV-73070-066</t>
  </si>
  <si>
    <t>JAW-38226-383</t>
  </si>
  <si>
    <t>SSW-71491-165</t>
  </si>
  <si>
    <t>QJS-57234-304</t>
  </si>
  <si>
    <t>ILI-96989-321</t>
  </si>
  <si>
    <t>OHI-19184-591</t>
  </si>
  <si>
    <t>UGI-82260-942</t>
  </si>
  <si>
    <t>RTG-89600-780</t>
  </si>
  <si>
    <t>CSS-28776-213</t>
  </si>
  <si>
    <t>DYD-17154-075</t>
  </si>
  <si>
    <t>GGJ-48516-870</t>
  </si>
  <si>
    <t>GYI-04363-823</t>
  </si>
  <si>
    <t>TXV-11436-518</t>
  </si>
  <si>
    <t>HQJ-14391-514</t>
  </si>
  <si>
    <t>UFR-91810-364</t>
  </si>
  <si>
    <t>GAX-38479-801</t>
  </si>
  <si>
    <t>DQE-39472-030</t>
  </si>
  <si>
    <t>JRZ-78083-701</t>
  </si>
  <si>
    <t>UGM-27439-160</t>
  </si>
  <si>
    <t>KKY-95365-032</t>
  </si>
  <si>
    <t>AJR-68985-389</t>
  </si>
  <si>
    <t>VVN-65806-734</t>
  </si>
  <si>
    <t>CPS-01934-221</t>
  </si>
  <si>
    <t>MAV-05682-190</t>
  </si>
  <si>
    <t>TPR-71533-878</t>
  </si>
  <si>
    <t>GFO-21006-128</t>
  </si>
  <si>
    <t>HHB-63432-292</t>
  </si>
  <si>
    <t>MNM-50668-533</t>
  </si>
  <si>
    <t>ZVQ-70917-185</t>
  </si>
  <si>
    <t>TQP-54193-514</t>
  </si>
  <si>
    <t>NLJ-76437-914</t>
  </si>
  <si>
    <t>WRJ-82171-706</t>
  </si>
  <si>
    <t>FSB-80888-361</t>
  </si>
  <si>
    <t>DKA-89840-330</t>
  </si>
  <si>
    <t>SAL-60823-605</t>
  </si>
  <si>
    <t>WNB-96015-251</t>
  </si>
  <si>
    <t>RON-04642-329</t>
  </si>
  <si>
    <t>SUA-39021-500</t>
  </si>
  <si>
    <t>SSV-36657-450</t>
  </si>
  <si>
    <t>DNX-40968-096</t>
  </si>
  <si>
    <t>QRS-46796-558</t>
  </si>
  <si>
    <t>MMM-58764-143</t>
  </si>
  <si>
    <t>DVZ-70202-317</t>
  </si>
  <si>
    <t>KEC-20233-851</t>
  </si>
  <si>
    <t>QIP-44142-681</t>
  </si>
  <si>
    <t>IVV-93486-052</t>
  </si>
  <si>
    <t>KII-84192-729</t>
  </si>
  <si>
    <t>YBF-18405-800</t>
  </si>
  <si>
    <t>CTK-45182-573</t>
  </si>
  <si>
    <t>BPU-95785-495</t>
  </si>
  <si>
    <t>XWG-98009-716</t>
  </si>
  <si>
    <t>LME-53177-625</t>
  </si>
  <si>
    <t>NRH-22243-975</t>
  </si>
  <si>
    <t>IRF-96364-308</t>
  </si>
  <si>
    <t>JIH-60958-182</t>
  </si>
  <si>
    <t>RII-91407-380</t>
  </si>
  <si>
    <t>TPY-37764-319</t>
  </si>
  <si>
    <t>QDE-62590-566</t>
  </si>
  <si>
    <t>OZQ-41913-745</t>
  </si>
  <si>
    <t>NJB-83593-944</t>
  </si>
  <si>
    <t>GLX-18658-300</t>
  </si>
  <si>
    <t>NIW-46719-236</t>
  </si>
  <si>
    <t>JZZ-64366-586</t>
  </si>
  <si>
    <t>PBK-74551-484</t>
  </si>
  <si>
    <t>NLY-66256-802</t>
  </si>
  <si>
    <t>OMH-97242-340</t>
  </si>
  <si>
    <t>RFN-15275-012</t>
  </si>
  <si>
    <t>NEP-85447-123</t>
  </si>
  <si>
    <t>CGS-77013-403</t>
  </si>
  <si>
    <t>UHU-65166-419</t>
  </si>
  <si>
    <t>HGW-97728-389</t>
  </si>
  <si>
    <t>YXO-26205-945</t>
  </si>
  <si>
    <t>YXI-57735-580</t>
  </si>
  <si>
    <t>MWM-92384-107</t>
  </si>
  <si>
    <t>ETU-23411-356</t>
  </si>
  <si>
    <t>UMM-62480-232</t>
  </si>
  <si>
    <t>ISS-63261-105</t>
  </si>
  <si>
    <t>QTP-22477-164</t>
  </si>
  <si>
    <t>QOC-68502-965</t>
  </si>
  <si>
    <t>FHL-80342-055</t>
  </si>
  <si>
    <t>IBX-33981-568</t>
  </si>
  <si>
    <t>OEE-59413-623</t>
  </si>
  <si>
    <t>WUQ-70332-047</t>
  </si>
  <si>
    <t>GFM-01266-475</t>
  </si>
  <si>
    <t>DBX-29505-485</t>
  </si>
  <si>
    <t>MDG-06303-013</t>
  </si>
  <si>
    <t>NOG-48155-219</t>
  </si>
  <si>
    <t>FWH-11221-536</t>
  </si>
  <si>
    <t>ZDO-52877-417</t>
  </si>
  <si>
    <t>GPI-45438-766</t>
  </si>
  <si>
    <t>HXN-53255-816</t>
  </si>
  <si>
    <t>SBB-80371-565</t>
  </si>
  <si>
    <t>QRU-79566-653</t>
  </si>
  <si>
    <t>GIM-03361-504</t>
  </si>
  <si>
    <t>ZSS-52578-331</t>
  </si>
  <si>
    <t>UJP-54156-775</t>
  </si>
  <si>
    <t>PXU-40589-963</t>
  </si>
  <si>
    <t>BHD-44063-278</t>
  </si>
  <si>
    <t>HUC-29332-560</t>
  </si>
  <si>
    <t>QRL-76722-142</t>
  </si>
  <si>
    <t>UOU-87618-219</t>
  </si>
  <si>
    <t>UBA-23259-692</t>
  </si>
  <si>
    <t>FEW-41532-314</t>
  </si>
  <si>
    <t>TOQ-54692-939</t>
  </si>
  <si>
    <t>LZO-52952-028</t>
  </si>
  <si>
    <t>APP-21897-749</t>
  </si>
  <si>
    <t>CGW-44467-407</t>
  </si>
  <si>
    <t>SXV-31452-867</t>
  </si>
  <si>
    <t>PFW-65583-230</t>
  </si>
  <si>
    <t>BRG-89257-441</t>
  </si>
  <si>
    <t>RJE-04176-812</t>
  </si>
  <si>
    <t>NQT-67087-694</t>
  </si>
  <si>
    <t>JHU-81074-382</t>
  </si>
  <si>
    <t>TTD-55189-009</t>
  </si>
  <si>
    <t>MVX-59525-949</t>
  </si>
  <si>
    <t>AAK-41910-078</t>
  </si>
  <si>
    <t>QJC-08474-394</t>
  </si>
  <si>
    <t>LOG-15566-271</t>
  </si>
  <si>
    <t>IZF-43883-461</t>
  </si>
  <si>
    <t>PHY-20263-171</t>
  </si>
  <si>
    <t>HGI-22732-097</t>
  </si>
  <si>
    <t>GML-39647-821</t>
  </si>
  <si>
    <t>WRW-66912-490</t>
  </si>
  <si>
    <t>HCY-60013-755</t>
  </si>
  <si>
    <t>AGV-50059-368</t>
  </si>
  <si>
    <t>VZF-82913-135</t>
  </si>
  <si>
    <t>AIM-52771-247</t>
  </si>
  <si>
    <t>ABG-26116-938</t>
  </si>
  <si>
    <t>TXQ-49638-434</t>
  </si>
  <si>
    <t>XIO-16248-393</t>
  </si>
  <si>
    <t>TQT-81084-645</t>
  </si>
  <si>
    <t>YDP-93898-423</t>
  </si>
  <si>
    <t>TGN-79500-439</t>
  </si>
  <si>
    <t>UTI-28516-329</t>
  </si>
  <si>
    <t>HHX-12699-258</t>
  </si>
  <si>
    <t>JIC-55442-031</t>
  </si>
  <si>
    <t>JAT-04667-154</t>
  </si>
  <si>
    <t>XVP-39971-425</t>
  </si>
  <si>
    <t>KQG-63007-366</t>
  </si>
  <si>
    <t>EZN-88634-753</t>
  </si>
  <si>
    <t>NWB-32089-825</t>
  </si>
  <si>
    <t>RGD-22776-301</t>
  </si>
  <si>
    <t>QVW-42757-366</t>
  </si>
  <si>
    <t>HGU-83568-489</t>
  </si>
  <si>
    <t>GWB-71066-538</t>
  </si>
  <si>
    <t>BTO-49804-896</t>
  </si>
  <si>
    <t>ZID-07903-853</t>
  </si>
  <si>
    <t>PAJ-77600-840</t>
  </si>
  <si>
    <t>DUR-13620-124</t>
  </si>
  <si>
    <t>WXK-78961-934</t>
  </si>
  <si>
    <t>BVK-15916-794</t>
  </si>
  <si>
    <t>TCX-75314-623</t>
  </si>
  <si>
    <t>JZN-23658-672</t>
  </si>
  <si>
    <t>XAC-83933-067</t>
  </si>
  <si>
    <t>IFK-30034-772</t>
  </si>
  <si>
    <t>FAB-23490-054</t>
  </si>
  <si>
    <t>JSD-65807-677</t>
  </si>
  <si>
    <t>IPW-38352-185</t>
  </si>
  <si>
    <t>YIG-82439-225</t>
  </si>
  <si>
    <t>LKW-47074-666</t>
  </si>
  <si>
    <t>DXC-05020-360</t>
  </si>
  <si>
    <t>WLE-43448-193</t>
  </si>
  <si>
    <t>ZVQ-47246-914</t>
  </si>
  <si>
    <t>DTV-66302-078</t>
  </si>
  <si>
    <t>ACR-42607-802</t>
  </si>
  <si>
    <t>ZQN-47265-761</t>
  </si>
  <si>
    <t>QCL-77539-830</t>
  </si>
  <si>
    <t>TQX-34595-455</t>
  </si>
  <si>
    <t>FXV-64177-739</t>
  </si>
  <si>
    <t>FYM-04887-696</t>
  </si>
  <si>
    <t>UFQ-14067-932</t>
  </si>
  <si>
    <t>YSM-50068-249</t>
  </si>
  <si>
    <t>EGR-86506-553</t>
  </si>
  <si>
    <t>KQC-54273-609</t>
  </si>
  <si>
    <t>ESW-57387-428</t>
  </si>
  <si>
    <t>LEO-87606-046</t>
  </si>
  <si>
    <t>ZQZ-40032-710</t>
  </si>
  <si>
    <t>DPL-36139-647</t>
  </si>
  <si>
    <t>FWR-49149-621</t>
  </si>
  <si>
    <t>LSR-56587-718</t>
  </si>
  <si>
    <t>APO-41727-813</t>
  </si>
  <si>
    <t>IGL-35972-686</t>
  </si>
  <si>
    <t>FBP-40293-520</t>
  </si>
  <si>
    <t>NUE-30460-047</t>
  </si>
  <si>
    <t>XRN-50840-955</t>
  </si>
  <si>
    <t>ADX-02120-608</t>
  </si>
  <si>
    <t>IYK-42168-530</t>
  </si>
  <si>
    <t>QCI-24601-268</t>
  </si>
  <si>
    <t>XGX-93535-735</t>
  </si>
  <si>
    <t>FNZ-21757-183</t>
  </si>
  <si>
    <t>PTM-19014-416</t>
  </si>
  <si>
    <t>CBF-28815-433</t>
  </si>
  <si>
    <t>SCW-85268-636</t>
  </si>
  <si>
    <t>XKY-36700-537</t>
  </si>
  <si>
    <t>KXN-63204-625</t>
  </si>
  <si>
    <t>GRJ-14329-166</t>
  </si>
  <si>
    <t>YEB-82163-085</t>
  </si>
  <si>
    <t>IVS-16424-339</t>
  </si>
  <si>
    <t>KKX-59537-099</t>
  </si>
  <si>
    <t>PZI-14819-799</t>
  </si>
  <si>
    <t>AAA-48993-317</t>
  </si>
  <si>
    <t>QUP-62109-120</t>
  </si>
  <si>
    <t>PSO-67394-527</t>
  </si>
  <si>
    <t>JKD-09217-482</t>
  </si>
  <si>
    <t>XUY-51046-062</t>
  </si>
  <si>
    <t>SMN-21363-370</t>
  </si>
  <si>
    <t>FSK-91645-142</t>
  </si>
  <si>
    <t>PJP-41108-269</t>
  </si>
  <si>
    <t>RIG-17613-655</t>
  </si>
  <si>
    <t>WYC-45400-772</t>
  </si>
  <si>
    <t>ECH-68968-826</t>
  </si>
  <si>
    <t>NTT-32315-903</t>
  </si>
  <si>
    <t>HUM-43113-174</t>
  </si>
  <si>
    <t>OXI-26277-346</t>
  </si>
  <si>
    <t>TAQ-70195-672</t>
  </si>
  <si>
    <t>ARB-28625-838</t>
  </si>
  <si>
    <t>IAA-66181-263</t>
  </si>
  <si>
    <t>ZSQ-34417-240</t>
  </si>
  <si>
    <t>KAR-40346-850</t>
  </si>
  <si>
    <t>UBE-25358-454</t>
  </si>
  <si>
    <t>JZS-02975-502</t>
  </si>
  <si>
    <t>RPN-54234-597</t>
  </si>
  <si>
    <t>MOX-73593-824</t>
  </si>
  <si>
    <t>DKY-14999-175</t>
  </si>
  <si>
    <t>DLQ-13214-653</t>
  </si>
  <si>
    <t>MRV-53794-433</t>
  </si>
  <si>
    <t>BOI-20627-490</t>
  </si>
  <si>
    <t>OGT-28391-603</t>
  </si>
  <si>
    <t>NEF-04957-886</t>
  </si>
  <si>
    <t>LIH-91579-934</t>
  </si>
  <si>
    <t>ADP-18058-718</t>
  </si>
  <si>
    <t>DCR-10026-925</t>
  </si>
  <si>
    <t>EGU-76624-342</t>
  </si>
  <si>
    <t>LZO-56860-906</t>
  </si>
  <si>
    <t>WJD-80299-650</t>
  </si>
  <si>
    <t>CTI-69718-732</t>
  </si>
  <si>
    <t>SVX-38760-978</t>
  </si>
  <si>
    <t>UGQ-55966-813</t>
  </si>
  <si>
    <t>SCC-03041-737</t>
  </si>
  <si>
    <t>BMU-78492-144</t>
  </si>
  <si>
    <t>ZAV-91236-971</t>
  </si>
  <si>
    <t>XRX-42877-579</t>
  </si>
  <si>
    <t>ATU-94563-440</t>
  </si>
  <si>
    <t>ELK-03750-738</t>
  </si>
  <si>
    <t>YEH-65981-426</t>
  </si>
  <si>
    <t>TRD-92535-126</t>
  </si>
  <si>
    <t>GAG-59962-968</t>
  </si>
  <si>
    <t>VUO-40319-222</t>
  </si>
  <si>
    <t>GJA-48614-863</t>
  </si>
  <si>
    <t>BNC-04017-573</t>
  </si>
  <si>
    <t>UWY-32381-343</t>
  </si>
  <si>
    <t>UOL-58832-247</t>
  </si>
  <si>
    <t>TML-33786-221</t>
  </si>
  <si>
    <t>UUA-65015-568</t>
  </si>
  <si>
    <t>BFP-61124-337</t>
  </si>
  <si>
    <t>ZFS-89790-933</t>
  </si>
  <si>
    <t>XMQ-76373-041</t>
  </si>
  <si>
    <t>IRG-42398-787</t>
  </si>
  <si>
    <t>DHD-42075-521</t>
  </si>
  <si>
    <t>EYT-84129-393</t>
  </si>
  <si>
    <t>VEE-11671-859</t>
  </si>
  <si>
    <t>UWP-70759-395</t>
  </si>
  <si>
    <t>AND-73283-241</t>
  </si>
  <si>
    <t>RCS-54737-890</t>
  </si>
  <si>
    <t>IKH-70257-200</t>
  </si>
  <si>
    <t>KAP-80992-079</t>
  </si>
  <si>
    <t>QMT-59172-563</t>
  </si>
  <si>
    <t>HEC-12612-970</t>
  </si>
  <si>
    <t>CBJ-94168-695</t>
  </si>
  <si>
    <t>AXX-84719-355</t>
  </si>
  <si>
    <t>FAU-84889-665</t>
  </si>
  <si>
    <t>MYI-47138-263</t>
  </si>
  <si>
    <t>XXP-80528-268</t>
  </si>
  <si>
    <t>WRA-60630-239</t>
  </si>
  <si>
    <t>NTB-27184-341</t>
  </si>
  <si>
    <t>VBL-01699-627</t>
  </si>
  <si>
    <t>NGY-66405-138</t>
  </si>
  <si>
    <t>XPA-32120-634</t>
  </si>
  <si>
    <t>MDT-68272-881</t>
  </si>
  <si>
    <t>MAG-05186-973</t>
  </si>
  <si>
    <t>CYQ-72645-613</t>
  </si>
  <si>
    <t>SFP-35340-484</t>
  </si>
  <si>
    <t>RFR-12160-942</t>
  </si>
  <si>
    <t>NFJ-69737-823</t>
  </si>
  <si>
    <t>XMI-83137-075</t>
  </si>
  <si>
    <t>WBH-29461-782</t>
  </si>
  <si>
    <t>OFP-56769-714</t>
  </si>
  <si>
    <t>HRI-81257-456</t>
  </si>
  <si>
    <t>BXT-61062-294</t>
  </si>
  <si>
    <t>CXR-48390-347</t>
  </si>
  <si>
    <t>QVD-42392-464</t>
  </si>
  <si>
    <t>DKQ-11628-104</t>
  </si>
  <si>
    <t>ORK-38509-867</t>
  </si>
  <si>
    <t>VGG-86014-825</t>
  </si>
  <si>
    <t>TPI-44275-428</t>
  </si>
  <si>
    <t>BWI-19056-121</t>
  </si>
  <si>
    <t>VHD-78941-319</t>
  </si>
  <si>
    <t>DGV-30175-678</t>
  </si>
  <si>
    <t>SEE-51517-370</t>
  </si>
  <si>
    <t>IIO-01868-478</t>
  </si>
  <si>
    <t>AUZ-90452-241</t>
  </si>
  <si>
    <t>SAG-01568-904</t>
  </si>
  <si>
    <t>QWK-57043-104</t>
  </si>
  <si>
    <t>XHM-83971-446</t>
  </si>
  <si>
    <t>TKV-88688-542</t>
  </si>
  <si>
    <t>XLU-14521-435</t>
  </si>
  <si>
    <t>OOD-91447-847</t>
  </si>
  <si>
    <t>AOS-25707-547</t>
  </si>
  <si>
    <t>PMH-97013-685</t>
  </si>
  <si>
    <t>MZO-05630-285</t>
  </si>
  <si>
    <t>IPA-30175-379</t>
  </si>
  <si>
    <t>ENM-43904-397</t>
  </si>
  <si>
    <t>YJF-26221-152</t>
  </si>
  <si>
    <t>WAB-76322-549</t>
  </si>
  <si>
    <t>GSV-35680-127</t>
  </si>
  <si>
    <t>ADP-44338-739</t>
  </si>
  <si>
    <t>APW-42026-175</t>
  </si>
  <si>
    <t>JIU-76178-788</t>
  </si>
  <si>
    <t>LGA-23681-969</t>
  </si>
  <si>
    <t>OGG-81061-825</t>
  </si>
  <si>
    <t>ZAH-80029-726</t>
  </si>
  <si>
    <t>RIZ-38005-835</t>
  </si>
  <si>
    <t>EIG-84665-694</t>
  </si>
  <si>
    <t>CIP-21918-472</t>
  </si>
  <si>
    <t>WFW-13617-252</t>
  </si>
  <si>
    <t>KYS-35313-409</t>
  </si>
  <si>
    <t>PPN-61077-306</t>
  </si>
  <si>
    <t>PRF-28712-983</t>
  </si>
  <si>
    <t>DSS-13593-078</t>
  </si>
  <si>
    <t>XFC-02067-073</t>
  </si>
  <si>
    <t>PLD-59616-814</t>
  </si>
  <si>
    <t>BPO-15796-148</t>
  </si>
  <si>
    <t>WTW-79719-901</t>
  </si>
  <si>
    <t>CHP-90127-972</t>
  </si>
  <si>
    <t>LVC-09791-516</t>
  </si>
  <si>
    <t>YMC-75951-816</t>
  </si>
  <si>
    <t>GBA-88011-245</t>
  </si>
  <si>
    <t>XTX-93615-291</t>
  </si>
  <si>
    <t>TBQ-85218-180</t>
  </si>
  <si>
    <t>LWY-24854-162</t>
  </si>
  <si>
    <t>CAZ-70403-562</t>
  </si>
  <si>
    <t>WTG-51799-591</t>
  </si>
  <si>
    <t>WGE-69503-293</t>
  </si>
  <si>
    <t>MAT-35449-312</t>
  </si>
  <si>
    <t>CKL-61153-063</t>
  </si>
  <si>
    <t>FLA-87036-659</t>
  </si>
  <si>
    <t>FMN-68981-135</t>
  </si>
  <si>
    <t>KDT-67140-488</t>
  </si>
  <si>
    <t>QXY-38082-641</t>
  </si>
  <si>
    <t>SGT-48282-674</t>
  </si>
  <si>
    <t>AYX-42177-763</t>
  </si>
  <si>
    <t>PPF-50378-457</t>
  </si>
  <si>
    <t>WUX-87859-884</t>
  </si>
  <si>
    <t>ZYZ-96700-951</t>
  </si>
  <si>
    <t>FBP-93944-146</t>
  </si>
  <si>
    <t>SZF-78025-742</t>
  </si>
  <si>
    <t>OWM-81757-903</t>
  </si>
  <si>
    <t>WRA-16419-931</t>
  </si>
  <si>
    <t>TNW-31890-468</t>
  </si>
  <si>
    <t>EPF-02572-797</t>
  </si>
  <si>
    <t>TVE-48708-374</t>
  </si>
  <si>
    <t>GWN-29352-900</t>
  </si>
  <si>
    <t>INS-03182-089</t>
  </si>
  <si>
    <t>ZHV-05101-817</t>
  </si>
  <si>
    <t>EKM-41015-624</t>
  </si>
  <si>
    <t>ADW-47950-836</t>
  </si>
  <si>
    <t>SXN-42647-468</t>
  </si>
  <si>
    <t>COY-86434-589</t>
  </si>
  <si>
    <t>SPN-82150-279</t>
  </si>
  <si>
    <t>DMT-09208-254</t>
  </si>
  <si>
    <t>OGV-36663-628</t>
  </si>
  <si>
    <t>XID-15813-509</t>
  </si>
  <si>
    <t>FUI-19406-098</t>
  </si>
  <si>
    <t>LVY-97578-373</t>
  </si>
  <si>
    <t>GXF-31291-961</t>
  </si>
  <si>
    <t>UGO-54319-806</t>
  </si>
  <si>
    <t>YBB-95788-103</t>
  </si>
  <si>
    <t>DOD-66048-638</t>
  </si>
  <si>
    <t>SYL-82501-596</t>
  </si>
  <si>
    <t>AXH-03826-032</t>
  </si>
  <si>
    <t>LYW-38384-720</t>
  </si>
  <si>
    <t>BDK-11246-480</t>
  </si>
  <si>
    <t>MEL-47692-014</t>
  </si>
  <si>
    <t>VJJ-49861-597</t>
  </si>
  <si>
    <t>EKQ-96361-861</t>
  </si>
  <si>
    <t>XBY-76357-378</t>
  </si>
  <si>
    <t>ICP-97854-727</t>
  </si>
  <si>
    <t>FFM-23205-965</t>
  </si>
  <si>
    <t>NDX-44606-216</t>
  </si>
  <si>
    <t>RKM-00256-132</t>
  </si>
  <si>
    <t>GJK-94980-246</t>
  </si>
  <si>
    <t>LZH-40275-411</t>
  </si>
  <si>
    <t>IPR-52765-477</t>
  </si>
  <si>
    <t>HFO-77577-633</t>
  </si>
  <si>
    <t>URX-40043-606</t>
  </si>
  <si>
    <t>SGX-19023-818</t>
  </si>
  <si>
    <t>DEO-10556-661</t>
  </si>
  <si>
    <t>KQY-77368-235</t>
  </si>
  <si>
    <t>MCU-78349-222</t>
  </si>
  <si>
    <t>USM-04077-933</t>
  </si>
  <si>
    <t>IXH-11250-499</t>
  </si>
  <si>
    <t>DKL-31022-825</t>
  </si>
  <si>
    <t>WIB-35835-797</t>
  </si>
  <si>
    <t>CLH-00978-200</t>
  </si>
  <si>
    <t>WMC-47269-438</t>
  </si>
  <si>
    <t>NFZ-86000-385</t>
  </si>
  <si>
    <t>UJA-14878-477</t>
  </si>
  <si>
    <t>KXT-12821-050</t>
  </si>
  <si>
    <t>OSE-33381-087</t>
  </si>
  <si>
    <t>RKU-43010-060</t>
  </si>
  <si>
    <t>PNE-88945-265</t>
  </si>
  <si>
    <t>USP-22849-726</t>
  </si>
  <si>
    <t>TDN-33649-433</t>
  </si>
  <si>
    <t>REI-88482-398</t>
  </si>
  <si>
    <t>VBG-32603-512</t>
  </si>
  <si>
    <t>RVX-19234-751</t>
  </si>
  <si>
    <t>EYA-21410-600</t>
  </si>
  <si>
    <t>UDZ-11620-143</t>
  </si>
  <si>
    <t>DPI-10322-520</t>
  </si>
  <si>
    <t>OAL-16891-594</t>
  </si>
  <si>
    <t>BCZ-63666-542</t>
  </si>
  <si>
    <t>SEY-69819-465</t>
  </si>
  <si>
    <t>JTI-74617-285</t>
  </si>
  <si>
    <t>YHF-96091-787</t>
  </si>
  <si>
    <t>KRT-14443-602</t>
  </si>
  <si>
    <t>UNS-05606-241</t>
  </si>
  <si>
    <t>NUO-35405-464</t>
  </si>
  <si>
    <t>DFE-69630-363</t>
  </si>
  <si>
    <t>IOJ-05928-072</t>
  </si>
  <si>
    <t>DNH-54617-111</t>
  </si>
  <si>
    <t>JHE-69268-141</t>
  </si>
  <si>
    <t>PWK-14533-778</t>
  </si>
  <si>
    <t>WKX-55012-437</t>
  </si>
  <si>
    <t>WMX-41719-787</t>
  </si>
  <si>
    <t>QTB-04085-666</t>
  </si>
  <si>
    <t>CZK-36789-542</t>
  </si>
  <si>
    <t>DGY-92223-495</t>
  </si>
  <si>
    <t>LIM-02570-512</t>
  </si>
  <si>
    <t>OWF-85367-762</t>
  </si>
  <si>
    <t>EXI-22266-424</t>
  </si>
  <si>
    <t>MJX-60304-296</t>
  </si>
  <si>
    <t>ISZ-87689-397</t>
  </si>
  <si>
    <t>BHV-93657-273</t>
  </si>
  <si>
    <t>WMN-48882-576</t>
  </si>
  <si>
    <t>RDY-69307-199</t>
  </si>
  <si>
    <t>WWY-01579-980</t>
  </si>
  <si>
    <t>EFX-86911-320</t>
  </si>
  <si>
    <t>HPL-77857-452</t>
  </si>
  <si>
    <t>NUH-54964-588</t>
  </si>
  <si>
    <t>QRT-08562-962</t>
  </si>
  <si>
    <t>JFB-89899-371</t>
  </si>
  <si>
    <t>VHR-57045-111</t>
  </si>
  <si>
    <t>LJN-74016-915</t>
  </si>
  <si>
    <t>PPO-24199-862</t>
  </si>
  <si>
    <t>FPQ-57119-871</t>
  </si>
  <si>
    <t>UNX-97070-476</t>
  </si>
  <si>
    <t>KTI-62835-170</t>
  </si>
  <si>
    <t>MLC-17303-088</t>
  </si>
  <si>
    <t>QLW-44000-705</t>
  </si>
  <si>
    <t>UPB-66335-881</t>
  </si>
  <si>
    <t>XBF-23656-700</t>
  </si>
  <si>
    <t>JUG-98844-088</t>
  </si>
  <si>
    <t>OBX-22153-792</t>
  </si>
  <si>
    <t>NMC-22219-787</t>
  </si>
  <si>
    <t>EEU-40959-458</t>
  </si>
  <si>
    <t>FXV-98744-220</t>
  </si>
  <si>
    <t>UKD-27262-099</t>
  </si>
  <si>
    <t>ITM-94675-165</t>
  </si>
  <si>
    <t>AHR-43226-827</t>
  </si>
  <si>
    <t>OAH-19736-133</t>
  </si>
  <si>
    <t>CNN-10776-823</t>
  </si>
  <si>
    <t>CNH-85682-510</t>
  </si>
  <si>
    <t>TLL-41704-030</t>
  </si>
  <si>
    <t>JCI-12331-935</t>
  </si>
  <si>
    <t>KPK-75668-397</t>
  </si>
  <si>
    <t>JLC-92414-361</t>
  </si>
  <si>
    <t>IQV-84954-980</t>
  </si>
  <si>
    <t>WQG-72598-279</t>
  </si>
  <si>
    <t>LZK-97557-514</t>
  </si>
  <si>
    <t>XZF-11682-330</t>
  </si>
  <si>
    <t>BMW-57390-210</t>
  </si>
  <si>
    <t>WFE-82326-649</t>
  </si>
  <si>
    <t>ECJ-58052-276</t>
  </si>
  <si>
    <t>VFV-92487-677</t>
  </si>
  <si>
    <t>YHF-71110-814</t>
  </si>
  <si>
    <t>SDU-94677-789</t>
  </si>
  <si>
    <t>FFO-69860-022</t>
  </si>
  <si>
    <t>TFF-93649-253</t>
  </si>
  <si>
    <t>GHY-41420-029</t>
  </si>
  <si>
    <t>DVB-65725-829</t>
  </si>
  <si>
    <t>XYR-65762-420</t>
  </si>
  <si>
    <t>HST-94968-986</t>
  </si>
  <si>
    <t>EEL-62462-711</t>
  </si>
  <si>
    <t>GMB-60363-200</t>
  </si>
  <si>
    <t>OWJ-04986-576</t>
  </si>
  <si>
    <t>NYI-13210-156</t>
  </si>
  <si>
    <t>LWP-19421-468</t>
  </si>
  <si>
    <t>ONG-42434-093</t>
  </si>
  <si>
    <t>JZI-39420-786</t>
  </si>
  <si>
    <t>ERB-18462-917</t>
  </si>
  <si>
    <t>TPZ-53610-153</t>
  </si>
  <si>
    <t>HWW-05620-165</t>
  </si>
  <si>
    <t>MYY-61367-969</t>
  </si>
  <si>
    <t>FUK-99447-795</t>
  </si>
  <si>
    <t>OKI-24951-570</t>
  </si>
  <si>
    <t>IAA-87946-506</t>
  </si>
  <si>
    <t>ZLE-35408-600</t>
  </si>
  <si>
    <t>ZND-74795-606</t>
  </si>
  <si>
    <t>ZPC-21635-141</t>
  </si>
  <si>
    <t>VNH-18512-572</t>
  </si>
  <si>
    <t>GEA-57047-565</t>
  </si>
  <si>
    <t>AFV-82059-608</t>
  </si>
  <si>
    <t>BUT-38159-180</t>
  </si>
  <si>
    <t>HZT-95686-570</t>
  </si>
  <si>
    <t>MHP-06259-036</t>
  </si>
  <si>
    <t>BFC-34644-186</t>
  </si>
  <si>
    <t>YPH-95812-382</t>
  </si>
  <si>
    <t>KKK-98856-166</t>
  </si>
  <si>
    <t>AYP-21672-667</t>
  </si>
  <si>
    <t>MZF-50968-732</t>
  </si>
  <si>
    <t>PZN-48300-610</t>
  </si>
  <si>
    <t>JDG-48640-717</t>
  </si>
  <si>
    <t>NBV-21246-154</t>
  </si>
  <si>
    <t>WYS-66370-376</t>
  </si>
  <si>
    <t>WWZ-69645-037</t>
  </si>
  <si>
    <t>ZVX-19136-547</t>
  </si>
  <si>
    <t>APQ-77728-550</t>
  </si>
  <si>
    <t>CWW-13925-786</t>
  </si>
  <si>
    <t>QSM-90545-625</t>
  </si>
  <si>
    <t>HLB-95296-297</t>
  </si>
  <si>
    <t>BDS-33960-179</t>
  </si>
  <si>
    <t>NUR-34359-100</t>
  </si>
  <si>
    <t>MWE-00190-829</t>
  </si>
  <si>
    <t>OHV-82805-372</t>
  </si>
  <si>
    <t>LFL-38100-276</t>
  </si>
  <si>
    <t>YTQ-30383-267</t>
  </si>
  <si>
    <t>YLT-12197-088</t>
  </si>
  <si>
    <t>XAO-96842-674</t>
  </si>
  <si>
    <t>CXA-48504-147</t>
  </si>
  <si>
    <t>MMY-25194-190</t>
  </si>
  <si>
    <t>TQE-18436-002</t>
  </si>
  <si>
    <t>IGX-42160-758</t>
  </si>
  <si>
    <t>HZL-43297-190</t>
  </si>
  <si>
    <t>SVI-21286-074</t>
  </si>
  <si>
    <t>EMO-68852-552</t>
  </si>
  <si>
    <t>PEQ-43522-602</t>
  </si>
  <si>
    <t>HUE-94974-791</t>
  </si>
  <si>
    <t>VMR-78743-383</t>
  </si>
  <si>
    <t>CPP-91364-169</t>
  </si>
  <si>
    <t>KJX-39706-537</t>
  </si>
  <si>
    <t>NEB-29382-369</t>
  </si>
  <si>
    <t>UEZ-40614-142</t>
  </si>
  <si>
    <t>BCV-27363-841</t>
  </si>
  <si>
    <t>DSA-05873-058</t>
  </si>
  <si>
    <t>VKC-11661-223</t>
  </si>
  <si>
    <t>FUH-27680-465</t>
  </si>
  <si>
    <t>ZUB-51972-034</t>
  </si>
  <si>
    <t>ONJ-69886-943</t>
  </si>
  <si>
    <t>NRJ-84078-671</t>
  </si>
  <si>
    <t>HVB-66880-614</t>
  </si>
  <si>
    <t>EZR-44148-964</t>
  </si>
  <si>
    <t>ZBG-91152-299</t>
  </si>
  <si>
    <t>RKV-60977-745</t>
  </si>
  <si>
    <t>SKN-18213-077</t>
  </si>
  <si>
    <t>XTS-49949-740</t>
  </si>
  <si>
    <t>NHN-56535-285</t>
  </si>
  <si>
    <t>NVQ-39831-102</t>
  </si>
  <si>
    <t>IYG-18505-830</t>
  </si>
  <si>
    <t>EOV-62219-074</t>
  </si>
  <si>
    <t>OSA-33155-596</t>
  </si>
  <si>
    <t>BRC-07960-958</t>
  </si>
  <si>
    <t>AFL-62069-215</t>
  </si>
  <si>
    <t>FJH-73582-189</t>
  </si>
  <si>
    <t>HAD-81918-636</t>
  </si>
  <si>
    <t>XUM-76698-908</t>
  </si>
  <si>
    <t>HMA-44436-877</t>
  </si>
  <si>
    <t>CRQ-47622-900</t>
  </si>
  <si>
    <t>FTR-78496-870</t>
  </si>
  <si>
    <t>VQX-77949-793</t>
  </si>
  <si>
    <t>SGF-62428-557</t>
  </si>
  <si>
    <t>SKQ-00556-855</t>
  </si>
  <si>
    <t>ROH-52069-433</t>
  </si>
  <si>
    <t>ZRJ-48841-696</t>
  </si>
  <si>
    <t>TNJ-76261-779</t>
  </si>
  <si>
    <t>JHU-45380-938</t>
  </si>
  <si>
    <t>DEY-74430-988</t>
  </si>
  <si>
    <t>HFU-28485-145</t>
  </si>
  <si>
    <t>EWP-90047-660</t>
  </si>
  <si>
    <t>RAC-34978-173</t>
  </si>
  <si>
    <t>KFK-46161-981</t>
  </si>
  <si>
    <t>ZBM-66480-308</t>
  </si>
  <si>
    <t>DHJ-71961-477</t>
  </si>
  <si>
    <t>CPP-65397-235</t>
  </si>
  <si>
    <t>SQN-98923-553</t>
  </si>
  <si>
    <t>OGL-70188-485</t>
  </si>
  <si>
    <t>UBB-01056-711</t>
  </si>
  <si>
    <t>TND-01252-396</t>
  </si>
  <si>
    <t>PEF-91754-029</t>
  </si>
  <si>
    <t>BJE-80332-255</t>
  </si>
  <si>
    <t>XDF-19475-878</t>
  </si>
  <si>
    <t>EMD-44617-900</t>
  </si>
  <si>
    <t>BZJ-60240-950</t>
  </si>
  <si>
    <t>YTX-39709-683</t>
  </si>
  <si>
    <t>GJL-01923-737</t>
  </si>
  <si>
    <t>PFJ-25480-651</t>
  </si>
  <si>
    <t>WFM-60919-972</t>
  </si>
  <si>
    <t>LPG-20043-939</t>
  </si>
  <si>
    <t>KEW-80995-019</t>
  </si>
  <si>
    <t>YHZ-99788-463</t>
  </si>
  <si>
    <t>EXF-18682-484</t>
  </si>
  <si>
    <t>TNZ-09390-974</t>
  </si>
  <si>
    <t>UBE-37573-643</t>
  </si>
  <si>
    <t>MPE-39539-828</t>
  </si>
  <si>
    <t>JEG-69424-218</t>
  </si>
  <si>
    <t>JEU-09243-172</t>
  </si>
  <si>
    <t>ZZE-28419-404</t>
  </si>
  <si>
    <t>TTH-23418-558</t>
  </si>
  <si>
    <t>QPU-86878-970</t>
  </si>
  <si>
    <t>EOU-97256-623</t>
  </si>
  <si>
    <t>FIY-44070-701</t>
  </si>
  <si>
    <t>XRF-82330-908</t>
  </si>
  <si>
    <t>NNI-25309-618</t>
  </si>
  <si>
    <t>DGD-40331-717</t>
  </si>
  <si>
    <t>TNB-22510-541</t>
  </si>
  <si>
    <t>NCG-02145-509</t>
  </si>
  <si>
    <t>NOP-84220-212</t>
  </si>
  <si>
    <t>EUS-87328-075</t>
  </si>
  <si>
    <t>JOR-19899-844</t>
  </si>
  <si>
    <t>MQN-29666-431</t>
  </si>
  <si>
    <t>NXX-67433-071</t>
  </si>
  <si>
    <t>LRO-33055-241</t>
  </si>
  <si>
    <t>ZVA-27377-422</t>
  </si>
  <si>
    <t>ZXB-48620-397</t>
  </si>
  <si>
    <t>QVR-71496-508</t>
  </si>
  <si>
    <t>QCJ-04419-139</t>
  </si>
  <si>
    <t>NTB-85143-698</t>
  </si>
  <si>
    <t>ZRS-05883-253</t>
  </si>
  <si>
    <t>ZRD-62491-277</t>
  </si>
  <si>
    <t>JER-90799-473</t>
  </si>
  <si>
    <t>QIC-52280-816</t>
  </si>
  <si>
    <t>XJO-22168-424</t>
  </si>
  <si>
    <t>ITP-92323-761</t>
  </si>
  <si>
    <t>FXH-89094-384</t>
  </si>
  <si>
    <t>TLA-28677-497</t>
  </si>
  <si>
    <t>IVO-50762-076</t>
  </si>
  <si>
    <t>RUY-85965-928</t>
  </si>
  <si>
    <t>CCR-57055-464</t>
  </si>
  <si>
    <t>ZBZ-11425-695</t>
  </si>
  <si>
    <t>VTL-01563-340</t>
  </si>
  <si>
    <t>TXS-58941-845</t>
  </si>
  <si>
    <t>NBH-71346-193</t>
  </si>
  <si>
    <t>WMP-49180-639</t>
  </si>
  <si>
    <t>NMH-28422-790</t>
  </si>
  <si>
    <t>GMH-36248-197</t>
  </si>
  <si>
    <t>QAS-90501-149</t>
  </si>
  <si>
    <t>FYO-60368-233</t>
  </si>
  <si>
    <t>JUM-95930-654</t>
  </si>
  <si>
    <t>ZSM-87505-461</t>
  </si>
  <si>
    <t>FHW-48457-783</t>
  </si>
  <si>
    <t>PAM-04043-806</t>
  </si>
  <si>
    <t>WDG-31050-023</t>
  </si>
  <si>
    <t>VCN-48998-997</t>
  </si>
  <si>
    <t>JOE-10663-294</t>
  </si>
  <si>
    <t>TWC-42821-325</t>
  </si>
  <si>
    <t>XWM-84666-525</t>
  </si>
  <si>
    <t>JEY-91092-743</t>
  </si>
  <si>
    <t>RGI-49859-942</t>
  </si>
  <si>
    <t>WIB-43564-171</t>
  </si>
  <si>
    <t>YRE-42523-208</t>
  </si>
  <si>
    <t>MVR-87618-592</t>
  </si>
  <si>
    <t>OKA-44289-183</t>
  </si>
  <si>
    <t>QWS-32480-014</t>
  </si>
  <si>
    <t>MHC-52862-723</t>
  </si>
  <si>
    <t>UKW-57480-824</t>
  </si>
  <si>
    <t>RBU-86794-066</t>
  </si>
  <si>
    <t>DDU-48814-178</t>
  </si>
  <si>
    <t>EQE-59768-834</t>
  </si>
  <si>
    <t>IXO-30623-226</t>
  </si>
  <si>
    <t>JXE-10561-109</t>
  </si>
  <si>
    <t>OAP-96243-061</t>
  </si>
  <si>
    <t>HEF-01457-008</t>
  </si>
  <si>
    <t>JCM-08296-527</t>
  </si>
  <si>
    <t>PHV-60212-854</t>
  </si>
  <si>
    <t>YHY-42117-021</t>
  </si>
  <si>
    <t>OEY-82982-484</t>
  </si>
  <si>
    <t>RSP-11678-900</t>
  </si>
  <si>
    <t>FNH-86272-428</t>
  </si>
  <si>
    <t>LHD-44365-775</t>
  </si>
  <si>
    <t>CSW-38937-520</t>
  </si>
  <si>
    <t>IGX-11843-470</t>
  </si>
  <si>
    <t>QPJ-87048-070</t>
  </si>
  <si>
    <t>CBI-88631-635</t>
  </si>
  <si>
    <t>NNY-52842-683</t>
  </si>
  <si>
    <t>LTJ-12833-346</t>
  </si>
  <si>
    <t>SUO-71566-839</t>
  </si>
  <si>
    <t>FTA-32161-417</t>
  </si>
  <si>
    <t>GCR-36960-709</t>
  </si>
  <si>
    <t>ULD-76853-412</t>
  </si>
  <si>
    <t>YYZ-56291-959</t>
  </si>
  <si>
    <t>ETM-71213-854</t>
  </si>
  <si>
    <t>TLS-45757-326</t>
  </si>
  <si>
    <t>WKX-31992-129</t>
  </si>
  <si>
    <t>FEX-10673-430</t>
  </si>
  <si>
    <t>AXC-15544-871</t>
  </si>
  <si>
    <t>ONB-33576-517</t>
  </si>
  <si>
    <t>AZQ-97949-699</t>
  </si>
  <si>
    <t>IBX-54741-946</t>
  </si>
  <si>
    <t>TEN-15674-795</t>
  </si>
  <si>
    <t>PGD-39659-542</t>
  </si>
  <si>
    <t>JWR-75443-512</t>
  </si>
  <si>
    <t>IHO-63573-911</t>
  </si>
  <si>
    <t>DUH-39744-289</t>
  </si>
  <si>
    <t>GXS-10394-791</t>
  </si>
  <si>
    <t>FAL-93311-883</t>
  </si>
  <si>
    <t>OYR-65855-495</t>
  </si>
  <si>
    <t>ISE-78735-619</t>
  </si>
  <si>
    <t>VVK-24447-411</t>
  </si>
  <si>
    <t>PCU-07466-301</t>
  </si>
  <si>
    <t>IGM-42860-590</t>
  </si>
  <si>
    <t>ZVN-55362-409</t>
  </si>
  <si>
    <t>CCI-63446-385</t>
  </si>
  <si>
    <t>GGQ-61942-013</t>
  </si>
  <si>
    <t>ABI-25788-572</t>
  </si>
  <si>
    <t>AVI-64567-717</t>
  </si>
  <si>
    <t>KXH-14962-655</t>
  </si>
  <si>
    <t>HGE-24290-748</t>
  </si>
  <si>
    <t>YLB-12086-182</t>
  </si>
  <si>
    <t>MIE-63895-501</t>
  </si>
  <si>
    <t>YVO-66613-971</t>
  </si>
  <si>
    <t>NMX-11615-063</t>
  </si>
  <si>
    <t>OTA-21498-729</t>
  </si>
  <si>
    <t>YSY-36028-965</t>
  </si>
  <si>
    <t>BFN-10080-397</t>
  </si>
  <si>
    <t>IBU-17069-596</t>
  </si>
  <si>
    <t>NGU-55316-378</t>
  </si>
  <si>
    <t>AHT-34626-167</t>
  </si>
  <si>
    <t>WSG-72819-971</t>
  </si>
  <si>
    <t>TQG-44395-638</t>
  </si>
  <si>
    <t>SXV-55865-794</t>
  </si>
  <si>
    <t>VIM-19905-137</t>
  </si>
  <si>
    <t>YHY-92932-949</t>
  </si>
  <si>
    <t>LIX-68539-360</t>
  </si>
  <si>
    <t>SMD-11647-150</t>
  </si>
  <si>
    <t>KGS-64017-412</t>
  </si>
  <si>
    <t>UPZ-46976-687</t>
  </si>
  <si>
    <t>KCW-96102-386</t>
  </si>
  <si>
    <t>SUT-22353-559</t>
  </si>
  <si>
    <t>KTY-82230-523</t>
  </si>
  <si>
    <t>JMU-08798-724</t>
  </si>
  <si>
    <t>XYL-80263-012</t>
  </si>
  <si>
    <t>MIF-04802-485</t>
  </si>
  <si>
    <t>OEB-00302-498</t>
  </si>
  <si>
    <t>ZAO-07750-132</t>
  </si>
  <si>
    <t>DET-39884-572</t>
  </si>
  <si>
    <t>ZSX-39789-456</t>
  </si>
  <si>
    <t>CIB-32891-002</t>
  </si>
  <si>
    <t>OHM-18617-462</t>
  </si>
  <si>
    <t>NTF-53486-786</t>
  </si>
  <si>
    <t>WJY-49658-348</t>
  </si>
  <si>
    <t>OJT-99190-683</t>
  </si>
  <si>
    <t>MAG-28881-951</t>
  </si>
  <si>
    <t>EKX-78224-255</t>
  </si>
  <si>
    <t>PPF-62392-568</t>
  </si>
  <si>
    <t>QNT-85233-647</t>
  </si>
  <si>
    <t>BIS-44176-778</t>
  </si>
  <si>
    <t>OQT-54214-356</t>
  </si>
  <si>
    <t>NDA-59712-873</t>
  </si>
  <si>
    <t>WOC-11734-681</t>
  </si>
  <si>
    <t>CAJ-04408-591</t>
  </si>
  <si>
    <t>FTD-00178-408</t>
  </si>
  <si>
    <t>BMN-08006-760</t>
  </si>
  <si>
    <t>AZK-11918-136</t>
  </si>
  <si>
    <t>YSJ-32216-737</t>
  </si>
  <si>
    <t>JLX-10105-775</t>
  </si>
  <si>
    <t>CWG-01316-076</t>
  </si>
  <si>
    <t>ZRF-18166-392</t>
  </si>
  <si>
    <t>XBK-18752-376</t>
  </si>
  <si>
    <t>MYH-09457-499</t>
  </si>
  <si>
    <t>ISO-22168-355</t>
  </si>
  <si>
    <t>OXN-06542-821</t>
  </si>
  <si>
    <t>CAT-41297-198</t>
  </si>
  <si>
    <t>VQR-64318-715</t>
  </si>
  <si>
    <t>OWY-31133-497</t>
  </si>
  <si>
    <t>FLO-43092-441</t>
  </si>
  <si>
    <t>WYZ-16287-595</t>
  </si>
  <si>
    <t>CSS-05840-542</t>
  </si>
  <si>
    <t>CEP-50623-199</t>
  </si>
  <si>
    <t>RJA-19614-646</t>
  </si>
  <si>
    <t>PVI-38453-489</t>
  </si>
  <si>
    <t>UPT-89506-065</t>
  </si>
  <si>
    <t>WKQ-20350-705</t>
  </si>
  <si>
    <t>GZL-53186-664</t>
  </si>
  <si>
    <t>DFS-21892-889</t>
  </si>
  <si>
    <t>PLN-93061-372</t>
  </si>
  <si>
    <t>JOM-17957-613</t>
  </si>
  <si>
    <t>XJJ-95498-674</t>
  </si>
  <si>
    <t>LGA-41539-266</t>
  </si>
  <si>
    <t>UPZ-96360-082</t>
  </si>
  <si>
    <t>VEF-82351-453</t>
  </si>
  <si>
    <t>FHP-46143-648</t>
  </si>
  <si>
    <t>LYB-59581-108</t>
  </si>
  <si>
    <t>FHM-76660-333</t>
  </si>
  <si>
    <t>VGG-97316-435</t>
  </si>
  <si>
    <t>GEQ-28067-964</t>
  </si>
  <si>
    <t>ULG-52095-409</t>
  </si>
  <si>
    <t>HRX-03288-998</t>
  </si>
  <si>
    <t>VXQ-51608-201</t>
  </si>
  <si>
    <t>GZS-52928-469</t>
  </si>
  <si>
    <t>TPK-56841-409</t>
  </si>
  <si>
    <t>LXU-19181-884</t>
  </si>
  <si>
    <t>UQE-78238-544</t>
  </si>
  <si>
    <t>OLH-27867-590</t>
  </si>
  <si>
    <t>CAU-62110-251</t>
  </si>
  <si>
    <t>CDD-58528-212</t>
  </si>
  <si>
    <t>QAH-60603-267</t>
  </si>
  <si>
    <t>YSX-81651-973</t>
  </si>
  <si>
    <t>RUZ-50373-773</t>
  </si>
  <si>
    <t>UOS-69083-402</t>
  </si>
  <si>
    <t>UJU-15823-227</t>
  </si>
  <si>
    <t>SWN-51013-251</t>
  </si>
  <si>
    <t>QIG-89402-919</t>
  </si>
  <si>
    <t>LRQ-44197-414</t>
  </si>
  <si>
    <t>YMF-97199-148</t>
  </si>
  <si>
    <t>JAP-70834-030</t>
  </si>
  <si>
    <t>NWM-33895-885</t>
  </si>
  <si>
    <t>TUI-32673-482</t>
  </si>
  <si>
    <t>LOS-18531-193</t>
  </si>
  <si>
    <t>SPA-92302-233</t>
  </si>
  <si>
    <t>OWY-38008-152</t>
  </si>
  <si>
    <t>KFO-36880-868</t>
  </si>
  <si>
    <t>KIN-35754-421</t>
  </si>
  <si>
    <t>VBI-61383-625</t>
  </si>
  <si>
    <t>OZO-65226-349</t>
  </si>
  <si>
    <t>MVE-19827-974</t>
  </si>
  <si>
    <t>HHU-28169-290</t>
  </si>
  <si>
    <t>RYU-48727-291</t>
  </si>
  <si>
    <t>ENH-44678-174</t>
  </si>
  <si>
    <t>OXJ-00974-935</t>
  </si>
  <si>
    <t>JHJ-58326-747</t>
  </si>
  <si>
    <t>WRA-19303-297</t>
  </si>
  <si>
    <t>XRJ-67503-355</t>
  </si>
  <si>
    <t>NPY-49770-050</t>
  </si>
  <si>
    <t>WVO-26662-805</t>
  </si>
  <si>
    <t>RQU-75519-924</t>
  </si>
  <si>
    <t>HRA-15710-861</t>
  </si>
  <si>
    <t>OZJ-53057-711</t>
  </si>
  <si>
    <t>KUW-42348-107</t>
  </si>
  <si>
    <t>SDH-58118-835</t>
  </si>
  <si>
    <t>ZGT-39333-762</t>
  </si>
  <si>
    <t>YFW-49877-848</t>
  </si>
  <si>
    <t>LQC-98011-834</t>
  </si>
  <si>
    <t>EUK-23508-597</t>
  </si>
  <si>
    <t>XSA-53810-016</t>
  </si>
  <si>
    <t>ZEE-50909-995</t>
  </si>
  <si>
    <t>CRP-11613-545</t>
  </si>
  <si>
    <t>DKO-27178-140</t>
  </si>
  <si>
    <t>VNF-98462-393</t>
  </si>
  <si>
    <t>RWM-97713-605</t>
  </si>
  <si>
    <t>NPK-70727-139</t>
  </si>
  <si>
    <t>CNC-65699-102</t>
  </si>
  <si>
    <t>ZFX-73381-873</t>
  </si>
  <si>
    <t>ZYD-45571-296</t>
  </si>
  <si>
    <t>FHZ-72268-670</t>
  </si>
  <si>
    <t>ZAI-97953-323</t>
  </si>
  <si>
    <t>QUK-34980-362</t>
  </si>
  <si>
    <t>MEO-82402-022</t>
  </si>
  <si>
    <t>ZPG-05585-815</t>
  </si>
  <si>
    <t>LGB-44340-243</t>
  </si>
  <si>
    <t>KAI-43156-475</t>
  </si>
  <si>
    <t>UBY-16770-866</t>
  </si>
  <si>
    <t>QIK-05378-314</t>
  </si>
  <si>
    <t>QAG-06664-213</t>
  </si>
  <si>
    <t>PXB-40844-397</t>
  </si>
  <si>
    <t>SNK-05166-117</t>
  </si>
  <si>
    <t>DDP-16606-495</t>
  </si>
  <si>
    <t>DVM-91087-310</t>
  </si>
  <si>
    <t>GDC-14178-566</t>
  </si>
  <si>
    <t>NMW-28139-402</t>
  </si>
  <si>
    <t>YBL-02429-035</t>
  </si>
  <si>
    <t>WJM-21636-229</t>
  </si>
  <si>
    <t>PPQ-22658-345</t>
  </si>
  <si>
    <t>BVJ-90170-259</t>
  </si>
  <si>
    <t>TWJ-48436-829</t>
  </si>
  <si>
    <t>FMR-93371-350</t>
  </si>
  <si>
    <t>PQB-05844-945</t>
  </si>
  <si>
    <t>NXF-22238-178</t>
  </si>
  <si>
    <t>CVN-51263-678</t>
  </si>
  <si>
    <t>OMT-58810-936</t>
  </si>
  <si>
    <t>XRB-27178-868</t>
  </si>
  <si>
    <t>PNA-89310-936</t>
  </si>
  <si>
    <t>KPT-09861-148</t>
  </si>
  <si>
    <t>AHM-93466-176</t>
  </si>
  <si>
    <t>BQF-25566-142</t>
  </si>
  <si>
    <t>RZW-27527-152</t>
  </si>
  <si>
    <t>BSD-60075-172</t>
  </si>
  <si>
    <t>DBP-39959-645</t>
  </si>
  <si>
    <t>NAD-94724-887</t>
  </si>
  <si>
    <t>SWW-18616-640</t>
  </si>
  <si>
    <t>UVC-48687-432</t>
  </si>
  <si>
    <t>JEZ-75001-315</t>
  </si>
  <si>
    <t>UNN-61894-194</t>
  </si>
  <si>
    <t>JUM-22919-021</t>
  </si>
  <si>
    <t>WYU-89969-545</t>
  </si>
  <si>
    <t>AHH-32438-074</t>
  </si>
  <si>
    <t>CMO-47258-353</t>
  </si>
  <si>
    <t>AAW-28226-143</t>
  </si>
  <si>
    <t>HMA-12622-208</t>
  </si>
  <si>
    <t>JUW-19110-680</t>
  </si>
  <si>
    <t>BXK-10748-756</t>
  </si>
  <si>
    <t>PLD-61092-877</t>
  </si>
  <si>
    <t>TGE-13231-840</t>
  </si>
  <si>
    <t>DLW-26103-152</t>
  </si>
  <si>
    <t>HIF-17626-542</t>
  </si>
  <si>
    <t>YCH-71452-768</t>
  </si>
  <si>
    <t>MSJ-30484-041</t>
  </si>
  <si>
    <t>QHY-20811-922</t>
  </si>
  <si>
    <t>FBH-07374-782</t>
  </si>
  <si>
    <t>BTV-58909-273</t>
  </si>
  <si>
    <t>CKQ-60071-169</t>
  </si>
  <si>
    <t>BMD-16501-533</t>
  </si>
  <si>
    <t>WYS-96032-308</t>
  </si>
  <si>
    <t>NFP-90291-218</t>
  </si>
  <si>
    <t>OFH-34118-600</t>
  </si>
  <si>
    <t>QHK-26618-050</t>
  </si>
  <si>
    <t>XEI-92549-960</t>
  </si>
  <si>
    <t>RIZ-70702-798</t>
  </si>
  <si>
    <t>NKZ-99083-335</t>
  </si>
  <si>
    <t>SIJ-27598-794</t>
  </si>
  <si>
    <t>DKY-23002-547</t>
  </si>
  <si>
    <t>WUI-83144-188</t>
  </si>
  <si>
    <t>JMB-64356-611</t>
  </si>
  <si>
    <t>GOW-60894-034</t>
  </si>
  <si>
    <t>SZE-79651-489</t>
  </si>
  <si>
    <t>SXE-14111-487</t>
  </si>
  <si>
    <t>XTX-46264-329</t>
  </si>
  <si>
    <t>EJL-05763-409</t>
  </si>
  <si>
    <t>PAJ-32693-286</t>
  </si>
  <si>
    <t>ROE-64964-444</t>
  </si>
  <si>
    <t>GRU-60303-398</t>
  </si>
  <si>
    <t>CIQ-60882-444</t>
  </si>
  <si>
    <t>ZFP-43462-608</t>
  </si>
  <si>
    <t>NQG-74949-967</t>
  </si>
  <si>
    <t>ZWO-89949-322</t>
  </si>
  <si>
    <t>HDO-74567-393</t>
  </si>
  <si>
    <t>XUA-34615-312</t>
  </si>
  <si>
    <t>KXW-35835-889</t>
  </si>
  <si>
    <t>YDE-76417-101</t>
  </si>
  <si>
    <t>VWD-67675-122</t>
  </si>
  <si>
    <t>LYQ-01490-759</t>
  </si>
  <si>
    <t>RZQ-59822-141</t>
  </si>
  <si>
    <t>DVT-43461-987</t>
  </si>
  <si>
    <t>KTB-69309-839</t>
  </si>
  <si>
    <t>EFN-35201-418</t>
  </si>
  <si>
    <t>VZT-79704-435</t>
  </si>
  <si>
    <t>OJB-90900-025</t>
  </si>
  <si>
    <t>RXX-64758-980</t>
  </si>
  <si>
    <t>CKI-30508-524</t>
  </si>
  <si>
    <t>BEA-10892-507</t>
  </si>
  <si>
    <t>WOF-12432-569</t>
  </si>
  <si>
    <t>RIO-12501-871</t>
  </si>
  <si>
    <t>IVL-98284-178</t>
  </si>
  <si>
    <t>XOF-51874-267</t>
  </si>
  <si>
    <t>XFN-48398-174</t>
  </si>
  <si>
    <t>CYB-55071-733</t>
  </si>
  <si>
    <t>GAC-00390-605</t>
  </si>
  <si>
    <t>ADY-01902-036</t>
  </si>
  <si>
    <t>ZLG-09437-615</t>
  </si>
  <si>
    <t>CCN-10512-015</t>
  </si>
  <si>
    <t>EAS-36009-028</t>
  </si>
  <si>
    <t>VUM-47517-579</t>
  </si>
  <si>
    <t>YPN-20345-000</t>
  </si>
  <si>
    <t>ORB-91357-136</t>
  </si>
  <si>
    <t>HBP-53903-336</t>
  </si>
  <si>
    <t>CGU-82686-290</t>
  </si>
  <si>
    <t>PFQ-50593-899</t>
  </si>
  <si>
    <t>EDS-36432-865</t>
  </si>
  <si>
    <t>IBN-01814-118</t>
  </si>
  <si>
    <t>PWA-74077-364</t>
  </si>
  <si>
    <t>PSD-13057-867</t>
  </si>
  <si>
    <t>PXL-23337-095</t>
  </si>
  <si>
    <t>NAF-82351-569</t>
  </si>
  <si>
    <t>WGP-51702-385</t>
  </si>
  <si>
    <t>JZU-42370-788</t>
  </si>
  <si>
    <t>PJI-87673-042</t>
  </si>
  <si>
    <t>DRC-98741-566</t>
  </si>
  <si>
    <t>DGC-67813-872</t>
  </si>
  <si>
    <t>KIO-69251-102</t>
  </si>
  <si>
    <t>QZG-36839-541</t>
  </si>
  <si>
    <t>LHL-62020-840</t>
  </si>
  <si>
    <t>HME-51937-993</t>
  </si>
  <si>
    <t>CMA-26778-312</t>
  </si>
  <si>
    <t>YDZ-79571-622</t>
  </si>
  <si>
    <t>WKD-14470-116</t>
  </si>
  <si>
    <t>ECW-46185-730</t>
  </si>
  <si>
    <t>MTO-55884-805</t>
  </si>
  <si>
    <t>AXG-89008-974</t>
  </si>
  <si>
    <t>WLB-34699-983</t>
  </si>
  <si>
    <t>LDO-66850-393</t>
  </si>
  <si>
    <t>SDB-70070-910</t>
  </si>
  <si>
    <t>GTK-35159-468</t>
  </si>
  <si>
    <t>ANF-39107-837</t>
  </si>
  <si>
    <t>PIA-71065-978</t>
  </si>
  <si>
    <t>CLS-84618-816</t>
  </si>
  <si>
    <t>VKH-43705-389</t>
  </si>
  <si>
    <t>DCB-05890-791</t>
  </si>
  <si>
    <t>VNA-02575-265</t>
  </si>
  <si>
    <t>RFZ-75084-209</t>
  </si>
  <si>
    <t>UAA-04727-192</t>
  </si>
  <si>
    <t>CES-71567-077</t>
  </si>
  <si>
    <t>QDF-90190-619</t>
  </si>
  <si>
    <t>CRA-29172-898</t>
  </si>
  <si>
    <t>VCL-99296-605</t>
  </si>
  <si>
    <t>OBM-44618-525</t>
  </si>
  <si>
    <t>OKK-06953-086</t>
  </si>
  <si>
    <t>HII-86232-508</t>
  </si>
  <si>
    <t>IOU-60551-192</t>
  </si>
  <si>
    <t>ETX-31423-042</t>
  </si>
  <si>
    <t>JPA-19807-675</t>
  </si>
  <si>
    <t>LAB-43452-350</t>
  </si>
  <si>
    <t>LFA-04814-953</t>
  </si>
  <si>
    <t>RXV-81759-889</t>
  </si>
  <si>
    <t>GIR-81041-752</t>
  </si>
  <si>
    <t>NQL-65343-920</t>
  </si>
  <si>
    <t>DKC-26414-220</t>
  </si>
  <si>
    <t>JWP-72624-393</t>
  </si>
  <si>
    <t>OJG-59186-426</t>
  </si>
  <si>
    <t>NML-03814-862</t>
  </si>
  <si>
    <t>GYM-94321-166</t>
  </si>
  <si>
    <t>JTG-62653-868</t>
  </si>
  <si>
    <t>KZY-35144-504</t>
  </si>
  <si>
    <t>JLA-73452-292</t>
  </si>
  <si>
    <t>NNW-14516-126</t>
  </si>
  <si>
    <t>RLQ-49164-293</t>
  </si>
  <si>
    <t>HDO-23797-766</t>
  </si>
  <si>
    <t>CRP-08678-891</t>
  </si>
  <si>
    <t>GVD-55301-671</t>
  </si>
  <si>
    <t>WFU-15849-652</t>
  </si>
  <si>
    <t>XRI-72447-779</t>
  </si>
  <si>
    <t>ZXU-28012-972</t>
  </si>
  <si>
    <t>UAG-29921-254</t>
  </si>
  <si>
    <t>GAX-75999-319</t>
  </si>
  <si>
    <t>QIZ-68530-269</t>
  </si>
  <si>
    <t>KUB-47277-466</t>
  </si>
  <si>
    <t>VPN-53568-723</t>
  </si>
  <si>
    <t>VJP-60581-042</t>
  </si>
  <si>
    <t>AEA-74673-704</t>
  </si>
  <si>
    <t>UMZ-86047-945</t>
  </si>
  <si>
    <t>NSJ-99045-544</t>
  </si>
  <si>
    <t>TXD-78662-414</t>
  </si>
  <si>
    <t>ROE-28832-657</t>
  </si>
  <si>
    <t>RAL-67142-331</t>
  </si>
  <si>
    <t>CRN-11050-673</t>
  </si>
  <si>
    <t>LUW-18044-882</t>
  </si>
  <si>
    <t>VSV-35244-547</t>
  </si>
  <si>
    <t>ARU-20872-097</t>
  </si>
  <si>
    <t>VRP-99643-672</t>
  </si>
  <si>
    <t>OLZ-15807-548</t>
  </si>
  <si>
    <t>HSS-81529-434</t>
  </si>
  <si>
    <t>JUR-11767-565</t>
  </si>
  <si>
    <t>LXY-50315-152</t>
  </si>
  <si>
    <t>WVG-93802-450</t>
  </si>
  <si>
    <t>EAR-06519-886</t>
  </si>
  <si>
    <t>RAR-91167-733</t>
  </si>
  <si>
    <t>EHD-09231-928</t>
  </si>
  <si>
    <t>DEP-73782-185</t>
  </si>
  <si>
    <t>BVZ-93511-430</t>
  </si>
  <si>
    <t>VDN-95451-661</t>
  </si>
  <si>
    <t>AKJ-99585-784</t>
  </si>
  <si>
    <t>ASD-23893-813</t>
  </si>
  <si>
    <t>OUJ-28516-992</t>
  </si>
  <si>
    <t>CFQ-72319-197</t>
  </si>
  <si>
    <t>JFF-16597-427</t>
  </si>
  <si>
    <t>BAY-47418-663</t>
  </si>
  <si>
    <t>FPC-81372-815</t>
  </si>
  <si>
    <t>BMK-16784-047</t>
  </si>
  <si>
    <t>CVR-89277-357</t>
  </si>
  <si>
    <t>BWR-38168-665</t>
  </si>
  <si>
    <t>SZU-47097-295</t>
  </si>
  <si>
    <t>RMJ-30107-864</t>
  </si>
  <si>
    <t>IQK-70614-095</t>
  </si>
  <si>
    <t>JGC-96678-932</t>
  </si>
  <si>
    <t>TIE-47109-899</t>
  </si>
  <si>
    <t>VIB-62685-482</t>
  </si>
  <si>
    <t>WTR-95263-271</t>
  </si>
  <si>
    <t>GBV-33448-082</t>
  </si>
  <si>
    <t>IQN-90543-476</t>
  </si>
  <si>
    <t>MVW-05612-097</t>
  </si>
  <si>
    <t>ZXO-06564-857</t>
  </si>
  <si>
    <t>ZIM-89823-511</t>
  </si>
  <si>
    <t>CVQ-03517-457</t>
  </si>
  <si>
    <t>ACX-22566-789</t>
  </si>
  <si>
    <t>QVN-44444-563</t>
  </si>
  <si>
    <t>VYI-70066-662</t>
  </si>
  <si>
    <t>PHH-89852-211</t>
  </si>
  <si>
    <t>FWH-64630-112</t>
  </si>
  <si>
    <t>ZDD-27498-444</t>
  </si>
  <si>
    <t>KMY-67309-143</t>
  </si>
  <si>
    <t>BIT-73459-324</t>
  </si>
  <si>
    <t>RSL-44817-418</t>
  </si>
  <si>
    <t>KIM-49213-255</t>
  </si>
  <si>
    <t>ULI-33359-300</t>
  </si>
  <si>
    <t>DUH-45943-136</t>
  </si>
  <si>
    <t>AYC-00162-275</t>
  </si>
  <si>
    <t>JHI-69189-155</t>
  </si>
  <si>
    <t>SVX-56207-138</t>
  </si>
  <si>
    <t>NMY-15606-512</t>
  </si>
  <si>
    <t>SLH-41248-769</t>
  </si>
  <si>
    <t>YLN-36676-424</t>
  </si>
  <si>
    <t>GCB-33029-207</t>
  </si>
  <si>
    <t>XRB-06520-166</t>
  </si>
  <si>
    <t>SPF-01273-052</t>
  </si>
  <si>
    <t>MCU-20186-014</t>
  </si>
  <si>
    <t>MVE-82229-996</t>
  </si>
  <si>
    <t>BAH-49832-171</t>
  </si>
  <si>
    <t>HBS-47393-571</t>
  </si>
  <si>
    <t>EYE-22703-607</t>
  </si>
  <si>
    <t>FLC-49131-438</t>
  </si>
  <si>
    <t>Customer</t>
  </si>
  <si>
    <t>Recency</t>
  </si>
  <si>
    <t>Frequency</t>
  </si>
  <si>
    <t>Monetary</t>
  </si>
  <si>
    <t>R_Score</t>
  </si>
  <si>
    <t>F_Score</t>
  </si>
  <si>
    <t>M_Score</t>
  </si>
  <si>
    <t>RFM Score</t>
  </si>
  <si>
    <t>RFM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</si>
</sst>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9"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C7B303-63A3-4A32-B72C-C578979E6282}" autoFormatId="16" applyNumberFormats="0" applyBorderFormats="0" applyFontFormats="0" applyPatternFormats="0" applyAlignmentFormats="0" applyWidthHeightFormats="0">
  <queryTableRefresh nextId="21">
    <queryTableFields count="10">
      <queryTableField id="11" name="Order ID" tableColumnId="11"/>
      <queryTableField id="12" name="Order Date" tableColumnId="12"/>
      <queryTableField id="13" name="Customer ID" tableColumnId="13"/>
      <queryTableField id="14" name="Product ID" tableColumnId="14"/>
      <queryTableField id="15" name="Quantity" tableColumnId="15"/>
      <queryTableField id="16" name="Coffee Type" tableColumnId="16"/>
      <queryTableField id="17" name="Roast Type" tableColumnId="17"/>
      <queryTableField id="18" name="Size" tableColumnId="18"/>
      <queryTableField id="19" name="Unit Price" tableColumnId="19"/>
      <queryTableField id="20" name="Sales" tableColumnId="20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ADAC79-3471-4DDB-8693-AF1BCA37F039}" name="Customers" displayName="Customers" ref="A1:F1001" totalsRowShown="0" headerRowDxfId="18" dataDxfId="17">
  <autoFilter ref="A1:F1001" xr:uid="{F3ADAC79-3471-4DDB-8693-AF1BCA37F039}"/>
  <tableColumns count="6">
    <tableColumn id="1" xr3:uid="{A789D375-4690-4A2C-8CF4-3090AB34241F}" name="Customer ID" dataDxfId="16"/>
    <tableColumn id="2" xr3:uid="{A17136F0-86E3-43C9-B302-765AC2577C44}" name="Customer Name" dataDxfId="15"/>
    <tableColumn id="6" xr3:uid="{E77986C9-F77F-4EA7-B231-6AD78A208A3A}" name="City" dataDxfId="14"/>
    <tableColumn id="7" xr3:uid="{02F0152A-9C28-4270-B04D-FE1E4EB49EE8}" name="Country" dataDxfId="13"/>
    <tableColumn id="8" xr3:uid="{ACB8D04E-26FF-48AE-A470-FC3792CA8F0F}" name="Postcode" dataDxfId="12"/>
    <tableColumn id="9" xr3:uid="{6C01914C-8146-4CCB-83A4-1E321848A674}" name="Loyalty Car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27D957-411E-42C7-B509-FD63412E56F6}" name="Products" displayName="Products" ref="A1:G49" totalsRowShown="0">
  <autoFilter ref="A1:G49" xr:uid="{DB27D957-411E-42C7-B509-FD63412E56F6}"/>
  <tableColumns count="7">
    <tableColumn id="1" xr3:uid="{964C3EC8-B09B-4A67-8719-EC140C64C386}" name="Product ID"/>
    <tableColumn id="2" xr3:uid="{A7578785-CD5B-420A-8FF7-C11B178043A7}" name="Coffee Type"/>
    <tableColumn id="3" xr3:uid="{7DE73CDD-1781-442A-BC65-39ADB42DE3EF}" name="Roast Type"/>
    <tableColumn id="4" xr3:uid="{801499BC-863C-437C-9A9B-8B26ACCAF5E6}" name="Size" dataDxfId="11"/>
    <tableColumn id="5" xr3:uid="{8431C7B8-DB36-40D0-9063-D6C23E053F4D}" name="Unit Price"/>
    <tableColumn id="6" xr3:uid="{A5D51EED-30F0-4676-99E7-5DC45C81B161}" name="Price per 100g"/>
    <tableColumn id="7" xr3:uid="{06798C69-0AE0-431A-B7BD-05B50D2569F4}" name="Prof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9DAA0D-C959-41B4-B47F-735083FED250}" name="orders_expanded" displayName="orders_expanded" ref="A1:J5501" tableType="queryTable" totalsRowShown="0">
  <autoFilter ref="A1:J5501" xr:uid="{F59DAA0D-C959-41B4-B47F-735083FED250}"/>
  <tableColumns count="10">
    <tableColumn id="11" xr3:uid="{F17D0026-DC4E-49DE-B53E-B1336761BC20}" uniqueName="11" name="Order ID" queryTableFieldId="11" dataDxfId="10"/>
    <tableColumn id="12" xr3:uid="{B00DF19A-0127-47E9-918C-3AA2C1E7F6EF}" uniqueName="12" name="Order Date" queryTableFieldId="12" dataDxfId="9"/>
    <tableColumn id="13" xr3:uid="{06897FC3-F699-4ECC-BC9E-1C1789DCFC0B}" uniqueName="13" name="Customer ID" queryTableFieldId="13" dataDxfId="8"/>
    <tableColumn id="14" xr3:uid="{20F146F0-6F74-4F42-8261-47F56EF70E9F}" uniqueName="14" name="Product ID" queryTableFieldId="14" dataDxfId="7"/>
    <tableColumn id="15" xr3:uid="{0777CD8B-8A4B-40EC-8A6F-0C02837FA067}" uniqueName="15" name="Quantity" queryTableFieldId="15" dataDxfId="6"/>
    <tableColumn id="16" xr3:uid="{E8E2A6F1-F751-4BD5-95F7-35DBE8BEB106}" uniqueName="16" name="Coffee Type" queryTableFieldId="16" dataDxfId="5"/>
    <tableColumn id="17" xr3:uid="{C3529367-93A8-45BD-BFC0-4D9B8F71111D}" uniqueName="17" name="Roast Type" queryTableFieldId="17" dataDxfId="4"/>
    <tableColumn id="18" xr3:uid="{EC7128DF-332A-4424-8F09-026BDF57457C}" uniqueName="18" name="Size" queryTableFieldId="18" dataDxfId="3"/>
    <tableColumn id="19" xr3:uid="{245AD4A3-2411-4278-AB5B-3EDAE6845157}" uniqueName="19" name="Unit Price" queryTableFieldId="19" dataDxfId="2"/>
    <tableColumn id="20" xr3:uid="{FDD6B26F-920C-428D-827C-34BEA69EF5A4}" uniqueName="20" name="Sales" queryTableFieldId="20" dataDxf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E46B00-77C7-4A80-8E57-5C9A1CEB8C6C}" name="rfm_scores" displayName="rfm_scores" ref="A1:I914" totalsRowShown="0">
  <autoFilter ref="A1:I914" xr:uid="{73E46B00-77C7-4A80-8E57-5C9A1CEB8C6C}"/>
  <tableColumns count="9">
    <tableColumn id="1" xr3:uid="{7DD2F836-5F56-4828-A247-40ED4B40E0FF}" name="Customer"/>
    <tableColumn id="2" xr3:uid="{049205B0-663C-4997-8236-49539A049ADF}" name="Recency" dataDxfId="0"/>
    <tableColumn id="3" xr3:uid="{208CB3BB-627E-47B4-8690-F7FD85B48DAB}" name="Frequency"/>
    <tableColumn id="4" xr3:uid="{3998CFE7-BFEB-494D-8008-1326E1BA9041}" name="Monetary"/>
    <tableColumn id="5" xr3:uid="{290B5E17-7930-42B5-B568-1360C8A38B85}" name="R_Score">
      <calculatedColumnFormula array="1">_xlfn.IFS(B2&lt;=_xlfn.PERCENTILE.INC($B$2:$B$726,0.2),5, B2&lt;=_xlfn.PERCENTILE.INC($B$2:$B$726,0.4),4,B2&lt;=_xlfn.PERCENTILE.INC($B$2:$B$726,0.6),3,B2&lt;=_xlfn.PERCENTILE.INC($B$2:$B$726,0.8),4,TRUE,1)</calculatedColumnFormula>
    </tableColumn>
    <tableColumn id="6" xr3:uid="{54701D0D-40B3-4F69-8277-F31D374EDB28}" name="F_Score">
      <calculatedColumnFormula array="1">_xlfn.IFS(C2&gt;=_xlfn.PERCENTILE.INC($C$2:$C$726,0.8),5,C2&gt;=_xlfn.PERCENTILE.INC($C$2:$C$726,0.6),4,C2&gt;=_xlfn.PERCENTILE.INC($C$2:$C$726,0.4),3,C2&gt;=_xlfn.PERCENTILE.INC($C$2:$C$726,0.2),2,TRUE,1)</calculatedColumnFormula>
    </tableColumn>
    <tableColumn id="7" xr3:uid="{AAEAC9AF-E036-46F4-81C4-5FEA9957B497}" name="M_Score">
      <calculatedColumnFormula array="1">_xlfn.IFS(D2&gt;=_xlfn.PERCENTILE.INC($D$2:$D$726,0.8),5,D2&gt;=_xlfn.PERCENTILE.INC($D$2:$D$726,0.6),4,D2&gt;=_xlfn.PERCENTILE.INC($D$2:$D$726,0.4),3,D2&gt;=_xlfn.PERCENTILE.INC($D$2:$D$726,0.2),2,TRUE,1)</calculatedColumnFormula>
    </tableColumn>
    <tableColumn id="8" xr3:uid="{F19EE8DD-CBE2-4EE9-A16A-9DAE35D52C4B}" name="RFM Score">
      <calculatedColumnFormula>SUM(E2,F2,G2)</calculatedColumnFormula>
    </tableColumn>
    <tableColumn id="9" xr3:uid="{F2E41412-7195-4B94-AAFC-DF66620B76F2}" name="RFM Category">
      <calculatedColumnFormula array="1">_xlfn.IFS(H2&gt;=13,"Best Customers",H2&gt;=10,"Loyal Customers",H2&gt;=7,"Potential Loyal Customers",H2&gt;=4,"Need Attention",TRUE,"At Risk")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F1001"/>
  <sheetViews>
    <sheetView workbookViewId="0">
      <selection activeCell="E6" sqref="E6"/>
    </sheetView>
  </sheetViews>
  <sheetFormatPr defaultRowHeight="15" x14ac:dyDescent="0.25"/>
  <cols>
    <col min="1" max="1" width="16.28515625" bestFit="1" customWidth="1"/>
    <col min="2" max="2" width="23.7109375" bestFit="1" customWidth="1"/>
    <col min="3" max="3" width="20.7109375" bestFit="1" customWidth="1"/>
    <col min="4" max="4" width="15.42578125" bestFit="1" customWidth="1"/>
    <col min="5" max="5" width="11.7109375" customWidth="1"/>
    <col min="6" max="6" width="13.28515625" customWidth="1"/>
  </cols>
  <sheetData>
    <row r="1" spans="1:6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3520</v>
      </c>
    </row>
    <row r="2" spans="1:6" x14ac:dyDescent="0.25">
      <c r="A2" s="2" t="s">
        <v>487</v>
      </c>
      <c r="B2" s="2" t="s">
        <v>488</v>
      </c>
      <c r="C2" s="2" t="s">
        <v>264</v>
      </c>
      <c r="D2" s="2" t="s">
        <v>17</v>
      </c>
      <c r="E2" s="2">
        <v>7505</v>
      </c>
      <c r="F2" t="s">
        <v>3521</v>
      </c>
    </row>
    <row r="3" spans="1:6" x14ac:dyDescent="0.25">
      <c r="A3" s="2" t="s">
        <v>489</v>
      </c>
      <c r="B3" s="2" t="s">
        <v>490</v>
      </c>
      <c r="C3" s="2" t="s">
        <v>325</v>
      </c>
      <c r="D3" s="2" t="s">
        <v>314</v>
      </c>
      <c r="E3" s="2" t="s">
        <v>326</v>
      </c>
      <c r="F3" t="s">
        <v>3522</v>
      </c>
    </row>
    <row r="4" spans="1:6" x14ac:dyDescent="0.25">
      <c r="A4" s="2" t="s">
        <v>492</v>
      </c>
      <c r="B4" s="2" t="s">
        <v>493</v>
      </c>
      <c r="C4" s="2" t="s">
        <v>123</v>
      </c>
      <c r="D4" s="2" t="s">
        <v>17</v>
      </c>
      <c r="E4" s="2">
        <v>78205</v>
      </c>
      <c r="F4" t="s">
        <v>3521</v>
      </c>
    </row>
    <row r="5" spans="1:6" x14ac:dyDescent="0.25">
      <c r="A5" s="2" t="s">
        <v>494</v>
      </c>
      <c r="B5" s="2" t="s">
        <v>495</v>
      </c>
      <c r="C5" s="2" t="s">
        <v>81</v>
      </c>
      <c r="D5" s="2" t="s">
        <v>17</v>
      </c>
      <c r="E5" s="2">
        <v>62711</v>
      </c>
      <c r="F5" t="s">
        <v>3521</v>
      </c>
    </row>
    <row r="6" spans="1:6" x14ac:dyDescent="0.25">
      <c r="A6" s="2" t="s">
        <v>497</v>
      </c>
      <c r="B6" s="2" t="s">
        <v>498</v>
      </c>
      <c r="C6" s="2" t="s">
        <v>499</v>
      </c>
      <c r="D6" s="2" t="s">
        <v>314</v>
      </c>
      <c r="E6" s="2" t="s">
        <v>500</v>
      </c>
      <c r="F6" t="s">
        <v>3522</v>
      </c>
    </row>
    <row r="7" spans="1:6" x14ac:dyDescent="0.25">
      <c r="A7" s="2" t="s">
        <v>502</v>
      </c>
      <c r="B7" s="2" t="s">
        <v>503</v>
      </c>
      <c r="C7" s="2" t="s">
        <v>108</v>
      </c>
      <c r="D7" s="2" t="s">
        <v>17</v>
      </c>
      <c r="E7" s="2">
        <v>18505</v>
      </c>
      <c r="F7" t="s">
        <v>3522</v>
      </c>
    </row>
    <row r="8" spans="1:6" x14ac:dyDescent="0.25">
      <c r="A8" s="2" t="s">
        <v>505</v>
      </c>
      <c r="B8" s="2" t="s">
        <v>506</v>
      </c>
      <c r="C8" s="2" t="s">
        <v>201</v>
      </c>
      <c r="D8" s="2" t="s">
        <v>17</v>
      </c>
      <c r="E8" s="2">
        <v>45440</v>
      </c>
      <c r="F8" t="s">
        <v>3521</v>
      </c>
    </row>
    <row r="9" spans="1:6" x14ac:dyDescent="0.25">
      <c r="A9" s="2" t="s">
        <v>508</v>
      </c>
      <c r="B9" s="2" t="s">
        <v>509</v>
      </c>
      <c r="C9" s="2" t="s">
        <v>382</v>
      </c>
      <c r="D9" s="2" t="s">
        <v>314</v>
      </c>
      <c r="E9" s="2" t="s">
        <v>318</v>
      </c>
      <c r="F9" t="s">
        <v>3521</v>
      </c>
    </row>
    <row r="10" spans="1:6" x14ac:dyDescent="0.25">
      <c r="A10" s="2" t="s">
        <v>511</v>
      </c>
      <c r="B10" s="2" t="s">
        <v>512</v>
      </c>
      <c r="C10" s="2" t="s">
        <v>25</v>
      </c>
      <c r="D10" s="2" t="s">
        <v>17</v>
      </c>
      <c r="E10" s="2">
        <v>90045</v>
      </c>
      <c r="F10" t="s">
        <v>3522</v>
      </c>
    </row>
    <row r="11" spans="1:6" x14ac:dyDescent="0.25">
      <c r="A11" s="2" t="s">
        <v>514</v>
      </c>
      <c r="B11" s="2" t="s">
        <v>515</v>
      </c>
      <c r="C11" s="2" t="s">
        <v>25</v>
      </c>
      <c r="D11" s="2" t="s">
        <v>17</v>
      </c>
      <c r="E11" s="2">
        <v>90065</v>
      </c>
      <c r="F11" t="s">
        <v>3522</v>
      </c>
    </row>
    <row r="12" spans="1:6" x14ac:dyDescent="0.25">
      <c r="A12" s="2" t="s">
        <v>517</v>
      </c>
      <c r="B12" s="2" t="s">
        <v>518</v>
      </c>
      <c r="C12" s="2" t="s">
        <v>96</v>
      </c>
      <c r="D12" s="2" t="s">
        <v>17</v>
      </c>
      <c r="E12" s="2">
        <v>95160</v>
      </c>
      <c r="F12" t="s">
        <v>3522</v>
      </c>
    </row>
    <row r="13" spans="1:6" x14ac:dyDescent="0.25">
      <c r="A13" s="2" t="s">
        <v>520</v>
      </c>
      <c r="B13" s="2" t="s">
        <v>521</v>
      </c>
      <c r="C13" s="2" t="s">
        <v>96</v>
      </c>
      <c r="D13" s="2" t="s">
        <v>17</v>
      </c>
      <c r="E13" s="2">
        <v>95194</v>
      </c>
      <c r="F13" t="s">
        <v>3521</v>
      </c>
    </row>
    <row r="14" spans="1:6" x14ac:dyDescent="0.25">
      <c r="A14" s="2" t="s">
        <v>523</v>
      </c>
      <c r="B14" s="2" t="s">
        <v>524</v>
      </c>
      <c r="C14" s="2" t="s">
        <v>36</v>
      </c>
      <c r="D14" s="2" t="s">
        <v>17</v>
      </c>
      <c r="E14" s="2">
        <v>23285</v>
      </c>
      <c r="F14" t="s">
        <v>3522</v>
      </c>
    </row>
    <row r="15" spans="1:6" x14ac:dyDescent="0.25">
      <c r="A15" s="2" t="s">
        <v>526</v>
      </c>
      <c r="B15" s="2" t="s">
        <v>527</v>
      </c>
      <c r="C15" s="2" t="s">
        <v>267</v>
      </c>
      <c r="D15" s="2" t="s">
        <v>17</v>
      </c>
      <c r="E15" s="2">
        <v>41905</v>
      </c>
      <c r="F15" t="s">
        <v>3522</v>
      </c>
    </row>
    <row r="16" spans="1:6" x14ac:dyDescent="0.25">
      <c r="A16" s="2" t="s">
        <v>529</v>
      </c>
      <c r="B16" s="2" t="s">
        <v>530</v>
      </c>
      <c r="C16" s="2" t="s">
        <v>102</v>
      </c>
      <c r="D16" s="2" t="s">
        <v>17</v>
      </c>
      <c r="E16" s="2">
        <v>63131</v>
      </c>
      <c r="F16" t="s">
        <v>3521</v>
      </c>
    </row>
    <row r="17" spans="1:6" x14ac:dyDescent="0.25">
      <c r="A17" s="2" t="s">
        <v>532</v>
      </c>
      <c r="B17" s="2" t="s">
        <v>533</v>
      </c>
      <c r="C17" s="2" t="s">
        <v>44</v>
      </c>
      <c r="D17" s="2" t="s">
        <v>17</v>
      </c>
      <c r="E17" s="2">
        <v>19172</v>
      </c>
      <c r="F17" t="s">
        <v>3522</v>
      </c>
    </row>
    <row r="18" spans="1:6" x14ac:dyDescent="0.25">
      <c r="A18" s="2" t="s">
        <v>535</v>
      </c>
      <c r="B18" s="2" t="s">
        <v>536</v>
      </c>
      <c r="C18" s="2" t="s">
        <v>187</v>
      </c>
      <c r="D18" s="2" t="s">
        <v>17</v>
      </c>
      <c r="E18" s="2">
        <v>97271</v>
      </c>
      <c r="F18" t="s">
        <v>3522</v>
      </c>
    </row>
    <row r="19" spans="1:6" x14ac:dyDescent="0.25">
      <c r="A19" s="2" t="s">
        <v>538</v>
      </c>
      <c r="B19" s="2" t="s">
        <v>539</v>
      </c>
      <c r="C19" s="2" t="s">
        <v>61</v>
      </c>
      <c r="D19" s="2" t="s">
        <v>17</v>
      </c>
      <c r="E19" s="2">
        <v>77240</v>
      </c>
      <c r="F19" t="s">
        <v>3522</v>
      </c>
    </row>
    <row r="20" spans="1:6" x14ac:dyDescent="0.25">
      <c r="A20" s="2" t="s">
        <v>541</v>
      </c>
      <c r="B20" s="2" t="s">
        <v>542</v>
      </c>
      <c r="C20" s="2" t="s">
        <v>470</v>
      </c>
      <c r="D20" s="2" t="s">
        <v>314</v>
      </c>
      <c r="E20" s="2" t="s">
        <v>412</v>
      </c>
      <c r="F20" t="s">
        <v>3521</v>
      </c>
    </row>
    <row r="21" spans="1:6" x14ac:dyDescent="0.25">
      <c r="A21" s="2" t="s">
        <v>544</v>
      </c>
      <c r="B21" s="2" t="s">
        <v>545</v>
      </c>
      <c r="C21" s="2" t="s">
        <v>55</v>
      </c>
      <c r="D21" s="2" t="s">
        <v>17</v>
      </c>
      <c r="E21" s="2">
        <v>10060</v>
      </c>
      <c r="F21" t="s">
        <v>3521</v>
      </c>
    </row>
    <row r="22" spans="1:6" x14ac:dyDescent="0.25">
      <c r="A22" s="2" t="s">
        <v>546</v>
      </c>
      <c r="B22" s="2" t="s">
        <v>547</v>
      </c>
      <c r="C22" s="2" t="s">
        <v>431</v>
      </c>
      <c r="D22" s="2" t="s">
        <v>314</v>
      </c>
      <c r="E22" s="2" t="s">
        <v>330</v>
      </c>
      <c r="F22" t="s">
        <v>3521</v>
      </c>
    </row>
    <row r="23" spans="1:6" x14ac:dyDescent="0.25">
      <c r="A23" s="2" t="s">
        <v>549</v>
      </c>
      <c r="B23" s="2" t="s">
        <v>550</v>
      </c>
      <c r="C23" s="2" t="s">
        <v>181</v>
      </c>
      <c r="D23" s="2" t="s">
        <v>17</v>
      </c>
      <c r="E23" s="2">
        <v>49560</v>
      </c>
      <c r="F23" t="s">
        <v>3522</v>
      </c>
    </row>
    <row r="24" spans="1:6" x14ac:dyDescent="0.25">
      <c r="A24" s="2" t="s">
        <v>552</v>
      </c>
      <c r="B24" s="2" t="s">
        <v>553</v>
      </c>
      <c r="C24" s="2" t="s">
        <v>209</v>
      </c>
      <c r="D24" s="2" t="s">
        <v>17</v>
      </c>
      <c r="E24" s="2">
        <v>33982</v>
      </c>
      <c r="F24" t="s">
        <v>3521</v>
      </c>
    </row>
    <row r="25" spans="1:6" x14ac:dyDescent="0.25">
      <c r="A25" s="2" t="s">
        <v>555</v>
      </c>
      <c r="B25" s="2" t="s">
        <v>556</v>
      </c>
      <c r="C25" s="2" t="s">
        <v>89</v>
      </c>
      <c r="D25" s="2" t="s">
        <v>17</v>
      </c>
      <c r="E25" s="2">
        <v>98682</v>
      </c>
      <c r="F25" t="s">
        <v>3521</v>
      </c>
    </row>
    <row r="26" spans="1:6" x14ac:dyDescent="0.25">
      <c r="A26" s="2" t="s">
        <v>558</v>
      </c>
      <c r="B26" s="2" t="s">
        <v>559</v>
      </c>
      <c r="C26" s="2" t="s">
        <v>155</v>
      </c>
      <c r="D26" s="2" t="s">
        <v>17</v>
      </c>
      <c r="E26" s="2">
        <v>80150</v>
      </c>
      <c r="F26" t="s">
        <v>3522</v>
      </c>
    </row>
    <row r="27" spans="1:6" x14ac:dyDescent="0.25">
      <c r="A27" s="2" t="s">
        <v>561</v>
      </c>
      <c r="B27" s="2" t="s">
        <v>562</v>
      </c>
      <c r="C27" s="2" t="s">
        <v>209</v>
      </c>
      <c r="D27" s="2" t="s">
        <v>17</v>
      </c>
      <c r="E27" s="2">
        <v>33982</v>
      </c>
      <c r="F27" t="s">
        <v>3521</v>
      </c>
    </row>
    <row r="28" spans="1:6" x14ac:dyDescent="0.25">
      <c r="A28" s="2" t="s">
        <v>564</v>
      </c>
      <c r="B28" s="2" t="s">
        <v>565</v>
      </c>
      <c r="C28" s="2" t="s">
        <v>38</v>
      </c>
      <c r="D28" s="2" t="s">
        <v>17</v>
      </c>
      <c r="E28" s="2">
        <v>94975</v>
      </c>
      <c r="F28" t="s">
        <v>3521</v>
      </c>
    </row>
    <row r="29" spans="1:6" x14ac:dyDescent="0.25">
      <c r="A29" s="2" t="s">
        <v>567</v>
      </c>
      <c r="B29" s="2" t="s">
        <v>568</v>
      </c>
      <c r="C29" s="2" t="s">
        <v>429</v>
      </c>
      <c r="D29" s="2" t="s">
        <v>314</v>
      </c>
      <c r="E29" s="2" t="s">
        <v>430</v>
      </c>
      <c r="F29" t="s">
        <v>3522</v>
      </c>
    </row>
    <row r="30" spans="1:6" x14ac:dyDescent="0.25">
      <c r="A30" s="2" t="s">
        <v>570</v>
      </c>
      <c r="B30" s="2" t="s">
        <v>571</v>
      </c>
      <c r="C30" s="2" t="s">
        <v>343</v>
      </c>
      <c r="D30" s="2" t="s">
        <v>314</v>
      </c>
      <c r="E30" s="2" t="s">
        <v>344</v>
      </c>
      <c r="F30" t="s">
        <v>3522</v>
      </c>
    </row>
    <row r="31" spans="1:6" x14ac:dyDescent="0.25">
      <c r="A31" s="2" t="s">
        <v>573</v>
      </c>
      <c r="B31" s="2" t="s">
        <v>574</v>
      </c>
      <c r="C31" s="2" t="s">
        <v>419</v>
      </c>
      <c r="D31" s="2" t="s">
        <v>314</v>
      </c>
      <c r="E31" s="2" t="s">
        <v>398</v>
      </c>
      <c r="F31" t="s">
        <v>3521</v>
      </c>
    </row>
    <row r="32" spans="1:6" x14ac:dyDescent="0.25">
      <c r="A32" s="2" t="s">
        <v>576</v>
      </c>
      <c r="B32" s="2" t="s">
        <v>577</v>
      </c>
      <c r="C32" s="2" t="s">
        <v>131</v>
      </c>
      <c r="D32" s="2" t="s">
        <v>17</v>
      </c>
      <c r="E32" s="2">
        <v>80044</v>
      </c>
      <c r="F32" t="s">
        <v>3522</v>
      </c>
    </row>
    <row r="33" spans="1:6" x14ac:dyDescent="0.25">
      <c r="A33" s="2" t="s">
        <v>578</v>
      </c>
      <c r="B33" s="2" t="s">
        <v>579</v>
      </c>
      <c r="C33" s="2" t="s">
        <v>130</v>
      </c>
      <c r="D33" s="2" t="s">
        <v>17</v>
      </c>
      <c r="E33" s="2">
        <v>11407</v>
      </c>
      <c r="F33" t="s">
        <v>3522</v>
      </c>
    </row>
    <row r="34" spans="1:6" x14ac:dyDescent="0.25">
      <c r="A34" s="2" t="s">
        <v>580</v>
      </c>
      <c r="B34" s="2" t="s">
        <v>581</v>
      </c>
      <c r="C34" s="2" t="s">
        <v>345</v>
      </c>
      <c r="D34" s="2" t="s">
        <v>314</v>
      </c>
      <c r="E34" s="2" t="s">
        <v>346</v>
      </c>
      <c r="F34" t="s">
        <v>3521</v>
      </c>
    </row>
    <row r="35" spans="1:6" x14ac:dyDescent="0.25">
      <c r="A35" s="2" t="s">
        <v>583</v>
      </c>
      <c r="B35" s="2" t="s">
        <v>584</v>
      </c>
      <c r="C35" s="2" t="s">
        <v>139</v>
      </c>
      <c r="D35" s="2" t="s">
        <v>17</v>
      </c>
      <c r="E35" s="2">
        <v>58207</v>
      </c>
      <c r="F35" t="s">
        <v>3522</v>
      </c>
    </row>
    <row r="36" spans="1:6" x14ac:dyDescent="0.25">
      <c r="A36" s="2" t="s">
        <v>586</v>
      </c>
      <c r="B36" s="2" t="s">
        <v>587</v>
      </c>
      <c r="C36" s="2" t="s">
        <v>79</v>
      </c>
      <c r="D36" s="2" t="s">
        <v>26</v>
      </c>
      <c r="E36" s="2" t="s">
        <v>256</v>
      </c>
      <c r="F36" t="s">
        <v>3521</v>
      </c>
    </row>
    <row r="37" spans="1:6" x14ac:dyDescent="0.25">
      <c r="A37" s="2" t="s">
        <v>589</v>
      </c>
      <c r="B37" s="2" t="s">
        <v>590</v>
      </c>
      <c r="C37" s="2" t="s">
        <v>46</v>
      </c>
      <c r="D37" s="2" t="s">
        <v>17</v>
      </c>
      <c r="E37" s="2">
        <v>25362</v>
      </c>
      <c r="F37" t="s">
        <v>3522</v>
      </c>
    </row>
    <row r="38" spans="1:6" x14ac:dyDescent="0.25">
      <c r="A38" s="2" t="s">
        <v>592</v>
      </c>
      <c r="B38" s="2" t="s">
        <v>593</v>
      </c>
      <c r="C38" s="2" t="s">
        <v>86</v>
      </c>
      <c r="D38" s="2" t="s">
        <v>17</v>
      </c>
      <c r="E38" s="2">
        <v>72204</v>
      </c>
      <c r="F38" t="s">
        <v>3522</v>
      </c>
    </row>
    <row r="39" spans="1:6" x14ac:dyDescent="0.25">
      <c r="A39" s="2" t="s">
        <v>595</v>
      </c>
      <c r="B39" s="2" t="s">
        <v>596</v>
      </c>
      <c r="C39" s="2" t="s">
        <v>40</v>
      </c>
      <c r="D39" s="2" t="s">
        <v>17</v>
      </c>
      <c r="E39" s="2">
        <v>80291</v>
      </c>
      <c r="F39" t="s">
        <v>3522</v>
      </c>
    </row>
    <row r="40" spans="1:6" x14ac:dyDescent="0.25">
      <c r="A40" s="2" t="s">
        <v>598</v>
      </c>
      <c r="B40" s="2" t="s">
        <v>599</v>
      </c>
      <c r="C40" s="2" t="s">
        <v>31</v>
      </c>
      <c r="D40" s="2" t="s">
        <v>17</v>
      </c>
      <c r="E40" s="2">
        <v>55458</v>
      </c>
      <c r="F40" t="s">
        <v>3522</v>
      </c>
    </row>
    <row r="41" spans="1:6" x14ac:dyDescent="0.25">
      <c r="A41" s="2" t="s">
        <v>601</v>
      </c>
      <c r="B41" s="2" t="s">
        <v>602</v>
      </c>
      <c r="C41" s="2" t="s">
        <v>124</v>
      </c>
      <c r="D41" s="2" t="s">
        <v>17</v>
      </c>
      <c r="E41" s="2">
        <v>85715</v>
      </c>
      <c r="F41" t="s">
        <v>3521</v>
      </c>
    </row>
    <row r="42" spans="1:6" x14ac:dyDescent="0.25">
      <c r="A42" s="2" t="s">
        <v>604</v>
      </c>
      <c r="B42" s="2" t="s">
        <v>605</v>
      </c>
      <c r="C42" s="2" t="s">
        <v>67</v>
      </c>
      <c r="D42" s="2" t="s">
        <v>17</v>
      </c>
      <c r="E42" s="2">
        <v>70116</v>
      </c>
      <c r="F42" t="s">
        <v>3522</v>
      </c>
    </row>
    <row r="43" spans="1:6" x14ac:dyDescent="0.25">
      <c r="A43" s="2" t="s">
        <v>607</v>
      </c>
      <c r="B43" s="2" t="s">
        <v>608</v>
      </c>
      <c r="C43" s="2" t="s">
        <v>69</v>
      </c>
      <c r="D43" s="2" t="s">
        <v>17</v>
      </c>
      <c r="E43" s="2">
        <v>6183</v>
      </c>
      <c r="F43" t="s">
        <v>3521</v>
      </c>
    </row>
    <row r="44" spans="1:6" x14ac:dyDescent="0.25">
      <c r="A44" s="2" t="s">
        <v>610</v>
      </c>
      <c r="B44" s="2" t="s">
        <v>611</v>
      </c>
      <c r="C44" s="2" t="s">
        <v>612</v>
      </c>
      <c r="D44" s="2" t="s">
        <v>17</v>
      </c>
      <c r="E44" s="2">
        <v>84409</v>
      </c>
      <c r="F44" t="s">
        <v>3521</v>
      </c>
    </row>
    <row r="45" spans="1:6" x14ac:dyDescent="0.25">
      <c r="A45" s="2" t="s">
        <v>614</v>
      </c>
      <c r="B45" s="2" t="s">
        <v>615</v>
      </c>
      <c r="C45" s="2" t="s">
        <v>239</v>
      </c>
      <c r="D45" s="2" t="s">
        <v>17</v>
      </c>
      <c r="E45" s="2">
        <v>2216</v>
      </c>
      <c r="F45" t="s">
        <v>3522</v>
      </c>
    </row>
    <row r="46" spans="1:6" x14ac:dyDescent="0.25">
      <c r="A46" s="2" t="s">
        <v>617</v>
      </c>
      <c r="B46" s="2" t="s">
        <v>618</v>
      </c>
      <c r="C46" s="2" t="s">
        <v>217</v>
      </c>
      <c r="D46" s="2" t="s">
        <v>17</v>
      </c>
      <c r="E46" s="2">
        <v>14604</v>
      </c>
      <c r="F46" t="s">
        <v>3521</v>
      </c>
    </row>
    <row r="47" spans="1:6" x14ac:dyDescent="0.25">
      <c r="A47" s="2" t="s">
        <v>620</v>
      </c>
      <c r="B47" s="2" t="s">
        <v>621</v>
      </c>
      <c r="C47" s="2" t="s">
        <v>92</v>
      </c>
      <c r="D47" s="2" t="s">
        <v>17</v>
      </c>
      <c r="E47" s="2">
        <v>10469</v>
      </c>
      <c r="F47" t="s">
        <v>3522</v>
      </c>
    </row>
    <row r="48" spans="1:6" x14ac:dyDescent="0.25">
      <c r="A48" s="2" t="s">
        <v>623</v>
      </c>
      <c r="B48" s="2" t="s">
        <v>624</v>
      </c>
      <c r="C48" s="2" t="s">
        <v>142</v>
      </c>
      <c r="D48" s="2" t="s">
        <v>17</v>
      </c>
      <c r="E48" s="2">
        <v>35205</v>
      </c>
      <c r="F48" t="s">
        <v>3521</v>
      </c>
    </row>
    <row r="49" spans="1:6" x14ac:dyDescent="0.25">
      <c r="A49" s="2" t="s">
        <v>626</v>
      </c>
      <c r="B49" s="2" t="s">
        <v>627</v>
      </c>
      <c r="C49" s="2" t="s">
        <v>270</v>
      </c>
      <c r="D49" s="2" t="s">
        <v>17</v>
      </c>
      <c r="E49" s="2">
        <v>92415</v>
      </c>
      <c r="F49" t="s">
        <v>3521</v>
      </c>
    </row>
    <row r="50" spans="1:6" x14ac:dyDescent="0.25">
      <c r="A50" s="2" t="s">
        <v>629</v>
      </c>
      <c r="B50" s="2" t="s">
        <v>630</v>
      </c>
      <c r="C50" s="2" t="s">
        <v>126</v>
      </c>
      <c r="D50" s="2" t="s">
        <v>17</v>
      </c>
      <c r="E50" s="2">
        <v>23514</v>
      </c>
      <c r="F50" t="s">
        <v>3522</v>
      </c>
    </row>
    <row r="51" spans="1:6" x14ac:dyDescent="0.25">
      <c r="A51" s="2" t="s">
        <v>632</v>
      </c>
      <c r="B51" s="2" t="s">
        <v>633</v>
      </c>
      <c r="C51" s="2" t="s">
        <v>45</v>
      </c>
      <c r="D51" s="2" t="s">
        <v>17</v>
      </c>
      <c r="E51" s="2">
        <v>20409</v>
      </c>
      <c r="F51" t="s">
        <v>3522</v>
      </c>
    </row>
    <row r="52" spans="1:6" x14ac:dyDescent="0.25">
      <c r="A52" s="2" t="s">
        <v>635</v>
      </c>
      <c r="B52" s="2" t="s">
        <v>636</v>
      </c>
      <c r="C52" s="2" t="s">
        <v>269</v>
      </c>
      <c r="D52" s="2" t="s">
        <v>17</v>
      </c>
      <c r="E52" s="2">
        <v>33355</v>
      </c>
      <c r="F52" t="s">
        <v>3522</v>
      </c>
    </row>
    <row r="53" spans="1:6" x14ac:dyDescent="0.25">
      <c r="A53" s="2" t="s">
        <v>638</v>
      </c>
      <c r="B53" s="2" t="s">
        <v>639</v>
      </c>
      <c r="C53" s="2" t="s">
        <v>325</v>
      </c>
      <c r="D53" s="2" t="s">
        <v>314</v>
      </c>
      <c r="E53" s="2" t="s">
        <v>326</v>
      </c>
      <c r="F53" t="s">
        <v>3521</v>
      </c>
    </row>
    <row r="54" spans="1:6" x14ac:dyDescent="0.25">
      <c r="A54" s="2" t="s">
        <v>641</v>
      </c>
      <c r="B54" s="2" t="s">
        <v>642</v>
      </c>
      <c r="C54" s="2" t="s">
        <v>246</v>
      </c>
      <c r="D54" s="2" t="s">
        <v>26</v>
      </c>
      <c r="E54" s="2" t="s">
        <v>247</v>
      </c>
      <c r="F54" t="s">
        <v>3522</v>
      </c>
    </row>
    <row r="55" spans="1:6" x14ac:dyDescent="0.25">
      <c r="A55" s="2" t="s">
        <v>643</v>
      </c>
      <c r="B55" s="2" t="s">
        <v>644</v>
      </c>
      <c r="C55" s="2" t="s">
        <v>136</v>
      </c>
      <c r="D55" s="2" t="s">
        <v>17</v>
      </c>
      <c r="E55" s="2">
        <v>84605</v>
      </c>
      <c r="F55" t="s">
        <v>3522</v>
      </c>
    </row>
    <row r="56" spans="1:6" x14ac:dyDescent="0.25">
      <c r="A56" s="2" t="s">
        <v>646</v>
      </c>
      <c r="B56" s="2" t="s">
        <v>647</v>
      </c>
      <c r="C56" s="2" t="s">
        <v>258</v>
      </c>
      <c r="D56" s="2" t="s">
        <v>17</v>
      </c>
      <c r="E56" s="2">
        <v>43666</v>
      </c>
      <c r="F56" t="s">
        <v>3522</v>
      </c>
    </row>
    <row r="57" spans="1:6" x14ac:dyDescent="0.25">
      <c r="A57" s="2" t="s">
        <v>649</v>
      </c>
      <c r="B57" s="2" t="s">
        <v>650</v>
      </c>
      <c r="C57" s="2" t="s">
        <v>133</v>
      </c>
      <c r="D57" s="2" t="s">
        <v>17</v>
      </c>
      <c r="E57" s="2">
        <v>8650</v>
      </c>
      <c r="F57" t="s">
        <v>3522</v>
      </c>
    </row>
    <row r="58" spans="1:6" x14ac:dyDescent="0.25">
      <c r="A58" s="2" t="s">
        <v>652</v>
      </c>
      <c r="B58" s="2" t="s">
        <v>653</v>
      </c>
      <c r="C58" s="2" t="s">
        <v>135</v>
      </c>
      <c r="D58" s="2" t="s">
        <v>17</v>
      </c>
      <c r="E58" s="2">
        <v>33686</v>
      </c>
      <c r="F58" t="s">
        <v>3521</v>
      </c>
    </row>
    <row r="59" spans="1:6" x14ac:dyDescent="0.25">
      <c r="A59" s="2" t="s">
        <v>655</v>
      </c>
      <c r="B59" s="2" t="s">
        <v>656</v>
      </c>
      <c r="C59" s="2" t="s">
        <v>248</v>
      </c>
      <c r="D59" s="2" t="s">
        <v>17</v>
      </c>
      <c r="E59" s="2">
        <v>32590</v>
      </c>
      <c r="F59" t="s">
        <v>3522</v>
      </c>
    </row>
    <row r="60" spans="1:6" x14ac:dyDescent="0.25">
      <c r="A60" s="2" t="s">
        <v>658</v>
      </c>
      <c r="B60" s="2" t="s">
        <v>659</v>
      </c>
      <c r="C60" s="2" t="s">
        <v>232</v>
      </c>
      <c r="D60" s="2" t="s">
        <v>17</v>
      </c>
      <c r="E60" s="2">
        <v>33543</v>
      </c>
      <c r="F60" t="s">
        <v>3521</v>
      </c>
    </row>
    <row r="61" spans="1:6" x14ac:dyDescent="0.25">
      <c r="A61" s="2" t="s">
        <v>661</v>
      </c>
      <c r="B61" s="2" t="s">
        <v>662</v>
      </c>
      <c r="C61" s="2" t="s">
        <v>171</v>
      </c>
      <c r="D61" s="2" t="s">
        <v>17</v>
      </c>
      <c r="E61" s="2">
        <v>55123</v>
      </c>
      <c r="F61" t="s">
        <v>3521</v>
      </c>
    </row>
    <row r="62" spans="1:6" x14ac:dyDescent="0.25">
      <c r="A62" s="2" t="s">
        <v>664</v>
      </c>
      <c r="B62" s="2" t="s">
        <v>665</v>
      </c>
      <c r="C62" s="2" t="s">
        <v>64</v>
      </c>
      <c r="D62" s="2" t="s">
        <v>17</v>
      </c>
      <c r="E62" s="2">
        <v>46862</v>
      </c>
      <c r="F62" t="s">
        <v>3522</v>
      </c>
    </row>
    <row r="63" spans="1:6" x14ac:dyDescent="0.25">
      <c r="A63" s="2" t="s">
        <v>667</v>
      </c>
      <c r="B63" s="2" t="s">
        <v>668</v>
      </c>
      <c r="C63" s="2" t="s">
        <v>149</v>
      </c>
      <c r="D63" s="2" t="s">
        <v>26</v>
      </c>
      <c r="E63" s="2" t="s">
        <v>150</v>
      </c>
      <c r="F63" t="s">
        <v>3521</v>
      </c>
    </row>
    <row r="64" spans="1:6" x14ac:dyDescent="0.25">
      <c r="A64" s="2" t="s">
        <v>670</v>
      </c>
      <c r="B64" s="2" t="s">
        <v>671</v>
      </c>
      <c r="C64" s="2" t="s">
        <v>265</v>
      </c>
      <c r="D64" s="2" t="s">
        <v>17</v>
      </c>
      <c r="E64" s="2">
        <v>34114</v>
      </c>
      <c r="F64" t="s">
        <v>3521</v>
      </c>
    </row>
    <row r="65" spans="1:6" x14ac:dyDescent="0.25">
      <c r="A65" s="2" t="s">
        <v>673</v>
      </c>
      <c r="B65" s="2" t="s">
        <v>674</v>
      </c>
      <c r="C65" s="2" t="s">
        <v>54</v>
      </c>
      <c r="D65" s="2" t="s">
        <v>17</v>
      </c>
      <c r="E65" s="2">
        <v>60681</v>
      </c>
      <c r="F65" t="s">
        <v>3522</v>
      </c>
    </row>
    <row r="66" spans="1:6" x14ac:dyDescent="0.25">
      <c r="A66" s="2" t="s">
        <v>676</v>
      </c>
      <c r="B66" s="2" t="s">
        <v>677</v>
      </c>
      <c r="C66" s="2" t="s">
        <v>197</v>
      </c>
      <c r="D66" s="2" t="s">
        <v>17</v>
      </c>
      <c r="E66" s="2">
        <v>7104</v>
      </c>
      <c r="F66" t="s">
        <v>3521</v>
      </c>
    </row>
    <row r="67" spans="1:6" x14ac:dyDescent="0.25">
      <c r="A67" s="2" t="s">
        <v>679</v>
      </c>
      <c r="B67" s="2" t="s">
        <v>680</v>
      </c>
      <c r="C67" s="2" t="s">
        <v>360</v>
      </c>
      <c r="D67" s="2" t="s">
        <v>17</v>
      </c>
      <c r="E67" s="2">
        <v>22184</v>
      </c>
      <c r="F67" t="s">
        <v>3521</v>
      </c>
    </row>
    <row r="68" spans="1:6" x14ac:dyDescent="0.25">
      <c r="A68" s="2" t="s">
        <v>682</v>
      </c>
      <c r="B68" s="2" t="s">
        <v>683</v>
      </c>
      <c r="C68" s="2" t="s">
        <v>104</v>
      </c>
      <c r="D68" s="2" t="s">
        <v>17</v>
      </c>
      <c r="E68" s="2">
        <v>76178</v>
      </c>
      <c r="F68" t="s">
        <v>3521</v>
      </c>
    </row>
    <row r="69" spans="1:6" x14ac:dyDescent="0.25">
      <c r="A69" s="2" t="s">
        <v>685</v>
      </c>
      <c r="B69" s="2" t="s">
        <v>686</v>
      </c>
      <c r="C69" s="2" t="s">
        <v>116</v>
      </c>
      <c r="D69" s="2" t="s">
        <v>17</v>
      </c>
      <c r="E69" s="2">
        <v>91505</v>
      </c>
      <c r="F69" t="s">
        <v>3522</v>
      </c>
    </row>
    <row r="70" spans="1:6" x14ac:dyDescent="0.25">
      <c r="A70" s="2" t="s">
        <v>688</v>
      </c>
      <c r="B70" s="2" t="s">
        <v>689</v>
      </c>
      <c r="C70" s="2" t="s">
        <v>266</v>
      </c>
      <c r="D70" s="2" t="s">
        <v>17</v>
      </c>
      <c r="E70" s="2">
        <v>37665</v>
      </c>
      <c r="F70" t="s">
        <v>3522</v>
      </c>
    </row>
    <row r="71" spans="1:6" x14ac:dyDescent="0.25">
      <c r="A71" s="2" t="s">
        <v>691</v>
      </c>
      <c r="B71" s="2" t="s">
        <v>692</v>
      </c>
      <c r="C71" s="2" t="s">
        <v>282</v>
      </c>
      <c r="D71" s="2" t="s">
        <v>26</v>
      </c>
      <c r="E71" s="2" t="s">
        <v>693</v>
      </c>
      <c r="F71" t="s">
        <v>3521</v>
      </c>
    </row>
    <row r="72" spans="1:6" x14ac:dyDescent="0.25">
      <c r="A72" s="2" t="s">
        <v>695</v>
      </c>
      <c r="B72" s="2" t="s">
        <v>696</v>
      </c>
      <c r="C72" s="2" t="s">
        <v>37</v>
      </c>
      <c r="D72" s="2" t="s">
        <v>17</v>
      </c>
      <c r="E72" s="2">
        <v>43231</v>
      </c>
      <c r="F72" t="s">
        <v>3522</v>
      </c>
    </row>
    <row r="73" spans="1:6" x14ac:dyDescent="0.25">
      <c r="A73" s="2" t="s">
        <v>698</v>
      </c>
      <c r="B73" s="2" t="s">
        <v>699</v>
      </c>
      <c r="C73" s="2" t="s">
        <v>404</v>
      </c>
      <c r="D73" s="2" t="s">
        <v>314</v>
      </c>
      <c r="E73" s="2" t="s">
        <v>339</v>
      </c>
      <c r="F73" t="s">
        <v>3522</v>
      </c>
    </row>
    <row r="74" spans="1:6" x14ac:dyDescent="0.25">
      <c r="A74" s="2" t="s">
        <v>701</v>
      </c>
      <c r="B74" s="2" t="s">
        <v>702</v>
      </c>
      <c r="C74" s="2" t="s">
        <v>67</v>
      </c>
      <c r="D74" s="2" t="s">
        <v>17</v>
      </c>
      <c r="E74" s="2">
        <v>70183</v>
      </c>
      <c r="F74" t="s">
        <v>3522</v>
      </c>
    </row>
    <row r="75" spans="1:6" x14ac:dyDescent="0.25">
      <c r="A75" s="2" t="s">
        <v>704</v>
      </c>
      <c r="B75" s="2" t="s">
        <v>705</v>
      </c>
      <c r="C75" s="2" t="s">
        <v>33</v>
      </c>
      <c r="D75" s="2" t="s">
        <v>17</v>
      </c>
      <c r="E75" s="2">
        <v>28230</v>
      </c>
      <c r="F75" t="s">
        <v>3521</v>
      </c>
    </row>
    <row r="76" spans="1:6" x14ac:dyDescent="0.25">
      <c r="A76" s="2" t="s">
        <v>707</v>
      </c>
      <c r="B76" s="2" t="s">
        <v>708</v>
      </c>
      <c r="C76" s="2" t="s">
        <v>81</v>
      </c>
      <c r="D76" s="2" t="s">
        <v>17</v>
      </c>
      <c r="E76" s="2">
        <v>1114</v>
      </c>
      <c r="F76" t="s">
        <v>3521</v>
      </c>
    </row>
    <row r="77" spans="1:6" x14ac:dyDescent="0.25">
      <c r="A77" s="2" t="s">
        <v>710</v>
      </c>
      <c r="B77" s="2" t="s">
        <v>711</v>
      </c>
      <c r="C77" s="2" t="s">
        <v>323</v>
      </c>
      <c r="D77" s="2" t="s">
        <v>314</v>
      </c>
      <c r="E77" s="2" t="s">
        <v>317</v>
      </c>
      <c r="F77" t="s">
        <v>3521</v>
      </c>
    </row>
    <row r="78" spans="1:6" x14ac:dyDescent="0.25">
      <c r="A78" s="2" t="s">
        <v>713</v>
      </c>
      <c r="B78" s="2" t="s">
        <v>714</v>
      </c>
      <c r="C78" s="2" t="s">
        <v>478</v>
      </c>
      <c r="D78" s="2" t="s">
        <v>314</v>
      </c>
      <c r="E78" s="2" t="s">
        <v>355</v>
      </c>
      <c r="F78" t="s">
        <v>3521</v>
      </c>
    </row>
    <row r="79" spans="1:6" x14ac:dyDescent="0.25">
      <c r="A79" s="2" t="s">
        <v>716</v>
      </c>
      <c r="B79" s="2" t="s">
        <v>717</v>
      </c>
      <c r="C79" s="2" t="s">
        <v>210</v>
      </c>
      <c r="D79" s="2" t="s">
        <v>17</v>
      </c>
      <c r="E79" s="2">
        <v>79705</v>
      </c>
      <c r="F79" t="s">
        <v>3522</v>
      </c>
    </row>
    <row r="80" spans="1:6" x14ac:dyDescent="0.25">
      <c r="A80" s="2" t="s">
        <v>719</v>
      </c>
      <c r="B80" s="2" t="s">
        <v>720</v>
      </c>
      <c r="C80" s="2" t="s">
        <v>50</v>
      </c>
      <c r="D80" s="2" t="s">
        <v>17</v>
      </c>
      <c r="E80" s="2">
        <v>75323</v>
      </c>
      <c r="F80" t="s">
        <v>3521</v>
      </c>
    </row>
    <row r="81" spans="1:6" x14ac:dyDescent="0.25">
      <c r="A81" s="2" t="s">
        <v>722</v>
      </c>
      <c r="B81" s="2" t="s">
        <v>723</v>
      </c>
      <c r="C81" s="2" t="s">
        <v>286</v>
      </c>
      <c r="D81" s="2" t="s">
        <v>17</v>
      </c>
      <c r="E81" s="2">
        <v>20189</v>
      </c>
      <c r="F81" t="s">
        <v>3522</v>
      </c>
    </row>
    <row r="82" spans="1:6" x14ac:dyDescent="0.25">
      <c r="A82" s="2" t="s">
        <v>725</v>
      </c>
      <c r="B82" s="2" t="s">
        <v>726</v>
      </c>
      <c r="C82" s="2" t="s">
        <v>147</v>
      </c>
      <c r="D82" s="2" t="s">
        <v>17</v>
      </c>
      <c r="E82" s="2">
        <v>94627</v>
      </c>
      <c r="F82" t="s">
        <v>3521</v>
      </c>
    </row>
    <row r="83" spans="1:6" x14ac:dyDescent="0.25">
      <c r="A83" s="2" t="s">
        <v>728</v>
      </c>
      <c r="B83" s="2" t="s">
        <v>729</v>
      </c>
      <c r="C83" s="2" t="s">
        <v>76</v>
      </c>
      <c r="D83" s="2" t="s">
        <v>17</v>
      </c>
      <c r="E83" s="2">
        <v>80930</v>
      </c>
      <c r="F83" t="s">
        <v>3521</v>
      </c>
    </row>
    <row r="84" spans="1:6" x14ac:dyDescent="0.25">
      <c r="A84" s="2" t="s">
        <v>731</v>
      </c>
      <c r="B84" s="2" t="s">
        <v>732</v>
      </c>
      <c r="C84" s="2" t="s">
        <v>452</v>
      </c>
      <c r="D84" s="2" t="s">
        <v>314</v>
      </c>
      <c r="E84" s="2" t="s">
        <v>453</v>
      </c>
      <c r="F84" t="s">
        <v>3521</v>
      </c>
    </row>
    <row r="85" spans="1:6" x14ac:dyDescent="0.25">
      <c r="A85" s="2" t="s">
        <v>734</v>
      </c>
      <c r="B85" s="2" t="s">
        <v>735</v>
      </c>
      <c r="C85" s="2" t="s">
        <v>118</v>
      </c>
      <c r="D85" s="2" t="s">
        <v>17</v>
      </c>
      <c r="E85" s="2">
        <v>14205</v>
      </c>
      <c r="F85" t="s">
        <v>3521</v>
      </c>
    </row>
    <row r="86" spans="1:6" x14ac:dyDescent="0.25">
      <c r="A86" s="2" t="s">
        <v>737</v>
      </c>
      <c r="B86" s="2" t="s">
        <v>738</v>
      </c>
      <c r="C86" s="2" t="s">
        <v>28</v>
      </c>
      <c r="D86" s="2" t="s">
        <v>17</v>
      </c>
      <c r="E86" s="2">
        <v>93715</v>
      </c>
      <c r="F86" t="s">
        <v>3522</v>
      </c>
    </row>
    <row r="87" spans="1:6" x14ac:dyDescent="0.25">
      <c r="A87" s="2" t="s">
        <v>740</v>
      </c>
      <c r="B87" s="2" t="s">
        <v>741</v>
      </c>
      <c r="C87" s="2" t="s">
        <v>104</v>
      </c>
      <c r="D87" s="2" t="s">
        <v>17</v>
      </c>
      <c r="E87" s="2">
        <v>76121</v>
      </c>
      <c r="F87" t="s">
        <v>3522</v>
      </c>
    </row>
    <row r="88" spans="1:6" x14ac:dyDescent="0.25">
      <c r="A88" s="2" t="s">
        <v>742</v>
      </c>
      <c r="B88" s="2" t="s">
        <v>743</v>
      </c>
      <c r="C88" s="2" t="s">
        <v>75</v>
      </c>
      <c r="D88" s="2" t="s">
        <v>17</v>
      </c>
      <c r="E88" s="2">
        <v>73179</v>
      </c>
      <c r="F88" t="s">
        <v>3521</v>
      </c>
    </row>
    <row r="89" spans="1:6" x14ac:dyDescent="0.25">
      <c r="A89" s="2" t="s">
        <v>745</v>
      </c>
      <c r="B89" s="2" t="s">
        <v>746</v>
      </c>
      <c r="C89" s="2" t="s">
        <v>287</v>
      </c>
      <c r="D89" s="2" t="s">
        <v>17</v>
      </c>
      <c r="E89" s="2">
        <v>77705</v>
      </c>
      <c r="F89" t="s">
        <v>3522</v>
      </c>
    </row>
    <row r="90" spans="1:6" x14ac:dyDescent="0.25">
      <c r="A90" s="2" t="s">
        <v>748</v>
      </c>
      <c r="B90" s="2" t="s">
        <v>749</v>
      </c>
      <c r="C90" s="2" t="s">
        <v>120</v>
      </c>
      <c r="D90" s="2" t="s">
        <v>17</v>
      </c>
      <c r="E90" s="2">
        <v>89519</v>
      </c>
      <c r="F90" t="s">
        <v>3522</v>
      </c>
    </row>
    <row r="91" spans="1:6" x14ac:dyDescent="0.25">
      <c r="A91" s="2" t="s">
        <v>751</v>
      </c>
      <c r="B91" s="2" t="s">
        <v>752</v>
      </c>
      <c r="C91" s="2" t="s">
        <v>114</v>
      </c>
      <c r="D91" s="2" t="s">
        <v>17</v>
      </c>
      <c r="E91" s="2">
        <v>64136</v>
      </c>
      <c r="F91" t="s">
        <v>3522</v>
      </c>
    </row>
    <row r="92" spans="1:6" x14ac:dyDescent="0.25">
      <c r="A92" s="2" t="s">
        <v>754</v>
      </c>
      <c r="B92" s="2" t="s">
        <v>755</v>
      </c>
      <c r="C92" s="2" t="s">
        <v>325</v>
      </c>
      <c r="D92" s="2" t="s">
        <v>314</v>
      </c>
      <c r="E92" s="2" t="s">
        <v>326</v>
      </c>
      <c r="F92" t="s">
        <v>3521</v>
      </c>
    </row>
    <row r="93" spans="1:6" x14ac:dyDescent="0.25">
      <c r="A93" s="2" t="s">
        <v>757</v>
      </c>
      <c r="B93" s="2" t="s">
        <v>758</v>
      </c>
      <c r="C93" s="2" t="s">
        <v>151</v>
      </c>
      <c r="D93" s="2" t="s">
        <v>17</v>
      </c>
      <c r="E93" s="2">
        <v>92878</v>
      </c>
      <c r="F93" t="s">
        <v>3522</v>
      </c>
    </row>
    <row r="94" spans="1:6" x14ac:dyDescent="0.25">
      <c r="A94" s="2" t="s">
        <v>760</v>
      </c>
      <c r="B94" s="2" t="s">
        <v>761</v>
      </c>
      <c r="C94" s="2" t="s">
        <v>121</v>
      </c>
      <c r="D94" s="2" t="s">
        <v>17</v>
      </c>
      <c r="E94" s="2">
        <v>78759</v>
      </c>
      <c r="F94" t="s">
        <v>3521</v>
      </c>
    </row>
    <row r="95" spans="1:6" x14ac:dyDescent="0.25">
      <c r="A95" s="2" t="s">
        <v>763</v>
      </c>
      <c r="B95" s="2" t="s">
        <v>764</v>
      </c>
      <c r="C95" s="2" t="s">
        <v>111</v>
      </c>
      <c r="D95" s="2" t="s">
        <v>26</v>
      </c>
      <c r="E95" s="2" t="s">
        <v>112</v>
      </c>
      <c r="F95" t="s">
        <v>3521</v>
      </c>
    </row>
    <row r="96" spans="1:6" x14ac:dyDescent="0.25">
      <c r="A96" s="2" t="s">
        <v>766</v>
      </c>
      <c r="B96" s="2" t="s">
        <v>767</v>
      </c>
      <c r="C96" s="2" t="s">
        <v>383</v>
      </c>
      <c r="D96" s="2" t="s">
        <v>314</v>
      </c>
      <c r="E96" s="2" t="s">
        <v>384</v>
      </c>
      <c r="F96" t="s">
        <v>3521</v>
      </c>
    </row>
    <row r="97" spans="1:6" x14ac:dyDescent="0.25">
      <c r="A97" s="2" t="s">
        <v>769</v>
      </c>
      <c r="B97" s="2" t="s">
        <v>770</v>
      </c>
      <c r="C97" s="2" t="s">
        <v>28</v>
      </c>
      <c r="D97" s="2" t="s">
        <v>17</v>
      </c>
      <c r="E97" s="2">
        <v>93762</v>
      </c>
      <c r="F97" t="s">
        <v>3522</v>
      </c>
    </row>
    <row r="98" spans="1:6" x14ac:dyDescent="0.25">
      <c r="A98" s="2" t="s">
        <v>772</v>
      </c>
      <c r="B98" s="2" t="s">
        <v>773</v>
      </c>
      <c r="C98" s="2" t="s">
        <v>102</v>
      </c>
      <c r="D98" s="2" t="s">
        <v>17</v>
      </c>
      <c r="E98" s="2">
        <v>63150</v>
      </c>
      <c r="F98" t="s">
        <v>3522</v>
      </c>
    </row>
    <row r="99" spans="1:6" x14ac:dyDescent="0.25">
      <c r="A99" s="2" t="s">
        <v>775</v>
      </c>
      <c r="B99" s="2" t="s">
        <v>776</v>
      </c>
      <c r="C99" s="2" t="s">
        <v>28</v>
      </c>
      <c r="D99" s="2" t="s">
        <v>17</v>
      </c>
      <c r="E99" s="2">
        <v>93726</v>
      </c>
      <c r="F99" t="s">
        <v>3522</v>
      </c>
    </row>
    <row r="100" spans="1:6" x14ac:dyDescent="0.25">
      <c r="A100" s="2" t="s">
        <v>778</v>
      </c>
      <c r="B100" s="2" t="s">
        <v>779</v>
      </c>
      <c r="C100" s="2" t="s">
        <v>380</v>
      </c>
      <c r="D100" s="2" t="s">
        <v>314</v>
      </c>
      <c r="E100" s="2" t="s">
        <v>365</v>
      </c>
      <c r="F100" t="s">
        <v>3522</v>
      </c>
    </row>
    <row r="101" spans="1:6" x14ac:dyDescent="0.25">
      <c r="A101" s="2" t="s">
        <v>781</v>
      </c>
      <c r="B101" s="2" t="s">
        <v>782</v>
      </c>
      <c r="C101" s="2" t="s">
        <v>37</v>
      </c>
      <c r="D101" s="2" t="s">
        <v>17</v>
      </c>
      <c r="E101" s="2">
        <v>43210</v>
      </c>
      <c r="F101" t="s">
        <v>3521</v>
      </c>
    </row>
    <row r="102" spans="1:6" x14ac:dyDescent="0.25">
      <c r="A102" s="2" t="s">
        <v>784</v>
      </c>
      <c r="B102" s="2" t="s">
        <v>785</v>
      </c>
      <c r="C102" s="2" t="s">
        <v>289</v>
      </c>
      <c r="D102" s="2" t="s">
        <v>17</v>
      </c>
      <c r="E102" s="2">
        <v>95205</v>
      </c>
      <c r="F102" t="s">
        <v>3521</v>
      </c>
    </row>
    <row r="103" spans="1:6" x14ac:dyDescent="0.25">
      <c r="A103" s="2" t="s">
        <v>787</v>
      </c>
      <c r="B103" s="2" t="s">
        <v>788</v>
      </c>
      <c r="C103" s="2" t="s">
        <v>433</v>
      </c>
      <c r="D103" s="2" t="s">
        <v>314</v>
      </c>
      <c r="E103" s="2" t="s">
        <v>434</v>
      </c>
      <c r="F103" t="s">
        <v>3521</v>
      </c>
    </row>
    <row r="104" spans="1:6" x14ac:dyDescent="0.25">
      <c r="A104" s="2" t="s">
        <v>790</v>
      </c>
      <c r="B104" s="2" t="s">
        <v>791</v>
      </c>
      <c r="C104" s="2" t="s">
        <v>413</v>
      </c>
      <c r="D104" s="2" t="s">
        <v>314</v>
      </c>
      <c r="E104" s="2" t="s">
        <v>365</v>
      </c>
      <c r="F104" t="s">
        <v>3521</v>
      </c>
    </row>
    <row r="105" spans="1:6" x14ac:dyDescent="0.25">
      <c r="A105" s="2" t="s">
        <v>793</v>
      </c>
      <c r="B105" s="2" t="s">
        <v>794</v>
      </c>
      <c r="C105" s="2" t="s">
        <v>217</v>
      </c>
      <c r="D105" s="2" t="s">
        <v>17</v>
      </c>
      <c r="E105" s="2">
        <v>14652</v>
      </c>
      <c r="F105" t="s">
        <v>3522</v>
      </c>
    </row>
    <row r="106" spans="1:6" x14ac:dyDescent="0.25">
      <c r="A106" s="2" t="s">
        <v>796</v>
      </c>
      <c r="B106" s="2" t="s">
        <v>797</v>
      </c>
      <c r="C106" s="2" t="s">
        <v>140</v>
      </c>
      <c r="D106" s="2" t="s">
        <v>17</v>
      </c>
      <c r="E106" s="2">
        <v>35487</v>
      </c>
      <c r="F106" t="s">
        <v>3522</v>
      </c>
    </row>
    <row r="107" spans="1:6" x14ac:dyDescent="0.25">
      <c r="A107" s="2" t="s">
        <v>799</v>
      </c>
      <c r="B107" s="2" t="s">
        <v>800</v>
      </c>
      <c r="C107" s="2" t="s">
        <v>61</v>
      </c>
      <c r="D107" s="2" t="s">
        <v>17</v>
      </c>
      <c r="E107" s="2">
        <v>77260</v>
      </c>
      <c r="F107" t="s">
        <v>3521</v>
      </c>
    </row>
    <row r="108" spans="1:6" x14ac:dyDescent="0.25">
      <c r="A108" s="2" t="s">
        <v>802</v>
      </c>
      <c r="B108" s="2" t="s">
        <v>803</v>
      </c>
      <c r="C108" s="2" t="s">
        <v>48</v>
      </c>
      <c r="D108" s="2" t="s">
        <v>17</v>
      </c>
      <c r="E108" s="2">
        <v>88514</v>
      </c>
      <c r="F108" t="s">
        <v>3522</v>
      </c>
    </row>
    <row r="109" spans="1:6" x14ac:dyDescent="0.25">
      <c r="A109" s="2" t="s">
        <v>805</v>
      </c>
      <c r="B109" s="2" t="s">
        <v>806</v>
      </c>
      <c r="C109" s="2" t="s">
        <v>76</v>
      </c>
      <c r="D109" s="2" t="s">
        <v>17</v>
      </c>
      <c r="E109" s="2">
        <v>80935</v>
      </c>
      <c r="F109" t="s">
        <v>3521</v>
      </c>
    </row>
    <row r="110" spans="1:6" x14ac:dyDescent="0.25">
      <c r="A110" s="2" t="s">
        <v>808</v>
      </c>
      <c r="B110" s="2" t="s">
        <v>809</v>
      </c>
      <c r="C110" s="2" t="s">
        <v>64</v>
      </c>
      <c r="D110" s="2" t="s">
        <v>17</v>
      </c>
      <c r="E110" s="2">
        <v>46862</v>
      </c>
      <c r="F110" t="s">
        <v>3522</v>
      </c>
    </row>
    <row r="111" spans="1:6" x14ac:dyDescent="0.25">
      <c r="A111" s="2" t="s">
        <v>811</v>
      </c>
      <c r="B111" s="2" t="s">
        <v>812</v>
      </c>
      <c r="C111" s="2" t="s">
        <v>233</v>
      </c>
      <c r="D111" s="2" t="s">
        <v>17</v>
      </c>
      <c r="E111" s="2">
        <v>11054</v>
      </c>
      <c r="F111" t="s">
        <v>3521</v>
      </c>
    </row>
    <row r="112" spans="1:6" x14ac:dyDescent="0.25">
      <c r="A112" s="2" t="s">
        <v>814</v>
      </c>
      <c r="B112" s="2" t="s">
        <v>815</v>
      </c>
      <c r="C112" s="2" t="s">
        <v>81</v>
      </c>
      <c r="D112" s="2" t="s">
        <v>17</v>
      </c>
      <c r="E112" s="2">
        <v>1105</v>
      </c>
      <c r="F112" t="s">
        <v>3521</v>
      </c>
    </row>
    <row r="113" spans="1:6" x14ac:dyDescent="0.25">
      <c r="A113" s="2" t="s">
        <v>817</v>
      </c>
      <c r="B113" s="2" t="s">
        <v>818</v>
      </c>
      <c r="C113" s="2" t="s">
        <v>248</v>
      </c>
      <c r="D113" s="2" t="s">
        <v>17</v>
      </c>
      <c r="E113" s="2">
        <v>32575</v>
      </c>
      <c r="F113" t="s">
        <v>3522</v>
      </c>
    </row>
    <row r="114" spans="1:6" x14ac:dyDescent="0.25">
      <c r="A114" s="2" t="s">
        <v>820</v>
      </c>
      <c r="B114" s="2" t="s">
        <v>821</v>
      </c>
      <c r="C114" s="2" t="s">
        <v>36</v>
      </c>
      <c r="D114" s="2" t="s">
        <v>17</v>
      </c>
      <c r="E114" s="2">
        <v>23242</v>
      </c>
      <c r="F114" t="s">
        <v>3522</v>
      </c>
    </row>
    <row r="115" spans="1:6" x14ac:dyDescent="0.25">
      <c r="A115" s="2" t="s">
        <v>823</v>
      </c>
      <c r="B115" s="2" t="s">
        <v>824</v>
      </c>
      <c r="C115" s="2" t="s">
        <v>428</v>
      </c>
      <c r="D115" s="2" t="s">
        <v>314</v>
      </c>
      <c r="E115" s="2" t="s">
        <v>416</v>
      </c>
      <c r="F115" t="s">
        <v>3522</v>
      </c>
    </row>
    <row r="116" spans="1:6" x14ac:dyDescent="0.25">
      <c r="A116" s="2" t="s">
        <v>826</v>
      </c>
      <c r="B116" s="2" t="s">
        <v>827</v>
      </c>
      <c r="C116" s="2" t="s">
        <v>24</v>
      </c>
      <c r="D116" s="2" t="s">
        <v>17</v>
      </c>
      <c r="E116" s="2">
        <v>25705</v>
      </c>
      <c r="F116" t="s">
        <v>3522</v>
      </c>
    </row>
    <row r="117" spans="1:6" x14ac:dyDescent="0.25">
      <c r="A117" s="2" t="s">
        <v>829</v>
      </c>
      <c r="B117" s="2" t="s">
        <v>830</v>
      </c>
      <c r="C117" s="2" t="s">
        <v>142</v>
      </c>
      <c r="D117" s="2" t="s">
        <v>26</v>
      </c>
      <c r="E117" s="2" t="s">
        <v>143</v>
      </c>
      <c r="F117" t="s">
        <v>3522</v>
      </c>
    </row>
    <row r="118" spans="1:6" x14ac:dyDescent="0.25">
      <c r="A118" s="2" t="s">
        <v>832</v>
      </c>
      <c r="B118" s="2" t="s">
        <v>833</v>
      </c>
      <c r="C118" s="2" t="s">
        <v>407</v>
      </c>
      <c r="D118" s="2" t="s">
        <v>314</v>
      </c>
      <c r="E118" s="2" t="s">
        <v>408</v>
      </c>
      <c r="F118" t="s">
        <v>3521</v>
      </c>
    </row>
    <row r="119" spans="1:6" x14ac:dyDescent="0.25">
      <c r="A119" s="2" t="s">
        <v>835</v>
      </c>
      <c r="B119" s="2" t="s">
        <v>836</v>
      </c>
      <c r="C119" s="2" t="s">
        <v>201</v>
      </c>
      <c r="D119" s="2" t="s">
        <v>17</v>
      </c>
      <c r="E119" s="2">
        <v>45432</v>
      </c>
      <c r="F119" t="s">
        <v>3522</v>
      </c>
    </row>
    <row r="120" spans="1:6" x14ac:dyDescent="0.25">
      <c r="A120" s="2" t="s">
        <v>838</v>
      </c>
      <c r="B120" s="2" t="s">
        <v>839</v>
      </c>
      <c r="C120" s="2" t="s">
        <v>70</v>
      </c>
      <c r="D120" s="2" t="s">
        <v>17</v>
      </c>
      <c r="E120" s="2">
        <v>99507</v>
      </c>
      <c r="F120" t="s">
        <v>3521</v>
      </c>
    </row>
    <row r="121" spans="1:6" x14ac:dyDescent="0.25">
      <c r="A121" s="2" t="s">
        <v>841</v>
      </c>
      <c r="B121" s="2" t="s">
        <v>842</v>
      </c>
      <c r="C121" s="2" t="s">
        <v>128</v>
      </c>
      <c r="D121" s="2" t="s">
        <v>17</v>
      </c>
      <c r="E121" s="2">
        <v>37215</v>
      </c>
      <c r="F121" t="s">
        <v>3522</v>
      </c>
    </row>
    <row r="122" spans="1:6" x14ac:dyDescent="0.25">
      <c r="A122" s="2" t="s">
        <v>843</v>
      </c>
      <c r="B122" s="2" t="s">
        <v>844</v>
      </c>
      <c r="C122" s="2" t="s">
        <v>25</v>
      </c>
      <c r="D122" s="2" t="s">
        <v>17</v>
      </c>
      <c r="E122" s="2">
        <v>90040</v>
      </c>
      <c r="F122" t="s">
        <v>3521</v>
      </c>
    </row>
    <row r="123" spans="1:6" x14ac:dyDescent="0.25">
      <c r="A123" s="2" t="s">
        <v>845</v>
      </c>
      <c r="B123" s="2" t="s">
        <v>846</v>
      </c>
      <c r="C123" s="2" t="s">
        <v>33</v>
      </c>
      <c r="D123" s="2" t="s">
        <v>17</v>
      </c>
      <c r="E123" s="2">
        <v>28289</v>
      </c>
      <c r="F123" t="s">
        <v>3522</v>
      </c>
    </row>
    <row r="124" spans="1:6" x14ac:dyDescent="0.25">
      <c r="A124" s="2" t="s">
        <v>848</v>
      </c>
      <c r="B124" s="2" t="s">
        <v>849</v>
      </c>
      <c r="C124" s="2" t="s">
        <v>40</v>
      </c>
      <c r="D124" s="2" t="s">
        <v>17</v>
      </c>
      <c r="E124" s="2">
        <v>80217</v>
      </c>
      <c r="F124" t="s">
        <v>3521</v>
      </c>
    </row>
    <row r="125" spans="1:6" x14ac:dyDescent="0.25">
      <c r="A125" s="2" t="s">
        <v>851</v>
      </c>
      <c r="B125" s="2" t="s">
        <v>852</v>
      </c>
      <c r="C125" s="2" t="s">
        <v>163</v>
      </c>
      <c r="D125" s="2" t="s">
        <v>17</v>
      </c>
      <c r="E125" s="2">
        <v>6912</v>
      </c>
      <c r="F125" t="s">
        <v>3522</v>
      </c>
    </row>
    <row r="126" spans="1:6" x14ac:dyDescent="0.25">
      <c r="A126" s="2" t="s">
        <v>854</v>
      </c>
      <c r="B126" s="2" t="s">
        <v>855</v>
      </c>
      <c r="C126" s="2" t="s">
        <v>308</v>
      </c>
      <c r="D126" s="2" t="s">
        <v>17</v>
      </c>
      <c r="E126" s="2">
        <v>23605</v>
      </c>
      <c r="F126" t="s">
        <v>3521</v>
      </c>
    </row>
    <row r="127" spans="1:6" x14ac:dyDescent="0.25">
      <c r="A127" s="2" t="s">
        <v>857</v>
      </c>
      <c r="B127" s="2" t="s">
        <v>858</v>
      </c>
      <c r="C127" s="2" t="s">
        <v>443</v>
      </c>
      <c r="D127" s="2" t="s">
        <v>314</v>
      </c>
      <c r="E127" s="2" t="s">
        <v>406</v>
      </c>
      <c r="F127" t="s">
        <v>3521</v>
      </c>
    </row>
    <row r="128" spans="1:6" x14ac:dyDescent="0.25">
      <c r="A128" s="2" t="s">
        <v>860</v>
      </c>
      <c r="B128" s="2" t="s">
        <v>861</v>
      </c>
      <c r="C128" s="2" t="s">
        <v>70</v>
      </c>
      <c r="D128" s="2" t="s">
        <v>17</v>
      </c>
      <c r="E128" s="2">
        <v>99599</v>
      </c>
      <c r="F128" t="s">
        <v>3522</v>
      </c>
    </row>
    <row r="129" spans="1:6" x14ac:dyDescent="0.25">
      <c r="A129" s="2" t="s">
        <v>863</v>
      </c>
      <c r="B129" s="2" t="s">
        <v>864</v>
      </c>
      <c r="C129" s="2" t="s">
        <v>287</v>
      </c>
      <c r="D129" s="2" t="s">
        <v>314</v>
      </c>
      <c r="E129" s="2" t="s">
        <v>440</v>
      </c>
      <c r="F129" t="s">
        <v>3522</v>
      </c>
    </row>
    <row r="130" spans="1:6" x14ac:dyDescent="0.25">
      <c r="A130" s="2" t="s">
        <v>866</v>
      </c>
      <c r="B130" s="2" t="s">
        <v>867</v>
      </c>
      <c r="C130" s="2" t="s">
        <v>95</v>
      </c>
      <c r="D130" s="2" t="s">
        <v>17</v>
      </c>
      <c r="E130" s="2">
        <v>58122</v>
      </c>
      <c r="F130" t="s">
        <v>3522</v>
      </c>
    </row>
    <row r="131" spans="1:6" x14ac:dyDescent="0.25">
      <c r="A131" s="2" t="s">
        <v>869</v>
      </c>
      <c r="B131" s="2" t="s">
        <v>870</v>
      </c>
      <c r="C131" s="2" t="s">
        <v>93</v>
      </c>
      <c r="D131" s="2" t="s">
        <v>17</v>
      </c>
      <c r="E131" s="2">
        <v>47737</v>
      </c>
      <c r="F131" t="s">
        <v>3521</v>
      </c>
    </row>
    <row r="132" spans="1:6" x14ac:dyDescent="0.25">
      <c r="A132" s="2" t="s">
        <v>872</v>
      </c>
      <c r="B132" s="2" t="s">
        <v>873</v>
      </c>
      <c r="C132" s="2" t="s">
        <v>428</v>
      </c>
      <c r="D132" s="2" t="s">
        <v>314</v>
      </c>
      <c r="E132" s="2" t="s">
        <v>416</v>
      </c>
      <c r="F132" t="s">
        <v>3521</v>
      </c>
    </row>
    <row r="133" spans="1:6" x14ac:dyDescent="0.25">
      <c r="A133" s="2" t="s">
        <v>875</v>
      </c>
      <c r="B133" s="2" t="s">
        <v>876</v>
      </c>
      <c r="C133" s="2" t="s">
        <v>33</v>
      </c>
      <c r="D133" s="2" t="s">
        <v>17</v>
      </c>
      <c r="E133" s="2">
        <v>28210</v>
      </c>
      <c r="F133" t="s">
        <v>3521</v>
      </c>
    </row>
    <row r="134" spans="1:6" x14ac:dyDescent="0.25">
      <c r="A134" s="2" t="s">
        <v>878</v>
      </c>
      <c r="B134" s="2" t="s">
        <v>879</v>
      </c>
      <c r="C134" s="2" t="s">
        <v>221</v>
      </c>
      <c r="D134" s="2" t="s">
        <v>17</v>
      </c>
      <c r="E134" s="2">
        <v>35815</v>
      </c>
      <c r="F134" t="s">
        <v>3521</v>
      </c>
    </row>
    <row r="135" spans="1:6" x14ac:dyDescent="0.25">
      <c r="A135" s="2" t="s">
        <v>881</v>
      </c>
      <c r="B135" s="2" t="s">
        <v>882</v>
      </c>
      <c r="C135" s="2" t="s">
        <v>176</v>
      </c>
      <c r="D135" s="2" t="s">
        <v>17</v>
      </c>
      <c r="E135" s="2">
        <v>92725</v>
      </c>
      <c r="F135" t="s">
        <v>3522</v>
      </c>
    </row>
    <row r="136" spans="1:6" x14ac:dyDescent="0.25">
      <c r="A136" s="2" t="s">
        <v>884</v>
      </c>
      <c r="B136" s="2" t="s">
        <v>885</v>
      </c>
      <c r="C136" s="2" t="s">
        <v>45</v>
      </c>
      <c r="D136" s="2" t="s">
        <v>17</v>
      </c>
      <c r="E136" s="2">
        <v>20520</v>
      </c>
      <c r="F136" t="s">
        <v>3521</v>
      </c>
    </row>
    <row r="137" spans="1:6" x14ac:dyDescent="0.25">
      <c r="A137" s="2" t="s">
        <v>887</v>
      </c>
      <c r="B137" s="2" t="s">
        <v>888</v>
      </c>
      <c r="C137" s="2" t="s">
        <v>472</v>
      </c>
      <c r="D137" s="2" t="s">
        <v>314</v>
      </c>
      <c r="E137" s="2" t="s">
        <v>473</v>
      </c>
      <c r="F137" t="s">
        <v>3522</v>
      </c>
    </row>
    <row r="138" spans="1:6" x14ac:dyDescent="0.25">
      <c r="A138" s="2" t="s">
        <v>890</v>
      </c>
      <c r="B138" s="2" t="s">
        <v>891</v>
      </c>
      <c r="C138" s="2" t="s">
        <v>102</v>
      </c>
      <c r="D138" s="2" t="s">
        <v>17</v>
      </c>
      <c r="E138" s="2">
        <v>63131</v>
      </c>
      <c r="F138" t="s">
        <v>3522</v>
      </c>
    </row>
    <row r="139" spans="1:6" x14ac:dyDescent="0.25">
      <c r="A139" s="2" t="s">
        <v>893</v>
      </c>
      <c r="B139" s="2" t="s">
        <v>894</v>
      </c>
      <c r="C139" s="2" t="s">
        <v>345</v>
      </c>
      <c r="D139" s="2" t="s">
        <v>314</v>
      </c>
      <c r="E139" s="2" t="s">
        <v>346</v>
      </c>
      <c r="F139" t="s">
        <v>3522</v>
      </c>
    </row>
    <row r="140" spans="1:6" x14ac:dyDescent="0.25">
      <c r="A140" s="2" t="s">
        <v>896</v>
      </c>
      <c r="B140" s="2" t="s">
        <v>897</v>
      </c>
      <c r="C140" s="2" t="s">
        <v>71</v>
      </c>
      <c r="D140" s="2" t="s">
        <v>17</v>
      </c>
      <c r="E140" s="2">
        <v>96805</v>
      </c>
      <c r="F140" t="s">
        <v>3522</v>
      </c>
    </row>
    <row r="141" spans="1:6" x14ac:dyDescent="0.25">
      <c r="A141" s="2" t="s">
        <v>899</v>
      </c>
      <c r="B141" s="2" t="s">
        <v>900</v>
      </c>
      <c r="C141" s="2" t="s">
        <v>151</v>
      </c>
      <c r="D141" s="2" t="s">
        <v>17</v>
      </c>
      <c r="E141" s="2">
        <v>92878</v>
      </c>
      <c r="F141" t="s">
        <v>3521</v>
      </c>
    </row>
    <row r="142" spans="1:6" x14ac:dyDescent="0.25">
      <c r="A142" s="2" t="s">
        <v>902</v>
      </c>
      <c r="B142" s="2" t="s">
        <v>903</v>
      </c>
      <c r="C142" s="2" t="s">
        <v>904</v>
      </c>
      <c r="D142" s="2" t="s">
        <v>314</v>
      </c>
      <c r="E142" s="2" t="s">
        <v>440</v>
      </c>
      <c r="F142" t="s">
        <v>3521</v>
      </c>
    </row>
    <row r="143" spans="1:6" x14ac:dyDescent="0.25">
      <c r="A143" s="2" t="s">
        <v>906</v>
      </c>
      <c r="B143" s="2" t="s">
        <v>907</v>
      </c>
      <c r="C143" s="2" t="s">
        <v>45</v>
      </c>
      <c r="D143" s="2" t="s">
        <v>17</v>
      </c>
      <c r="E143" s="2">
        <v>20520</v>
      </c>
      <c r="F143" t="s">
        <v>3521</v>
      </c>
    </row>
    <row r="144" spans="1:6" x14ac:dyDescent="0.25">
      <c r="A144" s="2" t="s">
        <v>909</v>
      </c>
      <c r="B144" s="2" t="s">
        <v>910</v>
      </c>
      <c r="C144" s="2" t="s">
        <v>316</v>
      </c>
      <c r="D144" s="2" t="s">
        <v>314</v>
      </c>
      <c r="E144" s="2" t="s">
        <v>317</v>
      </c>
      <c r="F144" t="s">
        <v>3521</v>
      </c>
    </row>
    <row r="145" spans="1:6" x14ac:dyDescent="0.25">
      <c r="A145" s="2" t="s">
        <v>912</v>
      </c>
      <c r="B145" s="2" t="s">
        <v>913</v>
      </c>
      <c r="C145" s="2" t="s">
        <v>61</v>
      </c>
      <c r="D145" s="2" t="s">
        <v>17</v>
      </c>
      <c r="E145" s="2">
        <v>77281</v>
      </c>
      <c r="F145" t="s">
        <v>3522</v>
      </c>
    </row>
    <row r="146" spans="1:6" x14ac:dyDescent="0.25">
      <c r="A146" s="2" t="s">
        <v>915</v>
      </c>
      <c r="B146" s="2" t="s">
        <v>916</v>
      </c>
      <c r="C146" s="2" t="s">
        <v>159</v>
      </c>
      <c r="D146" s="2" t="s">
        <v>17</v>
      </c>
      <c r="E146" s="2">
        <v>92668</v>
      </c>
      <c r="F146" t="s">
        <v>3521</v>
      </c>
    </row>
    <row r="147" spans="1:6" x14ac:dyDescent="0.25">
      <c r="A147" s="2" t="s">
        <v>918</v>
      </c>
      <c r="B147" s="2" t="s">
        <v>919</v>
      </c>
      <c r="C147" s="2" t="s">
        <v>48</v>
      </c>
      <c r="D147" s="2" t="s">
        <v>17</v>
      </c>
      <c r="E147" s="2">
        <v>88553</v>
      </c>
      <c r="F147" t="s">
        <v>3522</v>
      </c>
    </row>
    <row r="148" spans="1:6" x14ac:dyDescent="0.25">
      <c r="A148" s="2" t="s">
        <v>921</v>
      </c>
      <c r="B148" s="2" t="s">
        <v>922</v>
      </c>
      <c r="C148" s="2" t="s">
        <v>348</v>
      </c>
      <c r="D148" s="2" t="s">
        <v>17</v>
      </c>
      <c r="E148" s="2">
        <v>89714</v>
      </c>
      <c r="F148" t="s">
        <v>3522</v>
      </c>
    </row>
    <row r="149" spans="1:6" x14ac:dyDescent="0.25">
      <c r="A149" s="2" t="s">
        <v>923</v>
      </c>
      <c r="B149" s="2" t="s">
        <v>924</v>
      </c>
      <c r="C149" s="2" t="s">
        <v>104</v>
      </c>
      <c r="D149" s="2" t="s">
        <v>17</v>
      </c>
      <c r="E149" s="2">
        <v>76105</v>
      </c>
      <c r="F149" t="s">
        <v>3521</v>
      </c>
    </row>
    <row r="150" spans="1:6" x14ac:dyDescent="0.25">
      <c r="A150" s="2" t="s">
        <v>926</v>
      </c>
      <c r="B150" s="2" t="s">
        <v>927</v>
      </c>
      <c r="C150" s="2" t="s">
        <v>136</v>
      </c>
      <c r="D150" s="2" t="s">
        <v>17</v>
      </c>
      <c r="E150" s="2">
        <v>84605</v>
      </c>
      <c r="F150" t="s">
        <v>3521</v>
      </c>
    </row>
    <row r="151" spans="1:6" x14ac:dyDescent="0.25">
      <c r="A151" s="2" t="s">
        <v>929</v>
      </c>
      <c r="B151" s="2" t="s">
        <v>930</v>
      </c>
      <c r="C151" s="2" t="s">
        <v>195</v>
      </c>
      <c r="D151" s="2" t="s">
        <v>17</v>
      </c>
      <c r="E151" s="2">
        <v>33487</v>
      </c>
      <c r="F151" t="s">
        <v>3521</v>
      </c>
    </row>
    <row r="152" spans="1:6" x14ac:dyDescent="0.25">
      <c r="A152" s="2" t="s">
        <v>932</v>
      </c>
      <c r="B152" s="2" t="s">
        <v>933</v>
      </c>
      <c r="C152" s="2" t="s">
        <v>22</v>
      </c>
      <c r="D152" s="2" t="s">
        <v>17</v>
      </c>
      <c r="E152" s="2">
        <v>24040</v>
      </c>
      <c r="F152" t="s">
        <v>3521</v>
      </c>
    </row>
    <row r="153" spans="1:6" x14ac:dyDescent="0.25">
      <c r="A153" s="2" t="s">
        <v>935</v>
      </c>
      <c r="B153" s="2" t="s">
        <v>936</v>
      </c>
      <c r="C153" s="2" t="s">
        <v>167</v>
      </c>
      <c r="D153" s="2" t="s">
        <v>17</v>
      </c>
      <c r="E153" s="2">
        <v>50369</v>
      </c>
      <c r="F153" t="s">
        <v>3521</v>
      </c>
    </row>
    <row r="154" spans="1:6" x14ac:dyDescent="0.25">
      <c r="A154" s="2" t="s">
        <v>938</v>
      </c>
      <c r="B154" s="2" t="s">
        <v>939</v>
      </c>
      <c r="C154" s="2" t="s">
        <v>71</v>
      </c>
      <c r="D154" s="2" t="s">
        <v>17</v>
      </c>
      <c r="E154" s="2">
        <v>96805</v>
      </c>
      <c r="F154" t="s">
        <v>3521</v>
      </c>
    </row>
    <row r="155" spans="1:6" x14ac:dyDescent="0.25">
      <c r="A155" s="2" t="s">
        <v>941</v>
      </c>
      <c r="B155" s="2" t="s">
        <v>942</v>
      </c>
      <c r="C155" s="2" t="s">
        <v>269</v>
      </c>
      <c r="D155" s="2" t="s">
        <v>17</v>
      </c>
      <c r="E155" s="2">
        <v>33345</v>
      </c>
      <c r="F155" t="s">
        <v>3522</v>
      </c>
    </row>
    <row r="156" spans="1:6" x14ac:dyDescent="0.25">
      <c r="A156" s="2" t="s">
        <v>944</v>
      </c>
      <c r="B156" s="2" t="s">
        <v>945</v>
      </c>
      <c r="C156" s="2" t="s">
        <v>44</v>
      </c>
      <c r="D156" s="2" t="s">
        <v>17</v>
      </c>
      <c r="E156" s="2">
        <v>19172</v>
      </c>
      <c r="F156" t="s">
        <v>3522</v>
      </c>
    </row>
    <row r="157" spans="1:6" x14ac:dyDescent="0.25">
      <c r="A157" s="2" t="s">
        <v>947</v>
      </c>
      <c r="B157" s="2" t="s">
        <v>948</v>
      </c>
      <c r="C157" s="2" t="s">
        <v>122</v>
      </c>
      <c r="D157" s="2" t="s">
        <v>17</v>
      </c>
      <c r="E157" s="2">
        <v>6854</v>
      </c>
      <c r="F157" t="s">
        <v>3521</v>
      </c>
    </row>
    <row r="158" spans="1:6" x14ac:dyDescent="0.25">
      <c r="A158" s="2" t="s">
        <v>950</v>
      </c>
      <c r="B158" s="2" t="s">
        <v>951</v>
      </c>
      <c r="C158" s="2" t="s">
        <v>57</v>
      </c>
      <c r="D158" s="2" t="s">
        <v>17</v>
      </c>
      <c r="E158" s="2">
        <v>76011</v>
      </c>
      <c r="F158" t="s">
        <v>3521</v>
      </c>
    </row>
    <row r="159" spans="1:6" x14ac:dyDescent="0.25">
      <c r="A159" s="2" t="s">
        <v>953</v>
      </c>
      <c r="B159" s="2" t="s">
        <v>954</v>
      </c>
      <c r="C159" s="2" t="s">
        <v>356</v>
      </c>
      <c r="D159" s="2" t="s">
        <v>314</v>
      </c>
      <c r="E159" s="2" t="s">
        <v>357</v>
      </c>
      <c r="F159" t="s">
        <v>3522</v>
      </c>
    </row>
    <row r="160" spans="1:6" x14ac:dyDescent="0.25">
      <c r="A160" s="2" t="s">
        <v>956</v>
      </c>
      <c r="B160" s="2" t="s">
        <v>957</v>
      </c>
      <c r="C160" s="2" t="s">
        <v>63</v>
      </c>
      <c r="D160" s="2" t="s">
        <v>17</v>
      </c>
      <c r="E160" s="2">
        <v>37416</v>
      </c>
      <c r="F160" t="s">
        <v>3521</v>
      </c>
    </row>
    <row r="161" spans="1:6" x14ac:dyDescent="0.25">
      <c r="A161" s="2" t="s">
        <v>959</v>
      </c>
      <c r="B161" s="2" t="s">
        <v>960</v>
      </c>
      <c r="C161" s="2" t="s">
        <v>187</v>
      </c>
      <c r="D161" s="2" t="s">
        <v>17</v>
      </c>
      <c r="E161" s="2">
        <v>97296</v>
      </c>
      <c r="F161" t="s">
        <v>3522</v>
      </c>
    </row>
    <row r="162" spans="1:6" x14ac:dyDescent="0.25">
      <c r="A162" s="2" t="s">
        <v>962</v>
      </c>
      <c r="B162" s="2" t="s">
        <v>963</v>
      </c>
      <c r="C162" s="2" t="s">
        <v>75</v>
      </c>
      <c r="D162" s="2" t="s">
        <v>17</v>
      </c>
      <c r="E162" s="2">
        <v>73135</v>
      </c>
      <c r="F162" t="s">
        <v>3522</v>
      </c>
    </row>
    <row r="163" spans="1:6" x14ac:dyDescent="0.25">
      <c r="A163" s="2" t="s">
        <v>965</v>
      </c>
      <c r="B163" s="2" t="s">
        <v>966</v>
      </c>
      <c r="C163" s="2" t="s">
        <v>45</v>
      </c>
      <c r="D163" s="2" t="s">
        <v>17</v>
      </c>
      <c r="E163" s="2">
        <v>20520</v>
      </c>
      <c r="F163" t="s">
        <v>3522</v>
      </c>
    </row>
    <row r="164" spans="1:6" x14ac:dyDescent="0.25">
      <c r="A164" s="2" t="s">
        <v>968</v>
      </c>
      <c r="B164" s="2" t="s">
        <v>969</v>
      </c>
      <c r="C164" s="2" t="s">
        <v>80</v>
      </c>
      <c r="D164" s="2" t="s">
        <v>17</v>
      </c>
      <c r="E164" s="2">
        <v>27415</v>
      </c>
      <c r="F164" t="s">
        <v>3521</v>
      </c>
    </row>
    <row r="165" spans="1:6" x14ac:dyDescent="0.25">
      <c r="A165" s="2" t="s">
        <v>971</v>
      </c>
      <c r="B165" s="2" t="s">
        <v>972</v>
      </c>
      <c r="C165" s="2" t="s">
        <v>162</v>
      </c>
      <c r="D165" s="2" t="s">
        <v>17</v>
      </c>
      <c r="E165" s="2">
        <v>22313</v>
      </c>
      <c r="F165" t="s">
        <v>3522</v>
      </c>
    </row>
    <row r="166" spans="1:6" x14ac:dyDescent="0.25">
      <c r="A166" s="2" t="s">
        <v>974</v>
      </c>
      <c r="B166" s="2" t="s">
        <v>975</v>
      </c>
      <c r="C166" s="2" t="s">
        <v>976</v>
      </c>
      <c r="D166" s="2" t="s">
        <v>314</v>
      </c>
      <c r="E166" s="2" t="s">
        <v>366</v>
      </c>
      <c r="F166" t="s">
        <v>3522</v>
      </c>
    </row>
    <row r="167" spans="1:6" x14ac:dyDescent="0.25">
      <c r="A167" s="2" t="s">
        <v>978</v>
      </c>
      <c r="B167" s="2" t="s">
        <v>979</v>
      </c>
      <c r="C167" s="2" t="s">
        <v>161</v>
      </c>
      <c r="D167" s="2" t="s">
        <v>17</v>
      </c>
      <c r="E167" s="2">
        <v>53405</v>
      </c>
      <c r="F167" t="s">
        <v>3521</v>
      </c>
    </row>
    <row r="168" spans="1:6" x14ac:dyDescent="0.25">
      <c r="A168" s="2" t="s">
        <v>981</v>
      </c>
      <c r="B168" s="2" t="s">
        <v>982</v>
      </c>
      <c r="C168" s="2" t="s">
        <v>207</v>
      </c>
      <c r="D168" s="2" t="s">
        <v>17</v>
      </c>
      <c r="E168" s="2">
        <v>34629</v>
      </c>
      <c r="F168" t="s">
        <v>3521</v>
      </c>
    </row>
    <row r="169" spans="1:6" x14ac:dyDescent="0.25">
      <c r="A169" s="2" t="s">
        <v>984</v>
      </c>
      <c r="B169" s="2" t="s">
        <v>985</v>
      </c>
      <c r="C169" s="2" t="s">
        <v>161</v>
      </c>
      <c r="D169" s="2" t="s">
        <v>17</v>
      </c>
      <c r="E169" s="2">
        <v>53405</v>
      </c>
      <c r="F169" t="s">
        <v>3521</v>
      </c>
    </row>
    <row r="170" spans="1:6" x14ac:dyDescent="0.25">
      <c r="A170" s="2" t="s">
        <v>987</v>
      </c>
      <c r="B170" s="2" t="s">
        <v>988</v>
      </c>
      <c r="C170" s="2" t="s">
        <v>976</v>
      </c>
      <c r="D170" s="2" t="s">
        <v>314</v>
      </c>
      <c r="E170" s="2" t="s">
        <v>366</v>
      </c>
      <c r="F170" t="s">
        <v>3522</v>
      </c>
    </row>
    <row r="171" spans="1:6" x14ac:dyDescent="0.25">
      <c r="A171" s="2" t="s">
        <v>990</v>
      </c>
      <c r="B171" s="2" t="s">
        <v>991</v>
      </c>
      <c r="C171" s="2" t="s">
        <v>992</v>
      </c>
      <c r="D171" s="2" t="s">
        <v>314</v>
      </c>
      <c r="E171" s="2" t="s">
        <v>456</v>
      </c>
      <c r="F171" t="s">
        <v>3522</v>
      </c>
    </row>
    <row r="172" spans="1:6" x14ac:dyDescent="0.25">
      <c r="A172" s="2" t="s">
        <v>994</v>
      </c>
      <c r="B172" s="2" t="s">
        <v>995</v>
      </c>
      <c r="C172" s="2" t="s">
        <v>100</v>
      </c>
      <c r="D172" s="2" t="s">
        <v>26</v>
      </c>
      <c r="E172" s="2" t="s">
        <v>101</v>
      </c>
      <c r="F172" t="s">
        <v>3522</v>
      </c>
    </row>
    <row r="173" spans="1:6" x14ac:dyDescent="0.25">
      <c r="A173" s="2" t="s">
        <v>997</v>
      </c>
      <c r="B173" s="2" t="s">
        <v>998</v>
      </c>
      <c r="C173" s="2" t="s">
        <v>135</v>
      </c>
      <c r="D173" s="2" t="s">
        <v>17</v>
      </c>
      <c r="E173" s="2">
        <v>33686</v>
      </c>
      <c r="F173" t="s">
        <v>3521</v>
      </c>
    </row>
    <row r="174" spans="1:6" x14ac:dyDescent="0.25">
      <c r="A174" s="2" t="s">
        <v>1000</v>
      </c>
      <c r="B174" s="2" t="s">
        <v>1001</v>
      </c>
      <c r="C174" s="2" t="s">
        <v>436</v>
      </c>
      <c r="D174" s="2" t="s">
        <v>314</v>
      </c>
      <c r="E174" s="2" t="s">
        <v>365</v>
      </c>
      <c r="F174" t="s">
        <v>3522</v>
      </c>
    </row>
    <row r="175" spans="1:6" x14ac:dyDescent="0.25">
      <c r="A175" s="2" t="s">
        <v>1003</v>
      </c>
      <c r="B175" s="2" t="s">
        <v>1004</v>
      </c>
      <c r="C175" s="2" t="s">
        <v>185</v>
      </c>
      <c r="D175" s="2" t="s">
        <v>17</v>
      </c>
      <c r="E175" s="2">
        <v>36195</v>
      </c>
      <c r="F175" t="s">
        <v>3522</v>
      </c>
    </row>
    <row r="176" spans="1:6" x14ac:dyDescent="0.25">
      <c r="A176" s="2" t="s">
        <v>1006</v>
      </c>
      <c r="B176" s="2" t="s">
        <v>1007</v>
      </c>
      <c r="C176" s="2" t="s">
        <v>347</v>
      </c>
      <c r="D176" s="2" t="s">
        <v>17</v>
      </c>
      <c r="E176" s="2">
        <v>89436</v>
      </c>
      <c r="F176" t="s">
        <v>3521</v>
      </c>
    </row>
    <row r="177" spans="1:6" x14ac:dyDescent="0.25">
      <c r="A177" s="2" t="s">
        <v>1009</v>
      </c>
      <c r="B177" s="2" t="s">
        <v>1010</v>
      </c>
      <c r="C177" s="2" t="s">
        <v>165</v>
      </c>
      <c r="D177" s="2" t="s">
        <v>17</v>
      </c>
      <c r="E177" s="2">
        <v>31205</v>
      </c>
      <c r="F177" t="s">
        <v>3521</v>
      </c>
    </row>
    <row r="178" spans="1:6" x14ac:dyDescent="0.25">
      <c r="A178" s="2" t="s">
        <v>1012</v>
      </c>
      <c r="B178" s="2" t="s">
        <v>1013</v>
      </c>
      <c r="C178" s="2" t="s">
        <v>144</v>
      </c>
      <c r="D178" s="2" t="s">
        <v>17</v>
      </c>
      <c r="E178" s="2">
        <v>90605</v>
      </c>
      <c r="F178" t="s">
        <v>3521</v>
      </c>
    </row>
    <row r="179" spans="1:6" x14ac:dyDescent="0.25">
      <c r="A179" s="2" t="s">
        <v>1015</v>
      </c>
      <c r="B179" s="2" t="s">
        <v>1016</v>
      </c>
      <c r="C179" s="2" t="s">
        <v>191</v>
      </c>
      <c r="D179" s="2" t="s">
        <v>17</v>
      </c>
      <c r="E179" s="2">
        <v>37605</v>
      </c>
      <c r="F179" t="s">
        <v>3521</v>
      </c>
    </row>
    <row r="180" spans="1:6" x14ac:dyDescent="0.25">
      <c r="A180" s="2" t="s">
        <v>1018</v>
      </c>
      <c r="B180" s="2" t="s">
        <v>1019</v>
      </c>
      <c r="C180" s="2" t="s">
        <v>217</v>
      </c>
      <c r="D180" s="2" t="s">
        <v>17</v>
      </c>
      <c r="E180" s="2">
        <v>14614</v>
      </c>
      <c r="F180" t="s">
        <v>3522</v>
      </c>
    </row>
    <row r="181" spans="1:6" x14ac:dyDescent="0.25">
      <c r="A181" s="2" t="s">
        <v>1021</v>
      </c>
      <c r="B181" s="2" t="s">
        <v>1022</v>
      </c>
      <c r="C181" s="2" t="s">
        <v>358</v>
      </c>
      <c r="D181" s="2" t="s">
        <v>314</v>
      </c>
      <c r="E181" s="2" t="s">
        <v>359</v>
      </c>
      <c r="F181" t="s">
        <v>3522</v>
      </c>
    </row>
    <row r="182" spans="1:6" x14ac:dyDescent="0.25">
      <c r="A182" s="2" t="s">
        <v>1024</v>
      </c>
      <c r="B182" s="2" t="s">
        <v>1025</v>
      </c>
      <c r="C182" s="2" t="s">
        <v>137</v>
      </c>
      <c r="D182" s="2" t="s">
        <v>17</v>
      </c>
      <c r="E182" s="2">
        <v>11254</v>
      </c>
      <c r="F182" t="s">
        <v>3522</v>
      </c>
    </row>
    <row r="183" spans="1:6" x14ac:dyDescent="0.25">
      <c r="A183" s="2" t="s">
        <v>1026</v>
      </c>
      <c r="B183" s="2" t="s">
        <v>1027</v>
      </c>
      <c r="C183" s="2" t="s">
        <v>81</v>
      </c>
      <c r="D183" s="2" t="s">
        <v>17</v>
      </c>
      <c r="E183" s="2">
        <v>1114</v>
      </c>
      <c r="F183" t="s">
        <v>3522</v>
      </c>
    </row>
    <row r="184" spans="1:6" x14ac:dyDescent="0.25">
      <c r="A184" s="2" t="s">
        <v>1029</v>
      </c>
      <c r="B184" s="2" t="s">
        <v>1030</v>
      </c>
      <c r="C184" s="2" t="s">
        <v>230</v>
      </c>
      <c r="D184" s="2" t="s">
        <v>17</v>
      </c>
      <c r="E184" s="2">
        <v>22908</v>
      </c>
      <c r="F184" t="s">
        <v>3522</v>
      </c>
    </row>
    <row r="185" spans="1:6" x14ac:dyDescent="0.25">
      <c r="A185" s="2" t="s">
        <v>1032</v>
      </c>
      <c r="B185" s="2" t="s">
        <v>1033</v>
      </c>
      <c r="C185" s="2" t="s">
        <v>113</v>
      </c>
      <c r="D185" s="2" t="s">
        <v>17</v>
      </c>
      <c r="E185" s="2">
        <v>75044</v>
      </c>
      <c r="F185" t="s">
        <v>3522</v>
      </c>
    </row>
    <row r="186" spans="1:6" x14ac:dyDescent="0.25">
      <c r="A186" s="2" t="s">
        <v>1035</v>
      </c>
      <c r="B186" s="2" t="s">
        <v>1036</v>
      </c>
      <c r="C186" s="2" t="s">
        <v>31</v>
      </c>
      <c r="D186" s="2" t="s">
        <v>17</v>
      </c>
      <c r="E186" s="2">
        <v>55448</v>
      </c>
      <c r="F186" t="s">
        <v>3522</v>
      </c>
    </row>
    <row r="187" spans="1:6" x14ac:dyDescent="0.25">
      <c r="A187" s="2" t="s">
        <v>1038</v>
      </c>
      <c r="B187" s="2" t="s">
        <v>1039</v>
      </c>
      <c r="C187" s="2" t="s">
        <v>172</v>
      </c>
      <c r="D187" s="2" t="s">
        <v>17</v>
      </c>
      <c r="E187" s="2">
        <v>48919</v>
      </c>
      <c r="F187" t="s">
        <v>3521</v>
      </c>
    </row>
    <row r="188" spans="1:6" x14ac:dyDescent="0.25">
      <c r="A188" s="2" t="s">
        <v>1041</v>
      </c>
      <c r="B188" s="2" t="s">
        <v>1042</v>
      </c>
      <c r="C188" s="2" t="s">
        <v>139</v>
      </c>
      <c r="D188" s="2" t="s">
        <v>17</v>
      </c>
      <c r="E188" s="2">
        <v>58207</v>
      </c>
      <c r="F188" t="s">
        <v>3522</v>
      </c>
    </row>
    <row r="189" spans="1:6" x14ac:dyDescent="0.25">
      <c r="A189" s="2" t="s">
        <v>1044</v>
      </c>
      <c r="B189" s="2" t="s">
        <v>1045</v>
      </c>
      <c r="C189" s="2" t="s">
        <v>70</v>
      </c>
      <c r="D189" s="2" t="s">
        <v>17</v>
      </c>
      <c r="E189" s="2">
        <v>99522</v>
      </c>
      <c r="F189" t="s">
        <v>3521</v>
      </c>
    </row>
    <row r="190" spans="1:6" x14ac:dyDescent="0.25">
      <c r="A190" s="2" t="s">
        <v>1047</v>
      </c>
      <c r="B190" s="2" t="s">
        <v>1048</v>
      </c>
      <c r="C190" s="2" t="s">
        <v>75</v>
      </c>
      <c r="D190" s="2" t="s">
        <v>17</v>
      </c>
      <c r="E190" s="2">
        <v>73129</v>
      </c>
      <c r="F190" t="s">
        <v>3521</v>
      </c>
    </row>
    <row r="191" spans="1:6" x14ac:dyDescent="0.25">
      <c r="A191" s="2" t="s">
        <v>1050</v>
      </c>
      <c r="B191" s="2" t="s">
        <v>1051</v>
      </c>
      <c r="C191" s="2" t="s">
        <v>88</v>
      </c>
      <c r="D191" s="2" t="s">
        <v>17</v>
      </c>
      <c r="E191" s="2">
        <v>74103</v>
      </c>
      <c r="F191" t="s">
        <v>3521</v>
      </c>
    </row>
    <row r="192" spans="1:6" x14ac:dyDescent="0.25">
      <c r="A192" s="2" t="s">
        <v>1053</v>
      </c>
      <c r="B192" s="2" t="s">
        <v>1054</v>
      </c>
      <c r="C192" s="2" t="s">
        <v>39</v>
      </c>
      <c r="D192" s="2" t="s">
        <v>17</v>
      </c>
      <c r="E192" s="2">
        <v>48211</v>
      </c>
      <c r="F192" t="s">
        <v>3521</v>
      </c>
    </row>
    <row r="193" spans="1:6" x14ac:dyDescent="0.25">
      <c r="A193" s="2" t="s">
        <v>1056</v>
      </c>
      <c r="B193" s="2" t="s">
        <v>1057</v>
      </c>
      <c r="C193" s="2" t="s">
        <v>45</v>
      </c>
      <c r="D193" s="2" t="s">
        <v>17</v>
      </c>
      <c r="E193" s="2">
        <v>20436</v>
      </c>
      <c r="F193" t="s">
        <v>3521</v>
      </c>
    </row>
    <row r="194" spans="1:6" x14ac:dyDescent="0.25">
      <c r="A194" s="2" t="s">
        <v>1059</v>
      </c>
      <c r="B194" s="2" t="s">
        <v>1060</v>
      </c>
      <c r="C194" s="2" t="s">
        <v>319</v>
      </c>
      <c r="D194" s="2" t="s">
        <v>314</v>
      </c>
      <c r="E194" s="2" t="s">
        <v>320</v>
      </c>
      <c r="F194" t="s">
        <v>3521</v>
      </c>
    </row>
    <row r="195" spans="1:6" x14ac:dyDescent="0.25">
      <c r="A195" s="2" t="s">
        <v>1062</v>
      </c>
      <c r="B195" s="2" t="s">
        <v>1063</v>
      </c>
      <c r="C195" s="2" t="s">
        <v>186</v>
      </c>
      <c r="D195" s="2" t="s">
        <v>17</v>
      </c>
      <c r="E195" s="2">
        <v>85215</v>
      </c>
      <c r="F195" t="s">
        <v>3522</v>
      </c>
    </row>
    <row r="196" spans="1:6" x14ac:dyDescent="0.25">
      <c r="A196" s="2" t="s">
        <v>1065</v>
      </c>
      <c r="B196" s="2" t="s">
        <v>1066</v>
      </c>
      <c r="C196" s="2" t="s">
        <v>179</v>
      </c>
      <c r="D196" s="2" t="s">
        <v>17</v>
      </c>
      <c r="E196" s="2">
        <v>44485</v>
      </c>
      <c r="F196" t="s">
        <v>3522</v>
      </c>
    </row>
    <row r="197" spans="1:6" x14ac:dyDescent="0.25">
      <c r="A197" s="2" t="s">
        <v>1068</v>
      </c>
      <c r="B197" s="2" t="s">
        <v>1069</v>
      </c>
      <c r="C197" s="2" t="s">
        <v>21</v>
      </c>
      <c r="D197" s="2" t="s">
        <v>17</v>
      </c>
      <c r="E197" s="2">
        <v>38150</v>
      </c>
      <c r="F197" t="s">
        <v>3522</v>
      </c>
    </row>
    <row r="198" spans="1:6" x14ac:dyDescent="0.25">
      <c r="A198" s="2" t="s">
        <v>1071</v>
      </c>
      <c r="B198" s="2" t="s">
        <v>1072</v>
      </c>
      <c r="C198" s="2" t="s">
        <v>45</v>
      </c>
      <c r="D198" s="2" t="s">
        <v>17</v>
      </c>
      <c r="E198" s="2">
        <v>20535</v>
      </c>
      <c r="F198" t="s">
        <v>3522</v>
      </c>
    </row>
    <row r="199" spans="1:6" x14ac:dyDescent="0.25">
      <c r="A199" s="2" t="s">
        <v>1073</v>
      </c>
      <c r="B199" s="2" t="s">
        <v>1074</v>
      </c>
      <c r="C199" s="2" t="s">
        <v>471</v>
      </c>
      <c r="D199" s="2" t="s">
        <v>314</v>
      </c>
      <c r="E199" s="2" t="s">
        <v>421</v>
      </c>
      <c r="F199" t="s">
        <v>3521</v>
      </c>
    </row>
    <row r="200" spans="1:6" x14ac:dyDescent="0.25">
      <c r="A200" s="2" t="s">
        <v>1075</v>
      </c>
      <c r="B200" s="2" t="s">
        <v>1076</v>
      </c>
      <c r="C200" s="2" t="s">
        <v>119</v>
      </c>
      <c r="D200" s="2" t="s">
        <v>17</v>
      </c>
      <c r="E200" s="2">
        <v>33064</v>
      </c>
      <c r="F200" t="s">
        <v>3522</v>
      </c>
    </row>
    <row r="201" spans="1:6" x14ac:dyDescent="0.25">
      <c r="A201" s="2" t="s">
        <v>1077</v>
      </c>
      <c r="B201" s="2" t="s">
        <v>1078</v>
      </c>
      <c r="C201" s="2" t="s">
        <v>54</v>
      </c>
      <c r="D201" s="2" t="s">
        <v>17</v>
      </c>
      <c r="E201" s="2">
        <v>60604</v>
      </c>
      <c r="F201" t="s">
        <v>3522</v>
      </c>
    </row>
    <row r="202" spans="1:6" x14ac:dyDescent="0.25">
      <c r="A202" s="2" t="s">
        <v>1079</v>
      </c>
      <c r="B202" s="2" t="s">
        <v>1080</v>
      </c>
      <c r="C202" s="2" t="s">
        <v>296</v>
      </c>
      <c r="D202" s="2" t="s">
        <v>26</v>
      </c>
      <c r="E202" s="2" t="s">
        <v>297</v>
      </c>
      <c r="F202" t="s">
        <v>3522</v>
      </c>
    </row>
    <row r="203" spans="1:6" x14ac:dyDescent="0.25">
      <c r="A203" s="2" t="s">
        <v>1082</v>
      </c>
      <c r="B203" s="2" t="s">
        <v>1083</v>
      </c>
      <c r="C203" s="2" t="s">
        <v>612</v>
      </c>
      <c r="D203" s="2" t="s">
        <v>17</v>
      </c>
      <c r="E203" s="2">
        <v>84409</v>
      </c>
      <c r="F203" t="s">
        <v>3522</v>
      </c>
    </row>
    <row r="204" spans="1:6" x14ac:dyDescent="0.25">
      <c r="A204" s="2" t="s">
        <v>1085</v>
      </c>
      <c r="B204" s="2" t="s">
        <v>1086</v>
      </c>
      <c r="C204" s="2" t="s">
        <v>196</v>
      </c>
      <c r="D204" s="2" t="s">
        <v>17</v>
      </c>
      <c r="E204" s="2">
        <v>12205</v>
      </c>
      <c r="F204" t="s">
        <v>3521</v>
      </c>
    </row>
    <row r="205" spans="1:6" x14ac:dyDescent="0.25">
      <c r="A205" s="2" t="s">
        <v>1088</v>
      </c>
      <c r="B205" s="2" t="s">
        <v>1089</v>
      </c>
      <c r="C205" s="2" t="s">
        <v>293</v>
      </c>
      <c r="D205" s="2" t="s">
        <v>17</v>
      </c>
      <c r="E205" s="2">
        <v>29305</v>
      </c>
      <c r="F205" t="s">
        <v>3522</v>
      </c>
    </row>
    <row r="206" spans="1:6" x14ac:dyDescent="0.25">
      <c r="A206" s="2" t="s">
        <v>1091</v>
      </c>
      <c r="B206" s="2" t="s">
        <v>1092</v>
      </c>
      <c r="C206" s="2" t="s">
        <v>299</v>
      </c>
      <c r="D206" s="2" t="s">
        <v>17</v>
      </c>
      <c r="E206" s="2">
        <v>10310</v>
      </c>
      <c r="F206" t="s">
        <v>3522</v>
      </c>
    </row>
    <row r="207" spans="1:6" x14ac:dyDescent="0.25">
      <c r="A207" s="2" t="s">
        <v>1094</v>
      </c>
      <c r="B207" s="2" t="s">
        <v>1095</v>
      </c>
      <c r="C207" s="2" t="s">
        <v>45</v>
      </c>
      <c r="D207" s="2" t="s">
        <v>17</v>
      </c>
      <c r="E207" s="2">
        <v>20337</v>
      </c>
      <c r="F207" t="s">
        <v>3521</v>
      </c>
    </row>
    <row r="208" spans="1:6" x14ac:dyDescent="0.25">
      <c r="A208" s="2" t="s">
        <v>1097</v>
      </c>
      <c r="B208" s="2" t="s">
        <v>1098</v>
      </c>
      <c r="C208" s="2" t="s">
        <v>33</v>
      </c>
      <c r="D208" s="2" t="s">
        <v>17</v>
      </c>
      <c r="E208" s="2">
        <v>28225</v>
      </c>
      <c r="F208" t="s">
        <v>3522</v>
      </c>
    </row>
    <row r="209" spans="1:6" x14ac:dyDescent="0.25">
      <c r="A209" s="2" t="s">
        <v>1100</v>
      </c>
      <c r="B209" s="2" t="s">
        <v>1101</v>
      </c>
      <c r="C209" s="2" t="s">
        <v>295</v>
      </c>
      <c r="D209" s="2" t="s">
        <v>17</v>
      </c>
      <c r="E209" s="2">
        <v>79491</v>
      </c>
      <c r="F209" t="s">
        <v>3521</v>
      </c>
    </row>
    <row r="210" spans="1:6" x14ac:dyDescent="0.25">
      <c r="A210" s="2" t="s">
        <v>1103</v>
      </c>
      <c r="B210" s="2" t="s">
        <v>1104</v>
      </c>
      <c r="C210" s="2" t="s">
        <v>447</v>
      </c>
      <c r="D210" s="2" t="s">
        <v>314</v>
      </c>
      <c r="E210" s="2" t="s">
        <v>448</v>
      </c>
      <c r="F210" t="s">
        <v>3521</v>
      </c>
    </row>
    <row r="211" spans="1:6" x14ac:dyDescent="0.25">
      <c r="A211" s="2" t="s">
        <v>1106</v>
      </c>
      <c r="B211" s="2" t="s">
        <v>1107</v>
      </c>
      <c r="C211" s="2" t="s">
        <v>262</v>
      </c>
      <c r="D211" s="2" t="s">
        <v>26</v>
      </c>
      <c r="E211" s="2" t="s">
        <v>263</v>
      </c>
      <c r="F211" t="s">
        <v>3522</v>
      </c>
    </row>
    <row r="212" spans="1:6" x14ac:dyDescent="0.25">
      <c r="A212" s="2" t="s">
        <v>1109</v>
      </c>
      <c r="B212" s="2" t="s">
        <v>1110</v>
      </c>
      <c r="C212" s="2" t="s">
        <v>230</v>
      </c>
      <c r="D212" s="2" t="s">
        <v>17</v>
      </c>
      <c r="E212" s="2">
        <v>22908</v>
      </c>
      <c r="F212" t="s">
        <v>3521</v>
      </c>
    </row>
    <row r="213" spans="1:6" x14ac:dyDescent="0.25">
      <c r="A213" s="2" t="s">
        <v>1112</v>
      </c>
      <c r="B213" s="2" t="s">
        <v>1113</v>
      </c>
      <c r="C213" s="2" t="s">
        <v>55</v>
      </c>
      <c r="D213" s="2" t="s">
        <v>17</v>
      </c>
      <c r="E213" s="2">
        <v>10105</v>
      </c>
      <c r="F213" t="s">
        <v>3522</v>
      </c>
    </row>
    <row r="214" spans="1:6" x14ac:dyDescent="0.25">
      <c r="A214" s="2" t="s">
        <v>1115</v>
      </c>
      <c r="B214" s="2" t="s">
        <v>1116</v>
      </c>
      <c r="C214" s="2" t="s">
        <v>22</v>
      </c>
      <c r="D214" s="2" t="s">
        <v>17</v>
      </c>
      <c r="E214" s="2">
        <v>24009</v>
      </c>
      <c r="F214" t="s">
        <v>3521</v>
      </c>
    </row>
    <row r="215" spans="1:6" x14ac:dyDescent="0.25">
      <c r="A215" s="2" t="s">
        <v>1118</v>
      </c>
      <c r="B215" s="2" t="s">
        <v>1119</v>
      </c>
      <c r="C215" s="2" t="s">
        <v>55</v>
      </c>
      <c r="D215" s="2" t="s">
        <v>17</v>
      </c>
      <c r="E215" s="2">
        <v>10009</v>
      </c>
      <c r="F215" t="s">
        <v>3522</v>
      </c>
    </row>
    <row r="216" spans="1:6" x14ac:dyDescent="0.25">
      <c r="A216" s="2" t="s">
        <v>1121</v>
      </c>
      <c r="B216" s="2" t="s">
        <v>1122</v>
      </c>
      <c r="C216" s="2" t="s">
        <v>1123</v>
      </c>
      <c r="D216" s="2" t="s">
        <v>314</v>
      </c>
      <c r="E216" s="2" t="s">
        <v>344</v>
      </c>
      <c r="F216" t="s">
        <v>3522</v>
      </c>
    </row>
    <row r="217" spans="1:6" x14ac:dyDescent="0.25">
      <c r="A217" s="2" t="s">
        <v>1125</v>
      </c>
      <c r="B217" s="2" t="s">
        <v>1126</v>
      </c>
      <c r="C217" s="2" t="s">
        <v>214</v>
      </c>
      <c r="D217" s="2" t="s">
        <v>17</v>
      </c>
      <c r="E217" s="2">
        <v>84120</v>
      </c>
      <c r="F217" t="s">
        <v>3522</v>
      </c>
    </row>
    <row r="218" spans="1:6" x14ac:dyDescent="0.25">
      <c r="A218" s="2" t="s">
        <v>1128</v>
      </c>
      <c r="B218" s="2" t="s">
        <v>1129</v>
      </c>
      <c r="C218" s="2" t="s">
        <v>258</v>
      </c>
      <c r="D218" s="2" t="s">
        <v>17</v>
      </c>
      <c r="E218" s="2">
        <v>43635</v>
      </c>
      <c r="F218" t="s">
        <v>3521</v>
      </c>
    </row>
    <row r="219" spans="1:6" x14ac:dyDescent="0.25">
      <c r="A219" s="2" t="s">
        <v>1131</v>
      </c>
      <c r="B219" s="2" t="s">
        <v>1132</v>
      </c>
      <c r="C219" s="2" t="s">
        <v>85</v>
      </c>
      <c r="D219" s="2" t="s">
        <v>17</v>
      </c>
      <c r="E219" s="2">
        <v>91131</v>
      </c>
      <c r="F219" t="s">
        <v>3522</v>
      </c>
    </row>
    <row r="220" spans="1:6" x14ac:dyDescent="0.25">
      <c r="A220" s="2" t="s">
        <v>1134</v>
      </c>
      <c r="B220" s="2" t="s">
        <v>1135</v>
      </c>
      <c r="C220" s="2" t="s">
        <v>338</v>
      </c>
      <c r="D220" s="2" t="s">
        <v>314</v>
      </c>
      <c r="E220" s="2" t="s">
        <v>339</v>
      </c>
      <c r="F220" t="s">
        <v>3521</v>
      </c>
    </row>
    <row r="221" spans="1:6" x14ac:dyDescent="0.25">
      <c r="A221" s="2" t="s">
        <v>1137</v>
      </c>
      <c r="B221" s="2" t="s">
        <v>1138</v>
      </c>
      <c r="C221" s="2" t="s">
        <v>35</v>
      </c>
      <c r="D221" s="2" t="s">
        <v>17</v>
      </c>
      <c r="E221" s="2">
        <v>64082</v>
      </c>
      <c r="F221" t="s">
        <v>3522</v>
      </c>
    </row>
    <row r="222" spans="1:6" x14ac:dyDescent="0.25">
      <c r="A222" s="2" t="s">
        <v>1139</v>
      </c>
      <c r="B222" s="2" t="s">
        <v>1140</v>
      </c>
      <c r="C222" s="2" t="s">
        <v>104</v>
      </c>
      <c r="D222" s="2" t="s">
        <v>17</v>
      </c>
      <c r="E222" s="2">
        <v>76121</v>
      </c>
      <c r="F222" t="s">
        <v>3522</v>
      </c>
    </row>
    <row r="223" spans="1:6" x14ac:dyDescent="0.25">
      <c r="A223" s="2" t="s">
        <v>1142</v>
      </c>
      <c r="B223" s="2" t="s">
        <v>1143</v>
      </c>
      <c r="C223" s="2" t="s">
        <v>418</v>
      </c>
      <c r="D223" s="2" t="s">
        <v>17</v>
      </c>
      <c r="E223" s="2">
        <v>92619</v>
      </c>
      <c r="F223" t="s">
        <v>3521</v>
      </c>
    </row>
    <row r="224" spans="1:6" x14ac:dyDescent="0.25">
      <c r="A224" s="2" t="s">
        <v>1145</v>
      </c>
      <c r="B224" s="2" t="s">
        <v>1146</v>
      </c>
      <c r="C224" s="2" t="s">
        <v>216</v>
      </c>
      <c r="D224" s="2" t="s">
        <v>17</v>
      </c>
      <c r="E224" s="2">
        <v>11854</v>
      </c>
      <c r="F224" t="s">
        <v>3522</v>
      </c>
    </row>
    <row r="225" spans="1:6" x14ac:dyDescent="0.25">
      <c r="A225" s="2" t="s">
        <v>1148</v>
      </c>
      <c r="B225" s="2" t="s">
        <v>1149</v>
      </c>
      <c r="C225" s="2" t="s">
        <v>45</v>
      </c>
      <c r="D225" s="2" t="s">
        <v>17</v>
      </c>
      <c r="E225" s="2">
        <v>20546</v>
      </c>
      <c r="F225" t="s">
        <v>3521</v>
      </c>
    </row>
    <row r="226" spans="1:6" x14ac:dyDescent="0.25">
      <c r="A226" s="2" t="s">
        <v>1151</v>
      </c>
      <c r="B226" s="2" t="s">
        <v>1152</v>
      </c>
      <c r="C226" s="2" t="s">
        <v>55</v>
      </c>
      <c r="D226" s="2" t="s">
        <v>17</v>
      </c>
      <c r="E226" s="2">
        <v>10060</v>
      </c>
      <c r="F226" t="s">
        <v>3521</v>
      </c>
    </row>
    <row r="227" spans="1:6" x14ac:dyDescent="0.25">
      <c r="A227" s="2" t="s">
        <v>1154</v>
      </c>
      <c r="B227" s="2" t="s">
        <v>1155</v>
      </c>
      <c r="C227" s="2" t="s">
        <v>404</v>
      </c>
      <c r="D227" s="2" t="s">
        <v>314</v>
      </c>
      <c r="E227" s="2" t="s">
        <v>339</v>
      </c>
      <c r="F227" t="s">
        <v>3522</v>
      </c>
    </row>
    <row r="228" spans="1:6" x14ac:dyDescent="0.25">
      <c r="A228" s="2" t="s">
        <v>1157</v>
      </c>
      <c r="B228" s="2" t="s">
        <v>1158</v>
      </c>
      <c r="C228" s="2" t="s">
        <v>65</v>
      </c>
      <c r="D228" s="2" t="s">
        <v>17</v>
      </c>
      <c r="E228" s="2">
        <v>66276</v>
      </c>
      <c r="F228" t="s">
        <v>3522</v>
      </c>
    </row>
    <row r="229" spans="1:6" x14ac:dyDescent="0.25">
      <c r="A229" s="2" t="s">
        <v>1160</v>
      </c>
      <c r="B229" s="2" t="s">
        <v>1161</v>
      </c>
      <c r="C229" s="2" t="s">
        <v>244</v>
      </c>
      <c r="D229" s="2" t="s">
        <v>26</v>
      </c>
      <c r="E229" s="2" t="s">
        <v>245</v>
      </c>
      <c r="F229" t="s">
        <v>3521</v>
      </c>
    </row>
    <row r="230" spans="1:6" x14ac:dyDescent="0.25">
      <c r="A230" s="2" t="s">
        <v>1163</v>
      </c>
      <c r="B230" s="2" t="s">
        <v>1164</v>
      </c>
      <c r="C230" s="2" t="s">
        <v>129</v>
      </c>
      <c r="D230" s="2" t="s">
        <v>17</v>
      </c>
      <c r="E230" s="2">
        <v>94291</v>
      </c>
      <c r="F230" t="s">
        <v>3522</v>
      </c>
    </row>
    <row r="231" spans="1:6" x14ac:dyDescent="0.25">
      <c r="A231" s="2" t="s">
        <v>1166</v>
      </c>
      <c r="B231" s="2" t="s">
        <v>1167</v>
      </c>
      <c r="C231" s="2" t="s">
        <v>200</v>
      </c>
      <c r="D231" s="2" t="s">
        <v>17</v>
      </c>
      <c r="E231" s="2">
        <v>18706</v>
      </c>
      <c r="F231" t="s">
        <v>3522</v>
      </c>
    </row>
    <row r="232" spans="1:6" x14ac:dyDescent="0.25">
      <c r="A232" s="2" t="s">
        <v>1169</v>
      </c>
      <c r="B232" s="2" t="s">
        <v>1170</v>
      </c>
      <c r="C232" s="2" t="s">
        <v>80</v>
      </c>
      <c r="D232" s="2" t="s">
        <v>17</v>
      </c>
      <c r="E232" s="2">
        <v>27499</v>
      </c>
      <c r="F232" t="s">
        <v>3522</v>
      </c>
    </row>
    <row r="233" spans="1:6" x14ac:dyDescent="0.25">
      <c r="A233" s="2" t="s">
        <v>1172</v>
      </c>
      <c r="B233" s="2" t="s">
        <v>1173</v>
      </c>
      <c r="C233" s="2" t="s">
        <v>197</v>
      </c>
      <c r="D233" s="2" t="s">
        <v>17</v>
      </c>
      <c r="E233" s="2">
        <v>19725</v>
      </c>
      <c r="F233" t="s">
        <v>3521</v>
      </c>
    </row>
    <row r="234" spans="1:6" x14ac:dyDescent="0.25">
      <c r="A234" s="2" t="s">
        <v>1175</v>
      </c>
      <c r="B234" s="2" t="s">
        <v>1176</v>
      </c>
      <c r="C234" s="2" t="s">
        <v>246</v>
      </c>
      <c r="D234" s="2" t="s">
        <v>26</v>
      </c>
      <c r="E234" s="2" t="s">
        <v>247</v>
      </c>
      <c r="F234" t="s">
        <v>3522</v>
      </c>
    </row>
    <row r="235" spans="1:6" x14ac:dyDescent="0.25">
      <c r="A235" s="2" t="s">
        <v>1178</v>
      </c>
      <c r="B235" s="2" t="s">
        <v>1179</v>
      </c>
      <c r="C235" s="2" t="s">
        <v>71</v>
      </c>
      <c r="D235" s="2" t="s">
        <v>17</v>
      </c>
      <c r="E235" s="2">
        <v>96825</v>
      </c>
      <c r="F235" t="s">
        <v>3522</v>
      </c>
    </row>
    <row r="236" spans="1:6" x14ac:dyDescent="0.25">
      <c r="A236" s="2" t="s">
        <v>1181</v>
      </c>
      <c r="B236" s="2" t="s">
        <v>1182</v>
      </c>
      <c r="C236" s="2" t="s">
        <v>55</v>
      </c>
      <c r="D236" s="2" t="s">
        <v>17</v>
      </c>
      <c r="E236" s="2">
        <v>10150</v>
      </c>
      <c r="F236" t="s">
        <v>3522</v>
      </c>
    </row>
    <row r="237" spans="1:6" x14ac:dyDescent="0.25">
      <c r="A237" s="2" t="s">
        <v>1184</v>
      </c>
      <c r="B237" s="2" t="s">
        <v>1185</v>
      </c>
      <c r="C237" s="2" t="s">
        <v>468</v>
      </c>
      <c r="D237" s="2" t="s">
        <v>314</v>
      </c>
      <c r="E237" s="2" t="s">
        <v>469</v>
      </c>
      <c r="F237" t="s">
        <v>3522</v>
      </c>
    </row>
    <row r="238" spans="1:6" x14ac:dyDescent="0.25">
      <c r="A238" s="2" t="s">
        <v>1187</v>
      </c>
      <c r="B238" s="2" t="s">
        <v>1188</v>
      </c>
      <c r="C238" s="2" t="s">
        <v>459</v>
      </c>
      <c r="D238" s="2" t="s">
        <v>314</v>
      </c>
      <c r="E238" s="2" t="s">
        <v>385</v>
      </c>
      <c r="F238" t="s">
        <v>3522</v>
      </c>
    </row>
    <row r="239" spans="1:6" x14ac:dyDescent="0.25">
      <c r="A239" s="2" t="s">
        <v>1190</v>
      </c>
      <c r="B239" s="2" t="s">
        <v>1191</v>
      </c>
      <c r="C239" s="2" t="s">
        <v>49</v>
      </c>
      <c r="D239" s="2" t="s">
        <v>17</v>
      </c>
      <c r="E239" s="2">
        <v>45218</v>
      </c>
      <c r="F239" t="s">
        <v>3521</v>
      </c>
    </row>
    <row r="240" spans="1:6" x14ac:dyDescent="0.25">
      <c r="A240" s="2" t="s">
        <v>1193</v>
      </c>
      <c r="B240" s="2" t="s">
        <v>1194</v>
      </c>
      <c r="C240" s="2" t="s">
        <v>210</v>
      </c>
      <c r="D240" s="2" t="s">
        <v>17</v>
      </c>
      <c r="E240" s="2">
        <v>48670</v>
      </c>
      <c r="F240" t="s">
        <v>3521</v>
      </c>
    </row>
    <row r="241" spans="1:6" x14ac:dyDescent="0.25">
      <c r="A241" s="2" t="s">
        <v>1196</v>
      </c>
      <c r="B241" s="2" t="s">
        <v>1197</v>
      </c>
      <c r="C241" s="2" t="s">
        <v>152</v>
      </c>
      <c r="D241" s="2" t="s">
        <v>17</v>
      </c>
      <c r="E241" s="2">
        <v>82007</v>
      </c>
      <c r="F241" t="s">
        <v>3522</v>
      </c>
    </row>
    <row r="242" spans="1:6" x14ac:dyDescent="0.25">
      <c r="A242" s="2" t="s">
        <v>1199</v>
      </c>
      <c r="B242" s="2" t="s">
        <v>1200</v>
      </c>
      <c r="C242" s="2" t="s">
        <v>82</v>
      </c>
      <c r="D242" s="2" t="s">
        <v>17</v>
      </c>
      <c r="E242" s="2">
        <v>31119</v>
      </c>
      <c r="F242" t="s">
        <v>3521</v>
      </c>
    </row>
    <row r="243" spans="1:6" x14ac:dyDescent="0.25">
      <c r="A243" s="2" t="s">
        <v>1202</v>
      </c>
      <c r="B243" s="2" t="s">
        <v>1203</v>
      </c>
      <c r="C243" s="2" t="s">
        <v>62</v>
      </c>
      <c r="D243" s="2" t="s">
        <v>17</v>
      </c>
      <c r="E243" s="2">
        <v>30096</v>
      </c>
      <c r="F243" t="s">
        <v>3522</v>
      </c>
    </row>
    <row r="244" spans="1:6" x14ac:dyDescent="0.25">
      <c r="A244" s="2" t="s">
        <v>1205</v>
      </c>
      <c r="B244" s="2" t="s">
        <v>1206</v>
      </c>
      <c r="C244" s="2" t="s">
        <v>129</v>
      </c>
      <c r="D244" s="2" t="s">
        <v>17</v>
      </c>
      <c r="E244" s="2">
        <v>94250</v>
      </c>
      <c r="F244" t="s">
        <v>3521</v>
      </c>
    </row>
    <row r="245" spans="1:6" x14ac:dyDescent="0.25">
      <c r="A245" s="2" t="s">
        <v>1208</v>
      </c>
      <c r="B245" s="2" t="s">
        <v>1209</v>
      </c>
      <c r="C245" s="2" t="s">
        <v>135</v>
      </c>
      <c r="D245" s="2" t="s">
        <v>17</v>
      </c>
      <c r="E245" s="2">
        <v>33661</v>
      </c>
      <c r="F245" t="s">
        <v>3521</v>
      </c>
    </row>
    <row r="246" spans="1:6" x14ac:dyDescent="0.25">
      <c r="A246" s="2" t="s">
        <v>1211</v>
      </c>
      <c r="B246" s="2" t="s">
        <v>1212</v>
      </c>
      <c r="C246" s="2" t="s">
        <v>71</v>
      </c>
      <c r="D246" s="2" t="s">
        <v>17</v>
      </c>
      <c r="E246" s="2">
        <v>96805</v>
      </c>
      <c r="F246" t="s">
        <v>3522</v>
      </c>
    </row>
    <row r="247" spans="1:6" x14ac:dyDescent="0.25">
      <c r="A247" s="2" t="s">
        <v>1214</v>
      </c>
      <c r="B247" s="2" t="s">
        <v>1215</v>
      </c>
      <c r="C247" s="2" t="s">
        <v>30</v>
      </c>
      <c r="D247" s="2" t="s">
        <v>17</v>
      </c>
      <c r="E247" s="2">
        <v>70820</v>
      </c>
      <c r="F247" t="s">
        <v>3521</v>
      </c>
    </row>
    <row r="248" spans="1:6" x14ac:dyDescent="0.25">
      <c r="A248" s="2" t="s">
        <v>1217</v>
      </c>
      <c r="B248" s="2" t="s">
        <v>1218</v>
      </c>
      <c r="C248" s="2" t="s">
        <v>227</v>
      </c>
      <c r="D248" s="2" t="s">
        <v>26</v>
      </c>
      <c r="E248" s="2" t="s">
        <v>228</v>
      </c>
      <c r="F248" t="s">
        <v>3522</v>
      </c>
    </row>
    <row r="249" spans="1:6" x14ac:dyDescent="0.25">
      <c r="A249" s="2" t="s">
        <v>1220</v>
      </c>
      <c r="B249" s="2" t="s">
        <v>1221</v>
      </c>
      <c r="C249" s="2" t="s">
        <v>389</v>
      </c>
      <c r="D249" s="2" t="s">
        <v>314</v>
      </c>
      <c r="E249" s="2" t="s">
        <v>390</v>
      </c>
      <c r="F249" t="s">
        <v>3521</v>
      </c>
    </row>
    <row r="250" spans="1:6" x14ac:dyDescent="0.25">
      <c r="A250" s="2" t="s">
        <v>1223</v>
      </c>
      <c r="B250" s="2" t="s">
        <v>1224</v>
      </c>
      <c r="C250" s="2" t="s">
        <v>31</v>
      </c>
      <c r="D250" s="2" t="s">
        <v>17</v>
      </c>
      <c r="E250" s="2">
        <v>55458</v>
      </c>
      <c r="F250" t="s">
        <v>3521</v>
      </c>
    </row>
    <row r="251" spans="1:6" x14ac:dyDescent="0.25">
      <c r="A251" s="2" t="s">
        <v>1226</v>
      </c>
      <c r="B251" s="2" t="s">
        <v>1227</v>
      </c>
      <c r="C251" s="2" t="s">
        <v>148</v>
      </c>
      <c r="D251" s="2" t="s">
        <v>17</v>
      </c>
      <c r="E251" s="2">
        <v>94159</v>
      </c>
      <c r="F251" t="s">
        <v>3522</v>
      </c>
    </row>
    <row r="252" spans="1:6" x14ac:dyDescent="0.25">
      <c r="A252" s="2" t="s">
        <v>1229</v>
      </c>
      <c r="B252" s="2" t="s">
        <v>1230</v>
      </c>
      <c r="C252" s="2" t="s">
        <v>33</v>
      </c>
      <c r="D252" s="2" t="s">
        <v>17</v>
      </c>
      <c r="E252" s="2">
        <v>28225</v>
      </c>
      <c r="F252" t="s">
        <v>3521</v>
      </c>
    </row>
    <row r="253" spans="1:6" x14ac:dyDescent="0.25">
      <c r="A253" s="2" t="s">
        <v>1232</v>
      </c>
      <c r="B253" s="2" t="s">
        <v>1233</v>
      </c>
      <c r="C253" s="2" t="s">
        <v>182</v>
      </c>
      <c r="D253" s="2" t="s">
        <v>17</v>
      </c>
      <c r="E253" s="2">
        <v>85099</v>
      </c>
      <c r="F253" t="s">
        <v>3521</v>
      </c>
    </row>
    <row r="254" spans="1:6" x14ac:dyDescent="0.25">
      <c r="A254" s="2" t="s">
        <v>1235</v>
      </c>
      <c r="B254" s="2" t="s">
        <v>1236</v>
      </c>
      <c r="C254" s="2" t="s">
        <v>130</v>
      </c>
      <c r="D254" s="2" t="s">
        <v>17</v>
      </c>
      <c r="E254" s="2">
        <v>11407</v>
      </c>
      <c r="F254" t="s">
        <v>3522</v>
      </c>
    </row>
    <row r="255" spans="1:6" x14ac:dyDescent="0.25">
      <c r="A255" s="2" t="s">
        <v>1238</v>
      </c>
      <c r="B255" s="2" t="s">
        <v>1239</v>
      </c>
      <c r="C255" s="2" t="s">
        <v>192</v>
      </c>
      <c r="D255" s="2" t="s">
        <v>17</v>
      </c>
      <c r="E255" s="2">
        <v>61825</v>
      </c>
      <c r="F255" t="s">
        <v>3522</v>
      </c>
    </row>
    <row r="256" spans="1:6" x14ac:dyDescent="0.25">
      <c r="A256" s="2" t="s">
        <v>1241</v>
      </c>
      <c r="B256" s="2" t="s">
        <v>1242</v>
      </c>
      <c r="C256" s="2" t="s">
        <v>236</v>
      </c>
      <c r="D256" s="2" t="s">
        <v>26</v>
      </c>
      <c r="E256" s="2" t="s">
        <v>237</v>
      </c>
      <c r="F256" t="s">
        <v>3522</v>
      </c>
    </row>
    <row r="257" spans="1:6" x14ac:dyDescent="0.25">
      <c r="A257" s="2" t="s">
        <v>1244</v>
      </c>
      <c r="B257" s="2" t="s">
        <v>1245</v>
      </c>
      <c r="C257" s="2" t="s">
        <v>124</v>
      </c>
      <c r="D257" s="2" t="s">
        <v>17</v>
      </c>
      <c r="E257" s="2">
        <v>85715</v>
      </c>
      <c r="F257" t="s">
        <v>3522</v>
      </c>
    </row>
    <row r="258" spans="1:6" x14ac:dyDescent="0.25">
      <c r="A258" s="2" t="s">
        <v>1247</v>
      </c>
      <c r="B258" s="2" t="s">
        <v>1248</v>
      </c>
      <c r="C258" s="2" t="s">
        <v>43</v>
      </c>
      <c r="D258" s="2" t="s">
        <v>17</v>
      </c>
      <c r="E258" s="2">
        <v>53205</v>
      </c>
      <c r="F258" t="s">
        <v>3521</v>
      </c>
    </row>
    <row r="259" spans="1:6" x14ac:dyDescent="0.25">
      <c r="A259" s="2" t="s">
        <v>1250</v>
      </c>
      <c r="B259" s="2" t="s">
        <v>1251</v>
      </c>
      <c r="C259" s="2" t="s">
        <v>119</v>
      </c>
      <c r="D259" s="2" t="s">
        <v>17</v>
      </c>
      <c r="E259" s="2">
        <v>33064</v>
      </c>
      <c r="F259" t="s">
        <v>3521</v>
      </c>
    </row>
    <row r="260" spans="1:6" x14ac:dyDescent="0.25">
      <c r="A260" s="2" t="s">
        <v>1253</v>
      </c>
      <c r="B260" s="2" t="s">
        <v>1254</v>
      </c>
      <c r="C260" s="2" t="s">
        <v>144</v>
      </c>
      <c r="D260" s="2" t="s">
        <v>17</v>
      </c>
      <c r="E260" s="2">
        <v>90610</v>
      </c>
      <c r="F260" t="s">
        <v>3522</v>
      </c>
    </row>
    <row r="261" spans="1:6" x14ac:dyDescent="0.25">
      <c r="A261" s="2" t="s">
        <v>1256</v>
      </c>
      <c r="B261" s="2" t="s">
        <v>1257</v>
      </c>
      <c r="C261" s="2" t="s">
        <v>174</v>
      </c>
      <c r="D261" s="2" t="s">
        <v>26</v>
      </c>
      <c r="E261" s="2" t="s">
        <v>175</v>
      </c>
      <c r="F261" t="s">
        <v>3522</v>
      </c>
    </row>
    <row r="262" spans="1:6" x14ac:dyDescent="0.25">
      <c r="A262" s="2" t="s">
        <v>1259</v>
      </c>
      <c r="B262" s="2" t="s">
        <v>1260</v>
      </c>
      <c r="C262" s="2" t="s">
        <v>102</v>
      </c>
      <c r="D262" s="2" t="s">
        <v>17</v>
      </c>
      <c r="E262" s="2">
        <v>63180</v>
      </c>
      <c r="F262" t="s">
        <v>3521</v>
      </c>
    </row>
    <row r="263" spans="1:6" x14ac:dyDescent="0.25">
      <c r="A263" s="2" t="s">
        <v>1262</v>
      </c>
      <c r="B263" s="2" t="s">
        <v>1263</v>
      </c>
      <c r="C263" s="2" t="s">
        <v>177</v>
      </c>
      <c r="D263" s="2" t="s">
        <v>17</v>
      </c>
      <c r="E263" s="2">
        <v>16522</v>
      </c>
      <c r="F263" t="s">
        <v>3521</v>
      </c>
    </row>
    <row r="264" spans="1:6" x14ac:dyDescent="0.25">
      <c r="A264" s="2" t="s">
        <v>1265</v>
      </c>
      <c r="B264" s="2" t="s">
        <v>1266</v>
      </c>
      <c r="C264" s="2" t="s">
        <v>132</v>
      </c>
      <c r="D264" s="2" t="s">
        <v>17</v>
      </c>
      <c r="E264" s="2">
        <v>98464</v>
      </c>
      <c r="F264" t="s">
        <v>3522</v>
      </c>
    </row>
    <row r="265" spans="1:6" x14ac:dyDescent="0.25">
      <c r="A265" s="2" t="s">
        <v>1268</v>
      </c>
      <c r="B265" s="2" t="s">
        <v>1269</v>
      </c>
      <c r="C265" s="2" t="s">
        <v>36</v>
      </c>
      <c r="D265" s="2" t="s">
        <v>17</v>
      </c>
      <c r="E265" s="2">
        <v>23277</v>
      </c>
      <c r="F265" t="s">
        <v>3522</v>
      </c>
    </row>
    <row r="266" spans="1:6" x14ac:dyDescent="0.25">
      <c r="A266" s="2" t="s">
        <v>1271</v>
      </c>
      <c r="B266" s="2" t="s">
        <v>1272</v>
      </c>
      <c r="C266" s="2" t="s">
        <v>1273</v>
      </c>
      <c r="D266" s="2" t="s">
        <v>314</v>
      </c>
      <c r="E266" s="2" t="s">
        <v>440</v>
      </c>
      <c r="F266" t="s">
        <v>3521</v>
      </c>
    </row>
    <row r="267" spans="1:6" x14ac:dyDescent="0.25">
      <c r="A267" s="2" t="s">
        <v>1275</v>
      </c>
      <c r="B267" s="2" t="s">
        <v>1276</v>
      </c>
      <c r="C267" s="2" t="s">
        <v>86</v>
      </c>
      <c r="D267" s="2" t="s">
        <v>17</v>
      </c>
      <c r="E267" s="2">
        <v>72204</v>
      </c>
      <c r="F267" t="s">
        <v>3521</v>
      </c>
    </row>
    <row r="268" spans="1:6" x14ac:dyDescent="0.25">
      <c r="A268" s="2" t="s">
        <v>1278</v>
      </c>
      <c r="B268" s="2" t="s">
        <v>1279</v>
      </c>
      <c r="C268" s="2" t="s">
        <v>278</v>
      </c>
      <c r="D268" s="2" t="s">
        <v>26</v>
      </c>
      <c r="E268" s="2" t="s">
        <v>307</v>
      </c>
      <c r="F268" t="s">
        <v>3522</v>
      </c>
    </row>
    <row r="269" spans="1:6" x14ac:dyDescent="0.25">
      <c r="A269" s="2" t="s">
        <v>1281</v>
      </c>
      <c r="B269" s="2" t="s">
        <v>1282</v>
      </c>
      <c r="C269" s="2" t="s">
        <v>347</v>
      </c>
      <c r="D269" s="2" t="s">
        <v>17</v>
      </c>
      <c r="E269" s="2">
        <v>89436</v>
      </c>
      <c r="F269" t="s">
        <v>3521</v>
      </c>
    </row>
    <row r="270" spans="1:6" x14ac:dyDescent="0.25">
      <c r="A270" s="2" t="s">
        <v>1284</v>
      </c>
      <c r="B270" s="2" t="s">
        <v>1285</v>
      </c>
      <c r="C270" s="2" t="s">
        <v>240</v>
      </c>
      <c r="D270" s="2" t="s">
        <v>17</v>
      </c>
      <c r="E270" s="2">
        <v>77806</v>
      </c>
      <c r="F270" t="s">
        <v>3521</v>
      </c>
    </row>
    <row r="271" spans="1:6" x14ac:dyDescent="0.25">
      <c r="A271" s="2" t="s">
        <v>1287</v>
      </c>
      <c r="B271" s="2" t="s">
        <v>1288</v>
      </c>
      <c r="C271" s="2" t="s">
        <v>188</v>
      </c>
      <c r="D271" s="2" t="s">
        <v>17</v>
      </c>
      <c r="E271" s="2">
        <v>76210</v>
      </c>
      <c r="F271" t="s">
        <v>3522</v>
      </c>
    </row>
    <row r="272" spans="1:6" x14ac:dyDescent="0.25">
      <c r="A272" s="2" t="s">
        <v>1290</v>
      </c>
      <c r="B272" s="2" t="s">
        <v>1291</v>
      </c>
      <c r="C272" s="2" t="s">
        <v>437</v>
      </c>
      <c r="D272" s="2" t="s">
        <v>314</v>
      </c>
      <c r="E272" s="2" t="s">
        <v>438</v>
      </c>
      <c r="F272" t="s">
        <v>3521</v>
      </c>
    </row>
    <row r="273" spans="1:6" x14ac:dyDescent="0.25">
      <c r="A273" s="2" t="s">
        <v>1293</v>
      </c>
      <c r="B273" s="2" t="s">
        <v>1294</v>
      </c>
      <c r="C273" s="2" t="s">
        <v>331</v>
      </c>
      <c r="D273" s="2" t="s">
        <v>17</v>
      </c>
      <c r="E273" s="2">
        <v>27635</v>
      </c>
      <c r="F273" t="s">
        <v>3521</v>
      </c>
    </row>
    <row r="274" spans="1:6" x14ac:dyDescent="0.25">
      <c r="A274" s="2" t="s">
        <v>1296</v>
      </c>
      <c r="B274" s="2" t="s">
        <v>1297</v>
      </c>
      <c r="C274" s="2" t="s">
        <v>1298</v>
      </c>
      <c r="D274" s="2" t="s">
        <v>314</v>
      </c>
      <c r="E274" s="2" t="s">
        <v>450</v>
      </c>
      <c r="F274" t="s">
        <v>3521</v>
      </c>
    </row>
    <row r="275" spans="1:6" x14ac:dyDescent="0.25">
      <c r="A275" s="2" t="s">
        <v>1300</v>
      </c>
      <c r="B275" s="2" t="s">
        <v>1301</v>
      </c>
      <c r="C275" s="2" t="s">
        <v>55</v>
      </c>
      <c r="D275" s="2" t="s">
        <v>17</v>
      </c>
      <c r="E275" s="2">
        <v>10105</v>
      </c>
      <c r="F275" t="s">
        <v>3522</v>
      </c>
    </row>
    <row r="276" spans="1:6" x14ac:dyDescent="0.25">
      <c r="A276" s="2" t="s">
        <v>1303</v>
      </c>
      <c r="B276" s="2" t="s">
        <v>1304</v>
      </c>
      <c r="C276" s="2" t="s">
        <v>163</v>
      </c>
      <c r="D276" s="2" t="s">
        <v>17</v>
      </c>
      <c r="E276" s="2">
        <v>6905</v>
      </c>
      <c r="F276" t="s">
        <v>3522</v>
      </c>
    </row>
    <row r="277" spans="1:6" x14ac:dyDescent="0.25">
      <c r="A277" s="2" t="s">
        <v>1306</v>
      </c>
      <c r="B277" s="2" t="s">
        <v>1307</v>
      </c>
      <c r="C277" s="2" t="s">
        <v>258</v>
      </c>
      <c r="D277" s="2" t="s">
        <v>17</v>
      </c>
      <c r="E277" s="2">
        <v>43666</v>
      </c>
      <c r="F277" t="s">
        <v>3522</v>
      </c>
    </row>
    <row r="278" spans="1:6" x14ac:dyDescent="0.25">
      <c r="A278" s="2" t="s">
        <v>1309</v>
      </c>
      <c r="B278" s="2" t="s">
        <v>1310</v>
      </c>
      <c r="C278" s="2" t="s">
        <v>321</v>
      </c>
      <c r="D278" s="2" t="s">
        <v>314</v>
      </c>
      <c r="E278" s="2" t="s">
        <v>322</v>
      </c>
      <c r="F278" t="s">
        <v>3521</v>
      </c>
    </row>
    <row r="279" spans="1:6" x14ac:dyDescent="0.25">
      <c r="A279" s="2" t="s">
        <v>1312</v>
      </c>
      <c r="B279" s="2" t="s">
        <v>1313</v>
      </c>
      <c r="C279" s="2" t="s">
        <v>58</v>
      </c>
      <c r="D279" s="2" t="s">
        <v>17</v>
      </c>
      <c r="E279" s="2">
        <v>65211</v>
      </c>
      <c r="F279" t="s">
        <v>3522</v>
      </c>
    </row>
    <row r="280" spans="1:6" x14ac:dyDescent="0.25">
      <c r="A280" s="2" t="s">
        <v>1315</v>
      </c>
      <c r="B280" s="2" t="s">
        <v>1316</v>
      </c>
      <c r="C280" s="2" t="s">
        <v>64</v>
      </c>
      <c r="D280" s="2" t="s">
        <v>17</v>
      </c>
      <c r="E280" s="2">
        <v>46852</v>
      </c>
      <c r="F280" t="s">
        <v>3521</v>
      </c>
    </row>
    <row r="281" spans="1:6" x14ac:dyDescent="0.25">
      <c r="A281" s="2" t="s">
        <v>1318</v>
      </c>
      <c r="B281" s="2" t="s">
        <v>1319</v>
      </c>
      <c r="C281" s="2" t="s">
        <v>102</v>
      </c>
      <c r="D281" s="2" t="s">
        <v>17</v>
      </c>
      <c r="E281" s="2">
        <v>63143</v>
      </c>
      <c r="F281" t="s">
        <v>3521</v>
      </c>
    </row>
    <row r="282" spans="1:6" x14ac:dyDescent="0.25">
      <c r="A282" s="2" t="s">
        <v>1321</v>
      </c>
      <c r="B282" s="2" t="s">
        <v>1322</v>
      </c>
      <c r="C282" s="2" t="s">
        <v>187</v>
      </c>
      <c r="D282" s="2" t="s">
        <v>17</v>
      </c>
      <c r="E282" s="2">
        <v>97211</v>
      </c>
      <c r="F282" t="s">
        <v>3521</v>
      </c>
    </row>
    <row r="283" spans="1:6" x14ac:dyDescent="0.25">
      <c r="A283" s="2" t="s">
        <v>1324</v>
      </c>
      <c r="B283" s="2" t="s">
        <v>1325</v>
      </c>
      <c r="C283" s="2" t="s">
        <v>110</v>
      </c>
      <c r="D283" s="2" t="s">
        <v>17</v>
      </c>
      <c r="E283" s="2">
        <v>80305</v>
      </c>
      <c r="F283" t="s">
        <v>3521</v>
      </c>
    </row>
    <row r="284" spans="1:6" x14ac:dyDescent="0.25">
      <c r="A284" s="2" t="s">
        <v>1327</v>
      </c>
      <c r="B284" s="2" t="s">
        <v>1328</v>
      </c>
      <c r="C284" s="2" t="s">
        <v>218</v>
      </c>
      <c r="D284" s="2" t="s">
        <v>26</v>
      </c>
      <c r="E284" s="2" t="s">
        <v>332</v>
      </c>
      <c r="F284" t="s">
        <v>3522</v>
      </c>
    </row>
    <row r="285" spans="1:6" x14ac:dyDescent="0.25">
      <c r="A285" s="2" t="s">
        <v>1330</v>
      </c>
      <c r="B285" s="2" t="s">
        <v>1331</v>
      </c>
      <c r="C285" s="2" t="s">
        <v>174</v>
      </c>
      <c r="D285" s="2" t="s">
        <v>26</v>
      </c>
      <c r="E285" s="2" t="s">
        <v>175</v>
      </c>
      <c r="F285" t="s">
        <v>3521</v>
      </c>
    </row>
    <row r="286" spans="1:6" x14ac:dyDescent="0.25">
      <c r="A286" s="2" t="s">
        <v>1333</v>
      </c>
      <c r="B286" s="2" t="s">
        <v>1334</v>
      </c>
      <c r="C286" s="2" t="s">
        <v>42</v>
      </c>
      <c r="D286" s="2" t="s">
        <v>17</v>
      </c>
      <c r="E286" s="2">
        <v>40298</v>
      </c>
      <c r="F286" t="s">
        <v>3522</v>
      </c>
    </row>
    <row r="287" spans="1:6" x14ac:dyDescent="0.25">
      <c r="A287" s="2" t="s">
        <v>1336</v>
      </c>
      <c r="B287" s="2" t="s">
        <v>1337</v>
      </c>
      <c r="C287" s="2" t="s">
        <v>118</v>
      </c>
      <c r="D287" s="2" t="s">
        <v>17</v>
      </c>
      <c r="E287" s="2">
        <v>14276</v>
      </c>
      <c r="F287" t="s">
        <v>3522</v>
      </c>
    </row>
    <row r="288" spans="1:6" x14ac:dyDescent="0.25">
      <c r="A288" s="2" t="s">
        <v>1339</v>
      </c>
      <c r="B288" s="2" t="s">
        <v>1340</v>
      </c>
      <c r="C288" s="2" t="s">
        <v>300</v>
      </c>
      <c r="D288" s="2" t="s">
        <v>17</v>
      </c>
      <c r="E288" s="2">
        <v>44710</v>
      </c>
      <c r="F288" t="s">
        <v>3521</v>
      </c>
    </row>
    <row r="289" spans="1:6" x14ac:dyDescent="0.25">
      <c r="A289" s="2" t="s">
        <v>1342</v>
      </c>
      <c r="B289" s="2" t="s">
        <v>1343</v>
      </c>
      <c r="C289" s="2" t="s">
        <v>239</v>
      </c>
      <c r="D289" s="2" t="s">
        <v>17</v>
      </c>
      <c r="E289" s="2">
        <v>2114</v>
      </c>
      <c r="F289" t="s">
        <v>3522</v>
      </c>
    </row>
    <row r="290" spans="1:6" x14ac:dyDescent="0.25">
      <c r="A290" s="2" t="s">
        <v>1345</v>
      </c>
      <c r="B290" s="2" t="s">
        <v>1346</v>
      </c>
      <c r="C290" s="2" t="s">
        <v>399</v>
      </c>
      <c r="D290" s="2" t="s">
        <v>314</v>
      </c>
      <c r="E290" s="2" t="s">
        <v>400</v>
      </c>
      <c r="F290" t="s">
        <v>3521</v>
      </c>
    </row>
    <row r="291" spans="1:6" x14ac:dyDescent="0.25">
      <c r="A291" s="2" t="s">
        <v>1348</v>
      </c>
      <c r="B291" s="2" t="s">
        <v>1349</v>
      </c>
      <c r="C291" s="2" t="s">
        <v>220</v>
      </c>
      <c r="D291" s="2" t="s">
        <v>17</v>
      </c>
      <c r="E291" s="2">
        <v>24515</v>
      </c>
      <c r="F291" t="s">
        <v>3521</v>
      </c>
    </row>
    <row r="292" spans="1:6" x14ac:dyDescent="0.25">
      <c r="A292" s="2" t="s">
        <v>1351</v>
      </c>
      <c r="B292" s="2" t="s">
        <v>1352</v>
      </c>
      <c r="C292" s="2" t="s">
        <v>25</v>
      </c>
      <c r="D292" s="2" t="s">
        <v>17</v>
      </c>
      <c r="E292" s="2">
        <v>90071</v>
      </c>
      <c r="F292" t="s">
        <v>3522</v>
      </c>
    </row>
    <row r="293" spans="1:6" x14ac:dyDescent="0.25">
      <c r="A293" s="2" t="s">
        <v>1354</v>
      </c>
      <c r="B293" s="2" t="s">
        <v>1355</v>
      </c>
      <c r="C293" s="2" t="s">
        <v>443</v>
      </c>
      <c r="D293" s="2" t="s">
        <v>314</v>
      </c>
      <c r="E293" s="2" t="s">
        <v>406</v>
      </c>
      <c r="F293" t="s">
        <v>3522</v>
      </c>
    </row>
    <row r="294" spans="1:6" x14ac:dyDescent="0.25">
      <c r="A294" s="2" t="s">
        <v>1357</v>
      </c>
      <c r="B294" s="2" t="s">
        <v>1358</v>
      </c>
      <c r="C294" s="2" t="s">
        <v>142</v>
      </c>
      <c r="D294" s="2" t="s">
        <v>17</v>
      </c>
      <c r="E294" s="2">
        <v>35236</v>
      </c>
      <c r="F294" t="s">
        <v>3522</v>
      </c>
    </row>
    <row r="295" spans="1:6" x14ac:dyDescent="0.25">
      <c r="A295" s="2" t="s">
        <v>1360</v>
      </c>
      <c r="B295" s="2" t="s">
        <v>1361</v>
      </c>
      <c r="C295" s="2" t="s">
        <v>162</v>
      </c>
      <c r="D295" s="2" t="s">
        <v>17</v>
      </c>
      <c r="E295" s="2">
        <v>22309</v>
      </c>
      <c r="F295" t="s">
        <v>3522</v>
      </c>
    </row>
    <row r="296" spans="1:6" x14ac:dyDescent="0.25">
      <c r="A296" s="2" t="s">
        <v>1363</v>
      </c>
      <c r="B296" s="2" t="s">
        <v>1364</v>
      </c>
      <c r="C296" s="2" t="s">
        <v>168</v>
      </c>
      <c r="D296" s="2" t="s">
        <v>17</v>
      </c>
      <c r="E296" s="2">
        <v>6816</v>
      </c>
      <c r="F296" t="s">
        <v>3522</v>
      </c>
    </row>
    <row r="297" spans="1:6" x14ac:dyDescent="0.25">
      <c r="A297" s="2" t="s">
        <v>1366</v>
      </c>
      <c r="B297" s="2" t="s">
        <v>1367</v>
      </c>
      <c r="C297" s="2" t="s">
        <v>196</v>
      </c>
      <c r="D297" s="2" t="s">
        <v>17</v>
      </c>
      <c r="E297" s="2">
        <v>12205</v>
      </c>
      <c r="F297" t="s">
        <v>3522</v>
      </c>
    </row>
    <row r="298" spans="1:6" x14ac:dyDescent="0.25">
      <c r="A298" s="2" t="s">
        <v>1369</v>
      </c>
      <c r="B298" s="2" t="s">
        <v>1370</v>
      </c>
      <c r="C298" s="2" t="s">
        <v>265</v>
      </c>
      <c r="D298" s="2" t="s">
        <v>17</v>
      </c>
      <c r="E298" s="2">
        <v>34108</v>
      </c>
      <c r="F298" t="s">
        <v>3521</v>
      </c>
    </row>
    <row r="299" spans="1:6" x14ac:dyDescent="0.25">
      <c r="A299" s="2" t="s">
        <v>1372</v>
      </c>
      <c r="B299" s="2" t="s">
        <v>1373</v>
      </c>
      <c r="C299" s="2" t="s">
        <v>193</v>
      </c>
      <c r="D299" s="2" t="s">
        <v>17</v>
      </c>
      <c r="E299" s="2">
        <v>33141</v>
      </c>
      <c r="F299" t="s">
        <v>3521</v>
      </c>
    </row>
    <row r="300" spans="1:6" x14ac:dyDescent="0.25">
      <c r="A300" s="2" t="s">
        <v>1375</v>
      </c>
      <c r="B300" s="2" t="s">
        <v>1376</v>
      </c>
      <c r="C300" s="2" t="s">
        <v>82</v>
      </c>
      <c r="D300" s="2" t="s">
        <v>17</v>
      </c>
      <c r="E300" s="2">
        <v>30358</v>
      </c>
      <c r="F300" t="s">
        <v>3521</v>
      </c>
    </row>
    <row r="301" spans="1:6" x14ac:dyDescent="0.25">
      <c r="A301" s="2" t="s">
        <v>1378</v>
      </c>
      <c r="B301" s="2" t="s">
        <v>1379</v>
      </c>
      <c r="C301" s="2" t="s">
        <v>226</v>
      </c>
      <c r="D301" s="2" t="s">
        <v>17</v>
      </c>
      <c r="E301" s="2">
        <v>78405</v>
      </c>
      <c r="F301" t="s">
        <v>3521</v>
      </c>
    </row>
    <row r="302" spans="1:6" x14ac:dyDescent="0.25">
      <c r="A302" s="2" t="s">
        <v>1381</v>
      </c>
      <c r="B302" s="2" t="s">
        <v>1382</v>
      </c>
      <c r="C302" s="2" t="s">
        <v>71</v>
      </c>
      <c r="D302" s="2" t="s">
        <v>17</v>
      </c>
      <c r="E302" s="2">
        <v>96835</v>
      </c>
      <c r="F302" t="s">
        <v>3521</v>
      </c>
    </row>
    <row r="303" spans="1:6" x14ac:dyDescent="0.25">
      <c r="A303" s="2" t="s">
        <v>1384</v>
      </c>
      <c r="B303" s="2" t="s">
        <v>1385</v>
      </c>
      <c r="C303" s="2" t="s">
        <v>121</v>
      </c>
      <c r="D303" s="2" t="s">
        <v>17</v>
      </c>
      <c r="E303" s="2">
        <v>78737</v>
      </c>
      <c r="F303" t="s">
        <v>3521</v>
      </c>
    </row>
    <row r="304" spans="1:6" x14ac:dyDescent="0.25">
      <c r="A304" s="2" t="s">
        <v>1387</v>
      </c>
      <c r="B304" s="2" t="s">
        <v>1388</v>
      </c>
      <c r="C304" s="2" t="s">
        <v>18</v>
      </c>
      <c r="D304" s="2" t="s">
        <v>17</v>
      </c>
      <c r="E304" s="2">
        <v>21290</v>
      </c>
      <c r="F304" t="s">
        <v>3522</v>
      </c>
    </row>
    <row r="305" spans="1:6" x14ac:dyDescent="0.25">
      <c r="A305" s="2" t="s">
        <v>1390</v>
      </c>
      <c r="B305" s="2" t="s">
        <v>1391</v>
      </c>
      <c r="C305" s="2" t="s">
        <v>41</v>
      </c>
      <c r="D305" s="2" t="s">
        <v>17</v>
      </c>
      <c r="E305" s="2">
        <v>40596</v>
      </c>
      <c r="F305" t="s">
        <v>3521</v>
      </c>
    </row>
    <row r="306" spans="1:6" x14ac:dyDescent="0.25">
      <c r="A306" s="2" t="s">
        <v>1393</v>
      </c>
      <c r="B306" s="2" t="s">
        <v>1394</v>
      </c>
      <c r="C306" s="2" t="s">
        <v>313</v>
      </c>
      <c r="D306" s="2" t="s">
        <v>17</v>
      </c>
      <c r="E306" s="2">
        <v>60435</v>
      </c>
      <c r="F306" t="s">
        <v>3521</v>
      </c>
    </row>
    <row r="307" spans="1:6" x14ac:dyDescent="0.25">
      <c r="A307" s="2" t="s">
        <v>1396</v>
      </c>
      <c r="B307" s="2" t="s">
        <v>1397</v>
      </c>
      <c r="C307" s="2" t="s">
        <v>271</v>
      </c>
      <c r="D307" s="2" t="s">
        <v>26</v>
      </c>
      <c r="E307" s="2" t="s">
        <v>272</v>
      </c>
      <c r="F307" t="s">
        <v>3522</v>
      </c>
    </row>
    <row r="308" spans="1:6" x14ac:dyDescent="0.25">
      <c r="A308" s="2" t="s">
        <v>1399</v>
      </c>
      <c r="B308" s="2" t="s">
        <v>1400</v>
      </c>
      <c r="C308" s="2" t="s">
        <v>234</v>
      </c>
      <c r="D308" s="2" t="s">
        <v>17</v>
      </c>
      <c r="E308" s="2">
        <v>68505</v>
      </c>
      <c r="F308" t="s">
        <v>3522</v>
      </c>
    </row>
    <row r="309" spans="1:6" x14ac:dyDescent="0.25">
      <c r="A309" s="2" t="s">
        <v>1402</v>
      </c>
      <c r="B309" s="2" t="s">
        <v>1403</v>
      </c>
      <c r="C309" s="2" t="s">
        <v>49</v>
      </c>
      <c r="D309" s="2" t="s">
        <v>17</v>
      </c>
      <c r="E309" s="2">
        <v>45254</v>
      </c>
      <c r="F309" t="s">
        <v>3521</v>
      </c>
    </row>
    <row r="310" spans="1:6" x14ac:dyDescent="0.25">
      <c r="A310" s="2" t="s">
        <v>1405</v>
      </c>
      <c r="B310" s="2" t="s">
        <v>1406</v>
      </c>
      <c r="C310" s="2" t="s">
        <v>174</v>
      </c>
      <c r="D310" s="2" t="s">
        <v>26</v>
      </c>
      <c r="E310" s="2" t="s">
        <v>175</v>
      </c>
      <c r="F310" t="s">
        <v>3522</v>
      </c>
    </row>
    <row r="311" spans="1:6" x14ac:dyDescent="0.25">
      <c r="A311" s="2" t="s">
        <v>1408</v>
      </c>
      <c r="B311" s="2" t="s">
        <v>1409</v>
      </c>
      <c r="C311" s="2" t="s">
        <v>375</v>
      </c>
      <c r="D311" s="2" t="s">
        <v>17</v>
      </c>
      <c r="E311" s="2">
        <v>6127</v>
      </c>
      <c r="F311" t="s">
        <v>3521</v>
      </c>
    </row>
    <row r="312" spans="1:6" x14ac:dyDescent="0.25">
      <c r="A312" s="2" t="s">
        <v>1411</v>
      </c>
      <c r="B312" s="2" t="s">
        <v>1412</v>
      </c>
      <c r="C312" s="2" t="s">
        <v>323</v>
      </c>
      <c r="D312" s="2" t="s">
        <v>314</v>
      </c>
      <c r="E312" s="2" t="s">
        <v>317</v>
      </c>
      <c r="F312" t="s">
        <v>3522</v>
      </c>
    </row>
    <row r="313" spans="1:6" x14ac:dyDescent="0.25">
      <c r="A313" s="2" t="s">
        <v>1414</v>
      </c>
      <c r="B313" s="2" t="s">
        <v>1415</v>
      </c>
      <c r="C313" s="2" t="s">
        <v>33</v>
      </c>
      <c r="D313" s="2" t="s">
        <v>17</v>
      </c>
      <c r="E313" s="2">
        <v>28299</v>
      </c>
      <c r="F313" t="s">
        <v>3521</v>
      </c>
    </row>
    <row r="314" spans="1:6" x14ac:dyDescent="0.25">
      <c r="A314" s="2" t="s">
        <v>1417</v>
      </c>
      <c r="B314" s="2" t="s">
        <v>1418</v>
      </c>
      <c r="C314" s="2" t="s">
        <v>162</v>
      </c>
      <c r="D314" s="2" t="s">
        <v>17</v>
      </c>
      <c r="E314" s="2">
        <v>71307</v>
      </c>
      <c r="F314" t="s">
        <v>3521</v>
      </c>
    </row>
    <row r="315" spans="1:6" x14ac:dyDescent="0.25">
      <c r="A315" s="2" t="s">
        <v>1420</v>
      </c>
      <c r="B315" s="2" t="s">
        <v>1421</v>
      </c>
      <c r="C315" s="2" t="s">
        <v>361</v>
      </c>
      <c r="D315" s="2" t="s">
        <v>26</v>
      </c>
      <c r="E315" s="2" t="s">
        <v>362</v>
      </c>
      <c r="F315" t="s">
        <v>3521</v>
      </c>
    </row>
    <row r="316" spans="1:6" x14ac:dyDescent="0.25">
      <c r="A316" s="2" t="s">
        <v>1423</v>
      </c>
      <c r="B316" s="2" t="s">
        <v>1424</v>
      </c>
      <c r="C316" s="2" t="s">
        <v>105</v>
      </c>
      <c r="D316" s="2" t="s">
        <v>17</v>
      </c>
      <c r="E316" s="2">
        <v>89115</v>
      </c>
      <c r="F316" t="s">
        <v>3522</v>
      </c>
    </row>
    <row r="317" spans="1:6" x14ac:dyDescent="0.25">
      <c r="A317" s="2" t="s">
        <v>1426</v>
      </c>
      <c r="B317" s="2" t="s">
        <v>1427</v>
      </c>
      <c r="C317" s="2" t="s">
        <v>167</v>
      </c>
      <c r="D317" s="2" t="s">
        <v>17</v>
      </c>
      <c r="E317" s="2">
        <v>50369</v>
      </c>
      <c r="F317" t="s">
        <v>3521</v>
      </c>
    </row>
    <row r="318" spans="1:6" x14ac:dyDescent="0.25">
      <c r="A318" s="2" t="s">
        <v>1429</v>
      </c>
      <c r="B318" s="2" t="s">
        <v>1430</v>
      </c>
      <c r="C318" s="2" t="s">
        <v>904</v>
      </c>
      <c r="D318" s="2" t="s">
        <v>314</v>
      </c>
      <c r="E318" s="2" t="s">
        <v>440</v>
      </c>
      <c r="F318" t="s">
        <v>3522</v>
      </c>
    </row>
    <row r="319" spans="1:6" x14ac:dyDescent="0.25">
      <c r="A319" s="2" t="s">
        <v>1432</v>
      </c>
      <c r="B319" s="2" t="s">
        <v>1433</v>
      </c>
      <c r="C319" s="2" t="s">
        <v>73</v>
      </c>
      <c r="D319" s="2" t="s">
        <v>17</v>
      </c>
      <c r="E319" s="2">
        <v>44315</v>
      </c>
      <c r="F319" t="s">
        <v>3522</v>
      </c>
    </row>
    <row r="320" spans="1:6" x14ac:dyDescent="0.25">
      <c r="A320" s="2" t="s">
        <v>1435</v>
      </c>
      <c r="B320" s="2" t="s">
        <v>1436</v>
      </c>
      <c r="C320" s="2" t="s">
        <v>27</v>
      </c>
      <c r="D320" s="2" t="s">
        <v>17</v>
      </c>
      <c r="E320" s="2">
        <v>33405</v>
      </c>
      <c r="F320" t="s">
        <v>3521</v>
      </c>
    </row>
    <row r="321" spans="1:6" x14ac:dyDescent="0.25">
      <c r="A321" s="2" t="s">
        <v>1438</v>
      </c>
      <c r="B321" s="2" t="s">
        <v>1439</v>
      </c>
      <c r="C321" s="2" t="s">
        <v>28</v>
      </c>
      <c r="D321" s="2" t="s">
        <v>17</v>
      </c>
      <c r="E321" s="2">
        <v>93715</v>
      </c>
      <c r="F321" t="s">
        <v>3521</v>
      </c>
    </row>
    <row r="322" spans="1:6" x14ac:dyDescent="0.25">
      <c r="A322" s="2" t="s">
        <v>1440</v>
      </c>
      <c r="B322" s="2" t="s">
        <v>1441</v>
      </c>
      <c r="C322" s="2" t="s">
        <v>211</v>
      </c>
      <c r="D322" s="2" t="s">
        <v>17</v>
      </c>
      <c r="E322" s="2">
        <v>52245</v>
      </c>
      <c r="F322" t="s">
        <v>3521</v>
      </c>
    </row>
    <row r="323" spans="1:6" x14ac:dyDescent="0.25">
      <c r="A323" s="2" t="s">
        <v>1443</v>
      </c>
      <c r="B323" s="2" t="s">
        <v>1444</v>
      </c>
      <c r="C323" s="2" t="s">
        <v>386</v>
      </c>
      <c r="D323" s="2" t="s">
        <v>314</v>
      </c>
      <c r="E323" s="2" t="s">
        <v>344</v>
      </c>
      <c r="F323" t="s">
        <v>3521</v>
      </c>
    </row>
    <row r="324" spans="1:6" x14ac:dyDescent="0.25">
      <c r="A324" s="2" t="s">
        <v>1446</v>
      </c>
      <c r="B324" s="2" t="s">
        <v>1447</v>
      </c>
      <c r="C324" s="2" t="s">
        <v>451</v>
      </c>
      <c r="D324" s="2" t="s">
        <v>314</v>
      </c>
      <c r="E324" s="2" t="s">
        <v>344</v>
      </c>
      <c r="F324" t="s">
        <v>3522</v>
      </c>
    </row>
    <row r="325" spans="1:6" x14ac:dyDescent="0.25">
      <c r="A325" s="2" t="s">
        <v>1449</v>
      </c>
      <c r="B325" s="2" t="s">
        <v>1450</v>
      </c>
      <c r="C325" s="2" t="s">
        <v>47</v>
      </c>
      <c r="D325" s="2" t="s">
        <v>17</v>
      </c>
      <c r="E325" s="2">
        <v>37924</v>
      </c>
      <c r="F325" t="s">
        <v>3521</v>
      </c>
    </row>
    <row r="326" spans="1:6" x14ac:dyDescent="0.25">
      <c r="A326" s="2" t="s">
        <v>1452</v>
      </c>
      <c r="B326" s="2" t="s">
        <v>1453</v>
      </c>
      <c r="C326" s="2" t="s">
        <v>65</v>
      </c>
      <c r="D326" s="2" t="s">
        <v>17</v>
      </c>
      <c r="E326" s="2">
        <v>66276</v>
      </c>
      <c r="F326" t="s">
        <v>3522</v>
      </c>
    </row>
    <row r="327" spans="1:6" x14ac:dyDescent="0.25">
      <c r="A327" s="2" t="s">
        <v>1455</v>
      </c>
      <c r="B327" s="2" t="s">
        <v>1456</v>
      </c>
      <c r="C327" s="2" t="s">
        <v>148</v>
      </c>
      <c r="D327" s="2" t="s">
        <v>17</v>
      </c>
      <c r="E327" s="2">
        <v>94132</v>
      </c>
      <c r="F327" t="s">
        <v>3521</v>
      </c>
    </row>
    <row r="328" spans="1:6" x14ac:dyDescent="0.25">
      <c r="A328" s="2" t="s">
        <v>1458</v>
      </c>
      <c r="B328" s="2" t="s">
        <v>1459</v>
      </c>
      <c r="C328" s="2" t="s">
        <v>142</v>
      </c>
      <c r="D328" s="2" t="s">
        <v>17</v>
      </c>
      <c r="E328" s="2">
        <v>35244</v>
      </c>
      <c r="F328" t="s">
        <v>3522</v>
      </c>
    </row>
    <row r="329" spans="1:6" x14ac:dyDescent="0.25">
      <c r="A329" s="2" t="s">
        <v>1461</v>
      </c>
      <c r="B329" s="2" t="s">
        <v>1462</v>
      </c>
      <c r="C329" s="2" t="s">
        <v>137</v>
      </c>
      <c r="D329" s="2" t="s">
        <v>17</v>
      </c>
      <c r="E329" s="2">
        <v>11215</v>
      </c>
      <c r="F329" t="s">
        <v>3521</v>
      </c>
    </row>
    <row r="330" spans="1:6" x14ac:dyDescent="0.25">
      <c r="A330" s="2" t="s">
        <v>1464</v>
      </c>
      <c r="B330" s="2" t="s">
        <v>1465</v>
      </c>
      <c r="C330" s="2" t="s">
        <v>48</v>
      </c>
      <c r="D330" s="2" t="s">
        <v>17</v>
      </c>
      <c r="E330" s="2">
        <v>79934</v>
      </c>
      <c r="F330" t="s">
        <v>3521</v>
      </c>
    </row>
    <row r="331" spans="1:6" x14ac:dyDescent="0.25">
      <c r="A331" s="2" t="s">
        <v>1467</v>
      </c>
      <c r="B331" s="2" t="s">
        <v>1468</v>
      </c>
      <c r="C331" s="2" t="s">
        <v>129</v>
      </c>
      <c r="D331" s="2" t="s">
        <v>17</v>
      </c>
      <c r="E331" s="2">
        <v>94250</v>
      </c>
      <c r="F331" t="s">
        <v>3521</v>
      </c>
    </row>
    <row r="332" spans="1:6" x14ac:dyDescent="0.25">
      <c r="A332" s="2" t="s">
        <v>1470</v>
      </c>
      <c r="B332" s="2" t="s">
        <v>1471</v>
      </c>
      <c r="C332" s="2" t="s">
        <v>45</v>
      </c>
      <c r="D332" s="2" t="s">
        <v>17</v>
      </c>
      <c r="E332" s="2">
        <v>20220</v>
      </c>
      <c r="F332" t="s">
        <v>3522</v>
      </c>
    </row>
    <row r="333" spans="1:6" x14ac:dyDescent="0.25">
      <c r="A333" s="2" t="s">
        <v>1473</v>
      </c>
      <c r="B333" s="2" t="s">
        <v>1474</v>
      </c>
      <c r="C333" s="2" t="s">
        <v>115</v>
      </c>
      <c r="D333" s="2" t="s">
        <v>17</v>
      </c>
      <c r="E333" s="2">
        <v>33436</v>
      </c>
      <c r="F333" t="s">
        <v>3521</v>
      </c>
    </row>
    <row r="334" spans="1:6" x14ac:dyDescent="0.25">
      <c r="A334" s="2" t="s">
        <v>1476</v>
      </c>
      <c r="B334" s="2" t="s">
        <v>1477</v>
      </c>
      <c r="C334" s="2" t="s">
        <v>25</v>
      </c>
      <c r="D334" s="2" t="s">
        <v>17</v>
      </c>
      <c r="E334" s="2">
        <v>90094</v>
      </c>
      <c r="F334" t="s">
        <v>3521</v>
      </c>
    </row>
    <row r="335" spans="1:6" x14ac:dyDescent="0.25">
      <c r="A335" s="2" t="s">
        <v>1479</v>
      </c>
      <c r="B335" s="2" t="s">
        <v>1480</v>
      </c>
      <c r="C335" s="2" t="s">
        <v>18</v>
      </c>
      <c r="D335" s="2" t="s">
        <v>17</v>
      </c>
      <c r="E335" s="2">
        <v>21275</v>
      </c>
      <c r="F335" t="s">
        <v>3521</v>
      </c>
    </row>
    <row r="336" spans="1:6" x14ac:dyDescent="0.25">
      <c r="A336" s="2" t="s">
        <v>1482</v>
      </c>
      <c r="B336" s="2" t="s">
        <v>1483</v>
      </c>
      <c r="C336" s="2" t="s">
        <v>214</v>
      </c>
      <c r="D336" s="2" t="s">
        <v>17</v>
      </c>
      <c r="E336" s="2">
        <v>84125</v>
      </c>
      <c r="F336" t="s">
        <v>3522</v>
      </c>
    </row>
    <row r="337" spans="1:6" x14ac:dyDescent="0.25">
      <c r="A337" s="2" t="s">
        <v>1485</v>
      </c>
      <c r="B337" s="2" t="s">
        <v>1486</v>
      </c>
      <c r="C337" s="2" t="s">
        <v>113</v>
      </c>
      <c r="D337" s="2" t="s">
        <v>17</v>
      </c>
      <c r="E337" s="2">
        <v>75049</v>
      </c>
      <c r="F337" t="s">
        <v>3521</v>
      </c>
    </row>
    <row r="338" spans="1:6" x14ac:dyDescent="0.25">
      <c r="A338" s="2" t="s">
        <v>1488</v>
      </c>
      <c r="B338" s="2" t="s">
        <v>1489</v>
      </c>
      <c r="C338" s="2" t="s">
        <v>251</v>
      </c>
      <c r="D338" s="2" t="s">
        <v>26</v>
      </c>
      <c r="E338" s="2" t="s">
        <v>252</v>
      </c>
      <c r="F338" t="s">
        <v>3522</v>
      </c>
    </row>
    <row r="339" spans="1:6" x14ac:dyDescent="0.25">
      <c r="A339" s="2" t="s">
        <v>1491</v>
      </c>
      <c r="B339" s="2" t="s">
        <v>1492</v>
      </c>
      <c r="C339" s="2" t="s">
        <v>37</v>
      </c>
      <c r="D339" s="2" t="s">
        <v>17</v>
      </c>
      <c r="E339" s="2">
        <v>43240</v>
      </c>
      <c r="F339" t="s">
        <v>3522</v>
      </c>
    </row>
    <row r="340" spans="1:6" x14ac:dyDescent="0.25">
      <c r="A340" s="2" t="s">
        <v>1494</v>
      </c>
      <c r="B340" s="2" t="s">
        <v>1495</v>
      </c>
      <c r="C340" s="2" t="s">
        <v>55</v>
      </c>
      <c r="D340" s="2" t="s">
        <v>17</v>
      </c>
      <c r="E340" s="2">
        <v>10184</v>
      </c>
      <c r="F340" t="s">
        <v>3522</v>
      </c>
    </row>
    <row r="341" spans="1:6" x14ac:dyDescent="0.25">
      <c r="A341" s="2" t="s">
        <v>1497</v>
      </c>
      <c r="B341" s="2" t="s">
        <v>1498</v>
      </c>
      <c r="C341" s="2" t="s">
        <v>239</v>
      </c>
      <c r="D341" s="2" t="s">
        <v>17</v>
      </c>
      <c r="E341" s="2">
        <v>2216</v>
      </c>
      <c r="F341" t="s">
        <v>3521</v>
      </c>
    </row>
    <row r="342" spans="1:6" x14ac:dyDescent="0.25">
      <c r="A342" s="2" t="s">
        <v>1500</v>
      </c>
      <c r="B342" s="2" t="s">
        <v>1501</v>
      </c>
      <c r="C342" s="2" t="s">
        <v>148</v>
      </c>
      <c r="D342" s="2" t="s">
        <v>17</v>
      </c>
      <c r="E342" s="2">
        <v>94132</v>
      </c>
      <c r="F342" t="s">
        <v>3521</v>
      </c>
    </row>
    <row r="343" spans="1:6" x14ac:dyDescent="0.25">
      <c r="A343" s="2" t="s">
        <v>1503</v>
      </c>
      <c r="B343" s="2" t="s">
        <v>1504</v>
      </c>
      <c r="C343" s="2" t="s">
        <v>34</v>
      </c>
      <c r="D343" s="2" t="s">
        <v>17</v>
      </c>
      <c r="E343" s="2">
        <v>46295</v>
      </c>
      <c r="F343" t="s">
        <v>3522</v>
      </c>
    </row>
    <row r="344" spans="1:6" x14ac:dyDescent="0.25">
      <c r="A344" s="2" t="s">
        <v>1505</v>
      </c>
      <c r="B344" s="2" t="s">
        <v>1506</v>
      </c>
      <c r="C344" s="2" t="s">
        <v>20</v>
      </c>
      <c r="D344" s="2" t="s">
        <v>17</v>
      </c>
      <c r="E344" s="2">
        <v>32209</v>
      </c>
      <c r="F344" t="s">
        <v>3522</v>
      </c>
    </row>
    <row r="345" spans="1:6" x14ac:dyDescent="0.25">
      <c r="A345" s="2" t="s">
        <v>1508</v>
      </c>
      <c r="B345" s="2" t="s">
        <v>1509</v>
      </c>
      <c r="C345" s="2" t="s">
        <v>103</v>
      </c>
      <c r="D345" s="2" t="s">
        <v>17</v>
      </c>
      <c r="E345" s="2">
        <v>98148</v>
      </c>
      <c r="F345" t="s">
        <v>3522</v>
      </c>
    </row>
    <row r="346" spans="1:6" x14ac:dyDescent="0.25">
      <c r="A346" s="2" t="s">
        <v>1511</v>
      </c>
      <c r="B346" s="2" t="s">
        <v>1512</v>
      </c>
      <c r="C346" s="2" t="s">
        <v>424</v>
      </c>
      <c r="D346" s="2" t="s">
        <v>314</v>
      </c>
      <c r="E346" s="2" t="s">
        <v>425</v>
      </c>
      <c r="F346" t="s">
        <v>3521</v>
      </c>
    </row>
    <row r="347" spans="1:6" x14ac:dyDescent="0.25">
      <c r="A347" s="2" t="s">
        <v>1514</v>
      </c>
      <c r="B347" s="2" t="s">
        <v>1515</v>
      </c>
      <c r="C347" s="2" t="s">
        <v>185</v>
      </c>
      <c r="D347" s="2" t="s">
        <v>17</v>
      </c>
      <c r="E347" s="2">
        <v>36109</v>
      </c>
      <c r="F347" t="s">
        <v>3522</v>
      </c>
    </row>
    <row r="348" spans="1:6" x14ac:dyDescent="0.25">
      <c r="A348" s="2" t="s">
        <v>1517</v>
      </c>
      <c r="B348" s="2" t="s">
        <v>1518</v>
      </c>
      <c r="C348" s="2" t="s">
        <v>50</v>
      </c>
      <c r="D348" s="2" t="s">
        <v>17</v>
      </c>
      <c r="E348" s="2">
        <v>75372</v>
      </c>
      <c r="F348" t="s">
        <v>3521</v>
      </c>
    </row>
    <row r="349" spans="1:6" x14ac:dyDescent="0.25">
      <c r="A349" s="2" t="s">
        <v>1520</v>
      </c>
      <c r="B349" s="2" t="s">
        <v>1521</v>
      </c>
      <c r="C349" s="2" t="s">
        <v>146</v>
      </c>
      <c r="D349" s="2" t="s">
        <v>17</v>
      </c>
      <c r="E349" s="2">
        <v>66622</v>
      </c>
      <c r="F349" t="s">
        <v>3522</v>
      </c>
    </row>
    <row r="350" spans="1:6" x14ac:dyDescent="0.25">
      <c r="A350" s="2" t="s">
        <v>1523</v>
      </c>
      <c r="B350" s="2" t="s">
        <v>1524</v>
      </c>
      <c r="C350" s="2" t="s">
        <v>183</v>
      </c>
      <c r="D350" s="2" t="s">
        <v>17</v>
      </c>
      <c r="E350" s="2">
        <v>75799</v>
      </c>
      <c r="F350" t="s">
        <v>3522</v>
      </c>
    </row>
    <row r="351" spans="1:6" x14ac:dyDescent="0.25">
      <c r="A351" s="2" t="s">
        <v>1526</v>
      </c>
      <c r="B351" s="2" t="s">
        <v>1527</v>
      </c>
      <c r="C351" s="2" t="s">
        <v>25</v>
      </c>
      <c r="D351" s="2" t="s">
        <v>17</v>
      </c>
      <c r="E351" s="2">
        <v>90065</v>
      </c>
      <c r="F351" t="s">
        <v>3522</v>
      </c>
    </row>
    <row r="352" spans="1:6" x14ac:dyDescent="0.25">
      <c r="A352" s="2" t="s">
        <v>1529</v>
      </c>
      <c r="B352" s="2" t="s">
        <v>1530</v>
      </c>
      <c r="C352" s="2" t="s">
        <v>173</v>
      </c>
      <c r="D352" s="2" t="s">
        <v>17</v>
      </c>
      <c r="E352" s="2">
        <v>71137</v>
      </c>
      <c r="F352" t="s">
        <v>3522</v>
      </c>
    </row>
    <row r="353" spans="1:6" x14ac:dyDescent="0.25">
      <c r="A353" s="2" t="s">
        <v>1532</v>
      </c>
      <c r="B353" s="2" t="s">
        <v>1533</v>
      </c>
      <c r="C353" s="2" t="s">
        <v>194</v>
      </c>
      <c r="D353" s="2" t="s">
        <v>17</v>
      </c>
      <c r="E353" s="2">
        <v>83722</v>
      </c>
      <c r="F353" t="s">
        <v>3522</v>
      </c>
    </row>
    <row r="354" spans="1:6" x14ac:dyDescent="0.25">
      <c r="A354" s="2" t="s">
        <v>1535</v>
      </c>
      <c r="B354" s="2" t="s">
        <v>1536</v>
      </c>
      <c r="C354" s="2" t="s">
        <v>270</v>
      </c>
      <c r="D354" s="2" t="s">
        <v>17</v>
      </c>
      <c r="E354" s="2">
        <v>92415</v>
      </c>
      <c r="F354" t="s">
        <v>3522</v>
      </c>
    </row>
    <row r="355" spans="1:6" x14ac:dyDescent="0.25">
      <c r="A355" s="2" t="s">
        <v>1538</v>
      </c>
      <c r="B355" s="2" t="s">
        <v>1539</v>
      </c>
      <c r="C355" s="2" t="s">
        <v>185</v>
      </c>
      <c r="D355" s="2" t="s">
        <v>17</v>
      </c>
      <c r="E355" s="2">
        <v>36177</v>
      </c>
      <c r="F355" t="s">
        <v>3521</v>
      </c>
    </row>
    <row r="356" spans="1:6" x14ac:dyDescent="0.25">
      <c r="A356" s="2" t="s">
        <v>1541</v>
      </c>
      <c r="B356" s="2" t="s">
        <v>1542</v>
      </c>
      <c r="C356" s="2" t="s">
        <v>268</v>
      </c>
      <c r="D356" s="2" t="s">
        <v>17</v>
      </c>
      <c r="E356" s="2">
        <v>34981</v>
      </c>
      <c r="F356" t="s">
        <v>3522</v>
      </c>
    </row>
    <row r="357" spans="1:6" x14ac:dyDescent="0.25">
      <c r="A357" s="2" t="s">
        <v>1544</v>
      </c>
      <c r="B357" s="2" t="s">
        <v>1545</v>
      </c>
      <c r="C357" s="2" t="s">
        <v>80</v>
      </c>
      <c r="D357" s="2" t="s">
        <v>17</v>
      </c>
      <c r="E357" s="2">
        <v>27415</v>
      </c>
      <c r="F357" t="s">
        <v>3521</v>
      </c>
    </row>
    <row r="358" spans="1:6" x14ac:dyDescent="0.25">
      <c r="A358" s="2" t="s">
        <v>1547</v>
      </c>
      <c r="B358" s="2" t="s">
        <v>1548</v>
      </c>
      <c r="C358" s="2" t="s">
        <v>129</v>
      </c>
      <c r="D358" s="2" t="s">
        <v>17</v>
      </c>
      <c r="E358" s="2">
        <v>94237</v>
      </c>
      <c r="F358" t="s">
        <v>3521</v>
      </c>
    </row>
    <row r="359" spans="1:6" x14ac:dyDescent="0.25">
      <c r="A359" s="2" t="s">
        <v>1550</v>
      </c>
      <c r="B359" s="2" t="s">
        <v>1551</v>
      </c>
      <c r="C359" s="2" t="s">
        <v>294</v>
      </c>
      <c r="D359" s="2" t="s">
        <v>17</v>
      </c>
      <c r="E359" s="2">
        <v>78682</v>
      </c>
      <c r="F359" t="s">
        <v>3522</v>
      </c>
    </row>
    <row r="360" spans="1:6" x14ac:dyDescent="0.25">
      <c r="A360" s="2" t="s">
        <v>1553</v>
      </c>
      <c r="B360" s="2" t="s">
        <v>1554</v>
      </c>
      <c r="C360" s="2" t="s">
        <v>141</v>
      </c>
      <c r="D360" s="2" t="s">
        <v>17</v>
      </c>
      <c r="E360" s="2">
        <v>22096</v>
      </c>
      <c r="F360" t="s">
        <v>3522</v>
      </c>
    </row>
    <row r="361" spans="1:6" x14ac:dyDescent="0.25">
      <c r="A361" s="2" t="s">
        <v>1556</v>
      </c>
      <c r="B361" s="2" t="s">
        <v>1557</v>
      </c>
      <c r="C361" s="2" t="s">
        <v>284</v>
      </c>
      <c r="D361" s="2" t="s">
        <v>26</v>
      </c>
      <c r="E361" s="2" t="s">
        <v>285</v>
      </c>
      <c r="F361" t="s">
        <v>3522</v>
      </c>
    </row>
    <row r="362" spans="1:6" x14ac:dyDescent="0.25">
      <c r="A362" s="2" t="s">
        <v>1559</v>
      </c>
      <c r="B362" s="2" t="s">
        <v>1560</v>
      </c>
      <c r="C362" s="2" t="s">
        <v>58</v>
      </c>
      <c r="D362" s="2" t="s">
        <v>17</v>
      </c>
      <c r="E362" s="2">
        <v>29220</v>
      </c>
      <c r="F362" t="s">
        <v>3522</v>
      </c>
    </row>
    <row r="363" spans="1:6" x14ac:dyDescent="0.25">
      <c r="A363" s="2" t="s">
        <v>1561</v>
      </c>
      <c r="B363" s="2" t="s">
        <v>1562</v>
      </c>
      <c r="C363" s="2" t="s">
        <v>128</v>
      </c>
      <c r="D363" s="2" t="s">
        <v>17</v>
      </c>
      <c r="E363" s="2">
        <v>37215</v>
      </c>
      <c r="F363" t="s">
        <v>3521</v>
      </c>
    </row>
    <row r="364" spans="1:6" x14ac:dyDescent="0.25">
      <c r="A364" s="2" t="s">
        <v>1564</v>
      </c>
      <c r="B364" s="2" t="s">
        <v>1565</v>
      </c>
      <c r="C364" s="2" t="s">
        <v>182</v>
      </c>
      <c r="D364" s="2" t="s">
        <v>17</v>
      </c>
      <c r="E364" s="2">
        <v>85025</v>
      </c>
      <c r="F364" t="s">
        <v>3521</v>
      </c>
    </row>
    <row r="365" spans="1:6" x14ac:dyDescent="0.25">
      <c r="A365" s="2" t="s">
        <v>1567</v>
      </c>
      <c r="B365" s="2" t="s">
        <v>1568</v>
      </c>
      <c r="C365" s="2" t="s">
        <v>90</v>
      </c>
      <c r="D365" s="2" t="s">
        <v>17</v>
      </c>
      <c r="E365" s="2">
        <v>33233</v>
      </c>
      <c r="F365" t="s">
        <v>3522</v>
      </c>
    </row>
    <row r="366" spans="1:6" x14ac:dyDescent="0.25">
      <c r="A366" s="2" t="s">
        <v>1570</v>
      </c>
      <c r="B366" s="2" t="s">
        <v>1571</v>
      </c>
      <c r="C366" s="2" t="s">
        <v>28</v>
      </c>
      <c r="D366" s="2" t="s">
        <v>17</v>
      </c>
      <c r="E366" s="2">
        <v>93762</v>
      </c>
      <c r="F366" t="s">
        <v>3521</v>
      </c>
    </row>
    <row r="367" spans="1:6" x14ac:dyDescent="0.25">
      <c r="A367" s="2" t="s">
        <v>1573</v>
      </c>
      <c r="B367" s="2" t="s">
        <v>1574</v>
      </c>
      <c r="C367" s="2" t="s">
        <v>280</v>
      </c>
      <c r="D367" s="2" t="s">
        <v>17</v>
      </c>
      <c r="E367" s="2">
        <v>92825</v>
      </c>
      <c r="F367" t="s">
        <v>3522</v>
      </c>
    </row>
    <row r="368" spans="1:6" x14ac:dyDescent="0.25">
      <c r="A368" s="2" t="s">
        <v>1576</v>
      </c>
      <c r="B368" s="2" t="s">
        <v>1577</v>
      </c>
      <c r="C368" s="2" t="s">
        <v>308</v>
      </c>
      <c r="D368" s="2" t="s">
        <v>17</v>
      </c>
      <c r="E368" s="2">
        <v>23605</v>
      </c>
      <c r="F368" t="s">
        <v>3522</v>
      </c>
    </row>
    <row r="369" spans="1:6" x14ac:dyDescent="0.25">
      <c r="A369" s="2" t="s">
        <v>1579</v>
      </c>
      <c r="B369" s="2" t="s">
        <v>1580</v>
      </c>
      <c r="C369" s="2" t="s">
        <v>293</v>
      </c>
      <c r="D369" s="2" t="s">
        <v>17</v>
      </c>
      <c r="E369" s="2">
        <v>29305</v>
      </c>
      <c r="F369" t="s">
        <v>3521</v>
      </c>
    </row>
    <row r="370" spans="1:6" x14ac:dyDescent="0.25">
      <c r="A370" s="2" t="s">
        <v>1582</v>
      </c>
      <c r="B370" s="2" t="s">
        <v>1583</v>
      </c>
      <c r="C370" s="2" t="s">
        <v>299</v>
      </c>
      <c r="D370" s="2" t="s">
        <v>17</v>
      </c>
      <c r="E370" s="2">
        <v>10305</v>
      </c>
      <c r="F370" t="s">
        <v>3522</v>
      </c>
    </row>
    <row r="371" spans="1:6" x14ac:dyDescent="0.25">
      <c r="A371" s="2" t="s">
        <v>1585</v>
      </c>
      <c r="B371" s="2" t="s">
        <v>1586</v>
      </c>
      <c r="C371" s="2" t="s">
        <v>105</v>
      </c>
      <c r="D371" s="2" t="s">
        <v>17</v>
      </c>
      <c r="E371" s="2">
        <v>89115</v>
      </c>
      <c r="F371" t="s">
        <v>3521</v>
      </c>
    </row>
    <row r="372" spans="1:6" x14ac:dyDescent="0.25">
      <c r="A372" s="2" t="s">
        <v>1588</v>
      </c>
      <c r="B372" s="2" t="s">
        <v>1589</v>
      </c>
      <c r="C372" s="2" t="s">
        <v>214</v>
      </c>
      <c r="D372" s="2" t="s">
        <v>17</v>
      </c>
      <c r="E372" s="2">
        <v>84105</v>
      </c>
      <c r="F372" t="s">
        <v>3521</v>
      </c>
    </row>
    <row r="373" spans="1:6" x14ac:dyDescent="0.25">
      <c r="A373" s="2" t="s">
        <v>1591</v>
      </c>
      <c r="B373" s="2" t="s">
        <v>1592</v>
      </c>
      <c r="C373" s="2" t="s">
        <v>103</v>
      </c>
      <c r="D373" s="2" t="s">
        <v>17</v>
      </c>
      <c r="E373" s="2">
        <v>98109</v>
      </c>
      <c r="F373" t="s">
        <v>3521</v>
      </c>
    </row>
    <row r="374" spans="1:6" x14ac:dyDescent="0.25">
      <c r="A374" s="2" t="s">
        <v>1594</v>
      </c>
      <c r="B374" s="2" t="s">
        <v>1595</v>
      </c>
      <c r="C374" s="2" t="s">
        <v>164</v>
      </c>
      <c r="D374" s="2" t="s">
        <v>17</v>
      </c>
      <c r="E374" s="2">
        <v>79764</v>
      </c>
      <c r="F374" t="s">
        <v>3522</v>
      </c>
    </row>
    <row r="375" spans="1:6" x14ac:dyDescent="0.25">
      <c r="A375" s="2" t="s">
        <v>1597</v>
      </c>
      <c r="B375" s="2" t="s">
        <v>1598</v>
      </c>
      <c r="C375" s="2" t="s">
        <v>1599</v>
      </c>
      <c r="D375" s="2" t="s">
        <v>314</v>
      </c>
      <c r="E375" s="2" t="s">
        <v>423</v>
      </c>
      <c r="F375" t="s">
        <v>3521</v>
      </c>
    </row>
    <row r="376" spans="1:6" x14ac:dyDescent="0.25">
      <c r="A376" s="2" t="s">
        <v>1601</v>
      </c>
      <c r="B376" s="2" t="s">
        <v>1602</v>
      </c>
      <c r="C376" s="2" t="s">
        <v>160</v>
      </c>
      <c r="D376" s="2" t="s">
        <v>17</v>
      </c>
      <c r="E376" s="2">
        <v>75037</v>
      </c>
      <c r="F376" t="s">
        <v>3521</v>
      </c>
    </row>
    <row r="377" spans="1:6" x14ac:dyDescent="0.25">
      <c r="A377" s="2" t="s">
        <v>1604</v>
      </c>
      <c r="B377" s="2" t="s">
        <v>1605</v>
      </c>
      <c r="C377" s="2" t="s">
        <v>201</v>
      </c>
      <c r="D377" s="2" t="s">
        <v>17</v>
      </c>
      <c r="E377" s="2">
        <v>45426</v>
      </c>
      <c r="F377" t="s">
        <v>3521</v>
      </c>
    </row>
    <row r="378" spans="1:6" x14ac:dyDescent="0.25">
      <c r="A378" s="2" t="s">
        <v>1607</v>
      </c>
      <c r="B378" s="2" t="s">
        <v>1608</v>
      </c>
      <c r="C378" s="2" t="s">
        <v>181</v>
      </c>
      <c r="D378" s="2" t="s">
        <v>17</v>
      </c>
      <c r="E378" s="2">
        <v>49560</v>
      </c>
      <c r="F378" t="s">
        <v>3521</v>
      </c>
    </row>
    <row r="379" spans="1:6" x14ac:dyDescent="0.25">
      <c r="A379" s="2" t="s">
        <v>1610</v>
      </c>
      <c r="B379" s="2" t="s">
        <v>1611</v>
      </c>
      <c r="C379" s="2" t="s">
        <v>1123</v>
      </c>
      <c r="D379" s="2" t="s">
        <v>314</v>
      </c>
      <c r="E379" s="2" t="s">
        <v>344</v>
      </c>
      <c r="F379" t="s">
        <v>3522</v>
      </c>
    </row>
    <row r="380" spans="1:6" x14ac:dyDescent="0.25">
      <c r="A380" s="2" t="s">
        <v>1613</v>
      </c>
      <c r="B380" s="2" t="s">
        <v>1614</v>
      </c>
      <c r="C380" s="2" t="s">
        <v>464</v>
      </c>
      <c r="D380" s="2" t="s">
        <v>314</v>
      </c>
      <c r="E380" s="2" t="s">
        <v>434</v>
      </c>
      <c r="F380" t="s">
        <v>3521</v>
      </c>
    </row>
    <row r="381" spans="1:6" x14ac:dyDescent="0.25">
      <c r="A381" s="2" t="s">
        <v>1616</v>
      </c>
      <c r="B381" s="2" t="s">
        <v>1617</v>
      </c>
      <c r="C381" s="2" t="s">
        <v>68</v>
      </c>
      <c r="D381" s="2" t="s">
        <v>26</v>
      </c>
      <c r="E381" s="2" t="s">
        <v>109</v>
      </c>
      <c r="F381" t="s">
        <v>3521</v>
      </c>
    </row>
    <row r="382" spans="1:6" x14ac:dyDescent="0.25">
      <c r="A382" s="2" t="s">
        <v>1619</v>
      </c>
      <c r="B382" s="2" t="s">
        <v>1620</v>
      </c>
      <c r="C382" s="2" t="s">
        <v>81</v>
      </c>
      <c r="D382" s="2" t="s">
        <v>17</v>
      </c>
      <c r="E382" s="2">
        <v>62756</v>
      </c>
      <c r="F382" t="s">
        <v>3522</v>
      </c>
    </row>
    <row r="383" spans="1:6" x14ac:dyDescent="0.25">
      <c r="A383" s="2" t="s">
        <v>1622</v>
      </c>
      <c r="B383" s="2" t="s">
        <v>1623</v>
      </c>
      <c r="C383" s="2" t="s">
        <v>25</v>
      </c>
      <c r="D383" s="2" t="s">
        <v>17</v>
      </c>
      <c r="E383" s="2">
        <v>90010</v>
      </c>
      <c r="F383" t="s">
        <v>3521</v>
      </c>
    </row>
    <row r="384" spans="1:6" x14ac:dyDescent="0.25">
      <c r="A384" s="2" t="s">
        <v>1625</v>
      </c>
      <c r="B384" s="2" t="s">
        <v>1626</v>
      </c>
      <c r="C384" s="2" t="s">
        <v>18</v>
      </c>
      <c r="D384" s="2" t="s">
        <v>17</v>
      </c>
      <c r="E384" s="2">
        <v>21239</v>
      </c>
      <c r="F384" t="s">
        <v>3522</v>
      </c>
    </row>
    <row r="385" spans="1:6" x14ac:dyDescent="0.25">
      <c r="A385" s="2" t="s">
        <v>1628</v>
      </c>
      <c r="B385" s="2" t="s">
        <v>1629</v>
      </c>
      <c r="C385" s="2" t="s">
        <v>170</v>
      </c>
      <c r="D385" s="2" t="s">
        <v>17</v>
      </c>
      <c r="E385" s="2">
        <v>17126</v>
      </c>
      <c r="F385" t="s">
        <v>3521</v>
      </c>
    </row>
    <row r="386" spans="1:6" x14ac:dyDescent="0.25">
      <c r="A386" s="2" t="s">
        <v>1631</v>
      </c>
      <c r="B386" s="2" t="s">
        <v>1632</v>
      </c>
      <c r="C386" s="2" t="s">
        <v>50</v>
      </c>
      <c r="D386" s="2" t="s">
        <v>17</v>
      </c>
      <c r="E386" s="2">
        <v>75216</v>
      </c>
      <c r="F386" t="s">
        <v>3522</v>
      </c>
    </row>
    <row r="387" spans="1:6" x14ac:dyDescent="0.25">
      <c r="A387" s="2" t="s">
        <v>1634</v>
      </c>
      <c r="B387" s="2" t="s">
        <v>1635</v>
      </c>
      <c r="C387" s="2" t="s">
        <v>114</v>
      </c>
      <c r="D387" s="2" t="s">
        <v>17</v>
      </c>
      <c r="E387" s="2">
        <v>64125</v>
      </c>
      <c r="F387" t="s">
        <v>3521</v>
      </c>
    </row>
    <row r="388" spans="1:6" x14ac:dyDescent="0.25">
      <c r="A388" s="2" t="s">
        <v>1637</v>
      </c>
      <c r="B388" s="2" t="s">
        <v>1638</v>
      </c>
      <c r="C388" s="2" t="s">
        <v>81</v>
      </c>
      <c r="D388" s="2" t="s">
        <v>17</v>
      </c>
      <c r="E388" s="2">
        <v>62723</v>
      </c>
      <c r="F388" t="s">
        <v>3521</v>
      </c>
    </row>
    <row r="389" spans="1:6" x14ac:dyDescent="0.25">
      <c r="A389" s="2" t="s">
        <v>1640</v>
      </c>
      <c r="B389" s="2" t="s">
        <v>1641</v>
      </c>
      <c r="C389" s="2" t="s">
        <v>16</v>
      </c>
      <c r="D389" s="2" t="s">
        <v>17</v>
      </c>
      <c r="E389" s="2">
        <v>6510</v>
      </c>
      <c r="F389" t="s">
        <v>3521</v>
      </c>
    </row>
    <row r="390" spans="1:6" x14ac:dyDescent="0.25">
      <c r="A390" s="2" t="s">
        <v>1643</v>
      </c>
      <c r="B390" s="2" t="s">
        <v>1644</v>
      </c>
      <c r="C390" s="2" t="s">
        <v>257</v>
      </c>
      <c r="D390" s="2" t="s">
        <v>17</v>
      </c>
      <c r="E390" s="2">
        <v>30045</v>
      </c>
      <c r="F390" t="s">
        <v>3521</v>
      </c>
    </row>
    <row r="391" spans="1:6" x14ac:dyDescent="0.25">
      <c r="A391" s="2" t="s">
        <v>1646</v>
      </c>
      <c r="B391" s="2" t="s">
        <v>1647</v>
      </c>
      <c r="C391" s="2" t="s">
        <v>169</v>
      </c>
      <c r="D391" s="2" t="s">
        <v>17</v>
      </c>
      <c r="E391" s="2">
        <v>28805</v>
      </c>
      <c r="F391" t="s">
        <v>3521</v>
      </c>
    </row>
    <row r="392" spans="1:6" x14ac:dyDescent="0.25">
      <c r="A392" s="2" t="s">
        <v>1649</v>
      </c>
      <c r="B392" s="2" t="s">
        <v>1650</v>
      </c>
      <c r="C392" s="2" t="s">
        <v>171</v>
      </c>
      <c r="D392" s="2" t="s">
        <v>17</v>
      </c>
      <c r="E392" s="2">
        <v>55123</v>
      </c>
      <c r="F392" t="s">
        <v>3521</v>
      </c>
    </row>
    <row r="393" spans="1:6" x14ac:dyDescent="0.25">
      <c r="A393" s="2" t="s">
        <v>1652</v>
      </c>
      <c r="B393" s="2" t="s">
        <v>1653</v>
      </c>
      <c r="C393" s="2" t="s">
        <v>31</v>
      </c>
      <c r="D393" s="2" t="s">
        <v>17</v>
      </c>
      <c r="E393" s="2">
        <v>55458</v>
      </c>
      <c r="F393" t="s">
        <v>3522</v>
      </c>
    </row>
    <row r="394" spans="1:6" x14ac:dyDescent="0.25">
      <c r="A394" s="2" t="s">
        <v>1655</v>
      </c>
      <c r="B394" s="2" t="s">
        <v>1656</v>
      </c>
      <c r="C394" s="2" t="s">
        <v>176</v>
      </c>
      <c r="D394" s="2" t="s">
        <v>17</v>
      </c>
      <c r="E394" s="2">
        <v>92725</v>
      </c>
      <c r="F394" t="s">
        <v>3522</v>
      </c>
    </row>
    <row r="395" spans="1:6" x14ac:dyDescent="0.25">
      <c r="A395" s="2" t="s">
        <v>1657</v>
      </c>
      <c r="B395" s="2" t="s">
        <v>1658</v>
      </c>
      <c r="C395" s="2" t="s">
        <v>259</v>
      </c>
      <c r="D395" s="2" t="s">
        <v>17</v>
      </c>
      <c r="E395" s="2">
        <v>21747</v>
      </c>
      <c r="F395" t="s">
        <v>3521</v>
      </c>
    </row>
    <row r="396" spans="1:6" x14ac:dyDescent="0.25">
      <c r="A396" s="2" t="s">
        <v>1660</v>
      </c>
      <c r="B396" s="2" t="s">
        <v>1661</v>
      </c>
      <c r="C396" s="2" t="s">
        <v>31</v>
      </c>
      <c r="D396" s="2" t="s">
        <v>17</v>
      </c>
      <c r="E396" s="2">
        <v>55458</v>
      </c>
      <c r="F396" t="s">
        <v>3522</v>
      </c>
    </row>
    <row r="397" spans="1:6" x14ac:dyDescent="0.25">
      <c r="A397" s="2" t="s">
        <v>1663</v>
      </c>
      <c r="B397" s="2" t="s">
        <v>1664</v>
      </c>
      <c r="C397" s="2" t="s">
        <v>45</v>
      </c>
      <c r="D397" s="2" t="s">
        <v>17</v>
      </c>
      <c r="E397" s="2">
        <v>20420</v>
      </c>
      <c r="F397" t="s">
        <v>3521</v>
      </c>
    </row>
    <row r="398" spans="1:6" x14ac:dyDescent="0.25">
      <c r="A398" s="2" t="s">
        <v>1666</v>
      </c>
      <c r="B398" s="2" t="s">
        <v>1667</v>
      </c>
      <c r="C398" s="2" t="s">
        <v>270</v>
      </c>
      <c r="D398" s="2" t="s">
        <v>17</v>
      </c>
      <c r="E398" s="2">
        <v>92415</v>
      </c>
      <c r="F398" t="s">
        <v>3522</v>
      </c>
    </row>
    <row r="399" spans="1:6" x14ac:dyDescent="0.25">
      <c r="A399" s="2" t="s">
        <v>1669</v>
      </c>
      <c r="B399" s="2" t="s">
        <v>1670</v>
      </c>
      <c r="C399" s="2" t="s">
        <v>217</v>
      </c>
      <c r="D399" s="2" t="s">
        <v>17</v>
      </c>
      <c r="E399" s="2">
        <v>14609</v>
      </c>
      <c r="F399" t="s">
        <v>3521</v>
      </c>
    </row>
    <row r="400" spans="1:6" x14ac:dyDescent="0.25">
      <c r="A400" s="2" t="s">
        <v>1672</v>
      </c>
      <c r="B400" s="2" t="s">
        <v>1673</v>
      </c>
      <c r="C400" s="2" t="s">
        <v>89</v>
      </c>
      <c r="D400" s="2" t="s">
        <v>17</v>
      </c>
      <c r="E400" s="2">
        <v>98664</v>
      </c>
      <c r="F400" t="s">
        <v>3521</v>
      </c>
    </row>
    <row r="401" spans="1:6" x14ac:dyDescent="0.25">
      <c r="A401" s="2" t="s">
        <v>1675</v>
      </c>
      <c r="B401" s="2" t="s">
        <v>1676</v>
      </c>
      <c r="C401" s="2" t="s">
        <v>302</v>
      </c>
      <c r="D401" s="2" t="s">
        <v>26</v>
      </c>
      <c r="E401" s="2" t="s">
        <v>303</v>
      </c>
      <c r="F401" t="s">
        <v>3522</v>
      </c>
    </row>
    <row r="402" spans="1:6" x14ac:dyDescent="0.25">
      <c r="A402" s="2" t="s">
        <v>1678</v>
      </c>
      <c r="B402" s="2" t="s">
        <v>1679</v>
      </c>
      <c r="C402" s="2" t="s">
        <v>45</v>
      </c>
      <c r="D402" s="2" t="s">
        <v>17</v>
      </c>
      <c r="E402" s="2">
        <v>20057</v>
      </c>
      <c r="F402" t="s">
        <v>3522</v>
      </c>
    </row>
    <row r="403" spans="1:6" x14ac:dyDescent="0.25">
      <c r="A403" s="2" t="s">
        <v>1681</v>
      </c>
      <c r="B403" s="2" t="s">
        <v>1682</v>
      </c>
      <c r="C403" s="2" t="s">
        <v>47</v>
      </c>
      <c r="D403" s="2" t="s">
        <v>17</v>
      </c>
      <c r="E403" s="2">
        <v>37924</v>
      </c>
      <c r="F403" t="s">
        <v>3521</v>
      </c>
    </row>
    <row r="404" spans="1:6" x14ac:dyDescent="0.25">
      <c r="A404" s="2" t="s">
        <v>1684</v>
      </c>
      <c r="B404" s="2" t="s">
        <v>1685</v>
      </c>
      <c r="C404" s="2" t="s">
        <v>46</v>
      </c>
      <c r="D404" s="2" t="s">
        <v>17</v>
      </c>
      <c r="E404" s="2">
        <v>25336</v>
      </c>
      <c r="F404" t="s">
        <v>3521</v>
      </c>
    </row>
    <row r="405" spans="1:6" x14ac:dyDescent="0.25">
      <c r="A405" s="2" t="s">
        <v>1687</v>
      </c>
      <c r="B405" s="2" t="s">
        <v>1688</v>
      </c>
      <c r="C405" s="2" t="s">
        <v>50</v>
      </c>
      <c r="D405" s="2" t="s">
        <v>17</v>
      </c>
      <c r="E405" s="2">
        <v>75372</v>
      </c>
      <c r="F405" t="s">
        <v>3522</v>
      </c>
    </row>
    <row r="406" spans="1:6" x14ac:dyDescent="0.25">
      <c r="A406" s="2" t="s">
        <v>1690</v>
      </c>
      <c r="B406" s="2" t="s">
        <v>1691</v>
      </c>
      <c r="C406" s="2" t="s">
        <v>465</v>
      </c>
      <c r="D406" s="2" t="s">
        <v>314</v>
      </c>
      <c r="E406" s="2" t="s">
        <v>466</v>
      </c>
      <c r="F406" t="s">
        <v>3522</v>
      </c>
    </row>
    <row r="407" spans="1:6" x14ac:dyDescent="0.25">
      <c r="A407" s="2" t="s">
        <v>1693</v>
      </c>
      <c r="B407" s="2" t="s">
        <v>1694</v>
      </c>
      <c r="C407" s="2" t="s">
        <v>235</v>
      </c>
      <c r="D407" s="2" t="s">
        <v>17</v>
      </c>
      <c r="E407" s="2">
        <v>95973</v>
      </c>
      <c r="F407" t="s">
        <v>3521</v>
      </c>
    </row>
    <row r="408" spans="1:6" x14ac:dyDescent="0.25">
      <c r="A408" s="2" t="s">
        <v>1696</v>
      </c>
      <c r="B408" s="2" t="s">
        <v>1697</v>
      </c>
      <c r="C408" s="2" t="s">
        <v>86</v>
      </c>
      <c r="D408" s="2" t="s">
        <v>17</v>
      </c>
      <c r="E408" s="2">
        <v>72215</v>
      </c>
      <c r="F408" t="s">
        <v>3521</v>
      </c>
    </row>
    <row r="409" spans="1:6" x14ac:dyDescent="0.25">
      <c r="A409" s="2" t="s">
        <v>1699</v>
      </c>
      <c r="B409" s="2" t="s">
        <v>1700</v>
      </c>
      <c r="C409" s="2" t="s">
        <v>369</v>
      </c>
      <c r="D409" s="2" t="s">
        <v>314</v>
      </c>
      <c r="E409" s="2" t="s">
        <v>370</v>
      </c>
      <c r="F409" t="s">
        <v>3522</v>
      </c>
    </row>
    <row r="410" spans="1:6" x14ac:dyDescent="0.25">
      <c r="A410" s="2" t="s">
        <v>1702</v>
      </c>
      <c r="B410" s="2" t="s">
        <v>1703</v>
      </c>
      <c r="C410" s="2" t="s">
        <v>301</v>
      </c>
      <c r="D410" s="2" t="s">
        <v>17</v>
      </c>
      <c r="E410" s="2">
        <v>8922</v>
      </c>
      <c r="F410" t="s">
        <v>3521</v>
      </c>
    </row>
    <row r="411" spans="1:6" x14ac:dyDescent="0.25">
      <c r="A411" s="2" t="s">
        <v>1705</v>
      </c>
      <c r="B411" s="2" t="s">
        <v>1706</v>
      </c>
      <c r="C411" s="2" t="s">
        <v>482</v>
      </c>
      <c r="D411" s="2" t="s">
        <v>314</v>
      </c>
      <c r="E411" s="2" t="s">
        <v>483</v>
      </c>
      <c r="F411" t="s">
        <v>3521</v>
      </c>
    </row>
    <row r="412" spans="1:6" x14ac:dyDescent="0.25">
      <c r="A412" s="2" t="s">
        <v>1708</v>
      </c>
      <c r="B412" s="2" t="s">
        <v>1709</v>
      </c>
      <c r="C412" s="2" t="s">
        <v>148</v>
      </c>
      <c r="D412" s="2" t="s">
        <v>17</v>
      </c>
      <c r="E412" s="2">
        <v>94132</v>
      </c>
      <c r="F412" t="s">
        <v>3522</v>
      </c>
    </row>
    <row r="413" spans="1:6" x14ac:dyDescent="0.25">
      <c r="A413" s="2" t="s">
        <v>1711</v>
      </c>
      <c r="B413" s="2" t="s">
        <v>1712</v>
      </c>
      <c r="C413" s="2" t="s">
        <v>290</v>
      </c>
      <c r="D413" s="2" t="s">
        <v>17</v>
      </c>
      <c r="E413" s="2">
        <v>70505</v>
      </c>
      <c r="F413" t="s">
        <v>3521</v>
      </c>
    </row>
    <row r="414" spans="1:6" x14ac:dyDescent="0.25">
      <c r="A414" s="2" t="s">
        <v>1714</v>
      </c>
      <c r="B414" s="2" t="s">
        <v>1715</v>
      </c>
      <c r="C414" s="2" t="s">
        <v>56</v>
      </c>
      <c r="D414" s="2" t="s">
        <v>17</v>
      </c>
      <c r="E414" s="2">
        <v>92191</v>
      </c>
      <c r="F414" t="s">
        <v>3521</v>
      </c>
    </row>
    <row r="415" spans="1:6" x14ac:dyDescent="0.25">
      <c r="A415" s="2" t="s">
        <v>1717</v>
      </c>
      <c r="B415" s="2" t="s">
        <v>1718</v>
      </c>
      <c r="C415" s="2" t="s">
        <v>107</v>
      </c>
      <c r="D415" s="2" t="s">
        <v>17</v>
      </c>
      <c r="E415" s="2">
        <v>91841</v>
      </c>
      <c r="F415" t="s">
        <v>3521</v>
      </c>
    </row>
    <row r="416" spans="1:6" x14ac:dyDescent="0.25">
      <c r="A416" s="2" t="s">
        <v>1720</v>
      </c>
      <c r="B416" s="2" t="s">
        <v>1721</v>
      </c>
      <c r="C416" s="2" t="s">
        <v>183</v>
      </c>
      <c r="D416" s="2" t="s">
        <v>17</v>
      </c>
      <c r="E416" s="2">
        <v>75799</v>
      </c>
      <c r="F416" t="s">
        <v>3521</v>
      </c>
    </row>
    <row r="417" spans="1:6" x14ac:dyDescent="0.25">
      <c r="A417" s="2" t="s">
        <v>1723</v>
      </c>
      <c r="B417" s="2" t="s">
        <v>1724</v>
      </c>
      <c r="C417" s="2" t="s">
        <v>290</v>
      </c>
      <c r="D417" s="2" t="s">
        <v>17</v>
      </c>
      <c r="E417" s="2">
        <v>70593</v>
      </c>
      <c r="F417" t="s">
        <v>3522</v>
      </c>
    </row>
    <row r="418" spans="1:6" x14ac:dyDescent="0.25">
      <c r="A418" s="2" t="s">
        <v>1726</v>
      </c>
      <c r="B418" s="2" t="s">
        <v>1727</v>
      </c>
      <c r="C418" s="2" t="s">
        <v>201</v>
      </c>
      <c r="D418" s="2" t="s">
        <v>17</v>
      </c>
      <c r="E418" s="2">
        <v>45426</v>
      </c>
      <c r="F418" t="s">
        <v>3521</v>
      </c>
    </row>
    <row r="419" spans="1:6" x14ac:dyDescent="0.25">
      <c r="A419" s="2" t="s">
        <v>1729</v>
      </c>
      <c r="B419" s="2" t="s">
        <v>1730</v>
      </c>
      <c r="C419" s="2" t="s">
        <v>182</v>
      </c>
      <c r="D419" s="2" t="s">
        <v>17</v>
      </c>
      <c r="E419" s="2">
        <v>85072</v>
      </c>
      <c r="F419" t="s">
        <v>3521</v>
      </c>
    </row>
    <row r="420" spans="1:6" x14ac:dyDescent="0.25">
      <c r="A420" s="2" t="s">
        <v>1732</v>
      </c>
      <c r="B420" s="2" t="s">
        <v>1733</v>
      </c>
      <c r="C420" s="2" t="s">
        <v>129</v>
      </c>
      <c r="D420" s="2" t="s">
        <v>17</v>
      </c>
      <c r="E420" s="2">
        <v>94263</v>
      </c>
      <c r="F420" t="s">
        <v>3521</v>
      </c>
    </row>
    <row r="421" spans="1:6" x14ac:dyDescent="0.25">
      <c r="A421" s="2" t="s">
        <v>1735</v>
      </c>
      <c r="B421" s="2" t="s">
        <v>1736</v>
      </c>
      <c r="C421" s="2" t="s">
        <v>234</v>
      </c>
      <c r="D421" s="2" t="s">
        <v>17</v>
      </c>
      <c r="E421" s="2">
        <v>68505</v>
      </c>
      <c r="F421" t="s">
        <v>3521</v>
      </c>
    </row>
    <row r="422" spans="1:6" x14ac:dyDescent="0.25">
      <c r="A422" s="2" t="s">
        <v>1738</v>
      </c>
      <c r="B422" s="2" t="s">
        <v>1739</v>
      </c>
      <c r="C422" s="2" t="s">
        <v>170</v>
      </c>
      <c r="D422" s="2" t="s">
        <v>17</v>
      </c>
      <c r="E422" s="2">
        <v>17126</v>
      </c>
      <c r="F422" t="s">
        <v>3522</v>
      </c>
    </row>
    <row r="423" spans="1:6" x14ac:dyDescent="0.25">
      <c r="A423" s="2" t="s">
        <v>1740</v>
      </c>
      <c r="B423" s="2" t="s">
        <v>1741</v>
      </c>
      <c r="C423" s="2" t="s">
        <v>67</v>
      </c>
      <c r="D423" s="2" t="s">
        <v>17</v>
      </c>
      <c r="E423" s="2">
        <v>70174</v>
      </c>
      <c r="F423" t="s">
        <v>3521</v>
      </c>
    </row>
    <row r="424" spans="1:6" x14ac:dyDescent="0.25">
      <c r="A424" s="2" t="s">
        <v>1743</v>
      </c>
      <c r="B424" s="2" t="s">
        <v>1744</v>
      </c>
      <c r="C424" s="2" t="s">
        <v>229</v>
      </c>
      <c r="D424" s="2" t="s">
        <v>17</v>
      </c>
      <c r="E424" s="2">
        <v>53726</v>
      </c>
      <c r="F424" t="s">
        <v>3522</v>
      </c>
    </row>
    <row r="425" spans="1:6" x14ac:dyDescent="0.25">
      <c r="A425" s="2" t="s">
        <v>1746</v>
      </c>
      <c r="B425" s="2" t="s">
        <v>1747</v>
      </c>
      <c r="C425" s="2" t="s">
        <v>46</v>
      </c>
      <c r="D425" s="2" t="s">
        <v>17</v>
      </c>
      <c r="E425" s="2">
        <v>25336</v>
      </c>
      <c r="F425" t="s">
        <v>3522</v>
      </c>
    </row>
    <row r="426" spans="1:6" x14ac:dyDescent="0.25">
      <c r="A426" s="2" t="s">
        <v>1749</v>
      </c>
      <c r="B426" s="2" t="s">
        <v>1750</v>
      </c>
      <c r="C426" s="2" t="s">
        <v>86</v>
      </c>
      <c r="D426" s="2" t="s">
        <v>17</v>
      </c>
      <c r="E426" s="2">
        <v>72204</v>
      </c>
      <c r="F426" t="s">
        <v>3521</v>
      </c>
    </row>
    <row r="427" spans="1:6" x14ac:dyDescent="0.25">
      <c r="A427" s="2" t="s">
        <v>1752</v>
      </c>
      <c r="B427" s="2" t="s">
        <v>1753</v>
      </c>
      <c r="C427" s="2" t="s">
        <v>70</v>
      </c>
      <c r="D427" s="2" t="s">
        <v>17</v>
      </c>
      <c r="E427" s="2">
        <v>99507</v>
      </c>
      <c r="F427" t="s">
        <v>3522</v>
      </c>
    </row>
    <row r="428" spans="1:6" x14ac:dyDescent="0.25">
      <c r="A428" s="2" t="s">
        <v>1755</v>
      </c>
      <c r="B428" s="2" t="s">
        <v>1756</v>
      </c>
      <c r="C428" s="2" t="s">
        <v>376</v>
      </c>
      <c r="D428" s="2" t="s">
        <v>314</v>
      </c>
      <c r="E428" s="2" t="s">
        <v>377</v>
      </c>
      <c r="F428" t="s">
        <v>3521</v>
      </c>
    </row>
    <row r="429" spans="1:6" x14ac:dyDescent="0.25">
      <c r="A429" s="2" t="s">
        <v>1758</v>
      </c>
      <c r="B429" s="2" t="s">
        <v>1759</v>
      </c>
      <c r="C429" s="2" t="s">
        <v>148</v>
      </c>
      <c r="D429" s="2" t="s">
        <v>17</v>
      </c>
      <c r="E429" s="2">
        <v>94110</v>
      </c>
      <c r="F429" t="s">
        <v>3521</v>
      </c>
    </row>
    <row r="430" spans="1:6" x14ac:dyDescent="0.25">
      <c r="A430" s="2" t="s">
        <v>1761</v>
      </c>
      <c r="B430" s="2" t="s">
        <v>1762</v>
      </c>
      <c r="C430" s="2" t="s">
        <v>179</v>
      </c>
      <c r="D430" s="2" t="s">
        <v>17</v>
      </c>
      <c r="E430" s="2">
        <v>44485</v>
      </c>
      <c r="F430" t="s">
        <v>3522</v>
      </c>
    </row>
    <row r="431" spans="1:6" x14ac:dyDescent="0.25">
      <c r="A431" s="2" t="s">
        <v>1764</v>
      </c>
      <c r="B431" s="2" t="s">
        <v>1765</v>
      </c>
      <c r="C431" s="2" t="s">
        <v>231</v>
      </c>
      <c r="D431" s="2" t="s">
        <v>17</v>
      </c>
      <c r="E431" s="2">
        <v>23324</v>
      </c>
      <c r="F431" t="s">
        <v>3522</v>
      </c>
    </row>
    <row r="432" spans="1:6" x14ac:dyDescent="0.25">
      <c r="A432" s="2" t="s">
        <v>1767</v>
      </c>
      <c r="B432" s="2" t="s">
        <v>1768</v>
      </c>
      <c r="C432" s="2" t="s">
        <v>91</v>
      </c>
      <c r="D432" s="2" t="s">
        <v>17</v>
      </c>
      <c r="E432" s="2">
        <v>39236</v>
      </c>
      <c r="F432" t="s">
        <v>3521</v>
      </c>
    </row>
    <row r="433" spans="1:6" x14ac:dyDescent="0.25">
      <c r="A433" s="2" t="s">
        <v>1770</v>
      </c>
      <c r="B433" s="2" t="s">
        <v>1771</v>
      </c>
      <c r="C433" s="2" t="s">
        <v>333</v>
      </c>
      <c r="D433" s="2" t="s">
        <v>314</v>
      </c>
      <c r="E433" s="2" t="s">
        <v>334</v>
      </c>
      <c r="F433" t="s">
        <v>3521</v>
      </c>
    </row>
    <row r="434" spans="1:6" x14ac:dyDescent="0.25">
      <c r="A434" s="2" t="s">
        <v>1773</v>
      </c>
      <c r="B434" s="2" t="s">
        <v>1774</v>
      </c>
      <c r="C434" s="2" t="s">
        <v>43</v>
      </c>
      <c r="D434" s="2" t="s">
        <v>17</v>
      </c>
      <c r="E434" s="2">
        <v>53277</v>
      </c>
      <c r="F434" t="s">
        <v>3522</v>
      </c>
    </row>
    <row r="435" spans="1:6" x14ac:dyDescent="0.25">
      <c r="A435" s="2" t="s">
        <v>1776</v>
      </c>
      <c r="B435" s="2" t="s">
        <v>1777</v>
      </c>
      <c r="C435" s="2" t="s">
        <v>129</v>
      </c>
      <c r="D435" s="2" t="s">
        <v>17</v>
      </c>
      <c r="E435" s="2">
        <v>94250</v>
      </c>
      <c r="F435" t="s">
        <v>3521</v>
      </c>
    </row>
    <row r="436" spans="1:6" x14ac:dyDescent="0.25">
      <c r="A436" s="2" t="s">
        <v>1779</v>
      </c>
      <c r="B436" s="2" t="s">
        <v>1780</v>
      </c>
      <c r="C436" s="2" t="s">
        <v>239</v>
      </c>
      <c r="D436" s="2" t="s">
        <v>17</v>
      </c>
      <c r="E436" s="2">
        <v>2298</v>
      </c>
      <c r="F436" t="s">
        <v>3522</v>
      </c>
    </row>
    <row r="437" spans="1:6" x14ac:dyDescent="0.25">
      <c r="A437" s="2" t="s">
        <v>1782</v>
      </c>
      <c r="B437" s="2" t="s">
        <v>1783</v>
      </c>
      <c r="C437" s="2" t="s">
        <v>146</v>
      </c>
      <c r="D437" s="2" t="s">
        <v>17</v>
      </c>
      <c r="E437" s="2">
        <v>66622</v>
      </c>
      <c r="F437" t="s">
        <v>3522</v>
      </c>
    </row>
    <row r="438" spans="1:6" x14ac:dyDescent="0.25">
      <c r="A438" s="2" t="s">
        <v>1785</v>
      </c>
      <c r="B438" s="2" t="s">
        <v>1786</v>
      </c>
      <c r="C438" s="2" t="s">
        <v>95</v>
      </c>
      <c r="D438" s="2" t="s">
        <v>17</v>
      </c>
      <c r="E438" s="2">
        <v>58122</v>
      </c>
      <c r="F438" t="s">
        <v>3521</v>
      </c>
    </row>
    <row r="439" spans="1:6" x14ac:dyDescent="0.25">
      <c r="A439" s="2" t="s">
        <v>1788</v>
      </c>
      <c r="B439" s="2" t="s">
        <v>1789</v>
      </c>
      <c r="C439" s="2" t="s">
        <v>61</v>
      </c>
      <c r="D439" s="2" t="s">
        <v>17</v>
      </c>
      <c r="E439" s="2">
        <v>77095</v>
      </c>
      <c r="F439" t="s">
        <v>3522</v>
      </c>
    </row>
    <row r="440" spans="1:6" x14ac:dyDescent="0.25">
      <c r="A440" s="2" t="s">
        <v>1791</v>
      </c>
      <c r="B440" s="2" t="s">
        <v>1792</v>
      </c>
      <c r="C440" s="2" t="s">
        <v>75</v>
      </c>
      <c r="D440" s="2" t="s">
        <v>17</v>
      </c>
      <c r="E440" s="2">
        <v>73190</v>
      </c>
      <c r="F440" t="s">
        <v>3522</v>
      </c>
    </row>
    <row r="441" spans="1:6" x14ac:dyDescent="0.25">
      <c r="A441" s="2" t="s">
        <v>1794</v>
      </c>
      <c r="B441" s="2" t="s">
        <v>1795</v>
      </c>
      <c r="C441" s="2" t="s">
        <v>470</v>
      </c>
      <c r="D441" s="2" t="s">
        <v>314</v>
      </c>
      <c r="E441" s="2" t="s">
        <v>412</v>
      </c>
      <c r="F441" t="s">
        <v>3522</v>
      </c>
    </row>
    <row r="442" spans="1:6" x14ac:dyDescent="0.25">
      <c r="A442" s="2" t="s">
        <v>1797</v>
      </c>
      <c r="B442" s="2" t="s">
        <v>1798</v>
      </c>
      <c r="C442" s="2" t="s">
        <v>118</v>
      </c>
      <c r="D442" s="2" t="s">
        <v>17</v>
      </c>
      <c r="E442" s="2">
        <v>14205</v>
      </c>
      <c r="F442" t="s">
        <v>3521</v>
      </c>
    </row>
    <row r="443" spans="1:6" x14ac:dyDescent="0.25">
      <c r="A443" s="2" t="s">
        <v>1800</v>
      </c>
      <c r="B443" s="2" t="s">
        <v>1801</v>
      </c>
      <c r="C443" s="2" t="s">
        <v>1298</v>
      </c>
      <c r="D443" s="2" t="s">
        <v>314</v>
      </c>
      <c r="E443" s="2" t="s">
        <v>450</v>
      </c>
      <c r="F443" t="s">
        <v>3521</v>
      </c>
    </row>
    <row r="444" spans="1:6" x14ac:dyDescent="0.25">
      <c r="A444" s="2" t="s">
        <v>1803</v>
      </c>
      <c r="B444" s="2" t="s">
        <v>1804</v>
      </c>
      <c r="C444" s="2" t="s">
        <v>292</v>
      </c>
      <c r="D444" s="2" t="s">
        <v>17</v>
      </c>
      <c r="E444" s="2">
        <v>18018</v>
      </c>
      <c r="F444" t="s">
        <v>3522</v>
      </c>
    </row>
    <row r="445" spans="1:6" x14ac:dyDescent="0.25">
      <c r="A445" s="2" t="s">
        <v>1806</v>
      </c>
      <c r="B445" s="2" t="s">
        <v>1807</v>
      </c>
      <c r="C445" s="2" t="s">
        <v>461</v>
      </c>
      <c r="D445" s="2" t="s">
        <v>314</v>
      </c>
      <c r="E445" s="2" t="s">
        <v>379</v>
      </c>
      <c r="F445" t="s">
        <v>3521</v>
      </c>
    </row>
    <row r="446" spans="1:6" x14ac:dyDescent="0.25">
      <c r="A446" s="2" t="s">
        <v>1809</v>
      </c>
      <c r="B446" s="2" t="s">
        <v>1810</v>
      </c>
      <c r="C446" s="2" t="s">
        <v>1811</v>
      </c>
      <c r="D446" s="2" t="s">
        <v>314</v>
      </c>
      <c r="E446" s="2" t="s">
        <v>391</v>
      </c>
      <c r="F446" t="s">
        <v>3522</v>
      </c>
    </row>
    <row r="447" spans="1:6" x14ac:dyDescent="0.25">
      <c r="A447" s="2" t="s">
        <v>1813</v>
      </c>
      <c r="B447" s="2" t="s">
        <v>1814</v>
      </c>
      <c r="C447" s="2" t="s">
        <v>386</v>
      </c>
      <c r="D447" s="2" t="s">
        <v>314</v>
      </c>
      <c r="E447" s="2" t="s">
        <v>344</v>
      </c>
      <c r="F447" t="s">
        <v>3521</v>
      </c>
    </row>
    <row r="448" spans="1:6" x14ac:dyDescent="0.25">
      <c r="A448" s="2" t="s">
        <v>1816</v>
      </c>
      <c r="B448" s="2" t="s">
        <v>1817</v>
      </c>
      <c r="C448" s="2" t="s">
        <v>142</v>
      </c>
      <c r="D448" s="2" t="s">
        <v>26</v>
      </c>
      <c r="E448" s="2" t="s">
        <v>213</v>
      </c>
      <c r="F448" t="s">
        <v>3521</v>
      </c>
    </row>
    <row r="449" spans="1:6" x14ac:dyDescent="0.25">
      <c r="A449" s="2" t="s">
        <v>1819</v>
      </c>
      <c r="B449" s="2" t="s">
        <v>1820</v>
      </c>
      <c r="C449" s="2" t="s">
        <v>182</v>
      </c>
      <c r="D449" s="2" t="s">
        <v>17</v>
      </c>
      <c r="E449" s="2">
        <v>85099</v>
      </c>
      <c r="F449" t="s">
        <v>3522</v>
      </c>
    </row>
    <row r="450" spans="1:6" x14ac:dyDescent="0.25">
      <c r="A450" s="2" t="s">
        <v>1822</v>
      </c>
      <c r="B450" s="2" t="s">
        <v>1823</v>
      </c>
      <c r="C450" s="2" t="s">
        <v>340</v>
      </c>
      <c r="D450" s="2" t="s">
        <v>314</v>
      </c>
      <c r="E450" s="2" t="s">
        <v>341</v>
      </c>
      <c r="F450" t="s">
        <v>3522</v>
      </c>
    </row>
    <row r="451" spans="1:6" x14ac:dyDescent="0.25">
      <c r="A451" s="2" t="s">
        <v>1825</v>
      </c>
      <c r="B451" s="2" t="s">
        <v>1826</v>
      </c>
      <c r="C451" s="2" t="s">
        <v>258</v>
      </c>
      <c r="D451" s="2" t="s">
        <v>17</v>
      </c>
      <c r="E451" s="2">
        <v>43610</v>
      </c>
      <c r="F451" t="s">
        <v>3522</v>
      </c>
    </row>
    <row r="452" spans="1:6" x14ac:dyDescent="0.25">
      <c r="A452" s="2" t="s">
        <v>1828</v>
      </c>
      <c r="B452" s="2" t="s">
        <v>1829</v>
      </c>
      <c r="C452" s="2" t="s">
        <v>1830</v>
      </c>
      <c r="D452" s="2" t="s">
        <v>314</v>
      </c>
      <c r="E452" s="2" t="s">
        <v>1831</v>
      </c>
      <c r="F452" t="s">
        <v>3522</v>
      </c>
    </row>
    <row r="453" spans="1:6" x14ac:dyDescent="0.25">
      <c r="A453" s="2" t="s">
        <v>1833</v>
      </c>
      <c r="B453" s="2" t="s">
        <v>1834</v>
      </c>
      <c r="C453" s="2" t="s">
        <v>33</v>
      </c>
      <c r="D453" s="2" t="s">
        <v>17</v>
      </c>
      <c r="E453" s="2">
        <v>28210</v>
      </c>
      <c r="F453" t="s">
        <v>3521</v>
      </c>
    </row>
    <row r="454" spans="1:6" x14ac:dyDescent="0.25">
      <c r="A454" s="2" t="s">
        <v>1836</v>
      </c>
      <c r="B454" s="2" t="s">
        <v>1837</v>
      </c>
      <c r="C454" s="2" t="s">
        <v>103</v>
      </c>
      <c r="D454" s="2" t="s">
        <v>17</v>
      </c>
      <c r="E454" s="2">
        <v>98109</v>
      </c>
      <c r="F454" t="s">
        <v>3522</v>
      </c>
    </row>
    <row r="455" spans="1:6" x14ac:dyDescent="0.25">
      <c r="A455" s="2" t="s">
        <v>1839</v>
      </c>
      <c r="B455" s="2" t="s">
        <v>1840</v>
      </c>
      <c r="C455" s="2" t="s">
        <v>200</v>
      </c>
      <c r="D455" s="2" t="s">
        <v>17</v>
      </c>
      <c r="E455" s="2">
        <v>18706</v>
      </c>
      <c r="F455" t="s">
        <v>3522</v>
      </c>
    </row>
    <row r="456" spans="1:6" x14ac:dyDescent="0.25">
      <c r="A456" s="2" t="s">
        <v>1842</v>
      </c>
      <c r="B456" s="2" t="s">
        <v>1843</v>
      </c>
      <c r="C456" s="2" t="s">
        <v>445</v>
      </c>
      <c r="D456" s="2" t="s">
        <v>314</v>
      </c>
      <c r="E456" s="2" t="s">
        <v>326</v>
      </c>
      <c r="F456" t="s">
        <v>3521</v>
      </c>
    </row>
    <row r="457" spans="1:6" x14ac:dyDescent="0.25">
      <c r="A457" s="2" t="s">
        <v>1845</v>
      </c>
      <c r="B457" s="2" t="s">
        <v>1846</v>
      </c>
      <c r="C457" s="2" t="s">
        <v>484</v>
      </c>
      <c r="D457" s="2" t="s">
        <v>314</v>
      </c>
      <c r="E457" s="2" t="s">
        <v>359</v>
      </c>
      <c r="F457" t="s">
        <v>3521</v>
      </c>
    </row>
    <row r="458" spans="1:6" x14ac:dyDescent="0.25">
      <c r="A458" s="2" t="s">
        <v>1848</v>
      </c>
      <c r="B458" s="2" t="s">
        <v>1849</v>
      </c>
      <c r="C458" s="2" t="s">
        <v>282</v>
      </c>
      <c r="D458" s="2" t="s">
        <v>26</v>
      </c>
      <c r="E458" s="2" t="s">
        <v>283</v>
      </c>
      <c r="F458" t="s">
        <v>3522</v>
      </c>
    </row>
    <row r="459" spans="1:6" x14ac:dyDescent="0.25">
      <c r="A459" s="2" t="s">
        <v>1851</v>
      </c>
      <c r="B459" s="2" t="s">
        <v>1852</v>
      </c>
      <c r="C459" s="2" t="s">
        <v>217</v>
      </c>
      <c r="D459" s="2" t="s">
        <v>17</v>
      </c>
      <c r="E459" s="2">
        <v>14652</v>
      </c>
      <c r="F459" t="s">
        <v>3522</v>
      </c>
    </row>
    <row r="460" spans="1:6" x14ac:dyDescent="0.25">
      <c r="A460" s="2" t="s">
        <v>1854</v>
      </c>
      <c r="B460" s="2" t="s">
        <v>1855</v>
      </c>
      <c r="C460" s="2" t="s">
        <v>124</v>
      </c>
      <c r="D460" s="2" t="s">
        <v>17</v>
      </c>
      <c r="E460" s="2">
        <v>85754</v>
      </c>
      <c r="F460" t="s">
        <v>3522</v>
      </c>
    </row>
    <row r="461" spans="1:6" x14ac:dyDescent="0.25">
      <c r="A461" s="2" t="s">
        <v>1857</v>
      </c>
      <c r="B461" s="2" t="s">
        <v>1858</v>
      </c>
      <c r="C461" s="2" t="s">
        <v>31</v>
      </c>
      <c r="D461" s="2" t="s">
        <v>17</v>
      </c>
      <c r="E461" s="2">
        <v>55480</v>
      </c>
      <c r="F461" t="s">
        <v>3522</v>
      </c>
    </row>
    <row r="462" spans="1:6" x14ac:dyDescent="0.25">
      <c r="A462" s="2" t="s">
        <v>1860</v>
      </c>
      <c r="B462" s="2" t="s">
        <v>1861</v>
      </c>
      <c r="C462" s="2" t="s">
        <v>395</v>
      </c>
      <c r="D462" s="2" t="s">
        <v>314</v>
      </c>
      <c r="E462" s="2" t="s">
        <v>396</v>
      </c>
      <c r="F462" t="s">
        <v>3521</v>
      </c>
    </row>
    <row r="463" spans="1:6" x14ac:dyDescent="0.25">
      <c r="A463" s="2" t="s">
        <v>1863</v>
      </c>
      <c r="B463" s="2" t="s">
        <v>1864</v>
      </c>
      <c r="C463" s="2" t="s">
        <v>83</v>
      </c>
      <c r="D463" s="2" t="s">
        <v>26</v>
      </c>
      <c r="E463" s="2" t="s">
        <v>84</v>
      </c>
      <c r="F463" t="s">
        <v>3521</v>
      </c>
    </row>
    <row r="464" spans="1:6" x14ac:dyDescent="0.25">
      <c r="A464" s="2" t="s">
        <v>1866</v>
      </c>
      <c r="B464" s="2" t="s">
        <v>1867</v>
      </c>
      <c r="C464" s="2" t="s">
        <v>82</v>
      </c>
      <c r="D464" s="2" t="s">
        <v>17</v>
      </c>
      <c r="E464" s="2">
        <v>31119</v>
      </c>
      <c r="F464" t="s">
        <v>3521</v>
      </c>
    </row>
    <row r="465" spans="1:6" x14ac:dyDescent="0.25">
      <c r="A465" s="2" t="s">
        <v>1869</v>
      </c>
      <c r="B465" s="2" t="s">
        <v>1870</v>
      </c>
      <c r="C465" s="2" t="s">
        <v>435</v>
      </c>
      <c r="D465" s="2" t="s">
        <v>314</v>
      </c>
      <c r="E465" s="2" t="s">
        <v>342</v>
      </c>
      <c r="F465" t="s">
        <v>3522</v>
      </c>
    </row>
    <row r="466" spans="1:6" x14ac:dyDescent="0.25">
      <c r="A466" s="2" t="s">
        <v>1872</v>
      </c>
      <c r="B466" s="2" t="s">
        <v>1873</v>
      </c>
      <c r="C466" s="2" t="s">
        <v>296</v>
      </c>
      <c r="D466" s="2" t="s">
        <v>26</v>
      </c>
      <c r="E466" s="2" t="s">
        <v>297</v>
      </c>
      <c r="F466" t="s">
        <v>3522</v>
      </c>
    </row>
    <row r="467" spans="1:6" x14ac:dyDescent="0.25">
      <c r="A467" s="2" t="s">
        <v>1875</v>
      </c>
      <c r="B467" s="2" t="s">
        <v>1876</v>
      </c>
      <c r="C467" s="2" t="s">
        <v>47</v>
      </c>
      <c r="D467" s="2" t="s">
        <v>17</v>
      </c>
      <c r="E467" s="2">
        <v>37939</v>
      </c>
      <c r="F467" t="s">
        <v>3521</v>
      </c>
    </row>
    <row r="468" spans="1:6" x14ac:dyDescent="0.25">
      <c r="A468" s="2" t="s">
        <v>1878</v>
      </c>
      <c r="B468" s="2" t="s">
        <v>1879</v>
      </c>
      <c r="C468" s="2" t="s">
        <v>156</v>
      </c>
      <c r="D468" s="2" t="s">
        <v>17</v>
      </c>
      <c r="E468" s="2">
        <v>48604</v>
      </c>
      <c r="F468" t="s">
        <v>3521</v>
      </c>
    </row>
    <row r="469" spans="1:6" x14ac:dyDescent="0.25">
      <c r="A469" s="2" t="s">
        <v>1881</v>
      </c>
      <c r="B469" s="2" t="s">
        <v>1882</v>
      </c>
      <c r="C469" s="2" t="s">
        <v>199</v>
      </c>
      <c r="D469" s="2" t="s">
        <v>17</v>
      </c>
      <c r="E469" s="2">
        <v>32092</v>
      </c>
      <c r="F469" t="s">
        <v>3522</v>
      </c>
    </row>
    <row r="470" spans="1:6" x14ac:dyDescent="0.25">
      <c r="A470" s="2" t="s">
        <v>1884</v>
      </c>
      <c r="B470" s="2" t="s">
        <v>1885</v>
      </c>
      <c r="C470" s="2" t="s">
        <v>138</v>
      </c>
      <c r="D470" s="2" t="s">
        <v>17</v>
      </c>
      <c r="E470" s="2">
        <v>94913</v>
      </c>
      <c r="F470" t="s">
        <v>3521</v>
      </c>
    </row>
    <row r="471" spans="1:6" x14ac:dyDescent="0.25">
      <c r="A471" s="2" t="s">
        <v>1887</v>
      </c>
      <c r="B471" s="2" t="s">
        <v>1888</v>
      </c>
      <c r="C471" s="2" t="s">
        <v>96</v>
      </c>
      <c r="D471" s="2" t="s">
        <v>17</v>
      </c>
      <c r="E471" s="2">
        <v>95113</v>
      </c>
      <c r="F471" t="s">
        <v>3521</v>
      </c>
    </row>
    <row r="472" spans="1:6" x14ac:dyDescent="0.25">
      <c r="A472" s="2" t="s">
        <v>1890</v>
      </c>
      <c r="B472" s="2" t="s">
        <v>1891</v>
      </c>
      <c r="C472" s="2" t="s">
        <v>257</v>
      </c>
      <c r="D472" s="2" t="s">
        <v>17</v>
      </c>
      <c r="E472" s="2">
        <v>30045</v>
      </c>
      <c r="F472" t="s">
        <v>3521</v>
      </c>
    </row>
    <row r="473" spans="1:6" x14ac:dyDescent="0.25">
      <c r="A473" s="2" t="s">
        <v>1893</v>
      </c>
      <c r="B473" s="2" t="s">
        <v>1894</v>
      </c>
      <c r="C473" s="2" t="s">
        <v>146</v>
      </c>
      <c r="D473" s="2" t="s">
        <v>17</v>
      </c>
      <c r="E473" s="2">
        <v>66622</v>
      </c>
      <c r="F473" t="s">
        <v>3521</v>
      </c>
    </row>
    <row r="474" spans="1:6" x14ac:dyDescent="0.25">
      <c r="A474" s="2" t="s">
        <v>1896</v>
      </c>
      <c r="B474" s="2" t="s">
        <v>1897</v>
      </c>
      <c r="C474" s="2" t="s">
        <v>65</v>
      </c>
      <c r="D474" s="2" t="s">
        <v>17</v>
      </c>
      <c r="E474" s="2">
        <v>66276</v>
      </c>
      <c r="F474" t="s">
        <v>3522</v>
      </c>
    </row>
    <row r="475" spans="1:6" x14ac:dyDescent="0.25">
      <c r="A475" s="2" t="s">
        <v>1899</v>
      </c>
      <c r="B475" s="2" t="s">
        <v>1900</v>
      </c>
      <c r="C475" s="2" t="s">
        <v>103</v>
      </c>
      <c r="D475" s="2" t="s">
        <v>17</v>
      </c>
      <c r="E475" s="2">
        <v>98148</v>
      </c>
      <c r="F475" t="s">
        <v>3522</v>
      </c>
    </row>
    <row r="476" spans="1:6" x14ac:dyDescent="0.25">
      <c r="A476" s="2" t="s">
        <v>1902</v>
      </c>
      <c r="B476" s="2" t="s">
        <v>1903</v>
      </c>
      <c r="C476" s="2" t="s">
        <v>389</v>
      </c>
      <c r="D476" s="2" t="s">
        <v>314</v>
      </c>
      <c r="E476" s="2" t="s">
        <v>390</v>
      </c>
      <c r="F476" t="s">
        <v>3521</v>
      </c>
    </row>
    <row r="477" spans="1:6" x14ac:dyDescent="0.25">
      <c r="A477" s="2" t="s">
        <v>1905</v>
      </c>
      <c r="B477" s="2" t="s">
        <v>1906</v>
      </c>
      <c r="C477" s="2" t="s">
        <v>312</v>
      </c>
      <c r="D477" s="2" t="s">
        <v>17</v>
      </c>
      <c r="E477" s="2">
        <v>34745</v>
      </c>
      <c r="F477" t="s">
        <v>3522</v>
      </c>
    </row>
    <row r="478" spans="1:6" x14ac:dyDescent="0.25">
      <c r="A478" s="2" t="s">
        <v>1908</v>
      </c>
      <c r="B478" s="2" t="s">
        <v>1909</v>
      </c>
      <c r="C478" s="2" t="s">
        <v>217</v>
      </c>
      <c r="D478" s="2" t="s">
        <v>17</v>
      </c>
      <c r="E478" s="2">
        <v>14683</v>
      </c>
      <c r="F478" t="s">
        <v>3521</v>
      </c>
    </row>
    <row r="479" spans="1:6" x14ac:dyDescent="0.25">
      <c r="A479" s="2" t="s">
        <v>1911</v>
      </c>
      <c r="B479" s="2" t="s">
        <v>1912</v>
      </c>
      <c r="C479" s="2" t="s">
        <v>183</v>
      </c>
      <c r="D479" s="2" t="s">
        <v>17</v>
      </c>
      <c r="E479" s="2">
        <v>75799</v>
      </c>
      <c r="F479" t="s">
        <v>3522</v>
      </c>
    </row>
    <row r="480" spans="1:6" x14ac:dyDescent="0.25">
      <c r="A480" s="2" t="s">
        <v>1914</v>
      </c>
      <c r="B480" s="2" t="s">
        <v>1915</v>
      </c>
      <c r="C480" s="2" t="s">
        <v>87</v>
      </c>
      <c r="D480" s="2" t="s">
        <v>17</v>
      </c>
      <c r="E480" s="2">
        <v>11388</v>
      </c>
      <c r="F480" t="s">
        <v>3521</v>
      </c>
    </row>
    <row r="481" spans="1:6" x14ac:dyDescent="0.25">
      <c r="A481" s="2" t="s">
        <v>1916</v>
      </c>
      <c r="B481" s="2" t="s">
        <v>1917</v>
      </c>
      <c r="C481" s="2" t="s">
        <v>32</v>
      </c>
      <c r="D481" s="2" t="s">
        <v>17</v>
      </c>
      <c r="E481" s="2">
        <v>20167</v>
      </c>
      <c r="F481" t="s">
        <v>3521</v>
      </c>
    </row>
    <row r="482" spans="1:6" x14ac:dyDescent="0.25">
      <c r="A482" s="2" t="s">
        <v>1918</v>
      </c>
      <c r="B482" s="2" t="s">
        <v>1919</v>
      </c>
      <c r="C482" s="2" t="s">
        <v>36</v>
      </c>
      <c r="D482" s="2" t="s">
        <v>17</v>
      </c>
      <c r="E482" s="2">
        <v>23203</v>
      </c>
      <c r="F482" t="s">
        <v>3522</v>
      </c>
    </row>
    <row r="483" spans="1:6" x14ac:dyDescent="0.25">
      <c r="A483" s="2" t="s">
        <v>1921</v>
      </c>
      <c r="B483" s="2" t="s">
        <v>1922</v>
      </c>
      <c r="C483" s="2" t="s">
        <v>249</v>
      </c>
      <c r="D483" s="2" t="s">
        <v>26</v>
      </c>
      <c r="E483" s="2" t="s">
        <v>112</v>
      </c>
      <c r="F483" t="s">
        <v>3522</v>
      </c>
    </row>
    <row r="484" spans="1:6" x14ac:dyDescent="0.25">
      <c r="A484" s="2" t="s">
        <v>1924</v>
      </c>
      <c r="B484" s="2" t="s">
        <v>1925</v>
      </c>
      <c r="C484" s="2" t="s">
        <v>162</v>
      </c>
      <c r="D484" s="2" t="s">
        <v>17</v>
      </c>
      <c r="E484" s="2">
        <v>22309</v>
      </c>
      <c r="F484" t="s">
        <v>3521</v>
      </c>
    </row>
    <row r="485" spans="1:6" x14ac:dyDescent="0.25">
      <c r="A485" s="2" t="s">
        <v>1927</v>
      </c>
      <c r="B485" s="2" t="s">
        <v>1928</v>
      </c>
      <c r="C485" s="2" t="s">
        <v>214</v>
      </c>
      <c r="D485" s="2" t="s">
        <v>17</v>
      </c>
      <c r="E485" s="2">
        <v>84115</v>
      </c>
      <c r="F485" t="s">
        <v>3521</v>
      </c>
    </row>
    <row r="486" spans="1:6" x14ac:dyDescent="0.25">
      <c r="A486" s="2" t="s">
        <v>1930</v>
      </c>
      <c r="B486" s="2" t="s">
        <v>1931</v>
      </c>
      <c r="C486" s="2" t="s">
        <v>96</v>
      </c>
      <c r="D486" s="2" t="s">
        <v>17</v>
      </c>
      <c r="E486" s="2">
        <v>95108</v>
      </c>
      <c r="F486" t="s">
        <v>3522</v>
      </c>
    </row>
    <row r="487" spans="1:6" x14ac:dyDescent="0.25">
      <c r="A487" s="2" t="s">
        <v>1933</v>
      </c>
      <c r="B487" s="2" t="s">
        <v>1934</v>
      </c>
      <c r="C487" s="2" t="s">
        <v>367</v>
      </c>
      <c r="D487" s="2" t="s">
        <v>314</v>
      </c>
      <c r="E487" s="2" t="s">
        <v>368</v>
      </c>
      <c r="F487" t="s">
        <v>3521</v>
      </c>
    </row>
    <row r="488" spans="1:6" x14ac:dyDescent="0.25">
      <c r="A488" s="2" t="s">
        <v>1936</v>
      </c>
      <c r="B488" s="2" t="s">
        <v>1937</v>
      </c>
      <c r="C488" s="2" t="s">
        <v>467</v>
      </c>
      <c r="D488" s="2" t="s">
        <v>314</v>
      </c>
      <c r="E488" s="2" t="s">
        <v>440</v>
      </c>
      <c r="F488" t="s">
        <v>3521</v>
      </c>
    </row>
    <row r="489" spans="1:6" x14ac:dyDescent="0.25">
      <c r="A489" s="2" t="s">
        <v>1939</v>
      </c>
      <c r="B489" s="2" t="s">
        <v>1940</v>
      </c>
      <c r="C489" s="2" t="s">
        <v>467</v>
      </c>
      <c r="D489" s="2" t="s">
        <v>314</v>
      </c>
      <c r="E489" s="2" t="s">
        <v>440</v>
      </c>
      <c r="F489" t="s">
        <v>3522</v>
      </c>
    </row>
    <row r="490" spans="1:6" x14ac:dyDescent="0.25">
      <c r="A490" s="2" t="s">
        <v>1942</v>
      </c>
      <c r="B490" s="2" t="s">
        <v>1943</v>
      </c>
      <c r="C490" s="2" t="s">
        <v>420</v>
      </c>
      <c r="D490" s="2" t="s">
        <v>314</v>
      </c>
      <c r="E490" s="2" t="s">
        <v>421</v>
      </c>
      <c r="F490" t="s">
        <v>3521</v>
      </c>
    </row>
    <row r="491" spans="1:6" x14ac:dyDescent="0.25">
      <c r="A491" s="2" t="s">
        <v>1945</v>
      </c>
      <c r="B491" s="2" t="s">
        <v>1946</v>
      </c>
      <c r="C491" s="2" t="s">
        <v>48</v>
      </c>
      <c r="D491" s="2" t="s">
        <v>17</v>
      </c>
      <c r="E491" s="2">
        <v>79945</v>
      </c>
      <c r="F491" t="s">
        <v>3522</v>
      </c>
    </row>
    <row r="492" spans="1:6" x14ac:dyDescent="0.25">
      <c r="A492" s="2" t="s">
        <v>1948</v>
      </c>
      <c r="B492" s="2" t="s">
        <v>1949</v>
      </c>
      <c r="C492" s="2" t="s">
        <v>269</v>
      </c>
      <c r="D492" s="2" t="s">
        <v>17</v>
      </c>
      <c r="E492" s="2">
        <v>33355</v>
      </c>
      <c r="F492" t="s">
        <v>3522</v>
      </c>
    </row>
    <row r="493" spans="1:6" x14ac:dyDescent="0.25">
      <c r="A493" s="2" t="s">
        <v>1951</v>
      </c>
      <c r="B493" s="2" t="s">
        <v>1952</v>
      </c>
      <c r="C493" s="2" t="s">
        <v>34</v>
      </c>
      <c r="D493" s="2" t="s">
        <v>17</v>
      </c>
      <c r="E493" s="2">
        <v>46295</v>
      </c>
      <c r="F493" t="s">
        <v>3522</v>
      </c>
    </row>
    <row r="494" spans="1:6" x14ac:dyDescent="0.25">
      <c r="A494" s="2" t="s">
        <v>1954</v>
      </c>
      <c r="B494" s="2" t="s">
        <v>1955</v>
      </c>
      <c r="C494" s="2" t="s">
        <v>43</v>
      </c>
      <c r="D494" s="2" t="s">
        <v>17</v>
      </c>
      <c r="E494" s="2">
        <v>53234</v>
      </c>
      <c r="F494" t="s">
        <v>3521</v>
      </c>
    </row>
    <row r="495" spans="1:6" x14ac:dyDescent="0.25">
      <c r="A495" s="2" t="s">
        <v>1957</v>
      </c>
      <c r="B495" s="2" t="s">
        <v>1958</v>
      </c>
      <c r="C495" s="2" t="s">
        <v>271</v>
      </c>
      <c r="D495" s="2" t="s">
        <v>26</v>
      </c>
      <c r="E495" s="2" t="s">
        <v>272</v>
      </c>
      <c r="F495" t="s">
        <v>3522</v>
      </c>
    </row>
    <row r="496" spans="1:6" x14ac:dyDescent="0.25">
      <c r="A496" s="2" t="s">
        <v>1960</v>
      </c>
      <c r="B496" s="2" t="s">
        <v>1961</v>
      </c>
      <c r="C496" s="2" t="s">
        <v>30</v>
      </c>
      <c r="D496" s="2" t="s">
        <v>17</v>
      </c>
      <c r="E496" s="2">
        <v>70836</v>
      </c>
      <c r="F496" t="s">
        <v>3522</v>
      </c>
    </row>
    <row r="497" spans="1:6" x14ac:dyDescent="0.25">
      <c r="A497" s="2" t="s">
        <v>1963</v>
      </c>
      <c r="B497" s="2" t="s">
        <v>1964</v>
      </c>
      <c r="C497" s="2" t="s">
        <v>168</v>
      </c>
      <c r="D497" s="2" t="s">
        <v>17</v>
      </c>
      <c r="E497" s="2">
        <v>6816</v>
      </c>
      <c r="F497" t="s">
        <v>3521</v>
      </c>
    </row>
    <row r="498" spans="1:6" x14ac:dyDescent="0.25">
      <c r="A498" s="2" t="s">
        <v>1966</v>
      </c>
      <c r="B498" s="2" t="s">
        <v>1967</v>
      </c>
      <c r="C498" s="2" t="s">
        <v>248</v>
      </c>
      <c r="D498" s="2" t="s">
        <v>17</v>
      </c>
      <c r="E498" s="2">
        <v>32590</v>
      </c>
      <c r="F498" t="s">
        <v>3522</v>
      </c>
    </row>
    <row r="499" spans="1:6" x14ac:dyDescent="0.25">
      <c r="A499" s="2" t="s">
        <v>1969</v>
      </c>
      <c r="B499" s="2" t="s">
        <v>1970</v>
      </c>
      <c r="C499" s="2" t="s">
        <v>1971</v>
      </c>
      <c r="D499" s="2" t="s">
        <v>314</v>
      </c>
      <c r="E499" s="2" t="s">
        <v>344</v>
      </c>
      <c r="F499" t="s">
        <v>3522</v>
      </c>
    </row>
    <row r="500" spans="1:6" x14ac:dyDescent="0.25">
      <c r="A500" s="2" t="s">
        <v>1973</v>
      </c>
      <c r="B500" s="2" t="s">
        <v>1974</v>
      </c>
      <c r="C500" s="2" t="s">
        <v>218</v>
      </c>
      <c r="D500" s="2" t="s">
        <v>26</v>
      </c>
      <c r="E500" s="2" t="s">
        <v>332</v>
      </c>
      <c r="F500" t="s">
        <v>3521</v>
      </c>
    </row>
    <row r="501" spans="1:6" x14ac:dyDescent="0.25">
      <c r="A501" s="2" t="s">
        <v>1976</v>
      </c>
      <c r="B501" s="2" t="s">
        <v>1977</v>
      </c>
      <c r="C501" s="2" t="s">
        <v>1123</v>
      </c>
      <c r="D501" s="2" t="s">
        <v>314</v>
      </c>
      <c r="E501" s="2" t="s">
        <v>344</v>
      </c>
      <c r="F501" t="s">
        <v>3521</v>
      </c>
    </row>
    <row r="502" spans="1:6" x14ac:dyDescent="0.25">
      <c r="A502" s="2" t="s">
        <v>1979</v>
      </c>
      <c r="B502" s="2" t="s">
        <v>1980</v>
      </c>
      <c r="C502" s="2" t="s">
        <v>181</v>
      </c>
      <c r="D502" s="2" t="s">
        <v>17</v>
      </c>
      <c r="E502" s="2">
        <v>49518</v>
      </c>
      <c r="F502" t="s">
        <v>3522</v>
      </c>
    </row>
    <row r="503" spans="1:6" x14ac:dyDescent="0.25">
      <c r="A503" s="2" t="s">
        <v>1982</v>
      </c>
      <c r="B503" s="2" t="s">
        <v>1983</v>
      </c>
      <c r="C503" s="2" t="s">
        <v>361</v>
      </c>
      <c r="D503" s="2" t="s">
        <v>26</v>
      </c>
      <c r="E503" s="2" t="s">
        <v>362</v>
      </c>
      <c r="F503" t="s">
        <v>3522</v>
      </c>
    </row>
    <row r="504" spans="1:6" x14ac:dyDescent="0.25">
      <c r="A504" s="2" t="s">
        <v>1984</v>
      </c>
      <c r="B504" s="2" t="s">
        <v>1985</v>
      </c>
      <c r="C504" s="2" t="s">
        <v>114</v>
      </c>
      <c r="D504" s="2" t="s">
        <v>17</v>
      </c>
      <c r="E504" s="2">
        <v>66160</v>
      </c>
      <c r="F504" t="s">
        <v>3522</v>
      </c>
    </row>
    <row r="505" spans="1:6" x14ac:dyDescent="0.25">
      <c r="A505" s="2" t="s">
        <v>1986</v>
      </c>
      <c r="B505" s="2" t="s">
        <v>1987</v>
      </c>
      <c r="C505" s="2" t="s">
        <v>446</v>
      </c>
      <c r="D505" s="2" t="s">
        <v>17</v>
      </c>
      <c r="E505" s="2">
        <v>14905</v>
      </c>
      <c r="F505" t="s">
        <v>3522</v>
      </c>
    </row>
    <row r="506" spans="1:6" x14ac:dyDescent="0.25">
      <c r="A506" s="2" t="s">
        <v>1988</v>
      </c>
      <c r="B506" s="2" t="s">
        <v>1989</v>
      </c>
      <c r="C506" s="2" t="s">
        <v>43</v>
      </c>
      <c r="D506" s="2" t="s">
        <v>17</v>
      </c>
      <c r="E506" s="2">
        <v>53205</v>
      </c>
      <c r="F506" t="s">
        <v>3521</v>
      </c>
    </row>
    <row r="507" spans="1:6" x14ac:dyDescent="0.25">
      <c r="A507" s="2" t="s">
        <v>1991</v>
      </c>
      <c r="B507" s="2" t="s">
        <v>1992</v>
      </c>
      <c r="C507" s="2" t="s">
        <v>255</v>
      </c>
      <c r="D507" s="2" t="s">
        <v>17</v>
      </c>
      <c r="E507" s="2">
        <v>27264</v>
      </c>
      <c r="F507" t="s">
        <v>3522</v>
      </c>
    </row>
    <row r="508" spans="1:6" x14ac:dyDescent="0.25">
      <c r="A508" s="2" t="s">
        <v>1994</v>
      </c>
      <c r="B508" s="2" t="s">
        <v>1995</v>
      </c>
      <c r="C508" s="2" t="s">
        <v>48</v>
      </c>
      <c r="D508" s="2" t="s">
        <v>17</v>
      </c>
      <c r="E508" s="2">
        <v>88546</v>
      </c>
      <c r="F508" t="s">
        <v>3521</v>
      </c>
    </row>
    <row r="509" spans="1:6" x14ac:dyDescent="0.25">
      <c r="A509" s="2" t="s">
        <v>1997</v>
      </c>
      <c r="B509" s="2" t="s">
        <v>1998</v>
      </c>
      <c r="C509" s="2" t="s">
        <v>253</v>
      </c>
      <c r="D509" s="2" t="s">
        <v>17</v>
      </c>
      <c r="E509" s="2">
        <v>44185</v>
      </c>
      <c r="F509" t="s">
        <v>3521</v>
      </c>
    </row>
    <row r="510" spans="1:6" x14ac:dyDescent="0.25">
      <c r="A510" s="2" t="s">
        <v>2000</v>
      </c>
      <c r="B510" s="2" t="s">
        <v>2001</v>
      </c>
      <c r="C510" s="2" t="s">
        <v>373</v>
      </c>
      <c r="D510" s="2" t="s">
        <v>314</v>
      </c>
      <c r="E510" s="2" t="s">
        <v>374</v>
      </c>
      <c r="F510" t="s">
        <v>3522</v>
      </c>
    </row>
    <row r="511" spans="1:6" x14ac:dyDescent="0.25">
      <c r="A511" s="2" t="s">
        <v>2003</v>
      </c>
      <c r="B511" s="2" t="s">
        <v>2004</v>
      </c>
      <c r="C511" s="2" t="s">
        <v>462</v>
      </c>
      <c r="D511" s="2" t="s">
        <v>314</v>
      </c>
      <c r="E511" s="2" t="s">
        <v>381</v>
      </c>
      <c r="F511" t="s">
        <v>3521</v>
      </c>
    </row>
    <row r="512" spans="1:6" x14ac:dyDescent="0.25">
      <c r="A512" s="2" t="s">
        <v>2006</v>
      </c>
      <c r="B512" s="2" t="s">
        <v>2007</v>
      </c>
      <c r="C512" s="2" t="s">
        <v>465</v>
      </c>
      <c r="D512" s="2" t="s">
        <v>314</v>
      </c>
      <c r="E512" s="2" t="s">
        <v>466</v>
      </c>
      <c r="F512" t="s">
        <v>3521</v>
      </c>
    </row>
    <row r="513" spans="1:6" x14ac:dyDescent="0.25">
      <c r="A513" s="2" t="s">
        <v>2009</v>
      </c>
      <c r="B513" s="2" t="s">
        <v>2010</v>
      </c>
      <c r="C513" s="2" t="s">
        <v>142</v>
      </c>
      <c r="D513" s="2" t="s">
        <v>17</v>
      </c>
      <c r="E513" s="2">
        <v>35244</v>
      </c>
      <c r="F513" t="s">
        <v>3521</v>
      </c>
    </row>
    <row r="514" spans="1:6" x14ac:dyDescent="0.25">
      <c r="A514" s="2" t="s">
        <v>2012</v>
      </c>
      <c r="B514" s="2" t="s">
        <v>2013</v>
      </c>
      <c r="C514" s="2" t="s">
        <v>324</v>
      </c>
      <c r="D514" s="2" t="s">
        <v>17</v>
      </c>
      <c r="E514" s="2">
        <v>56372</v>
      </c>
      <c r="F514" t="s">
        <v>3522</v>
      </c>
    </row>
    <row r="515" spans="1:6" x14ac:dyDescent="0.25">
      <c r="A515" s="2" t="s">
        <v>2015</v>
      </c>
      <c r="B515" s="2" t="s">
        <v>2016</v>
      </c>
      <c r="C515" s="2" t="s">
        <v>44</v>
      </c>
      <c r="D515" s="2" t="s">
        <v>17</v>
      </c>
      <c r="E515" s="2">
        <v>19191</v>
      </c>
      <c r="F515" t="s">
        <v>3522</v>
      </c>
    </row>
    <row r="516" spans="1:6" x14ac:dyDescent="0.25">
      <c r="A516" s="2" t="s">
        <v>2018</v>
      </c>
      <c r="B516" s="2" t="s">
        <v>2019</v>
      </c>
      <c r="C516" s="2" t="s">
        <v>39</v>
      </c>
      <c r="D516" s="2" t="s">
        <v>17</v>
      </c>
      <c r="E516" s="2">
        <v>48211</v>
      </c>
      <c r="F516" t="s">
        <v>3521</v>
      </c>
    </row>
    <row r="517" spans="1:6" x14ac:dyDescent="0.25">
      <c r="A517" s="2" t="s">
        <v>2021</v>
      </c>
      <c r="B517" s="2" t="s">
        <v>2022</v>
      </c>
      <c r="C517" s="2" t="s">
        <v>102</v>
      </c>
      <c r="D517" s="2" t="s">
        <v>17</v>
      </c>
      <c r="E517" s="2">
        <v>63180</v>
      </c>
      <c r="F517" t="s">
        <v>3522</v>
      </c>
    </row>
    <row r="518" spans="1:6" x14ac:dyDescent="0.25">
      <c r="A518" s="2" t="s">
        <v>2024</v>
      </c>
      <c r="B518" s="2" t="s">
        <v>2025</v>
      </c>
      <c r="C518" s="2" t="s">
        <v>281</v>
      </c>
      <c r="D518" s="2" t="s">
        <v>17</v>
      </c>
      <c r="E518" s="2">
        <v>12305</v>
      </c>
      <c r="F518" t="s">
        <v>3521</v>
      </c>
    </row>
    <row r="519" spans="1:6" x14ac:dyDescent="0.25">
      <c r="A519" s="2" t="s">
        <v>2027</v>
      </c>
      <c r="B519" s="2" t="s">
        <v>2028</v>
      </c>
      <c r="C519" s="2" t="s">
        <v>315</v>
      </c>
      <c r="D519" s="2" t="s">
        <v>17</v>
      </c>
      <c r="E519" s="2">
        <v>33805</v>
      </c>
      <c r="F519" t="s">
        <v>3522</v>
      </c>
    </row>
    <row r="520" spans="1:6" x14ac:dyDescent="0.25">
      <c r="A520" s="2" t="s">
        <v>2030</v>
      </c>
      <c r="B520" s="2" t="s">
        <v>2031</v>
      </c>
      <c r="C520" s="2" t="s">
        <v>352</v>
      </c>
      <c r="D520" s="2" t="s">
        <v>17</v>
      </c>
      <c r="E520" s="2">
        <v>32941</v>
      </c>
      <c r="F520" t="s">
        <v>3522</v>
      </c>
    </row>
    <row r="521" spans="1:6" x14ac:dyDescent="0.25">
      <c r="A521" s="2" t="s">
        <v>2033</v>
      </c>
      <c r="B521" s="2" t="s">
        <v>2034</v>
      </c>
      <c r="C521" s="2" t="s">
        <v>61</v>
      </c>
      <c r="D521" s="2" t="s">
        <v>17</v>
      </c>
      <c r="E521" s="2">
        <v>77075</v>
      </c>
      <c r="F521" t="s">
        <v>3522</v>
      </c>
    </row>
    <row r="522" spans="1:6" x14ac:dyDescent="0.25">
      <c r="A522" s="2" t="s">
        <v>2036</v>
      </c>
      <c r="B522" s="2" t="s">
        <v>2037</v>
      </c>
      <c r="C522" s="2" t="s">
        <v>67</v>
      </c>
      <c r="D522" s="2" t="s">
        <v>17</v>
      </c>
      <c r="E522" s="2">
        <v>70179</v>
      </c>
      <c r="F522" t="s">
        <v>3522</v>
      </c>
    </row>
    <row r="523" spans="1:6" x14ac:dyDescent="0.25">
      <c r="A523" s="2" t="s">
        <v>2038</v>
      </c>
      <c r="B523" s="2" t="s">
        <v>2039</v>
      </c>
      <c r="C523" s="2" t="s">
        <v>75</v>
      </c>
      <c r="D523" s="2" t="s">
        <v>17</v>
      </c>
      <c r="E523" s="2">
        <v>73142</v>
      </c>
      <c r="F523" t="s">
        <v>3522</v>
      </c>
    </row>
    <row r="524" spans="1:6" x14ac:dyDescent="0.25">
      <c r="A524" s="2" t="s">
        <v>2041</v>
      </c>
      <c r="B524" s="2" t="s">
        <v>2042</v>
      </c>
      <c r="C524" s="2" t="s">
        <v>146</v>
      </c>
      <c r="D524" s="2" t="s">
        <v>17</v>
      </c>
      <c r="E524" s="2">
        <v>66617</v>
      </c>
      <c r="F524" t="s">
        <v>3522</v>
      </c>
    </row>
    <row r="525" spans="1:6" x14ac:dyDescent="0.25">
      <c r="A525" s="2" t="s">
        <v>2044</v>
      </c>
      <c r="B525" s="2" t="s">
        <v>2045</v>
      </c>
      <c r="C525" s="2" t="s">
        <v>422</v>
      </c>
      <c r="D525" s="2" t="s">
        <v>314</v>
      </c>
      <c r="E525" s="2" t="s">
        <v>423</v>
      </c>
      <c r="F525" t="s">
        <v>3522</v>
      </c>
    </row>
    <row r="526" spans="1:6" x14ac:dyDescent="0.25">
      <c r="A526" s="2" t="s">
        <v>2047</v>
      </c>
      <c r="B526" s="2" t="s">
        <v>2048</v>
      </c>
      <c r="C526" s="2" t="s">
        <v>81</v>
      </c>
      <c r="D526" s="2" t="s">
        <v>17</v>
      </c>
      <c r="E526" s="2">
        <v>62723</v>
      </c>
      <c r="F526" t="s">
        <v>3522</v>
      </c>
    </row>
    <row r="527" spans="1:6" x14ac:dyDescent="0.25">
      <c r="A527" s="2" t="s">
        <v>2050</v>
      </c>
      <c r="B527" s="2" t="s">
        <v>2051</v>
      </c>
      <c r="C527" s="2" t="s">
        <v>19</v>
      </c>
      <c r="D527" s="2" t="s">
        <v>17</v>
      </c>
      <c r="E527" s="2">
        <v>8104</v>
      </c>
      <c r="F527" t="s">
        <v>3521</v>
      </c>
    </row>
    <row r="528" spans="1:6" x14ac:dyDescent="0.25">
      <c r="A528" s="2" t="s">
        <v>2053</v>
      </c>
      <c r="B528" s="2" t="s">
        <v>2054</v>
      </c>
      <c r="C528" s="2" t="s">
        <v>103</v>
      </c>
      <c r="D528" s="2" t="s">
        <v>17</v>
      </c>
      <c r="E528" s="2">
        <v>98185</v>
      </c>
      <c r="F528" t="s">
        <v>3521</v>
      </c>
    </row>
    <row r="529" spans="1:6" x14ac:dyDescent="0.25">
      <c r="A529" s="2" t="s">
        <v>2056</v>
      </c>
      <c r="B529" s="2" t="s">
        <v>2057</v>
      </c>
      <c r="C529" s="2" t="s">
        <v>149</v>
      </c>
      <c r="D529" s="2" t="s">
        <v>26</v>
      </c>
      <c r="E529" s="2" t="s">
        <v>150</v>
      </c>
      <c r="F529" t="s">
        <v>3522</v>
      </c>
    </row>
    <row r="530" spans="1:6" x14ac:dyDescent="0.25">
      <c r="A530" s="2" t="s">
        <v>2059</v>
      </c>
      <c r="B530" s="2" t="s">
        <v>2060</v>
      </c>
      <c r="C530" s="2" t="s">
        <v>94</v>
      </c>
      <c r="D530" s="2" t="s">
        <v>17</v>
      </c>
      <c r="E530" s="2">
        <v>76711</v>
      </c>
      <c r="F530" t="s">
        <v>3522</v>
      </c>
    </row>
    <row r="531" spans="1:6" x14ac:dyDescent="0.25">
      <c r="A531" s="2" t="s">
        <v>2062</v>
      </c>
      <c r="B531" s="2" t="s">
        <v>2063</v>
      </c>
      <c r="C531" s="2" t="s">
        <v>36</v>
      </c>
      <c r="D531" s="2" t="s">
        <v>17</v>
      </c>
      <c r="E531" s="2">
        <v>23242</v>
      </c>
      <c r="F531" t="s">
        <v>3522</v>
      </c>
    </row>
    <row r="532" spans="1:6" x14ac:dyDescent="0.25">
      <c r="A532" s="2" t="s">
        <v>2065</v>
      </c>
      <c r="B532" s="2" t="s">
        <v>2066</v>
      </c>
      <c r="C532" s="2" t="s">
        <v>258</v>
      </c>
      <c r="D532" s="2" t="s">
        <v>17</v>
      </c>
      <c r="E532" s="2">
        <v>43610</v>
      </c>
      <c r="F532" t="s">
        <v>3522</v>
      </c>
    </row>
    <row r="533" spans="1:6" x14ac:dyDescent="0.25">
      <c r="A533" s="2" t="s">
        <v>2068</v>
      </c>
      <c r="B533" s="2" t="s">
        <v>2069</v>
      </c>
      <c r="C533" s="2" t="s">
        <v>24</v>
      </c>
      <c r="D533" s="2" t="s">
        <v>17</v>
      </c>
      <c r="E533" s="2">
        <v>25705</v>
      </c>
      <c r="F533" t="s">
        <v>3522</v>
      </c>
    </row>
    <row r="534" spans="1:6" x14ac:dyDescent="0.25">
      <c r="A534" s="2" t="s">
        <v>2071</v>
      </c>
      <c r="B534" s="2" t="s">
        <v>2072</v>
      </c>
      <c r="C534" s="2" t="s">
        <v>409</v>
      </c>
      <c r="D534" s="2" t="s">
        <v>17</v>
      </c>
      <c r="E534" s="2">
        <v>33884</v>
      </c>
      <c r="F534" t="s">
        <v>3521</v>
      </c>
    </row>
    <row r="535" spans="1:6" x14ac:dyDescent="0.25">
      <c r="A535" s="2" t="s">
        <v>2074</v>
      </c>
      <c r="B535" s="2" t="s">
        <v>2075</v>
      </c>
      <c r="C535" s="2" t="s">
        <v>50</v>
      </c>
      <c r="D535" s="2" t="s">
        <v>17</v>
      </c>
      <c r="E535" s="2">
        <v>75323</v>
      </c>
      <c r="F535" t="s">
        <v>3522</v>
      </c>
    </row>
    <row r="536" spans="1:6" x14ac:dyDescent="0.25">
      <c r="A536" s="2" t="s">
        <v>2077</v>
      </c>
      <c r="B536" s="2" t="s">
        <v>2078</v>
      </c>
      <c r="C536" s="2" t="s">
        <v>452</v>
      </c>
      <c r="D536" s="2" t="s">
        <v>314</v>
      </c>
      <c r="E536" s="2" t="s">
        <v>453</v>
      </c>
      <c r="F536" t="s">
        <v>3521</v>
      </c>
    </row>
    <row r="537" spans="1:6" x14ac:dyDescent="0.25">
      <c r="A537" s="2" t="s">
        <v>2080</v>
      </c>
      <c r="B537" s="2" t="s">
        <v>2081</v>
      </c>
      <c r="C537" s="2" t="s">
        <v>904</v>
      </c>
      <c r="D537" s="2" t="s">
        <v>314</v>
      </c>
      <c r="E537" s="2" t="s">
        <v>440</v>
      </c>
      <c r="F537" t="s">
        <v>3522</v>
      </c>
    </row>
    <row r="538" spans="1:6" x14ac:dyDescent="0.25">
      <c r="A538" s="2" t="s">
        <v>2083</v>
      </c>
      <c r="B538" s="2" t="s">
        <v>2084</v>
      </c>
      <c r="C538" s="2" t="s">
        <v>37</v>
      </c>
      <c r="D538" s="2" t="s">
        <v>17</v>
      </c>
      <c r="E538" s="2">
        <v>43231</v>
      </c>
      <c r="F538" t="s">
        <v>3522</v>
      </c>
    </row>
    <row r="539" spans="1:6" x14ac:dyDescent="0.25">
      <c r="A539" s="2" t="s">
        <v>2086</v>
      </c>
      <c r="B539" s="2" t="s">
        <v>2087</v>
      </c>
      <c r="C539" s="2" t="s">
        <v>93</v>
      </c>
      <c r="D539" s="2" t="s">
        <v>17</v>
      </c>
      <c r="E539" s="2">
        <v>47747</v>
      </c>
      <c r="F539" t="s">
        <v>3521</v>
      </c>
    </row>
    <row r="540" spans="1:6" x14ac:dyDescent="0.25">
      <c r="A540" s="2" t="s">
        <v>2089</v>
      </c>
      <c r="B540" s="2" t="s">
        <v>2090</v>
      </c>
      <c r="C540" s="2" t="s">
        <v>215</v>
      </c>
      <c r="D540" s="2" t="s">
        <v>17</v>
      </c>
      <c r="E540" s="2">
        <v>60567</v>
      </c>
      <c r="F540" t="s">
        <v>3521</v>
      </c>
    </row>
    <row r="541" spans="1:6" x14ac:dyDescent="0.25">
      <c r="A541" s="2" t="s">
        <v>2092</v>
      </c>
      <c r="B541" s="2" t="s">
        <v>2093</v>
      </c>
      <c r="C541" s="2" t="s">
        <v>46</v>
      </c>
      <c r="D541" s="2" t="s">
        <v>17</v>
      </c>
      <c r="E541" s="2">
        <v>29424</v>
      </c>
      <c r="F541" t="s">
        <v>3522</v>
      </c>
    </row>
    <row r="542" spans="1:6" x14ac:dyDescent="0.25">
      <c r="A542" s="2" t="s">
        <v>2095</v>
      </c>
      <c r="B542" s="2" t="s">
        <v>2096</v>
      </c>
      <c r="C542" s="2" t="s">
        <v>172</v>
      </c>
      <c r="D542" s="2" t="s">
        <v>17</v>
      </c>
      <c r="E542" s="2">
        <v>48930</v>
      </c>
      <c r="F542" t="s">
        <v>3521</v>
      </c>
    </row>
    <row r="543" spans="1:6" x14ac:dyDescent="0.25">
      <c r="A543" s="2" t="s">
        <v>2098</v>
      </c>
      <c r="B543" s="2" t="s">
        <v>2099</v>
      </c>
      <c r="C543" s="2" t="s">
        <v>439</v>
      </c>
      <c r="D543" s="2" t="s">
        <v>314</v>
      </c>
      <c r="E543" s="2" t="s">
        <v>374</v>
      </c>
      <c r="F543" t="s">
        <v>3521</v>
      </c>
    </row>
    <row r="544" spans="1:6" x14ac:dyDescent="0.25">
      <c r="A544" s="2" t="s">
        <v>2101</v>
      </c>
      <c r="B544" s="2" t="s">
        <v>2102</v>
      </c>
      <c r="C544" s="2" t="s">
        <v>173</v>
      </c>
      <c r="D544" s="2" t="s">
        <v>17</v>
      </c>
      <c r="E544" s="2">
        <v>71115</v>
      </c>
      <c r="F544" t="s">
        <v>3522</v>
      </c>
    </row>
    <row r="545" spans="1:6" x14ac:dyDescent="0.25">
      <c r="A545" s="2" t="s">
        <v>2104</v>
      </c>
      <c r="B545" s="2" t="s">
        <v>2105</v>
      </c>
      <c r="C545" s="2" t="s">
        <v>96</v>
      </c>
      <c r="D545" s="2" t="s">
        <v>17</v>
      </c>
      <c r="E545" s="2">
        <v>95194</v>
      </c>
      <c r="F545" t="s">
        <v>3522</v>
      </c>
    </row>
    <row r="546" spans="1:6" x14ac:dyDescent="0.25">
      <c r="A546" s="2" t="s">
        <v>2107</v>
      </c>
      <c r="B546" s="2" t="s">
        <v>2108</v>
      </c>
      <c r="C546" s="2" t="s">
        <v>44</v>
      </c>
      <c r="D546" s="2" t="s">
        <v>17</v>
      </c>
      <c r="E546" s="2">
        <v>19104</v>
      </c>
      <c r="F546" t="s">
        <v>3522</v>
      </c>
    </row>
    <row r="547" spans="1:6" x14ac:dyDescent="0.25">
      <c r="A547" s="2" t="s">
        <v>2110</v>
      </c>
      <c r="B547" s="2" t="s">
        <v>2111</v>
      </c>
      <c r="C547" s="2" t="s">
        <v>174</v>
      </c>
      <c r="D547" s="2" t="s">
        <v>26</v>
      </c>
      <c r="E547" s="2" t="s">
        <v>175</v>
      </c>
      <c r="F547" t="s">
        <v>3522</v>
      </c>
    </row>
    <row r="548" spans="1:6" x14ac:dyDescent="0.25">
      <c r="A548" s="2" t="s">
        <v>2113</v>
      </c>
      <c r="B548" s="2" t="s">
        <v>2114</v>
      </c>
      <c r="C548" s="2" t="s">
        <v>371</v>
      </c>
      <c r="D548" s="2" t="s">
        <v>314</v>
      </c>
      <c r="E548" s="2" t="s">
        <v>372</v>
      </c>
      <c r="F548" t="s">
        <v>3522</v>
      </c>
    </row>
    <row r="549" spans="1:6" x14ac:dyDescent="0.25">
      <c r="A549" s="2" t="s">
        <v>2116</v>
      </c>
      <c r="B549" s="2" t="s">
        <v>2117</v>
      </c>
      <c r="C549" s="2" t="s">
        <v>18</v>
      </c>
      <c r="D549" s="2" t="s">
        <v>17</v>
      </c>
      <c r="E549" s="2">
        <v>21229</v>
      </c>
      <c r="F549" t="s">
        <v>3521</v>
      </c>
    </row>
    <row r="550" spans="1:6" x14ac:dyDescent="0.25">
      <c r="A550" s="2" t="s">
        <v>2119</v>
      </c>
      <c r="B550" s="2" t="s">
        <v>2120</v>
      </c>
      <c r="C550" s="2" t="s">
        <v>75</v>
      </c>
      <c r="D550" s="2" t="s">
        <v>17</v>
      </c>
      <c r="E550" s="2">
        <v>73119</v>
      </c>
      <c r="F550" t="s">
        <v>3521</v>
      </c>
    </row>
    <row r="551" spans="1:6" x14ac:dyDescent="0.25">
      <c r="A551" s="2" t="s">
        <v>2122</v>
      </c>
      <c r="B551" s="2" t="s">
        <v>2123</v>
      </c>
      <c r="C551" s="2" t="s">
        <v>55</v>
      </c>
      <c r="D551" s="2" t="s">
        <v>17</v>
      </c>
      <c r="E551" s="2">
        <v>10060</v>
      </c>
      <c r="F551" t="s">
        <v>3521</v>
      </c>
    </row>
    <row r="552" spans="1:6" x14ac:dyDescent="0.25">
      <c r="A552" s="2" t="s">
        <v>2125</v>
      </c>
      <c r="B552" s="2" t="s">
        <v>2126</v>
      </c>
      <c r="C552" s="2" t="s">
        <v>197</v>
      </c>
      <c r="D552" s="2" t="s">
        <v>17</v>
      </c>
      <c r="E552" s="2">
        <v>7112</v>
      </c>
      <c r="F552" t="s">
        <v>3521</v>
      </c>
    </row>
    <row r="553" spans="1:6" x14ac:dyDescent="0.25">
      <c r="A553" s="2" t="s">
        <v>2128</v>
      </c>
      <c r="B553" s="2" t="s">
        <v>2129</v>
      </c>
      <c r="C553" s="2" t="s">
        <v>16</v>
      </c>
      <c r="D553" s="2" t="s">
        <v>17</v>
      </c>
      <c r="E553" s="2">
        <v>6510</v>
      </c>
      <c r="F553" t="s">
        <v>3522</v>
      </c>
    </row>
    <row r="554" spans="1:6" x14ac:dyDescent="0.25">
      <c r="A554" s="2" t="s">
        <v>2131</v>
      </c>
      <c r="B554" s="2" t="s">
        <v>2132</v>
      </c>
      <c r="C554" s="2" t="s">
        <v>361</v>
      </c>
      <c r="D554" s="2" t="s">
        <v>26</v>
      </c>
      <c r="E554" s="2" t="s">
        <v>362</v>
      </c>
      <c r="F554" t="s">
        <v>3521</v>
      </c>
    </row>
    <row r="555" spans="1:6" x14ac:dyDescent="0.25">
      <c r="A555" s="2" t="s">
        <v>2134</v>
      </c>
      <c r="B555" s="2" t="s">
        <v>2135</v>
      </c>
      <c r="C555" s="2" t="s">
        <v>258</v>
      </c>
      <c r="D555" s="2" t="s">
        <v>17</v>
      </c>
      <c r="E555" s="2">
        <v>43610</v>
      </c>
      <c r="F555" t="s">
        <v>3522</v>
      </c>
    </row>
    <row r="556" spans="1:6" x14ac:dyDescent="0.25">
      <c r="A556" s="2" t="s">
        <v>2137</v>
      </c>
      <c r="B556" s="2" t="s">
        <v>2138</v>
      </c>
      <c r="C556" s="2" t="s">
        <v>278</v>
      </c>
      <c r="D556" s="2" t="s">
        <v>26</v>
      </c>
      <c r="E556" s="2" t="s">
        <v>279</v>
      </c>
      <c r="F556" t="s">
        <v>3521</v>
      </c>
    </row>
    <row r="557" spans="1:6" x14ac:dyDescent="0.25">
      <c r="A557" s="2" t="s">
        <v>2140</v>
      </c>
      <c r="B557" s="2" t="s">
        <v>2141</v>
      </c>
      <c r="C557" s="2" t="s">
        <v>414</v>
      </c>
      <c r="D557" s="2" t="s">
        <v>314</v>
      </c>
      <c r="E557" s="2" t="s">
        <v>415</v>
      </c>
      <c r="F557" t="s">
        <v>3522</v>
      </c>
    </row>
    <row r="558" spans="1:6" x14ac:dyDescent="0.25">
      <c r="A558" s="2" t="s">
        <v>2143</v>
      </c>
      <c r="B558" s="2" t="s">
        <v>2144</v>
      </c>
      <c r="C558" s="2" t="s">
        <v>173</v>
      </c>
      <c r="D558" s="2" t="s">
        <v>17</v>
      </c>
      <c r="E558" s="2">
        <v>71161</v>
      </c>
      <c r="F558" t="s">
        <v>3521</v>
      </c>
    </row>
    <row r="559" spans="1:6" x14ac:dyDescent="0.25">
      <c r="A559" s="2" t="s">
        <v>2146</v>
      </c>
      <c r="B559" s="2" t="s">
        <v>2147</v>
      </c>
      <c r="C559" s="2" t="s">
        <v>78</v>
      </c>
      <c r="D559" s="2" t="s">
        <v>17</v>
      </c>
      <c r="E559" s="2">
        <v>32835</v>
      </c>
      <c r="F559" t="s">
        <v>3522</v>
      </c>
    </row>
    <row r="560" spans="1:6" x14ac:dyDescent="0.25">
      <c r="A560" s="2" t="s">
        <v>2149</v>
      </c>
      <c r="B560" s="2" t="s">
        <v>2150</v>
      </c>
      <c r="C560" s="2" t="s">
        <v>41</v>
      </c>
      <c r="D560" s="2" t="s">
        <v>17</v>
      </c>
      <c r="E560" s="2">
        <v>40515</v>
      </c>
      <c r="F560" t="s">
        <v>3521</v>
      </c>
    </row>
    <row r="561" spans="1:6" x14ac:dyDescent="0.25">
      <c r="A561" s="2" t="s">
        <v>2152</v>
      </c>
      <c r="B561" s="2" t="s">
        <v>2153</v>
      </c>
      <c r="C561" s="2" t="s">
        <v>43</v>
      </c>
      <c r="D561" s="2" t="s">
        <v>17</v>
      </c>
      <c r="E561" s="2">
        <v>53263</v>
      </c>
      <c r="F561" t="s">
        <v>3521</v>
      </c>
    </row>
    <row r="562" spans="1:6" x14ac:dyDescent="0.25">
      <c r="A562" s="2" t="s">
        <v>2155</v>
      </c>
      <c r="B562" s="2" t="s">
        <v>2156</v>
      </c>
      <c r="C562" s="2" t="s">
        <v>238</v>
      </c>
      <c r="D562" s="2" t="s">
        <v>17</v>
      </c>
      <c r="E562" s="2">
        <v>79176</v>
      </c>
      <c r="F562" t="s">
        <v>3521</v>
      </c>
    </row>
    <row r="563" spans="1:6" x14ac:dyDescent="0.25">
      <c r="A563" s="2" t="s">
        <v>2158</v>
      </c>
      <c r="B563" s="2" t="s">
        <v>2159</v>
      </c>
      <c r="C563" s="2" t="s">
        <v>2160</v>
      </c>
      <c r="D563" s="2" t="s">
        <v>314</v>
      </c>
      <c r="E563" s="2" t="s">
        <v>394</v>
      </c>
      <c r="F563" t="s">
        <v>3521</v>
      </c>
    </row>
    <row r="564" spans="1:6" x14ac:dyDescent="0.25">
      <c r="A564" s="2" t="s">
        <v>2162</v>
      </c>
      <c r="B564" s="2" t="s">
        <v>2163</v>
      </c>
      <c r="C564" s="2" t="s">
        <v>157</v>
      </c>
      <c r="D564" s="2" t="s">
        <v>26</v>
      </c>
      <c r="E564" s="2" t="s">
        <v>158</v>
      </c>
      <c r="F564" t="s">
        <v>3522</v>
      </c>
    </row>
    <row r="565" spans="1:6" x14ac:dyDescent="0.25">
      <c r="A565" s="2" t="s">
        <v>2165</v>
      </c>
      <c r="B565" s="2" t="s">
        <v>2166</v>
      </c>
      <c r="C565" s="2" t="s">
        <v>82</v>
      </c>
      <c r="D565" s="2" t="s">
        <v>17</v>
      </c>
      <c r="E565" s="2">
        <v>30323</v>
      </c>
      <c r="F565" t="s">
        <v>3522</v>
      </c>
    </row>
    <row r="566" spans="1:6" x14ac:dyDescent="0.25">
      <c r="A566" s="2" t="s">
        <v>2168</v>
      </c>
      <c r="B566" s="2" t="s">
        <v>2169</v>
      </c>
      <c r="C566" s="2" t="s">
        <v>47</v>
      </c>
      <c r="D566" s="2" t="s">
        <v>17</v>
      </c>
      <c r="E566" s="2">
        <v>37924</v>
      </c>
      <c r="F566" t="s">
        <v>3522</v>
      </c>
    </row>
    <row r="567" spans="1:6" x14ac:dyDescent="0.25">
      <c r="A567" s="2" t="s">
        <v>2171</v>
      </c>
      <c r="B567" s="2" t="s">
        <v>2172</v>
      </c>
      <c r="C567" s="2" t="s">
        <v>65</v>
      </c>
      <c r="D567" s="2" t="s">
        <v>17</v>
      </c>
      <c r="E567" s="2">
        <v>66225</v>
      </c>
      <c r="F567" t="s">
        <v>3522</v>
      </c>
    </row>
    <row r="568" spans="1:6" x14ac:dyDescent="0.25">
      <c r="A568" s="2" t="s">
        <v>2174</v>
      </c>
      <c r="B568" s="2" t="s">
        <v>2175</v>
      </c>
      <c r="C568" s="2" t="s">
        <v>269</v>
      </c>
      <c r="D568" s="2" t="s">
        <v>17</v>
      </c>
      <c r="E568" s="2">
        <v>33330</v>
      </c>
      <c r="F568" t="s">
        <v>3521</v>
      </c>
    </row>
    <row r="569" spans="1:6" x14ac:dyDescent="0.25">
      <c r="A569" s="2" t="s">
        <v>2177</v>
      </c>
      <c r="B569" s="2" t="s">
        <v>2178</v>
      </c>
      <c r="C569" s="2" t="s">
        <v>429</v>
      </c>
      <c r="D569" s="2" t="s">
        <v>314</v>
      </c>
      <c r="E569" s="2" t="s">
        <v>430</v>
      </c>
      <c r="F569" t="s">
        <v>3522</v>
      </c>
    </row>
    <row r="570" spans="1:6" x14ac:dyDescent="0.25">
      <c r="A570" s="2" t="s">
        <v>2180</v>
      </c>
      <c r="B570" s="2" t="s">
        <v>2181</v>
      </c>
      <c r="C570" s="2" t="s">
        <v>121</v>
      </c>
      <c r="D570" s="2" t="s">
        <v>17</v>
      </c>
      <c r="E570" s="2">
        <v>78715</v>
      </c>
      <c r="F570" t="s">
        <v>3521</v>
      </c>
    </row>
    <row r="571" spans="1:6" x14ac:dyDescent="0.25">
      <c r="A571" s="2" t="s">
        <v>2183</v>
      </c>
      <c r="B571" s="2" t="s">
        <v>2184</v>
      </c>
      <c r="C571" s="2" t="s">
        <v>253</v>
      </c>
      <c r="D571" s="2" t="s">
        <v>17</v>
      </c>
      <c r="E571" s="2">
        <v>44105</v>
      </c>
      <c r="F571" t="s">
        <v>3522</v>
      </c>
    </row>
    <row r="572" spans="1:6" x14ac:dyDescent="0.25">
      <c r="A572" s="2" t="s">
        <v>2186</v>
      </c>
      <c r="B572" s="2" t="s">
        <v>2187</v>
      </c>
      <c r="C572" s="2" t="s">
        <v>66</v>
      </c>
      <c r="D572" s="2" t="s">
        <v>17</v>
      </c>
      <c r="E572" s="2">
        <v>20784</v>
      </c>
      <c r="F572" t="s">
        <v>3522</v>
      </c>
    </row>
    <row r="573" spans="1:6" x14ac:dyDescent="0.25">
      <c r="A573" s="2" t="s">
        <v>2189</v>
      </c>
      <c r="B573" s="2" t="s">
        <v>2190</v>
      </c>
      <c r="C573" s="2" t="s">
        <v>242</v>
      </c>
      <c r="D573" s="2" t="s">
        <v>26</v>
      </c>
      <c r="E573" s="2" t="s">
        <v>243</v>
      </c>
      <c r="F573" t="s">
        <v>3522</v>
      </c>
    </row>
    <row r="574" spans="1:6" x14ac:dyDescent="0.25">
      <c r="A574" s="2" t="s">
        <v>2192</v>
      </c>
      <c r="B574" s="2" t="s">
        <v>2193</v>
      </c>
      <c r="C574" s="2" t="s">
        <v>85</v>
      </c>
      <c r="D574" s="2" t="s">
        <v>17</v>
      </c>
      <c r="E574" s="2">
        <v>91103</v>
      </c>
      <c r="F574" t="s">
        <v>3521</v>
      </c>
    </row>
    <row r="575" spans="1:6" x14ac:dyDescent="0.25">
      <c r="A575" s="2" t="s">
        <v>2195</v>
      </c>
      <c r="B575" s="2" t="s">
        <v>2196</v>
      </c>
      <c r="C575" s="2" t="s">
        <v>173</v>
      </c>
      <c r="D575" s="2" t="s">
        <v>17</v>
      </c>
      <c r="E575" s="2">
        <v>71161</v>
      </c>
      <c r="F575" t="s">
        <v>3522</v>
      </c>
    </row>
    <row r="576" spans="1:6" x14ac:dyDescent="0.25">
      <c r="A576" s="2" t="s">
        <v>2198</v>
      </c>
      <c r="B576" s="2" t="s">
        <v>2199</v>
      </c>
      <c r="C576" s="2" t="s">
        <v>248</v>
      </c>
      <c r="D576" s="2" t="s">
        <v>17</v>
      </c>
      <c r="E576" s="2">
        <v>32590</v>
      </c>
      <c r="F576" t="s">
        <v>3521</v>
      </c>
    </row>
    <row r="577" spans="1:6" x14ac:dyDescent="0.25">
      <c r="A577" s="2" t="s">
        <v>2201</v>
      </c>
      <c r="B577" s="2" t="s">
        <v>2202</v>
      </c>
      <c r="C577" s="2" t="s">
        <v>25</v>
      </c>
      <c r="D577" s="2" t="s">
        <v>17</v>
      </c>
      <c r="E577" s="2">
        <v>90035</v>
      </c>
      <c r="F577" t="s">
        <v>3522</v>
      </c>
    </row>
    <row r="578" spans="1:6" x14ac:dyDescent="0.25">
      <c r="A578" s="2" t="s">
        <v>2204</v>
      </c>
      <c r="B578" s="2" t="s">
        <v>2205</v>
      </c>
      <c r="C578" s="2" t="s">
        <v>29</v>
      </c>
      <c r="D578" s="2" t="s">
        <v>17</v>
      </c>
      <c r="E578" s="2">
        <v>27705</v>
      </c>
      <c r="F578" t="s">
        <v>3522</v>
      </c>
    </row>
    <row r="579" spans="1:6" x14ac:dyDescent="0.25">
      <c r="A579" s="2" t="s">
        <v>2207</v>
      </c>
      <c r="B579" s="2" t="s">
        <v>2208</v>
      </c>
      <c r="C579" s="2" t="s">
        <v>178</v>
      </c>
      <c r="D579" s="2" t="s">
        <v>26</v>
      </c>
      <c r="E579" s="2" t="s">
        <v>190</v>
      </c>
      <c r="F579" t="s">
        <v>3522</v>
      </c>
    </row>
    <row r="580" spans="1:6" x14ac:dyDescent="0.25">
      <c r="A580" s="2" t="s">
        <v>2210</v>
      </c>
      <c r="B580" s="2" t="s">
        <v>2211</v>
      </c>
      <c r="C580" s="2" t="s">
        <v>410</v>
      </c>
      <c r="D580" s="2" t="s">
        <v>314</v>
      </c>
      <c r="E580" s="2" t="s">
        <v>411</v>
      </c>
      <c r="F580" t="s">
        <v>3522</v>
      </c>
    </row>
    <row r="581" spans="1:6" x14ac:dyDescent="0.25">
      <c r="A581" s="2" t="s">
        <v>2212</v>
      </c>
      <c r="B581" s="2" t="s">
        <v>2213</v>
      </c>
      <c r="C581" s="2" t="s">
        <v>2160</v>
      </c>
      <c r="D581" s="2" t="s">
        <v>314</v>
      </c>
      <c r="E581" s="2" t="s">
        <v>394</v>
      </c>
      <c r="F581" t="s">
        <v>3522</v>
      </c>
    </row>
    <row r="582" spans="1:6" x14ac:dyDescent="0.25">
      <c r="A582" s="2" t="s">
        <v>2215</v>
      </c>
      <c r="B582" s="2" t="s">
        <v>2216</v>
      </c>
      <c r="C582" s="2" t="s">
        <v>144</v>
      </c>
      <c r="D582" s="2" t="s">
        <v>17</v>
      </c>
      <c r="E582" s="2">
        <v>90605</v>
      </c>
      <c r="F582" t="s">
        <v>3521</v>
      </c>
    </row>
    <row r="583" spans="1:6" x14ac:dyDescent="0.25">
      <c r="A583" s="2" t="s">
        <v>2218</v>
      </c>
      <c r="B583" s="2" t="s">
        <v>2219</v>
      </c>
      <c r="C583" s="2" t="s">
        <v>142</v>
      </c>
      <c r="D583" s="2" t="s">
        <v>26</v>
      </c>
      <c r="E583" s="2" t="s">
        <v>143</v>
      </c>
      <c r="F583" t="s">
        <v>3521</v>
      </c>
    </row>
    <row r="584" spans="1:6" x14ac:dyDescent="0.25">
      <c r="A584" s="2" t="s">
        <v>2221</v>
      </c>
      <c r="B584" s="2" t="s">
        <v>2222</v>
      </c>
      <c r="C584" s="2" t="s">
        <v>36</v>
      </c>
      <c r="D584" s="2" t="s">
        <v>17</v>
      </c>
      <c r="E584" s="2">
        <v>23237</v>
      </c>
      <c r="F584" t="s">
        <v>3522</v>
      </c>
    </row>
    <row r="585" spans="1:6" x14ac:dyDescent="0.25">
      <c r="A585" s="2" t="s">
        <v>2224</v>
      </c>
      <c r="B585" s="2" t="s">
        <v>2225</v>
      </c>
      <c r="C585" s="2" t="s">
        <v>32</v>
      </c>
      <c r="D585" s="2" t="s">
        <v>17</v>
      </c>
      <c r="E585" s="2">
        <v>20167</v>
      </c>
      <c r="F585" t="s">
        <v>3521</v>
      </c>
    </row>
    <row r="586" spans="1:6" x14ac:dyDescent="0.25">
      <c r="A586" s="2" t="s">
        <v>2227</v>
      </c>
      <c r="B586" s="2" t="s">
        <v>2228</v>
      </c>
      <c r="C586" s="2" t="s">
        <v>348</v>
      </c>
      <c r="D586" s="2" t="s">
        <v>17</v>
      </c>
      <c r="E586" s="2">
        <v>89706</v>
      </c>
      <c r="F586" t="s">
        <v>3522</v>
      </c>
    </row>
    <row r="587" spans="1:6" x14ac:dyDescent="0.25">
      <c r="A587" s="2" t="s">
        <v>2230</v>
      </c>
      <c r="B587" s="2" t="s">
        <v>2231</v>
      </c>
      <c r="C587" s="2" t="s">
        <v>356</v>
      </c>
      <c r="D587" s="2" t="s">
        <v>314</v>
      </c>
      <c r="E587" s="2" t="s">
        <v>357</v>
      </c>
      <c r="F587" t="s">
        <v>3521</v>
      </c>
    </row>
    <row r="588" spans="1:6" x14ac:dyDescent="0.25">
      <c r="A588" s="2" t="s">
        <v>2233</v>
      </c>
      <c r="B588" s="2" t="s">
        <v>2234</v>
      </c>
      <c r="C588" s="2" t="s">
        <v>171</v>
      </c>
      <c r="D588" s="2" t="s">
        <v>17</v>
      </c>
      <c r="E588" s="2">
        <v>55123</v>
      </c>
      <c r="F588" t="s">
        <v>3522</v>
      </c>
    </row>
    <row r="589" spans="1:6" x14ac:dyDescent="0.25">
      <c r="A589" s="2" t="s">
        <v>2236</v>
      </c>
      <c r="B589" s="2" t="s">
        <v>2237</v>
      </c>
      <c r="C589" s="2" t="s">
        <v>221</v>
      </c>
      <c r="D589" s="2" t="s">
        <v>17</v>
      </c>
      <c r="E589" s="2">
        <v>35895</v>
      </c>
      <c r="F589" t="s">
        <v>3521</v>
      </c>
    </row>
    <row r="590" spans="1:6" x14ac:dyDescent="0.25">
      <c r="A590" s="2" t="s">
        <v>2239</v>
      </c>
      <c r="B590" s="2" t="s">
        <v>2240</v>
      </c>
      <c r="C590" s="2" t="s">
        <v>48</v>
      </c>
      <c r="D590" s="2" t="s">
        <v>17</v>
      </c>
      <c r="E590" s="2">
        <v>88553</v>
      </c>
      <c r="F590" t="s">
        <v>3521</v>
      </c>
    </row>
    <row r="591" spans="1:6" x14ac:dyDescent="0.25">
      <c r="A591" s="2" t="s">
        <v>2242</v>
      </c>
      <c r="B591" s="2" t="s">
        <v>2243</v>
      </c>
      <c r="C591" s="2" t="s">
        <v>60</v>
      </c>
      <c r="D591" s="2" t="s">
        <v>17</v>
      </c>
      <c r="E591" s="2">
        <v>30033</v>
      </c>
      <c r="F591" t="s">
        <v>3522</v>
      </c>
    </row>
    <row r="592" spans="1:6" x14ac:dyDescent="0.25">
      <c r="A592" s="2" t="s">
        <v>2245</v>
      </c>
      <c r="B592" s="2" t="s">
        <v>2246</v>
      </c>
      <c r="C592" s="2" t="s">
        <v>159</v>
      </c>
      <c r="D592" s="2" t="s">
        <v>17</v>
      </c>
      <c r="E592" s="2">
        <v>92668</v>
      </c>
      <c r="F592" t="s">
        <v>3521</v>
      </c>
    </row>
    <row r="593" spans="1:6" x14ac:dyDescent="0.25">
      <c r="A593" s="2" t="s">
        <v>2248</v>
      </c>
      <c r="B593" s="2" t="s">
        <v>2249</v>
      </c>
      <c r="C593" s="2" t="s">
        <v>23</v>
      </c>
      <c r="D593" s="2" t="s">
        <v>17</v>
      </c>
      <c r="E593" s="2">
        <v>92648</v>
      </c>
      <c r="F593" t="s">
        <v>3521</v>
      </c>
    </row>
    <row r="594" spans="1:6" x14ac:dyDescent="0.25">
      <c r="A594" s="2" t="s">
        <v>2251</v>
      </c>
      <c r="B594" s="2" t="s">
        <v>2252</v>
      </c>
      <c r="C594" s="2" t="s">
        <v>43</v>
      </c>
      <c r="D594" s="2" t="s">
        <v>17</v>
      </c>
      <c r="E594" s="2">
        <v>53285</v>
      </c>
      <c r="F594" t="s">
        <v>3522</v>
      </c>
    </row>
    <row r="595" spans="1:6" x14ac:dyDescent="0.25">
      <c r="A595" s="2" t="s">
        <v>2254</v>
      </c>
      <c r="B595" s="2" t="s">
        <v>2255</v>
      </c>
      <c r="C595" s="2" t="s">
        <v>79</v>
      </c>
      <c r="D595" s="2" t="s">
        <v>26</v>
      </c>
      <c r="E595" s="2" t="s">
        <v>256</v>
      </c>
      <c r="F595" t="s">
        <v>3521</v>
      </c>
    </row>
    <row r="596" spans="1:6" x14ac:dyDescent="0.25">
      <c r="A596" s="2" t="s">
        <v>2257</v>
      </c>
      <c r="B596" s="2" t="s">
        <v>2258</v>
      </c>
      <c r="C596" s="2" t="s">
        <v>63</v>
      </c>
      <c r="D596" s="2" t="s">
        <v>17</v>
      </c>
      <c r="E596" s="2">
        <v>37416</v>
      </c>
      <c r="F596" t="s">
        <v>3522</v>
      </c>
    </row>
    <row r="597" spans="1:6" x14ac:dyDescent="0.25">
      <c r="A597" s="2" t="s">
        <v>2260</v>
      </c>
      <c r="B597" s="2" t="s">
        <v>2261</v>
      </c>
      <c r="C597" s="2" t="s">
        <v>304</v>
      </c>
      <c r="D597" s="2" t="s">
        <v>26</v>
      </c>
      <c r="E597" s="2" t="s">
        <v>305</v>
      </c>
      <c r="F597" t="s">
        <v>3522</v>
      </c>
    </row>
    <row r="598" spans="1:6" x14ac:dyDescent="0.25">
      <c r="A598" s="2" t="s">
        <v>2263</v>
      </c>
      <c r="B598" s="2" t="s">
        <v>2264</v>
      </c>
      <c r="C598" s="2" t="s">
        <v>37</v>
      </c>
      <c r="D598" s="2" t="s">
        <v>17</v>
      </c>
      <c r="E598" s="2">
        <v>43268</v>
      </c>
      <c r="F598" t="s">
        <v>3522</v>
      </c>
    </row>
    <row r="599" spans="1:6" x14ac:dyDescent="0.25">
      <c r="A599" s="2" t="s">
        <v>2266</v>
      </c>
      <c r="B599" s="2" t="s">
        <v>2267</v>
      </c>
      <c r="C599" s="2" t="s">
        <v>85</v>
      </c>
      <c r="D599" s="2" t="s">
        <v>17</v>
      </c>
      <c r="E599" s="2">
        <v>91186</v>
      </c>
      <c r="F599" t="s">
        <v>3521</v>
      </c>
    </row>
    <row r="600" spans="1:6" x14ac:dyDescent="0.25">
      <c r="A600" s="2" t="s">
        <v>2269</v>
      </c>
      <c r="B600" s="2" t="s">
        <v>2270</v>
      </c>
      <c r="C600" s="2" t="s">
        <v>148</v>
      </c>
      <c r="D600" s="2" t="s">
        <v>17</v>
      </c>
      <c r="E600" s="2">
        <v>94159</v>
      </c>
      <c r="F600" t="s">
        <v>3521</v>
      </c>
    </row>
    <row r="601" spans="1:6" x14ac:dyDescent="0.25">
      <c r="A601" s="2" t="s">
        <v>2272</v>
      </c>
      <c r="B601" s="2" t="s">
        <v>2273</v>
      </c>
      <c r="C601" s="2" t="s">
        <v>173</v>
      </c>
      <c r="D601" s="2" t="s">
        <v>17</v>
      </c>
      <c r="E601" s="2">
        <v>71137</v>
      </c>
      <c r="F601" t="s">
        <v>3521</v>
      </c>
    </row>
    <row r="602" spans="1:6" x14ac:dyDescent="0.25">
      <c r="A602" s="2" t="s">
        <v>2275</v>
      </c>
      <c r="B602" s="2" t="s">
        <v>2276</v>
      </c>
      <c r="C602" s="2" t="s">
        <v>44</v>
      </c>
      <c r="D602" s="2" t="s">
        <v>17</v>
      </c>
      <c r="E602" s="2">
        <v>19141</v>
      </c>
      <c r="F602" t="s">
        <v>3522</v>
      </c>
    </row>
    <row r="603" spans="1:6" x14ac:dyDescent="0.25">
      <c r="A603" s="2" t="s">
        <v>2278</v>
      </c>
      <c r="B603" s="2" t="s">
        <v>2279</v>
      </c>
      <c r="C603" s="2" t="s">
        <v>267</v>
      </c>
      <c r="D603" s="2" t="s">
        <v>17</v>
      </c>
      <c r="E603" s="2">
        <v>41905</v>
      </c>
      <c r="F603" t="s">
        <v>3521</v>
      </c>
    </row>
    <row r="604" spans="1:6" x14ac:dyDescent="0.25">
      <c r="A604" s="2" t="s">
        <v>2281</v>
      </c>
      <c r="B604" s="2" t="s">
        <v>2282</v>
      </c>
      <c r="C604" s="2" t="s">
        <v>258</v>
      </c>
      <c r="D604" s="2" t="s">
        <v>17</v>
      </c>
      <c r="E604" s="2">
        <v>43666</v>
      </c>
      <c r="F604" t="s">
        <v>3521</v>
      </c>
    </row>
    <row r="605" spans="1:6" x14ac:dyDescent="0.25">
      <c r="A605" s="2" t="s">
        <v>2284</v>
      </c>
      <c r="B605" s="2" t="s">
        <v>2285</v>
      </c>
      <c r="C605" s="2" t="s">
        <v>76</v>
      </c>
      <c r="D605" s="2" t="s">
        <v>17</v>
      </c>
      <c r="E605" s="2">
        <v>80945</v>
      </c>
      <c r="F605" t="s">
        <v>3522</v>
      </c>
    </row>
    <row r="606" spans="1:6" x14ac:dyDescent="0.25">
      <c r="A606" s="2" t="s">
        <v>2287</v>
      </c>
      <c r="B606" s="2" t="s">
        <v>2288</v>
      </c>
      <c r="C606" s="2" t="s">
        <v>376</v>
      </c>
      <c r="D606" s="2" t="s">
        <v>314</v>
      </c>
      <c r="E606" s="2" t="s">
        <v>377</v>
      </c>
      <c r="F606" t="s">
        <v>3522</v>
      </c>
    </row>
    <row r="607" spans="1:6" x14ac:dyDescent="0.25">
      <c r="A607" s="2" t="s">
        <v>2290</v>
      </c>
      <c r="B607" s="2" t="s">
        <v>2291</v>
      </c>
      <c r="C607" s="2" t="s">
        <v>106</v>
      </c>
      <c r="D607" s="2" t="s">
        <v>17</v>
      </c>
      <c r="E607" s="2">
        <v>15274</v>
      </c>
      <c r="F607" t="s">
        <v>3521</v>
      </c>
    </row>
    <row r="608" spans="1:6" x14ac:dyDescent="0.25">
      <c r="A608" s="2" t="s">
        <v>2293</v>
      </c>
      <c r="B608" s="2" t="s">
        <v>2294</v>
      </c>
      <c r="C608" s="2" t="s">
        <v>27</v>
      </c>
      <c r="D608" s="2" t="s">
        <v>17</v>
      </c>
      <c r="E608" s="2">
        <v>33411</v>
      </c>
      <c r="F608" t="s">
        <v>3522</v>
      </c>
    </row>
    <row r="609" spans="1:6" x14ac:dyDescent="0.25">
      <c r="A609" s="2" t="s">
        <v>2296</v>
      </c>
      <c r="B609" s="2" t="s">
        <v>2297</v>
      </c>
      <c r="C609" s="2" t="s">
        <v>173</v>
      </c>
      <c r="D609" s="2" t="s">
        <v>17</v>
      </c>
      <c r="E609" s="2">
        <v>71115</v>
      </c>
      <c r="F609" t="s">
        <v>3521</v>
      </c>
    </row>
    <row r="610" spans="1:6" x14ac:dyDescent="0.25">
      <c r="A610" s="2" t="s">
        <v>2299</v>
      </c>
      <c r="B610" s="2" t="s">
        <v>2300</v>
      </c>
      <c r="C610" s="2" t="s">
        <v>253</v>
      </c>
      <c r="D610" s="2" t="s">
        <v>17</v>
      </c>
      <c r="E610" s="2">
        <v>44105</v>
      </c>
      <c r="F610" t="s">
        <v>3522</v>
      </c>
    </row>
    <row r="611" spans="1:6" x14ac:dyDescent="0.25">
      <c r="A611" s="2" t="s">
        <v>2302</v>
      </c>
      <c r="B611" s="2" t="s">
        <v>2303</v>
      </c>
      <c r="C611" s="2" t="s">
        <v>43</v>
      </c>
      <c r="D611" s="2" t="s">
        <v>17</v>
      </c>
      <c r="E611" s="2">
        <v>53234</v>
      </c>
      <c r="F611" t="s">
        <v>3521</v>
      </c>
    </row>
    <row r="612" spans="1:6" x14ac:dyDescent="0.25">
      <c r="A612" s="2" t="s">
        <v>2305</v>
      </c>
      <c r="B612" s="2" t="s">
        <v>2306</v>
      </c>
      <c r="C612" s="2" t="s">
        <v>269</v>
      </c>
      <c r="D612" s="2" t="s">
        <v>17</v>
      </c>
      <c r="E612" s="2">
        <v>33345</v>
      </c>
      <c r="F612" t="s">
        <v>3522</v>
      </c>
    </row>
    <row r="613" spans="1:6" x14ac:dyDescent="0.25">
      <c r="A613" s="2" t="s">
        <v>2308</v>
      </c>
      <c r="B613" s="2" t="s">
        <v>2309</v>
      </c>
      <c r="C613" s="2" t="s">
        <v>173</v>
      </c>
      <c r="D613" s="2" t="s">
        <v>17</v>
      </c>
      <c r="E613" s="2">
        <v>71105</v>
      </c>
      <c r="F613" t="s">
        <v>3522</v>
      </c>
    </row>
    <row r="614" spans="1:6" x14ac:dyDescent="0.25">
      <c r="A614" s="2" t="s">
        <v>2311</v>
      </c>
      <c r="B614" s="2" t="s">
        <v>2312</v>
      </c>
      <c r="C614" s="2" t="s">
        <v>287</v>
      </c>
      <c r="D614" s="2" t="s">
        <v>314</v>
      </c>
      <c r="E614" s="2" t="s">
        <v>440</v>
      </c>
      <c r="F614" t="s">
        <v>3522</v>
      </c>
    </row>
    <row r="615" spans="1:6" x14ac:dyDescent="0.25">
      <c r="A615" s="2" t="s">
        <v>2314</v>
      </c>
      <c r="B615" s="2" t="s">
        <v>2315</v>
      </c>
      <c r="C615" s="2" t="s">
        <v>129</v>
      </c>
      <c r="D615" s="2" t="s">
        <v>17</v>
      </c>
      <c r="E615" s="2">
        <v>94207</v>
      </c>
      <c r="F615" t="s">
        <v>3522</v>
      </c>
    </row>
    <row r="616" spans="1:6" x14ac:dyDescent="0.25">
      <c r="A616" s="2" t="s">
        <v>2317</v>
      </c>
      <c r="B616" s="2" t="s">
        <v>2318</v>
      </c>
      <c r="C616" s="2" t="s">
        <v>128</v>
      </c>
      <c r="D616" s="2" t="s">
        <v>17</v>
      </c>
      <c r="E616" s="2">
        <v>37240</v>
      </c>
      <c r="F616" t="s">
        <v>3522</v>
      </c>
    </row>
    <row r="617" spans="1:6" x14ac:dyDescent="0.25">
      <c r="A617" s="2" t="s">
        <v>2320</v>
      </c>
      <c r="B617" s="2" t="s">
        <v>2321</v>
      </c>
      <c r="C617" s="2" t="s">
        <v>95</v>
      </c>
      <c r="D617" s="2" t="s">
        <v>17</v>
      </c>
      <c r="E617" s="2">
        <v>58122</v>
      </c>
      <c r="F617" t="s">
        <v>3521</v>
      </c>
    </row>
    <row r="618" spans="1:6" x14ac:dyDescent="0.25">
      <c r="A618" s="2" t="s">
        <v>2323</v>
      </c>
      <c r="B618" s="2" t="s">
        <v>2324</v>
      </c>
      <c r="C618" s="2" t="s">
        <v>52</v>
      </c>
      <c r="D618" s="2" t="s">
        <v>26</v>
      </c>
      <c r="E618" s="2" t="s">
        <v>53</v>
      </c>
      <c r="F618" t="s">
        <v>3522</v>
      </c>
    </row>
    <row r="619" spans="1:6" x14ac:dyDescent="0.25">
      <c r="A619" s="2" t="s">
        <v>2326</v>
      </c>
      <c r="B619" s="2" t="s">
        <v>2327</v>
      </c>
      <c r="C619" s="2" t="s">
        <v>88</v>
      </c>
      <c r="D619" s="2" t="s">
        <v>17</v>
      </c>
      <c r="E619" s="2">
        <v>74184</v>
      </c>
      <c r="F619" t="s">
        <v>3522</v>
      </c>
    </row>
    <row r="620" spans="1:6" x14ac:dyDescent="0.25">
      <c r="A620" s="2" t="s">
        <v>2329</v>
      </c>
      <c r="B620" s="2" t="s">
        <v>2330</v>
      </c>
      <c r="C620" s="2" t="s">
        <v>55</v>
      </c>
      <c r="D620" s="2" t="s">
        <v>17</v>
      </c>
      <c r="E620" s="2">
        <v>10045</v>
      </c>
      <c r="F620" t="s">
        <v>3521</v>
      </c>
    </row>
    <row r="621" spans="1:6" x14ac:dyDescent="0.25">
      <c r="A621" s="2" t="s">
        <v>2332</v>
      </c>
      <c r="B621" s="2" t="s">
        <v>2333</v>
      </c>
      <c r="C621" s="2" t="s">
        <v>51</v>
      </c>
      <c r="D621" s="2" t="s">
        <v>17</v>
      </c>
      <c r="E621" s="2">
        <v>34642</v>
      </c>
      <c r="F621" t="s">
        <v>3521</v>
      </c>
    </row>
    <row r="622" spans="1:6" x14ac:dyDescent="0.25">
      <c r="A622" s="2" t="s">
        <v>2335</v>
      </c>
      <c r="B622" s="2" t="s">
        <v>2336</v>
      </c>
      <c r="C622" s="2" t="s">
        <v>1811</v>
      </c>
      <c r="D622" s="2" t="s">
        <v>314</v>
      </c>
      <c r="E622" s="2" t="s">
        <v>391</v>
      </c>
      <c r="F622" t="s">
        <v>3522</v>
      </c>
    </row>
    <row r="623" spans="1:6" x14ac:dyDescent="0.25">
      <c r="A623" s="2" t="s">
        <v>2338</v>
      </c>
      <c r="B623" s="2" t="s">
        <v>2339</v>
      </c>
      <c r="C623" s="2" t="s">
        <v>187</v>
      </c>
      <c r="D623" s="2" t="s">
        <v>17</v>
      </c>
      <c r="E623" s="2">
        <v>97296</v>
      </c>
      <c r="F623" t="s">
        <v>3522</v>
      </c>
    </row>
    <row r="624" spans="1:6" x14ac:dyDescent="0.25">
      <c r="A624" s="2" t="s">
        <v>2341</v>
      </c>
      <c r="B624" s="2" t="s">
        <v>2342</v>
      </c>
      <c r="C624" s="2" t="s">
        <v>105</v>
      </c>
      <c r="D624" s="2" t="s">
        <v>17</v>
      </c>
      <c r="E624" s="2">
        <v>89115</v>
      </c>
      <c r="F624" t="s">
        <v>3522</v>
      </c>
    </row>
    <row r="625" spans="1:6" x14ac:dyDescent="0.25">
      <c r="A625" s="2" t="s">
        <v>2344</v>
      </c>
      <c r="B625" s="2" t="s">
        <v>2345</v>
      </c>
      <c r="C625" s="2" t="s">
        <v>98</v>
      </c>
      <c r="D625" s="2" t="s">
        <v>26</v>
      </c>
      <c r="E625" s="2" t="s">
        <v>99</v>
      </c>
      <c r="F625" t="s">
        <v>3522</v>
      </c>
    </row>
    <row r="626" spans="1:6" x14ac:dyDescent="0.25">
      <c r="A626" s="2" t="s">
        <v>2347</v>
      </c>
      <c r="B626" s="2" t="s">
        <v>2348</v>
      </c>
      <c r="C626" s="2" t="s">
        <v>335</v>
      </c>
      <c r="D626" s="2" t="s">
        <v>314</v>
      </c>
      <c r="E626" s="2" t="s">
        <v>336</v>
      </c>
      <c r="F626" t="s">
        <v>3521</v>
      </c>
    </row>
    <row r="627" spans="1:6" x14ac:dyDescent="0.25">
      <c r="A627" s="2" t="s">
        <v>2350</v>
      </c>
      <c r="B627" s="2" t="s">
        <v>2351</v>
      </c>
      <c r="C627" s="2" t="s">
        <v>148</v>
      </c>
      <c r="D627" s="2" t="s">
        <v>17</v>
      </c>
      <c r="E627" s="2">
        <v>94159</v>
      </c>
      <c r="F627" t="s">
        <v>3522</v>
      </c>
    </row>
    <row r="628" spans="1:6" x14ac:dyDescent="0.25">
      <c r="A628" s="2" t="s">
        <v>2353</v>
      </c>
      <c r="B628" s="2" t="s">
        <v>2354</v>
      </c>
      <c r="C628" s="2" t="s">
        <v>106</v>
      </c>
      <c r="D628" s="2" t="s">
        <v>17</v>
      </c>
      <c r="E628" s="2">
        <v>15274</v>
      </c>
      <c r="F628" t="s">
        <v>3522</v>
      </c>
    </row>
    <row r="629" spans="1:6" x14ac:dyDescent="0.25">
      <c r="A629" s="2" t="s">
        <v>2356</v>
      </c>
      <c r="B629" s="2" t="s">
        <v>2357</v>
      </c>
      <c r="C629" s="2" t="s">
        <v>61</v>
      </c>
      <c r="D629" s="2" t="s">
        <v>17</v>
      </c>
      <c r="E629" s="2">
        <v>77281</v>
      </c>
      <c r="F629" t="s">
        <v>3521</v>
      </c>
    </row>
    <row r="630" spans="1:6" x14ac:dyDescent="0.25">
      <c r="A630" s="2" t="s">
        <v>2359</v>
      </c>
      <c r="B630" s="2" t="s">
        <v>2360</v>
      </c>
      <c r="C630" s="2" t="s">
        <v>2361</v>
      </c>
      <c r="D630" s="2" t="s">
        <v>314</v>
      </c>
      <c r="E630" s="2" t="s">
        <v>412</v>
      </c>
      <c r="F630" t="s">
        <v>3521</v>
      </c>
    </row>
    <row r="631" spans="1:6" x14ac:dyDescent="0.25">
      <c r="A631" s="2" t="s">
        <v>2362</v>
      </c>
      <c r="B631" s="2" t="s">
        <v>2363</v>
      </c>
      <c r="C631" s="2" t="s">
        <v>269</v>
      </c>
      <c r="D631" s="2" t="s">
        <v>17</v>
      </c>
      <c r="E631" s="2">
        <v>33345</v>
      </c>
      <c r="F631" t="s">
        <v>3522</v>
      </c>
    </row>
    <row r="632" spans="1:6" x14ac:dyDescent="0.25">
      <c r="A632" s="2" t="s">
        <v>2364</v>
      </c>
      <c r="B632" s="2" t="s">
        <v>2365</v>
      </c>
      <c r="C632" s="2" t="s">
        <v>188</v>
      </c>
      <c r="D632" s="2" t="s">
        <v>17</v>
      </c>
      <c r="E632" s="2">
        <v>76210</v>
      </c>
      <c r="F632" t="s">
        <v>3522</v>
      </c>
    </row>
    <row r="633" spans="1:6" x14ac:dyDescent="0.25">
      <c r="A633" s="2" t="s">
        <v>2366</v>
      </c>
      <c r="B633" s="2" t="s">
        <v>2367</v>
      </c>
      <c r="C633" s="2" t="s">
        <v>484</v>
      </c>
      <c r="D633" s="2" t="s">
        <v>314</v>
      </c>
      <c r="E633" s="2" t="s">
        <v>359</v>
      </c>
      <c r="F633" t="s">
        <v>3521</v>
      </c>
    </row>
    <row r="634" spans="1:6" x14ac:dyDescent="0.25">
      <c r="A634" s="2" t="s">
        <v>2369</v>
      </c>
      <c r="B634" s="2" t="s">
        <v>2370</v>
      </c>
      <c r="C634" s="2" t="s">
        <v>25</v>
      </c>
      <c r="D634" s="2" t="s">
        <v>17</v>
      </c>
      <c r="E634" s="2">
        <v>90005</v>
      </c>
      <c r="F634" t="s">
        <v>3522</v>
      </c>
    </row>
    <row r="635" spans="1:6" x14ac:dyDescent="0.25">
      <c r="A635" s="2" t="s">
        <v>2372</v>
      </c>
      <c r="B635" s="2" t="s">
        <v>2373</v>
      </c>
      <c r="C635" s="2" t="s">
        <v>200</v>
      </c>
      <c r="D635" s="2" t="s">
        <v>17</v>
      </c>
      <c r="E635" s="2">
        <v>18706</v>
      </c>
      <c r="F635" t="s">
        <v>3522</v>
      </c>
    </row>
    <row r="636" spans="1:6" x14ac:dyDescent="0.25">
      <c r="A636" s="2" t="s">
        <v>2375</v>
      </c>
      <c r="B636" s="2" t="s">
        <v>2376</v>
      </c>
      <c r="C636" s="2" t="s">
        <v>188</v>
      </c>
      <c r="D636" s="2" t="s">
        <v>17</v>
      </c>
      <c r="E636" s="2">
        <v>76205</v>
      </c>
      <c r="F636" t="s">
        <v>3522</v>
      </c>
    </row>
    <row r="637" spans="1:6" x14ac:dyDescent="0.25">
      <c r="A637" s="2" t="s">
        <v>2378</v>
      </c>
      <c r="B637" s="2" t="s">
        <v>2379</v>
      </c>
      <c r="C637" s="2" t="s">
        <v>35</v>
      </c>
      <c r="D637" s="2" t="s">
        <v>17</v>
      </c>
      <c r="E637" s="2">
        <v>64082</v>
      </c>
      <c r="F637" t="s">
        <v>3521</v>
      </c>
    </row>
    <row r="638" spans="1:6" x14ac:dyDescent="0.25">
      <c r="A638" s="2" t="s">
        <v>2381</v>
      </c>
      <c r="B638" s="2" t="s">
        <v>2382</v>
      </c>
      <c r="C638" s="2" t="s">
        <v>86</v>
      </c>
      <c r="D638" s="2" t="s">
        <v>17</v>
      </c>
      <c r="E638" s="2">
        <v>72209</v>
      </c>
      <c r="F638" t="s">
        <v>3521</v>
      </c>
    </row>
    <row r="639" spans="1:6" x14ac:dyDescent="0.25">
      <c r="A639" s="2" t="s">
        <v>2384</v>
      </c>
      <c r="B639" s="2" t="s">
        <v>2385</v>
      </c>
      <c r="C639" s="2" t="s">
        <v>2386</v>
      </c>
      <c r="D639" s="2" t="s">
        <v>314</v>
      </c>
      <c r="E639" s="2" t="s">
        <v>320</v>
      </c>
      <c r="F639" t="s">
        <v>3521</v>
      </c>
    </row>
    <row r="640" spans="1:6" x14ac:dyDescent="0.25">
      <c r="A640" s="2" t="s">
        <v>2388</v>
      </c>
      <c r="B640" s="2" t="s">
        <v>2389</v>
      </c>
      <c r="C640" s="2" t="s">
        <v>2160</v>
      </c>
      <c r="D640" s="2" t="s">
        <v>314</v>
      </c>
      <c r="E640" s="2" t="s">
        <v>394</v>
      </c>
      <c r="F640" t="s">
        <v>3521</v>
      </c>
    </row>
    <row r="641" spans="1:6" x14ac:dyDescent="0.25">
      <c r="A641" s="2" t="s">
        <v>2391</v>
      </c>
      <c r="B641" s="2" t="s">
        <v>2392</v>
      </c>
      <c r="C641" s="2" t="s">
        <v>177</v>
      </c>
      <c r="D641" s="2" t="s">
        <v>17</v>
      </c>
      <c r="E641" s="2">
        <v>16534</v>
      </c>
      <c r="F641" t="s">
        <v>3521</v>
      </c>
    </row>
    <row r="642" spans="1:6" x14ac:dyDescent="0.25">
      <c r="A642" s="2" t="s">
        <v>2394</v>
      </c>
      <c r="B642" s="2" t="s">
        <v>2395</v>
      </c>
      <c r="C642" s="2" t="s">
        <v>278</v>
      </c>
      <c r="D642" s="2" t="s">
        <v>26</v>
      </c>
      <c r="E642" s="2" t="s">
        <v>307</v>
      </c>
      <c r="F642" t="s">
        <v>3522</v>
      </c>
    </row>
    <row r="643" spans="1:6" x14ac:dyDescent="0.25">
      <c r="A643" s="2" t="s">
        <v>2397</v>
      </c>
      <c r="B643" s="2" t="s">
        <v>2398</v>
      </c>
      <c r="C643" s="2" t="s">
        <v>106</v>
      </c>
      <c r="D643" s="2" t="s">
        <v>17</v>
      </c>
      <c r="E643" s="2">
        <v>15255</v>
      </c>
      <c r="F643" t="s">
        <v>3521</v>
      </c>
    </row>
    <row r="644" spans="1:6" x14ac:dyDescent="0.25">
      <c r="A644" s="2" t="s">
        <v>2400</v>
      </c>
      <c r="B644" s="2" t="s">
        <v>2401</v>
      </c>
      <c r="C644" s="2" t="s">
        <v>2402</v>
      </c>
      <c r="D644" s="2" t="s">
        <v>26</v>
      </c>
      <c r="E644" s="2" t="s">
        <v>2403</v>
      </c>
      <c r="F644" t="s">
        <v>3521</v>
      </c>
    </row>
    <row r="645" spans="1:6" x14ac:dyDescent="0.25">
      <c r="A645" s="2" t="s">
        <v>2405</v>
      </c>
      <c r="B645" s="2" t="s">
        <v>2406</v>
      </c>
      <c r="C645" s="2" t="s">
        <v>50</v>
      </c>
      <c r="D645" s="2" t="s">
        <v>17</v>
      </c>
      <c r="E645" s="2">
        <v>75260</v>
      </c>
      <c r="F645" t="s">
        <v>3521</v>
      </c>
    </row>
    <row r="646" spans="1:6" x14ac:dyDescent="0.25">
      <c r="A646" s="2" t="s">
        <v>2408</v>
      </c>
      <c r="B646" s="2" t="s">
        <v>2409</v>
      </c>
      <c r="C646" s="2" t="s">
        <v>90</v>
      </c>
      <c r="D646" s="2" t="s">
        <v>17</v>
      </c>
      <c r="E646" s="2">
        <v>33233</v>
      </c>
      <c r="F646" t="s">
        <v>3522</v>
      </c>
    </row>
    <row r="647" spans="1:6" x14ac:dyDescent="0.25">
      <c r="A647" s="2" t="s">
        <v>2411</v>
      </c>
      <c r="B647" s="2" t="s">
        <v>2412</v>
      </c>
      <c r="C647" s="2" t="s">
        <v>463</v>
      </c>
      <c r="D647" s="2" t="s">
        <v>17</v>
      </c>
      <c r="E647" s="2">
        <v>76905</v>
      </c>
      <c r="F647" t="s">
        <v>3521</v>
      </c>
    </row>
    <row r="648" spans="1:6" x14ac:dyDescent="0.25">
      <c r="A648" s="2" t="s">
        <v>2414</v>
      </c>
      <c r="B648" s="2" t="s">
        <v>2415</v>
      </c>
      <c r="C648" s="2" t="s">
        <v>196</v>
      </c>
      <c r="D648" s="2" t="s">
        <v>17</v>
      </c>
      <c r="E648" s="2">
        <v>12205</v>
      </c>
      <c r="F648" t="s">
        <v>3521</v>
      </c>
    </row>
    <row r="649" spans="1:6" x14ac:dyDescent="0.25">
      <c r="A649" s="2" t="s">
        <v>2417</v>
      </c>
      <c r="B649" s="2" t="s">
        <v>2418</v>
      </c>
      <c r="C649" s="2" t="s">
        <v>277</v>
      </c>
      <c r="D649" s="2" t="s">
        <v>26</v>
      </c>
      <c r="E649" s="2" t="s">
        <v>208</v>
      </c>
      <c r="F649" t="s">
        <v>3521</v>
      </c>
    </row>
    <row r="650" spans="1:6" x14ac:dyDescent="0.25">
      <c r="A650" s="2" t="s">
        <v>2420</v>
      </c>
      <c r="B650" s="2" t="s">
        <v>2421</v>
      </c>
      <c r="C650" s="2" t="s">
        <v>37</v>
      </c>
      <c r="D650" s="2" t="s">
        <v>17</v>
      </c>
      <c r="E650" s="2">
        <v>43240</v>
      </c>
      <c r="F650" t="s">
        <v>3522</v>
      </c>
    </row>
    <row r="651" spans="1:6" x14ac:dyDescent="0.25">
      <c r="A651" s="2" t="s">
        <v>2423</v>
      </c>
      <c r="B651" s="2" t="s">
        <v>2424</v>
      </c>
      <c r="C651" s="2" t="s">
        <v>350</v>
      </c>
      <c r="D651" s="2" t="s">
        <v>26</v>
      </c>
      <c r="E651" s="2" t="s">
        <v>351</v>
      </c>
      <c r="F651" t="s">
        <v>3522</v>
      </c>
    </row>
    <row r="652" spans="1:6" x14ac:dyDescent="0.25">
      <c r="A652" s="2" t="s">
        <v>2426</v>
      </c>
      <c r="B652" s="2" t="s">
        <v>2427</v>
      </c>
      <c r="C652" s="2" t="s">
        <v>151</v>
      </c>
      <c r="D652" s="2" t="s">
        <v>17</v>
      </c>
      <c r="E652" s="2">
        <v>92883</v>
      </c>
      <c r="F652" t="s">
        <v>3521</v>
      </c>
    </row>
    <row r="653" spans="1:6" x14ac:dyDescent="0.25">
      <c r="A653" s="2" t="s">
        <v>2429</v>
      </c>
      <c r="B653" s="2" t="s">
        <v>2430</v>
      </c>
      <c r="C653" s="2" t="s">
        <v>45</v>
      </c>
      <c r="D653" s="2" t="s">
        <v>17</v>
      </c>
      <c r="E653" s="2">
        <v>20436</v>
      </c>
      <c r="F653" t="s">
        <v>3522</v>
      </c>
    </row>
    <row r="654" spans="1:6" x14ac:dyDescent="0.25">
      <c r="A654" s="2" t="s">
        <v>2432</v>
      </c>
      <c r="B654" s="2" t="s">
        <v>2433</v>
      </c>
      <c r="C654" s="2" t="s">
        <v>457</v>
      </c>
      <c r="D654" s="2" t="s">
        <v>314</v>
      </c>
      <c r="E654" s="2" t="s">
        <v>326</v>
      </c>
      <c r="F654" t="s">
        <v>3522</v>
      </c>
    </row>
    <row r="655" spans="1:6" x14ac:dyDescent="0.25">
      <c r="A655" s="2" t="s">
        <v>2435</v>
      </c>
      <c r="B655" s="2" t="s">
        <v>2436</v>
      </c>
      <c r="C655" s="2" t="s">
        <v>258</v>
      </c>
      <c r="D655" s="2" t="s">
        <v>17</v>
      </c>
      <c r="E655" s="2">
        <v>43610</v>
      </c>
      <c r="F655" t="s">
        <v>3522</v>
      </c>
    </row>
    <row r="656" spans="1:6" x14ac:dyDescent="0.25">
      <c r="A656" s="2" t="s">
        <v>2438</v>
      </c>
      <c r="B656" s="2" t="s">
        <v>2439</v>
      </c>
      <c r="C656" s="2" t="s">
        <v>45</v>
      </c>
      <c r="D656" s="2" t="s">
        <v>17</v>
      </c>
      <c r="E656" s="2">
        <v>20088</v>
      </c>
      <c r="F656" t="s">
        <v>3522</v>
      </c>
    </row>
    <row r="657" spans="1:6" x14ac:dyDescent="0.25">
      <c r="A657" s="2" t="s">
        <v>2441</v>
      </c>
      <c r="B657" s="2" t="s">
        <v>2442</v>
      </c>
      <c r="C657" s="2" t="s">
        <v>184</v>
      </c>
      <c r="D657" s="2" t="s">
        <v>17</v>
      </c>
      <c r="E657" s="2">
        <v>52405</v>
      </c>
      <c r="F657" t="s">
        <v>3521</v>
      </c>
    </row>
    <row r="658" spans="1:6" x14ac:dyDescent="0.25">
      <c r="A658" s="2" t="s">
        <v>2444</v>
      </c>
      <c r="B658" s="2" t="s">
        <v>2445</v>
      </c>
      <c r="C658" s="2" t="s">
        <v>131</v>
      </c>
      <c r="D658" s="2" t="s">
        <v>17</v>
      </c>
      <c r="E658" s="2">
        <v>80045</v>
      </c>
      <c r="F658" t="s">
        <v>3522</v>
      </c>
    </row>
    <row r="659" spans="1:6" x14ac:dyDescent="0.25">
      <c r="A659" s="2" t="s">
        <v>2447</v>
      </c>
      <c r="B659" s="2" t="s">
        <v>2448</v>
      </c>
      <c r="C659" s="2" t="s">
        <v>254</v>
      </c>
      <c r="D659" s="2" t="s">
        <v>17</v>
      </c>
      <c r="E659" s="2">
        <v>94089</v>
      </c>
      <c r="F659" t="s">
        <v>3521</v>
      </c>
    </row>
    <row r="660" spans="1:6" x14ac:dyDescent="0.25">
      <c r="A660" s="2" t="s">
        <v>2450</v>
      </c>
      <c r="B660" s="2" t="s">
        <v>2451</v>
      </c>
      <c r="C660" s="2" t="s">
        <v>371</v>
      </c>
      <c r="D660" s="2" t="s">
        <v>314</v>
      </c>
      <c r="E660" s="2" t="s">
        <v>372</v>
      </c>
      <c r="F660" t="s">
        <v>3521</v>
      </c>
    </row>
    <row r="661" spans="1:6" x14ac:dyDescent="0.25">
      <c r="A661" s="2" t="s">
        <v>2453</v>
      </c>
      <c r="B661" s="2" t="s">
        <v>2454</v>
      </c>
      <c r="C661" s="2" t="s">
        <v>393</v>
      </c>
      <c r="D661" s="2" t="s">
        <v>314</v>
      </c>
      <c r="E661" s="2" t="s">
        <v>394</v>
      </c>
      <c r="F661" t="s">
        <v>3521</v>
      </c>
    </row>
    <row r="662" spans="1:6" x14ac:dyDescent="0.25">
      <c r="A662" s="2" t="s">
        <v>2456</v>
      </c>
      <c r="B662" s="2" t="s">
        <v>2457</v>
      </c>
      <c r="C662" s="2" t="s">
        <v>172</v>
      </c>
      <c r="D662" s="2" t="s">
        <v>17</v>
      </c>
      <c r="E662" s="2">
        <v>48930</v>
      </c>
      <c r="F662" t="s">
        <v>3522</v>
      </c>
    </row>
    <row r="663" spans="1:6" x14ac:dyDescent="0.25">
      <c r="A663" s="2" t="s">
        <v>2459</v>
      </c>
      <c r="B663" s="2" t="s">
        <v>2460</v>
      </c>
      <c r="C663" s="2" t="s">
        <v>61</v>
      </c>
      <c r="D663" s="2" t="s">
        <v>17</v>
      </c>
      <c r="E663" s="2">
        <v>77281</v>
      </c>
      <c r="F663" t="s">
        <v>3521</v>
      </c>
    </row>
    <row r="664" spans="1:6" x14ac:dyDescent="0.25">
      <c r="A664" s="2" t="s">
        <v>2462</v>
      </c>
      <c r="B664" s="2" t="s">
        <v>2463</v>
      </c>
      <c r="C664" s="2" t="s">
        <v>59</v>
      </c>
      <c r="D664" s="2" t="s">
        <v>17</v>
      </c>
      <c r="E664" s="2">
        <v>37131</v>
      </c>
      <c r="F664" t="s">
        <v>3522</v>
      </c>
    </row>
    <row r="665" spans="1:6" x14ac:dyDescent="0.25">
      <c r="A665" s="2" t="s">
        <v>2465</v>
      </c>
      <c r="B665" s="2" t="s">
        <v>2466</v>
      </c>
      <c r="C665" s="2" t="s">
        <v>46</v>
      </c>
      <c r="D665" s="2" t="s">
        <v>17</v>
      </c>
      <c r="E665" s="2">
        <v>25362</v>
      </c>
      <c r="F665" t="s">
        <v>3522</v>
      </c>
    </row>
    <row r="666" spans="1:6" x14ac:dyDescent="0.25">
      <c r="A666" s="2" t="s">
        <v>2468</v>
      </c>
      <c r="B666" s="2" t="s">
        <v>2469</v>
      </c>
      <c r="C666" s="2" t="s">
        <v>177</v>
      </c>
      <c r="D666" s="2" t="s">
        <v>17</v>
      </c>
      <c r="E666" s="2">
        <v>16534</v>
      </c>
      <c r="F666" t="s">
        <v>3522</v>
      </c>
    </row>
    <row r="667" spans="1:6" x14ac:dyDescent="0.25">
      <c r="A667" s="2" t="s">
        <v>2470</v>
      </c>
      <c r="B667" s="2" t="s">
        <v>2471</v>
      </c>
      <c r="C667" s="2" t="s">
        <v>91</v>
      </c>
      <c r="D667" s="2" t="s">
        <v>17</v>
      </c>
      <c r="E667" s="2">
        <v>39204</v>
      </c>
      <c r="F667" t="s">
        <v>3521</v>
      </c>
    </row>
    <row r="668" spans="1:6" x14ac:dyDescent="0.25">
      <c r="A668" s="2" t="s">
        <v>2473</v>
      </c>
      <c r="B668" s="2" t="s">
        <v>2474</v>
      </c>
      <c r="C668" s="2" t="s">
        <v>295</v>
      </c>
      <c r="D668" s="2" t="s">
        <v>17</v>
      </c>
      <c r="E668" s="2">
        <v>79491</v>
      </c>
      <c r="F668" t="s">
        <v>3522</v>
      </c>
    </row>
    <row r="669" spans="1:6" x14ac:dyDescent="0.25">
      <c r="A669" s="2" t="s">
        <v>2476</v>
      </c>
      <c r="B669" s="2" t="s">
        <v>2477</v>
      </c>
      <c r="C669" s="2" t="s">
        <v>397</v>
      </c>
      <c r="D669" s="2" t="s">
        <v>314</v>
      </c>
      <c r="E669" s="2" t="s">
        <v>398</v>
      </c>
      <c r="F669" t="s">
        <v>3522</v>
      </c>
    </row>
    <row r="670" spans="1:6" x14ac:dyDescent="0.25">
      <c r="A670" s="2" t="s">
        <v>2479</v>
      </c>
      <c r="B670" s="2" t="s">
        <v>2480</v>
      </c>
      <c r="C670" s="2" t="s">
        <v>29</v>
      </c>
      <c r="D670" s="2" t="s">
        <v>17</v>
      </c>
      <c r="E670" s="2">
        <v>27717</v>
      </c>
      <c r="F670" t="s">
        <v>3521</v>
      </c>
    </row>
    <row r="671" spans="1:6" x14ac:dyDescent="0.25">
      <c r="A671" s="2" t="s">
        <v>2482</v>
      </c>
      <c r="B671" s="2" t="s">
        <v>2483</v>
      </c>
      <c r="C671" s="2" t="s">
        <v>273</v>
      </c>
      <c r="D671" s="2" t="s">
        <v>17</v>
      </c>
      <c r="E671" s="2">
        <v>29505</v>
      </c>
      <c r="F671" t="s">
        <v>3522</v>
      </c>
    </row>
    <row r="672" spans="1:6" x14ac:dyDescent="0.25">
      <c r="A672" s="2" t="s">
        <v>2485</v>
      </c>
      <c r="B672" s="2" t="s">
        <v>2486</v>
      </c>
      <c r="C672" s="2" t="s">
        <v>77</v>
      </c>
      <c r="D672" s="2" t="s">
        <v>17</v>
      </c>
      <c r="E672" s="2">
        <v>13205</v>
      </c>
      <c r="F672" t="s">
        <v>3521</v>
      </c>
    </row>
    <row r="673" spans="1:6" x14ac:dyDescent="0.25">
      <c r="A673" s="2" t="s">
        <v>2488</v>
      </c>
      <c r="B673" s="2" t="s">
        <v>2489</v>
      </c>
      <c r="C673" s="2" t="s">
        <v>257</v>
      </c>
      <c r="D673" s="2" t="s">
        <v>17</v>
      </c>
      <c r="E673" s="2">
        <v>30245</v>
      </c>
      <c r="F673" t="s">
        <v>3522</v>
      </c>
    </row>
    <row r="674" spans="1:6" x14ac:dyDescent="0.25">
      <c r="A674" s="2" t="s">
        <v>2491</v>
      </c>
      <c r="B674" s="2" t="s">
        <v>2492</v>
      </c>
      <c r="C674" s="2" t="s">
        <v>61</v>
      </c>
      <c r="D674" s="2" t="s">
        <v>17</v>
      </c>
      <c r="E674" s="2">
        <v>77070</v>
      </c>
      <c r="F674" t="s">
        <v>3521</v>
      </c>
    </row>
    <row r="675" spans="1:6" x14ac:dyDescent="0.25">
      <c r="A675" s="2" t="s">
        <v>2494</v>
      </c>
      <c r="B675" s="2" t="s">
        <v>2495</v>
      </c>
      <c r="C675" s="2" t="s">
        <v>114</v>
      </c>
      <c r="D675" s="2" t="s">
        <v>17</v>
      </c>
      <c r="E675" s="2">
        <v>66160</v>
      </c>
      <c r="F675" t="s">
        <v>3521</v>
      </c>
    </row>
    <row r="676" spans="1:6" x14ac:dyDescent="0.25">
      <c r="A676" s="2" t="s">
        <v>2497</v>
      </c>
      <c r="B676" s="2" t="s">
        <v>2498</v>
      </c>
      <c r="C676" s="2" t="s">
        <v>392</v>
      </c>
      <c r="D676" s="2" t="s">
        <v>17</v>
      </c>
      <c r="E676" s="2">
        <v>34282</v>
      </c>
      <c r="F676" t="s">
        <v>3521</v>
      </c>
    </row>
    <row r="677" spans="1:6" x14ac:dyDescent="0.25">
      <c r="A677" s="2" t="s">
        <v>2500</v>
      </c>
      <c r="B677" s="2" t="s">
        <v>2501</v>
      </c>
      <c r="C677" s="2" t="s">
        <v>310</v>
      </c>
      <c r="D677" s="2" t="s">
        <v>17</v>
      </c>
      <c r="E677" s="2">
        <v>18105</v>
      </c>
      <c r="F677" t="s">
        <v>3521</v>
      </c>
    </row>
    <row r="678" spans="1:6" x14ac:dyDescent="0.25">
      <c r="A678" s="2" t="s">
        <v>2503</v>
      </c>
      <c r="B678" s="2" t="s">
        <v>2504</v>
      </c>
      <c r="C678" s="2" t="s">
        <v>212</v>
      </c>
      <c r="D678" s="2" t="s">
        <v>17</v>
      </c>
      <c r="E678" s="2">
        <v>23663</v>
      </c>
      <c r="F678" t="s">
        <v>3522</v>
      </c>
    </row>
    <row r="679" spans="1:6" x14ac:dyDescent="0.25">
      <c r="A679" s="2" t="s">
        <v>2506</v>
      </c>
      <c r="B679" s="2" t="s">
        <v>2507</v>
      </c>
      <c r="C679" s="2" t="s">
        <v>465</v>
      </c>
      <c r="D679" s="2" t="s">
        <v>314</v>
      </c>
      <c r="E679" s="2" t="s">
        <v>466</v>
      </c>
      <c r="F679" t="s">
        <v>3522</v>
      </c>
    </row>
    <row r="680" spans="1:6" x14ac:dyDescent="0.25">
      <c r="A680" s="2" t="s">
        <v>2509</v>
      </c>
      <c r="B680" s="2" t="s">
        <v>2510</v>
      </c>
      <c r="C680" s="2" t="s">
        <v>189</v>
      </c>
      <c r="D680" s="2" t="s">
        <v>17</v>
      </c>
      <c r="E680" s="2">
        <v>67260</v>
      </c>
      <c r="F680" t="s">
        <v>3521</v>
      </c>
    </row>
    <row r="681" spans="1:6" x14ac:dyDescent="0.25">
      <c r="A681" s="2" t="s">
        <v>2512</v>
      </c>
      <c r="B681" s="2" t="s">
        <v>2513</v>
      </c>
      <c r="C681" s="2" t="s">
        <v>277</v>
      </c>
      <c r="D681" s="2" t="s">
        <v>26</v>
      </c>
      <c r="E681" s="2" t="s">
        <v>208</v>
      </c>
      <c r="F681" t="s">
        <v>3522</v>
      </c>
    </row>
    <row r="682" spans="1:6" x14ac:dyDescent="0.25">
      <c r="A682" s="2" t="s">
        <v>2515</v>
      </c>
      <c r="B682" s="2" t="s">
        <v>2516</v>
      </c>
      <c r="C682" s="2" t="s">
        <v>168</v>
      </c>
      <c r="D682" s="2" t="s">
        <v>17</v>
      </c>
      <c r="E682" s="2">
        <v>6816</v>
      </c>
      <c r="F682" t="s">
        <v>3522</v>
      </c>
    </row>
    <row r="683" spans="1:6" x14ac:dyDescent="0.25">
      <c r="A683" s="2" t="s">
        <v>2518</v>
      </c>
      <c r="B683" s="2" t="s">
        <v>2519</v>
      </c>
      <c r="C683" s="2" t="s">
        <v>246</v>
      </c>
      <c r="D683" s="2" t="s">
        <v>26</v>
      </c>
      <c r="E683" s="2" t="s">
        <v>247</v>
      </c>
      <c r="F683" t="s">
        <v>3521</v>
      </c>
    </row>
    <row r="684" spans="1:6" x14ac:dyDescent="0.25">
      <c r="A684" s="2" t="s">
        <v>2521</v>
      </c>
      <c r="B684" s="2" t="s">
        <v>2522</v>
      </c>
      <c r="C684" s="2" t="s">
        <v>20</v>
      </c>
      <c r="D684" s="2" t="s">
        <v>17</v>
      </c>
      <c r="E684" s="2">
        <v>32209</v>
      </c>
      <c r="F684" t="s">
        <v>3521</v>
      </c>
    </row>
    <row r="685" spans="1:6" x14ac:dyDescent="0.25">
      <c r="A685" s="2" t="s">
        <v>2524</v>
      </c>
      <c r="B685" s="2" t="s">
        <v>2525</v>
      </c>
      <c r="C685" s="2" t="s">
        <v>61</v>
      </c>
      <c r="D685" s="2" t="s">
        <v>17</v>
      </c>
      <c r="E685" s="2">
        <v>77299</v>
      </c>
      <c r="F685" t="s">
        <v>3522</v>
      </c>
    </row>
    <row r="686" spans="1:6" x14ac:dyDescent="0.25">
      <c r="A686" s="2" t="s">
        <v>2527</v>
      </c>
      <c r="B686" s="2" t="s">
        <v>2528</v>
      </c>
      <c r="C686" s="2" t="s">
        <v>187</v>
      </c>
      <c r="D686" s="2" t="s">
        <v>17</v>
      </c>
      <c r="E686" s="2">
        <v>97255</v>
      </c>
      <c r="F686" t="s">
        <v>3522</v>
      </c>
    </row>
    <row r="687" spans="1:6" x14ac:dyDescent="0.25">
      <c r="A687" s="2" t="s">
        <v>2530</v>
      </c>
      <c r="B687" s="2" t="s">
        <v>2531</v>
      </c>
      <c r="C687" s="2" t="s">
        <v>85</v>
      </c>
      <c r="D687" s="2" t="s">
        <v>17</v>
      </c>
      <c r="E687" s="2">
        <v>91186</v>
      </c>
      <c r="F687" t="s">
        <v>3521</v>
      </c>
    </row>
    <row r="688" spans="1:6" x14ac:dyDescent="0.25">
      <c r="A688" s="2" t="s">
        <v>2533</v>
      </c>
      <c r="B688" s="2" t="s">
        <v>2534</v>
      </c>
      <c r="C688" s="2" t="s">
        <v>176</v>
      </c>
      <c r="D688" s="2" t="s">
        <v>17</v>
      </c>
      <c r="E688" s="2">
        <v>92725</v>
      </c>
      <c r="F688" t="s">
        <v>3521</v>
      </c>
    </row>
    <row r="689" spans="1:6" x14ac:dyDescent="0.25">
      <c r="A689" s="2" t="s">
        <v>2536</v>
      </c>
      <c r="B689" s="2" t="s">
        <v>2537</v>
      </c>
      <c r="C689" s="2" t="s">
        <v>96</v>
      </c>
      <c r="D689" s="2" t="s">
        <v>17</v>
      </c>
      <c r="E689" s="2">
        <v>95160</v>
      </c>
      <c r="F689" t="s">
        <v>3522</v>
      </c>
    </row>
    <row r="690" spans="1:6" x14ac:dyDescent="0.25">
      <c r="A690" s="2" t="s">
        <v>2539</v>
      </c>
      <c r="B690" s="2" t="s">
        <v>2540</v>
      </c>
      <c r="C690" s="2" t="s">
        <v>329</v>
      </c>
      <c r="D690" s="2" t="s">
        <v>314</v>
      </c>
      <c r="E690" s="2" t="s">
        <v>330</v>
      </c>
      <c r="F690" t="s">
        <v>3522</v>
      </c>
    </row>
    <row r="691" spans="1:6" x14ac:dyDescent="0.25">
      <c r="A691" s="2" t="s">
        <v>2542</v>
      </c>
      <c r="B691" s="2" t="s">
        <v>2543</v>
      </c>
      <c r="C691" s="2" t="s">
        <v>76</v>
      </c>
      <c r="D691" s="2" t="s">
        <v>17</v>
      </c>
      <c r="E691" s="2">
        <v>80935</v>
      </c>
      <c r="F691" t="s">
        <v>3522</v>
      </c>
    </row>
    <row r="692" spans="1:6" x14ac:dyDescent="0.25">
      <c r="A692" s="2" t="s">
        <v>2545</v>
      </c>
      <c r="B692" s="2" t="s">
        <v>2546</v>
      </c>
      <c r="C692" s="2" t="s">
        <v>258</v>
      </c>
      <c r="D692" s="2" t="s">
        <v>17</v>
      </c>
      <c r="E692" s="2">
        <v>43605</v>
      </c>
      <c r="F692" t="s">
        <v>3522</v>
      </c>
    </row>
    <row r="693" spans="1:6" x14ac:dyDescent="0.25">
      <c r="A693" s="2" t="s">
        <v>2548</v>
      </c>
      <c r="B693" s="2" t="s">
        <v>2549</v>
      </c>
      <c r="C693" s="2" t="s">
        <v>115</v>
      </c>
      <c r="D693" s="2" t="s">
        <v>17</v>
      </c>
      <c r="E693" s="2">
        <v>33436</v>
      </c>
      <c r="F693" t="s">
        <v>3521</v>
      </c>
    </row>
    <row r="694" spans="1:6" x14ac:dyDescent="0.25">
      <c r="A694" s="2" t="s">
        <v>2551</v>
      </c>
      <c r="B694" s="2" t="s">
        <v>2552</v>
      </c>
      <c r="C694" s="2" t="s">
        <v>49</v>
      </c>
      <c r="D694" s="2" t="s">
        <v>17</v>
      </c>
      <c r="E694" s="2">
        <v>45999</v>
      </c>
      <c r="F694" t="s">
        <v>3522</v>
      </c>
    </row>
    <row r="695" spans="1:6" x14ac:dyDescent="0.25">
      <c r="A695" s="2" t="s">
        <v>2554</v>
      </c>
      <c r="B695" s="2" t="s">
        <v>2555</v>
      </c>
      <c r="C695" s="2" t="s">
        <v>102</v>
      </c>
      <c r="D695" s="2" t="s">
        <v>17</v>
      </c>
      <c r="E695" s="2">
        <v>63121</v>
      </c>
      <c r="F695" t="s">
        <v>3521</v>
      </c>
    </row>
    <row r="696" spans="1:6" x14ac:dyDescent="0.25">
      <c r="A696" s="2" t="s">
        <v>2557</v>
      </c>
      <c r="B696" s="2" t="s">
        <v>2558</v>
      </c>
      <c r="C696" s="2" t="s">
        <v>241</v>
      </c>
      <c r="D696" s="2" t="s">
        <v>17</v>
      </c>
      <c r="E696" s="2">
        <v>10705</v>
      </c>
      <c r="F696" t="s">
        <v>3522</v>
      </c>
    </row>
    <row r="697" spans="1:6" x14ac:dyDescent="0.25">
      <c r="A697" s="2" t="s">
        <v>2560</v>
      </c>
      <c r="B697" s="2" t="s">
        <v>2561</v>
      </c>
      <c r="C697" s="2" t="s">
        <v>18</v>
      </c>
      <c r="D697" s="2" t="s">
        <v>17</v>
      </c>
      <c r="E697" s="2">
        <v>21290</v>
      </c>
      <c r="F697" t="s">
        <v>3521</v>
      </c>
    </row>
    <row r="698" spans="1:6" x14ac:dyDescent="0.25">
      <c r="A698" s="2" t="s">
        <v>2563</v>
      </c>
      <c r="B698" s="2" t="s">
        <v>2564</v>
      </c>
      <c r="C698" s="2" t="s">
        <v>20</v>
      </c>
      <c r="D698" s="2" t="s">
        <v>17</v>
      </c>
      <c r="E698" s="2">
        <v>32230</v>
      </c>
      <c r="F698" t="s">
        <v>3522</v>
      </c>
    </row>
    <row r="699" spans="1:6" x14ac:dyDescent="0.25">
      <c r="A699" s="2" t="s">
        <v>2566</v>
      </c>
      <c r="B699" s="2" t="s">
        <v>2567</v>
      </c>
      <c r="C699" s="2" t="s">
        <v>387</v>
      </c>
      <c r="D699" s="2" t="s">
        <v>314</v>
      </c>
      <c r="E699" s="2" t="s">
        <v>388</v>
      </c>
      <c r="F699" t="s">
        <v>3522</v>
      </c>
    </row>
    <row r="700" spans="1:6" x14ac:dyDescent="0.25">
      <c r="A700" s="2" t="s">
        <v>2569</v>
      </c>
      <c r="B700" s="2" t="s">
        <v>2570</v>
      </c>
      <c r="C700" s="2" t="s">
        <v>287</v>
      </c>
      <c r="D700" s="2" t="s">
        <v>314</v>
      </c>
      <c r="E700" s="2" t="s">
        <v>440</v>
      </c>
      <c r="F700" t="s">
        <v>3522</v>
      </c>
    </row>
    <row r="701" spans="1:6" x14ac:dyDescent="0.25">
      <c r="A701" s="2" t="s">
        <v>2572</v>
      </c>
      <c r="B701" s="2" t="s">
        <v>2573</v>
      </c>
      <c r="C701" s="2" t="s">
        <v>90</v>
      </c>
      <c r="D701" s="2" t="s">
        <v>17</v>
      </c>
      <c r="E701" s="2">
        <v>33196</v>
      </c>
      <c r="F701" t="s">
        <v>3521</v>
      </c>
    </row>
    <row r="702" spans="1:6" x14ac:dyDescent="0.25">
      <c r="A702" s="2" t="s">
        <v>2575</v>
      </c>
      <c r="B702" s="2" t="s">
        <v>2576</v>
      </c>
      <c r="C702" s="2" t="s">
        <v>148</v>
      </c>
      <c r="D702" s="2" t="s">
        <v>17</v>
      </c>
      <c r="E702" s="2">
        <v>94121</v>
      </c>
      <c r="F702" t="s">
        <v>3522</v>
      </c>
    </row>
    <row r="703" spans="1:6" x14ac:dyDescent="0.25">
      <c r="A703" s="2" t="s">
        <v>2578</v>
      </c>
      <c r="B703" s="2" t="s">
        <v>2579</v>
      </c>
      <c r="C703" s="2" t="s">
        <v>386</v>
      </c>
      <c r="D703" s="2" t="s">
        <v>314</v>
      </c>
      <c r="E703" s="2" t="s">
        <v>344</v>
      </c>
      <c r="F703" t="s">
        <v>3521</v>
      </c>
    </row>
    <row r="704" spans="1:6" x14ac:dyDescent="0.25">
      <c r="A704" s="2" t="s">
        <v>2581</v>
      </c>
      <c r="B704" s="2" t="s">
        <v>2582</v>
      </c>
      <c r="C704" s="2" t="s">
        <v>209</v>
      </c>
      <c r="D704" s="2" t="s">
        <v>17</v>
      </c>
      <c r="E704" s="2">
        <v>33982</v>
      </c>
      <c r="F704" t="s">
        <v>3521</v>
      </c>
    </row>
    <row r="705" spans="1:6" x14ac:dyDescent="0.25">
      <c r="A705" s="2" t="s">
        <v>2584</v>
      </c>
      <c r="B705" s="2" t="s">
        <v>2585</v>
      </c>
      <c r="C705" s="2" t="s">
        <v>904</v>
      </c>
      <c r="D705" s="2" t="s">
        <v>314</v>
      </c>
      <c r="E705" s="2" t="s">
        <v>440</v>
      </c>
      <c r="F705" t="s">
        <v>3521</v>
      </c>
    </row>
    <row r="706" spans="1:6" x14ac:dyDescent="0.25">
      <c r="A706" s="2" t="s">
        <v>2587</v>
      </c>
      <c r="B706" s="2" t="s">
        <v>2588</v>
      </c>
      <c r="C706" s="2" t="s">
        <v>55</v>
      </c>
      <c r="D706" s="2" t="s">
        <v>17</v>
      </c>
      <c r="E706" s="2">
        <v>10125</v>
      </c>
      <c r="F706" t="s">
        <v>3521</v>
      </c>
    </row>
    <row r="707" spans="1:6" x14ac:dyDescent="0.25">
      <c r="A707" s="2" t="s">
        <v>2590</v>
      </c>
      <c r="B707" s="2" t="s">
        <v>2591</v>
      </c>
      <c r="C707" s="2" t="s">
        <v>293</v>
      </c>
      <c r="D707" s="2" t="s">
        <v>17</v>
      </c>
      <c r="E707" s="2">
        <v>29305</v>
      </c>
      <c r="F707" t="s">
        <v>3522</v>
      </c>
    </row>
    <row r="708" spans="1:6" x14ac:dyDescent="0.25">
      <c r="A708" s="2" t="s">
        <v>2593</v>
      </c>
      <c r="B708" s="2" t="s">
        <v>2594</v>
      </c>
      <c r="C708" s="2" t="s">
        <v>206</v>
      </c>
      <c r="D708" s="2" t="s">
        <v>17</v>
      </c>
      <c r="E708" s="2">
        <v>93305</v>
      </c>
      <c r="F708" t="s">
        <v>3522</v>
      </c>
    </row>
    <row r="709" spans="1:6" x14ac:dyDescent="0.25">
      <c r="A709" s="2" t="s">
        <v>2596</v>
      </c>
      <c r="B709" s="2" t="s">
        <v>2597</v>
      </c>
      <c r="C709" s="2" t="s">
        <v>378</v>
      </c>
      <c r="D709" s="2" t="s">
        <v>314</v>
      </c>
      <c r="E709" s="2" t="s">
        <v>379</v>
      </c>
      <c r="F709" t="s">
        <v>3522</v>
      </c>
    </row>
    <row r="710" spans="1:6" x14ac:dyDescent="0.25">
      <c r="A710" s="2" t="s">
        <v>2599</v>
      </c>
      <c r="B710" s="2" t="s">
        <v>2600</v>
      </c>
      <c r="C710" s="2" t="s">
        <v>102</v>
      </c>
      <c r="D710" s="2" t="s">
        <v>17</v>
      </c>
      <c r="E710" s="2">
        <v>63169</v>
      </c>
      <c r="F710" t="s">
        <v>3521</v>
      </c>
    </row>
    <row r="711" spans="1:6" x14ac:dyDescent="0.25">
      <c r="A711" s="2" t="s">
        <v>2602</v>
      </c>
      <c r="B711" s="2" t="s">
        <v>2603</v>
      </c>
      <c r="C711" s="2" t="s">
        <v>64</v>
      </c>
      <c r="D711" s="2" t="s">
        <v>17</v>
      </c>
      <c r="E711" s="2">
        <v>46896</v>
      </c>
      <c r="F711" t="s">
        <v>3521</v>
      </c>
    </row>
    <row r="712" spans="1:6" x14ac:dyDescent="0.25">
      <c r="A712" s="2" t="s">
        <v>2605</v>
      </c>
      <c r="B712" s="2" t="s">
        <v>2606</v>
      </c>
      <c r="C712" s="2" t="s">
        <v>198</v>
      </c>
      <c r="D712" s="2" t="s">
        <v>17</v>
      </c>
      <c r="E712" s="2">
        <v>55564</v>
      </c>
      <c r="F712" t="s">
        <v>3522</v>
      </c>
    </row>
    <row r="713" spans="1:6" x14ac:dyDescent="0.25">
      <c r="A713" s="2" t="s">
        <v>2608</v>
      </c>
      <c r="B713" s="2" t="s">
        <v>2609</v>
      </c>
      <c r="C713" s="2" t="s">
        <v>2610</v>
      </c>
      <c r="D713" s="2" t="s">
        <v>17</v>
      </c>
      <c r="E713" s="2">
        <v>72905</v>
      </c>
      <c r="F713" t="s">
        <v>3522</v>
      </c>
    </row>
    <row r="714" spans="1:6" x14ac:dyDescent="0.25">
      <c r="A714" s="2" t="s">
        <v>2612</v>
      </c>
      <c r="B714" s="2" t="s">
        <v>2613</v>
      </c>
      <c r="C714" s="2" t="s">
        <v>284</v>
      </c>
      <c r="D714" s="2" t="s">
        <v>26</v>
      </c>
      <c r="E714" s="2" t="s">
        <v>285</v>
      </c>
      <c r="F714" t="s">
        <v>3522</v>
      </c>
    </row>
    <row r="715" spans="1:6" x14ac:dyDescent="0.25">
      <c r="A715" s="2" t="s">
        <v>2615</v>
      </c>
      <c r="B715" s="2" t="s">
        <v>2616</v>
      </c>
      <c r="C715" s="2" t="s">
        <v>289</v>
      </c>
      <c r="D715" s="2" t="s">
        <v>17</v>
      </c>
      <c r="E715" s="2">
        <v>95210</v>
      </c>
      <c r="F715" t="s">
        <v>3522</v>
      </c>
    </row>
    <row r="716" spans="1:6" x14ac:dyDescent="0.25">
      <c r="A716" s="2" t="s">
        <v>2618</v>
      </c>
      <c r="B716" s="2" t="s">
        <v>2619</v>
      </c>
      <c r="C716" s="2" t="s">
        <v>432</v>
      </c>
      <c r="D716" s="2" t="s">
        <v>314</v>
      </c>
      <c r="E716" s="2" t="s">
        <v>406</v>
      </c>
      <c r="F716" t="s">
        <v>3521</v>
      </c>
    </row>
    <row r="717" spans="1:6" x14ac:dyDescent="0.25">
      <c r="A717" s="2" t="s">
        <v>2621</v>
      </c>
      <c r="B717" s="2" t="s">
        <v>2622</v>
      </c>
      <c r="C717" s="2" t="s">
        <v>135</v>
      </c>
      <c r="D717" s="2" t="s">
        <v>17</v>
      </c>
      <c r="E717" s="2">
        <v>33686</v>
      </c>
      <c r="F717" t="s">
        <v>3522</v>
      </c>
    </row>
    <row r="718" spans="1:6" x14ac:dyDescent="0.25">
      <c r="A718" s="2" t="s">
        <v>2624</v>
      </c>
      <c r="B718" s="2" t="s">
        <v>2625</v>
      </c>
      <c r="C718" s="2" t="s">
        <v>992</v>
      </c>
      <c r="D718" s="2" t="s">
        <v>314</v>
      </c>
      <c r="E718" s="2" t="s">
        <v>456</v>
      </c>
      <c r="F718" t="s">
        <v>3522</v>
      </c>
    </row>
    <row r="719" spans="1:6" x14ac:dyDescent="0.25">
      <c r="A719" s="2" t="s">
        <v>2627</v>
      </c>
      <c r="B719" s="2" t="s">
        <v>2628</v>
      </c>
      <c r="C719" s="2" t="s">
        <v>44</v>
      </c>
      <c r="D719" s="2" t="s">
        <v>17</v>
      </c>
      <c r="E719" s="2">
        <v>19104</v>
      </c>
      <c r="F719" t="s">
        <v>3522</v>
      </c>
    </row>
    <row r="720" spans="1:6" x14ac:dyDescent="0.25">
      <c r="A720" s="2" t="s">
        <v>2630</v>
      </c>
      <c r="B720" s="2" t="s">
        <v>2631</v>
      </c>
      <c r="C720" s="2" t="s">
        <v>463</v>
      </c>
      <c r="D720" s="2" t="s">
        <v>17</v>
      </c>
      <c r="E720" s="2">
        <v>76905</v>
      </c>
      <c r="F720" t="s">
        <v>3522</v>
      </c>
    </row>
    <row r="721" spans="1:6" x14ac:dyDescent="0.25">
      <c r="A721" s="2" t="s">
        <v>2633</v>
      </c>
      <c r="B721" s="2" t="s">
        <v>2634</v>
      </c>
      <c r="C721" s="2" t="s">
        <v>25</v>
      </c>
      <c r="D721" s="2" t="s">
        <v>17</v>
      </c>
      <c r="E721" s="2">
        <v>90035</v>
      </c>
      <c r="F721" t="s">
        <v>3521</v>
      </c>
    </row>
    <row r="722" spans="1:6" x14ac:dyDescent="0.25">
      <c r="A722" s="2" t="s">
        <v>2636</v>
      </c>
      <c r="B722" s="2" t="s">
        <v>2637</v>
      </c>
      <c r="C722" s="2" t="s">
        <v>172</v>
      </c>
      <c r="D722" s="2" t="s">
        <v>17</v>
      </c>
      <c r="E722" s="2">
        <v>48912</v>
      </c>
      <c r="F722" t="s">
        <v>3521</v>
      </c>
    </row>
    <row r="723" spans="1:6" x14ac:dyDescent="0.25">
      <c r="A723" s="2" t="s">
        <v>2639</v>
      </c>
      <c r="B723" s="2" t="s">
        <v>2640</v>
      </c>
      <c r="C723" s="2" t="s">
        <v>207</v>
      </c>
      <c r="D723" s="2" t="s">
        <v>17</v>
      </c>
      <c r="E723" s="2">
        <v>34615</v>
      </c>
      <c r="F723" t="s">
        <v>3521</v>
      </c>
    </row>
    <row r="724" spans="1:6" x14ac:dyDescent="0.25">
      <c r="A724" s="2" t="s">
        <v>2642</v>
      </c>
      <c r="B724" s="2" t="s">
        <v>2643</v>
      </c>
      <c r="C724" s="2" t="s">
        <v>144</v>
      </c>
      <c r="D724" s="2" t="s">
        <v>17</v>
      </c>
      <c r="E724" s="2">
        <v>90605</v>
      </c>
      <c r="F724" t="s">
        <v>3522</v>
      </c>
    </row>
    <row r="725" spans="1:6" x14ac:dyDescent="0.25">
      <c r="A725" s="2" t="s">
        <v>2645</v>
      </c>
      <c r="B725" s="2" t="s">
        <v>2646</v>
      </c>
      <c r="C725" s="2" t="s">
        <v>28</v>
      </c>
      <c r="D725" s="2" t="s">
        <v>17</v>
      </c>
      <c r="E725" s="2">
        <v>93773</v>
      </c>
      <c r="F725" t="s">
        <v>3522</v>
      </c>
    </row>
    <row r="726" spans="1:6" x14ac:dyDescent="0.25">
      <c r="A726" s="2" t="s">
        <v>2648</v>
      </c>
      <c r="B726" s="2" t="s">
        <v>2649</v>
      </c>
      <c r="C726" s="2" t="s">
        <v>55</v>
      </c>
      <c r="D726" s="2" t="s">
        <v>17</v>
      </c>
      <c r="E726" s="2">
        <v>10155</v>
      </c>
      <c r="F726" t="s">
        <v>3521</v>
      </c>
    </row>
    <row r="727" spans="1:6" x14ac:dyDescent="0.25">
      <c r="A727" s="2" t="s">
        <v>2651</v>
      </c>
      <c r="B727" s="2" t="s">
        <v>2652</v>
      </c>
      <c r="C727" s="2" t="s">
        <v>76</v>
      </c>
      <c r="D727" s="2" t="s">
        <v>17</v>
      </c>
      <c r="E727" s="2">
        <v>80935</v>
      </c>
      <c r="F727" t="s">
        <v>3522</v>
      </c>
    </row>
    <row r="728" spans="1:6" x14ac:dyDescent="0.25">
      <c r="A728" s="2" t="s">
        <v>2654</v>
      </c>
      <c r="B728" s="2" t="s">
        <v>2655</v>
      </c>
      <c r="C728" s="2" t="s">
        <v>275</v>
      </c>
      <c r="D728" s="2" t="s">
        <v>17</v>
      </c>
      <c r="E728" s="2">
        <v>90831</v>
      </c>
      <c r="F728" t="s">
        <v>3522</v>
      </c>
    </row>
    <row r="729" spans="1:6" x14ac:dyDescent="0.25">
      <c r="A729" s="2" t="s">
        <v>2657</v>
      </c>
      <c r="B729" s="2" t="s">
        <v>2658</v>
      </c>
      <c r="C729" s="2" t="s">
        <v>327</v>
      </c>
      <c r="D729" s="2" t="s">
        <v>314</v>
      </c>
      <c r="E729" s="2" t="s">
        <v>328</v>
      </c>
      <c r="F729" t="s">
        <v>3521</v>
      </c>
    </row>
    <row r="730" spans="1:6" x14ac:dyDescent="0.25">
      <c r="A730" s="2" t="s">
        <v>2660</v>
      </c>
      <c r="B730" s="2" t="s">
        <v>2661</v>
      </c>
      <c r="C730" s="2" t="s">
        <v>120</v>
      </c>
      <c r="D730" s="2" t="s">
        <v>17</v>
      </c>
      <c r="E730" s="2">
        <v>89510</v>
      </c>
      <c r="F730" t="s">
        <v>3521</v>
      </c>
    </row>
    <row r="731" spans="1:6" x14ac:dyDescent="0.25">
      <c r="A731" s="2" t="s">
        <v>2663</v>
      </c>
      <c r="B731" s="2" t="s">
        <v>2664</v>
      </c>
      <c r="C731" s="2" t="s">
        <v>79</v>
      </c>
      <c r="D731" s="2" t="s">
        <v>26</v>
      </c>
      <c r="E731" s="2" t="s">
        <v>256</v>
      </c>
      <c r="F731" t="s">
        <v>3522</v>
      </c>
    </row>
    <row r="732" spans="1:6" x14ac:dyDescent="0.25">
      <c r="A732" s="2" t="s">
        <v>2666</v>
      </c>
      <c r="B732" s="2" t="s">
        <v>2667</v>
      </c>
      <c r="C732" s="2" t="s">
        <v>105</v>
      </c>
      <c r="D732" s="2" t="s">
        <v>17</v>
      </c>
      <c r="E732" s="2">
        <v>89155</v>
      </c>
      <c r="F732" t="s">
        <v>3522</v>
      </c>
    </row>
    <row r="733" spans="1:6" x14ac:dyDescent="0.25">
      <c r="A733" s="2" t="s">
        <v>2669</v>
      </c>
      <c r="B733" s="2" t="s">
        <v>2670</v>
      </c>
      <c r="C733" s="2" t="s">
        <v>166</v>
      </c>
      <c r="D733" s="2" t="s">
        <v>17</v>
      </c>
      <c r="E733" s="2">
        <v>19805</v>
      </c>
      <c r="F733" t="s">
        <v>3521</v>
      </c>
    </row>
    <row r="734" spans="1:6" x14ac:dyDescent="0.25">
      <c r="A734" s="2" t="s">
        <v>2672</v>
      </c>
      <c r="B734" s="2" t="s">
        <v>2673</v>
      </c>
      <c r="C734" s="2" t="s">
        <v>120</v>
      </c>
      <c r="D734" s="2" t="s">
        <v>17</v>
      </c>
      <c r="E734" s="2">
        <v>89550</v>
      </c>
      <c r="F734" t="s">
        <v>3522</v>
      </c>
    </row>
    <row r="735" spans="1:6" x14ac:dyDescent="0.25">
      <c r="A735" s="2" t="s">
        <v>2675</v>
      </c>
      <c r="B735" s="2" t="s">
        <v>2676</v>
      </c>
      <c r="C735" s="2" t="s">
        <v>140</v>
      </c>
      <c r="D735" s="2" t="s">
        <v>17</v>
      </c>
      <c r="E735" s="2">
        <v>35487</v>
      </c>
      <c r="F735" t="s">
        <v>3521</v>
      </c>
    </row>
    <row r="736" spans="1:6" x14ac:dyDescent="0.25">
      <c r="A736" s="2" t="s">
        <v>2678</v>
      </c>
      <c r="B736" s="2" t="s">
        <v>2679</v>
      </c>
      <c r="C736" s="2" t="s">
        <v>204</v>
      </c>
      <c r="D736" s="2" t="s">
        <v>17</v>
      </c>
      <c r="E736" s="2">
        <v>92645</v>
      </c>
      <c r="F736" t="s">
        <v>3522</v>
      </c>
    </row>
    <row r="737" spans="1:6" x14ac:dyDescent="0.25">
      <c r="A737" s="2" t="s">
        <v>2681</v>
      </c>
      <c r="B737" s="2" t="s">
        <v>2682</v>
      </c>
      <c r="C737" s="2" t="s">
        <v>65</v>
      </c>
      <c r="D737" s="2" t="s">
        <v>17</v>
      </c>
      <c r="E737" s="2">
        <v>66225</v>
      </c>
      <c r="F737" t="s">
        <v>3522</v>
      </c>
    </row>
    <row r="738" spans="1:6" x14ac:dyDescent="0.25">
      <c r="A738" s="2" t="s">
        <v>2684</v>
      </c>
      <c r="B738" s="2" t="s">
        <v>2685</v>
      </c>
      <c r="C738" s="2" t="s">
        <v>904</v>
      </c>
      <c r="D738" s="2" t="s">
        <v>314</v>
      </c>
      <c r="E738" s="2" t="s">
        <v>440</v>
      </c>
      <c r="F738" t="s">
        <v>3521</v>
      </c>
    </row>
    <row r="739" spans="1:6" x14ac:dyDescent="0.25">
      <c r="A739" s="2" t="s">
        <v>2687</v>
      </c>
      <c r="B739" s="2" t="s">
        <v>2688</v>
      </c>
      <c r="C739" s="2" t="s">
        <v>49</v>
      </c>
      <c r="D739" s="2" t="s">
        <v>17</v>
      </c>
      <c r="E739" s="2">
        <v>45228</v>
      </c>
      <c r="F739" t="s">
        <v>3522</v>
      </c>
    </row>
    <row r="740" spans="1:6" x14ac:dyDescent="0.25">
      <c r="A740" s="2" t="s">
        <v>2690</v>
      </c>
      <c r="B740" s="2" t="s">
        <v>2691</v>
      </c>
      <c r="C740" s="2" t="s">
        <v>262</v>
      </c>
      <c r="D740" s="2" t="s">
        <v>26</v>
      </c>
      <c r="E740" s="2" t="s">
        <v>263</v>
      </c>
      <c r="F740" t="s">
        <v>3522</v>
      </c>
    </row>
    <row r="741" spans="1:6" x14ac:dyDescent="0.25">
      <c r="A741" s="2" t="s">
        <v>2693</v>
      </c>
      <c r="B741" s="2" t="s">
        <v>2694</v>
      </c>
      <c r="C741" s="2" t="s">
        <v>187</v>
      </c>
      <c r="D741" s="2" t="s">
        <v>17</v>
      </c>
      <c r="E741" s="2">
        <v>97296</v>
      </c>
      <c r="F741" t="s">
        <v>3521</v>
      </c>
    </row>
    <row r="742" spans="1:6" x14ac:dyDescent="0.25">
      <c r="A742" s="2" t="s">
        <v>2696</v>
      </c>
      <c r="B742" s="2" t="s">
        <v>2697</v>
      </c>
      <c r="C742" s="2" t="s">
        <v>378</v>
      </c>
      <c r="D742" s="2" t="s">
        <v>314</v>
      </c>
      <c r="E742" s="2" t="s">
        <v>379</v>
      </c>
      <c r="F742" t="s">
        <v>3522</v>
      </c>
    </row>
    <row r="743" spans="1:6" x14ac:dyDescent="0.25">
      <c r="A743" s="2" t="s">
        <v>2699</v>
      </c>
      <c r="B743" s="2" t="s">
        <v>2700</v>
      </c>
      <c r="C743" s="2" t="s">
        <v>254</v>
      </c>
      <c r="D743" s="2" t="s">
        <v>17</v>
      </c>
      <c r="E743" s="2">
        <v>94089</v>
      </c>
      <c r="F743" t="s">
        <v>3522</v>
      </c>
    </row>
    <row r="744" spans="1:6" x14ac:dyDescent="0.25">
      <c r="A744" s="2" t="s">
        <v>2702</v>
      </c>
      <c r="B744" s="2" t="s">
        <v>2703</v>
      </c>
      <c r="C744" s="2" t="s">
        <v>21</v>
      </c>
      <c r="D744" s="2" t="s">
        <v>17</v>
      </c>
      <c r="E744" s="2">
        <v>38188</v>
      </c>
      <c r="F744" t="s">
        <v>3522</v>
      </c>
    </row>
    <row r="745" spans="1:6" x14ac:dyDescent="0.25">
      <c r="A745" s="2" t="s">
        <v>2705</v>
      </c>
      <c r="B745" s="2" t="s">
        <v>2706</v>
      </c>
      <c r="C745" s="2" t="s">
        <v>78</v>
      </c>
      <c r="D745" s="2" t="s">
        <v>17</v>
      </c>
      <c r="E745" s="2">
        <v>32868</v>
      </c>
      <c r="F745" t="s">
        <v>3522</v>
      </c>
    </row>
    <row r="746" spans="1:6" x14ac:dyDescent="0.25">
      <c r="A746" s="2" t="s">
        <v>2708</v>
      </c>
      <c r="B746" s="2" t="s">
        <v>2709</v>
      </c>
      <c r="C746" s="2" t="s">
        <v>39</v>
      </c>
      <c r="D746" s="2" t="s">
        <v>17</v>
      </c>
      <c r="E746" s="2">
        <v>48232</v>
      </c>
      <c r="F746" t="s">
        <v>3521</v>
      </c>
    </row>
    <row r="747" spans="1:6" x14ac:dyDescent="0.25">
      <c r="A747" s="2" t="s">
        <v>2711</v>
      </c>
      <c r="B747" s="2" t="s">
        <v>2712</v>
      </c>
      <c r="C747" s="2" t="s">
        <v>479</v>
      </c>
      <c r="D747" s="2" t="s">
        <v>314</v>
      </c>
      <c r="E747" s="2" t="s">
        <v>480</v>
      </c>
      <c r="F747" t="s">
        <v>3522</v>
      </c>
    </row>
    <row r="748" spans="1:6" x14ac:dyDescent="0.25">
      <c r="A748" s="2" t="s">
        <v>2714</v>
      </c>
      <c r="B748" s="2" t="s">
        <v>2715</v>
      </c>
      <c r="C748" s="2" t="s">
        <v>455</v>
      </c>
      <c r="D748" s="2" t="s">
        <v>314</v>
      </c>
      <c r="E748" s="2" t="s">
        <v>456</v>
      </c>
      <c r="F748" t="s">
        <v>3522</v>
      </c>
    </row>
    <row r="749" spans="1:6" x14ac:dyDescent="0.25">
      <c r="A749" s="2" t="s">
        <v>2717</v>
      </c>
      <c r="B749" s="2" t="s">
        <v>2718</v>
      </c>
      <c r="C749" s="2" t="s">
        <v>426</v>
      </c>
      <c r="D749" s="2" t="s">
        <v>314</v>
      </c>
      <c r="E749" s="2" t="s">
        <v>427</v>
      </c>
      <c r="F749" t="s">
        <v>3521</v>
      </c>
    </row>
    <row r="750" spans="1:6" x14ac:dyDescent="0.25">
      <c r="A750" s="2" t="s">
        <v>2720</v>
      </c>
      <c r="B750" s="2" t="s">
        <v>2721</v>
      </c>
      <c r="C750" s="2" t="s">
        <v>36</v>
      </c>
      <c r="D750" s="2" t="s">
        <v>17</v>
      </c>
      <c r="E750" s="2">
        <v>23203</v>
      </c>
      <c r="F750" t="s">
        <v>3522</v>
      </c>
    </row>
    <row r="751" spans="1:6" x14ac:dyDescent="0.25">
      <c r="A751" s="2" t="s">
        <v>2723</v>
      </c>
      <c r="B751" s="2" t="s">
        <v>2724</v>
      </c>
      <c r="C751" s="2" t="s">
        <v>2725</v>
      </c>
      <c r="D751" s="2" t="s">
        <v>314</v>
      </c>
      <c r="E751" s="2" t="s">
        <v>406</v>
      </c>
      <c r="F751" t="s">
        <v>3521</v>
      </c>
    </row>
    <row r="752" spans="1:6" x14ac:dyDescent="0.25">
      <c r="A752" s="2" t="s">
        <v>2727</v>
      </c>
      <c r="B752" s="2" t="s">
        <v>2728</v>
      </c>
      <c r="C752" s="2" t="s">
        <v>104</v>
      </c>
      <c r="D752" s="2" t="s">
        <v>17</v>
      </c>
      <c r="E752" s="2">
        <v>76178</v>
      </c>
      <c r="F752" t="s">
        <v>3521</v>
      </c>
    </row>
    <row r="753" spans="1:6" x14ac:dyDescent="0.25">
      <c r="A753" s="2" t="s">
        <v>2730</v>
      </c>
      <c r="B753" s="2" t="s">
        <v>2731</v>
      </c>
      <c r="C753" s="2" t="s">
        <v>137</v>
      </c>
      <c r="D753" s="2" t="s">
        <v>17</v>
      </c>
      <c r="E753" s="2">
        <v>11254</v>
      </c>
      <c r="F753" t="s">
        <v>3522</v>
      </c>
    </row>
    <row r="754" spans="1:6" x14ac:dyDescent="0.25">
      <c r="A754" s="2" t="s">
        <v>2733</v>
      </c>
      <c r="B754" s="2" t="s">
        <v>2734</v>
      </c>
      <c r="C754" s="2" t="s">
        <v>104</v>
      </c>
      <c r="D754" s="2" t="s">
        <v>17</v>
      </c>
      <c r="E754" s="2">
        <v>76198</v>
      </c>
      <c r="F754" t="s">
        <v>3521</v>
      </c>
    </row>
    <row r="755" spans="1:6" x14ac:dyDescent="0.25">
      <c r="A755" s="2" t="s">
        <v>2736</v>
      </c>
      <c r="B755" s="2" t="s">
        <v>2737</v>
      </c>
      <c r="C755" s="2" t="s">
        <v>182</v>
      </c>
      <c r="D755" s="2" t="s">
        <v>17</v>
      </c>
      <c r="E755" s="2">
        <v>85053</v>
      </c>
      <c r="F755" t="s">
        <v>3522</v>
      </c>
    </row>
    <row r="756" spans="1:6" x14ac:dyDescent="0.25">
      <c r="A756" s="2" t="s">
        <v>2739</v>
      </c>
      <c r="B756" s="2" t="s">
        <v>2740</v>
      </c>
      <c r="C756" s="2" t="s">
        <v>45</v>
      </c>
      <c r="D756" s="2" t="s">
        <v>17</v>
      </c>
      <c r="E756" s="2">
        <v>20470</v>
      </c>
      <c r="F756" t="s">
        <v>3522</v>
      </c>
    </row>
    <row r="757" spans="1:6" x14ac:dyDescent="0.25">
      <c r="A757" s="2" t="s">
        <v>2742</v>
      </c>
      <c r="B757" s="2" t="s">
        <v>2743</v>
      </c>
      <c r="C757" s="2" t="s">
        <v>50</v>
      </c>
      <c r="D757" s="2" t="s">
        <v>17</v>
      </c>
      <c r="E757" s="2">
        <v>75287</v>
      </c>
      <c r="F757" t="s">
        <v>3522</v>
      </c>
    </row>
    <row r="758" spans="1:6" x14ac:dyDescent="0.25">
      <c r="A758" s="2" t="s">
        <v>2745</v>
      </c>
      <c r="B758" s="2" t="s">
        <v>2746</v>
      </c>
      <c r="C758" s="2" t="s">
        <v>169</v>
      </c>
      <c r="D758" s="2" t="s">
        <v>17</v>
      </c>
      <c r="E758" s="2">
        <v>28805</v>
      </c>
      <c r="F758" t="s">
        <v>3521</v>
      </c>
    </row>
    <row r="759" spans="1:6" x14ac:dyDescent="0.25">
      <c r="A759" s="2" t="s">
        <v>2748</v>
      </c>
      <c r="B759" s="2" t="s">
        <v>2749</v>
      </c>
      <c r="C759" s="2" t="s">
        <v>250</v>
      </c>
      <c r="D759" s="2" t="s">
        <v>17</v>
      </c>
      <c r="E759" s="2">
        <v>59112</v>
      </c>
      <c r="F759" t="s">
        <v>3521</v>
      </c>
    </row>
    <row r="760" spans="1:6" x14ac:dyDescent="0.25">
      <c r="A760" s="2" t="s">
        <v>2751</v>
      </c>
      <c r="B760" s="2" t="s">
        <v>2752</v>
      </c>
      <c r="C760" s="2" t="s">
        <v>102</v>
      </c>
      <c r="D760" s="2" t="s">
        <v>17</v>
      </c>
      <c r="E760" s="2">
        <v>63126</v>
      </c>
      <c r="F760" t="s">
        <v>3522</v>
      </c>
    </row>
    <row r="761" spans="1:6" x14ac:dyDescent="0.25">
      <c r="A761" s="2" t="s">
        <v>2754</v>
      </c>
      <c r="B761" s="2" t="s">
        <v>2755</v>
      </c>
      <c r="C761" s="2" t="s">
        <v>153</v>
      </c>
      <c r="D761" s="2" t="s">
        <v>17</v>
      </c>
      <c r="E761" s="2">
        <v>64054</v>
      </c>
      <c r="F761" t="s">
        <v>3521</v>
      </c>
    </row>
    <row r="762" spans="1:6" x14ac:dyDescent="0.25">
      <c r="A762" s="2" t="s">
        <v>2757</v>
      </c>
      <c r="B762" s="2" t="s">
        <v>2758</v>
      </c>
      <c r="C762" s="2" t="s">
        <v>80</v>
      </c>
      <c r="D762" s="2" t="s">
        <v>17</v>
      </c>
      <c r="E762" s="2">
        <v>27404</v>
      </c>
      <c r="F762" t="s">
        <v>3522</v>
      </c>
    </row>
    <row r="763" spans="1:6" x14ac:dyDescent="0.25">
      <c r="A763" s="2" t="s">
        <v>2760</v>
      </c>
      <c r="B763" s="2" t="s">
        <v>2761</v>
      </c>
      <c r="C763" s="2" t="s">
        <v>97</v>
      </c>
      <c r="D763" s="2" t="s">
        <v>17</v>
      </c>
      <c r="E763" s="2">
        <v>71213</v>
      </c>
      <c r="F763" t="s">
        <v>3521</v>
      </c>
    </row>
    <row r="764" spans="1:6" x14ac:dyDescent="0.25">
      <c r="A764" s="2" t="s">
        <v>2763</v>
      </c>
      <c r="B764" s="2" t="s">
        <v>2764</v>
      </c>
      <c r="C764" s="2" t="s">
        <v>157</v>
      </c>
      <c r="D764" s="2" t="s">
        <v>26</v>
      </c>
      <c r="E764" s="2" t="s">
        <v>158</v>
      </c>
      <c r="F764" t="s">
        <v>3522</v>
      </c>
    </row>
    <row r="765" spans="1:6" x14ac:dyDescent="0.25">
      <c r="A765" s="2" t="s">
        <v>2766</v>
      </c>
      <c r="B765" s="2" t="s">
        <v>2767</v>
      </c>
      <c r="C765" s="2" t="s">
        <v>104</v>
      </c>
      <c r="D765" s="2" t="s">
        <v>17</v>
      </c>
      <c r="E765" s="2">
        <v>76129</v>
      </c>
      <c r="F765" t="s">
        <v>3522</v>
      </c>
    </row>
    <row r="766" spans="1:6" x14ac:dyDescent="0.25">
      <c r="A766" s="2" t="s">
        <v>2769</v>
      </c>
      <c r="B766" s="2" t="s">
        <v>2770</v>
      </c>
      <c r="C766" s="2" t="s">
        <v>95</v>
      </c>
      <c r="D766" s="2" t="s">
        <v>17</v>
      </c>
      <c r="E766" s="2">
        <v>58122</v>
      </c>
      <c r="F766" t="s">
        <v>3521</v>
      </c>
    </row>
    <row r="767" spans="1:6" x14ac:dyDescent="0.25">
      <c r="A767" s="2" t="s">
        <v>2772</v>
      </c>
      <c r="B767" s="2" t="s">
        <v>2773</v>
      </c>
      <c r="C767" s="2" t="s">
        <v>113</v>
      </c>
      <c r="D767" s="2" t="s">
        <v>17</v>
      </c>
      <c r="E767" s="2">
        <v>75044</v>
      </c>
      <c r="F767" t="s">
        <v>3521</v>
      </c>
    </row>
    <row r="768" spans="1:6" x14ac:dyDescent="0.25">
      <c r="A768" s="2" t="s">
        <v>2774</v>
      </c>
      <c r="B768" s="2" t="s">
        <v>2775</v>
      </c>
      <c r="C768" s="2" t="s">
        <v>37</v>
      </c>
      <c r="D768" s="2" t="s">
        <v>17</v>
      </c>
      <c r="E768" s="2">
        <v>43231</v>
      </c>
      <c r="F768" t="s">
        <v>3522</v>
      </c>
    </row>
    <row r="769" spans="1:6" x14ac:dyDescent="0.25">
      <c r="A769" s="2" t="s">
        <v>2777</v>
      </c>
      <c r="B769" s="2" t="s">
        <v>2778</v>
      </c>
      <c r="C769" s="2" t="s">
        <v>121</v>
      </c>
      <c r="D769" s="2" t="s">
        <v>17</v>
      </c>
      <c r="E769" s="2">
        <v>78737</v>
      </c>
      <c r="F769" t="s">
        <v>3522</v>
      </c>
    </row>
    <row r="770" spans="1:6" x14ac:dyDescent="0.25">
      <c r="A770" s="2" t="s">
        <v>2780</v>
      </c>
      <c r="B770" s="2" t="s">
        <v>2781</v>
      </c>
      <c r="C770" s="2" t="s">
        <v>185</v>
      </c>
      <c r="D770" s="2" t="s">
        <v>17</v>
      </c>
      <c r="E770" s="2">
        <v>36104</v>
      </c>
      <c r="F770" t="s">
        <v>3521</v>
      </c>
    </row>
    <row r="771" spans="1:6" x14ac:dyDescent="0.25">
      <c r="A771" s="2" t="s">
        <v>2783</v>
      </c>
      <c r="B771" s="2" t="s">
        <v>2784</v>
      </c>
      <c r="C771" s="2" t="s">
        <v>142</v>
      </c>
      <c r="D771" s="2" t="s">
        <v>26</v>
      </c>
      <c r="E771" s="2" t="s">
        <v>213</v>
      </c>
      <c r="F771" t="s">
        <v>3522</v>
      </c>
    </row>
    <row r="772" spans="1:6" x14ac:dyDescent="0.25">
      <c r="A772" s="2" t="s">
        <v>2786</v>
      </c>
      <c r="B772" s="2" t="s">
        <v>2787</v>
      </c>
      <c r="C772" s="2" t="s">
        <v>81</v>
      </c>
      <c r="D772" s="2" t="s">
        <v>17</v>
      </c>
      <c r="E772" s="2">
        <v>22156</v>
      </c>
      <c r="F772" t="s">
        <v>3522</v>
      </c>
    </row>
    <row r="773" spans="1:6" x14ac:dyDescent="0.25">
      <c r="A773" s="2" t="s">
        <v>2789</v>
      </c>
      <c r="B773" s="2" t="s">
        <v>2790</v>
      </c>
      <c r="C773" s="2" t="s">
        <v>202</v>
      </c>
      <c r="D773" s="2" t="s">
        <v>17</v>
      </c>
      <c r="E773" s="2">
        <v>80126</v>
      </c>
      <c r="F773" t="s">
        <v>3522</v>
      </c>
    </row>
    <row r="774" spans="1:6" x14ac:dyDescent="0.25">
      <c r="A774" s="2" t="s">
        <v>2792</v>
      </c>
      <c r="B774" s="2" t="s">
        <v>2793</v>
      </c>
      <c r="C774" s="2" t="s">
        <v>18</v>
      </c>
      <c r="D774" s="2" t="s">
        <v>17</v>
      </c>
      <c r="E774" s="2">
        <v>21275</v>
      </c>
      <c r="F774" t="s">
        <v>3522</v>
      </c>
    </row>
    <row r="775" spans="1:6" x14ac:dyDescent="0.25">
      <c r="A775" s="2" t="s">
        <v>2795</v>
      </c>
      <c r="B775" s="2" t="s">
        <v>2796</v>
      </c>
      <c r="C775" s="2" t="s">
        <v>478</v>
      </c>
      <c r="D775" s="2" t="s">
        <v>314</v>
      </c>
      <c r="E775" s="2" t="s">
        <v>355</v>
      </c>
      <c r="F775" t="s">
        <v>3522</v>
      </c>
    </row>
    <row r="776" spans="1:6" x14ac:dyDescent="0.25">
      <c r="A776" s="2" t="s">
        <v>2798</v>
      </c>
      <c r="B776" s="2" t="s">
        <v>2799</v>
      </c>
      <c r="C776" s="2" t="s">
        <v>269</v>
      </c>
      <c r="D776" s="2" t="s">
        <v>17</v>
      </c>
      <c r="E776" s="2">
        <v>33345</v>
      </c>
      <c r="F776" t="s">
        <v>3521</v>
      </c>
    </row>
    <row r="777" spans="1:6" x14ac:dyDescent="0.25">
      <c r="A777" s="2" t="s">
        <v>2801</v>
      </c>
      <c r="B777" s="2" t="s">
        <v>2802</v>
      </c>
      <c r="C777" s="2" t="s">
        <v>56</v>
      </c>
      <c r="D777" s="2" t="s">
        <v>17</v>
      </c>
      <c r="E777" s="2">
        <v>92191</v>
      </c>
      <c r="F777" t="s">
        <v>3521</v>
      </c>
    </row>
    <row r="778" spans="1:6" x14ac:dyDescent="0.25">
      <c r="A778" s="2" t="s">
        <v>2804</v>
      </c>
      <c r="B778" s="2" t="s">
        <v>2805</v>
      </c>
      <c r="C778" s="2" t="s">
        <v>50</v>
      </c>
      <c r="D778" s="2" t="s">
        <v>17</v>
      </c>
      <c r="E778" s="2">
        <v>75216</v>
      </c>
      <c r="F778" t="s">
        <v>3522</v>
      </c>
    </row>
    <row r="779" spans="1:6" x14ac:dyDescent="0.25">
      <c r="A779" s="2" t="s">
        <v>2807</v>
      </c>
      <c r="B779" s="2" t="s">
        <v>2808</v>
      </c>
      <c r="C779" s="2" t="s">
        <v>313</v>
      </c>
      <c r="D779" s="2" t="s">
        <v>17</v>
      </c>
      <c r="E779" s="2">
        <v>60435</v>
      </c>
      <c r="F779" t="s">
        <v>3522</v>
      </c>
    </row>
    <row r="780" spans="1:6" x14ac:dyDescent="0.25">
      <c r="A780" s="2" t="s">
        <v>2810</v>
      </c>
      <c r="B780" s="2" t="s">
        <v>2811</v>
      </c>
      <c r="C780" s="2" t="s">
        <v>181</v>
      </c>
      <c r="D780" s="2" t="s">
        <v>17</v>
      </c>
      <c r="E780" s="2">
        <v>49510</v>
      </c>
      <c r="F780" t="s">
        <v>3521</v>
      </c>
    </row>
    <row r="781" spans="1:6" x14ac:dyDescent="0.25">
      <c r="A781" s="2" t="s">
        <v>2813</v>
      </c>
      <c r="B781" s="2" t="s">
        <v>2814</v>
      </c>
      <c r="C781" s="2" t="s">
        <v>207</v>
      </c>
      <c r="D781" s="2" t="s">
        <v>17</v>
      </c>
      <c r="E781" s="2">
        <v>34620</v>
      </c>
      <c r="F781" t="s">
        <v>3521</v>
      </c>
    </row>
    <row r="782" spans="1:6" x14ac:dyDescent="0.25">
      <c r="A782" s="2" t="s">
        <v>2816</v>
      </c>
      <c r="B782" s="2" t="s">
        <v>2817</v>
      </c>
      <c r="C782" s="2" t="s">
        <v>31</v>
      </c>
      <c r="D782" s="2" t="s">
        <v>17</v>
      </c>
      <c r="E782" s="2">
        <v>55441</v>
      </c>
      <c r="F782" t="s">
        <v>3522</v>
      </c>
    </row>
    <row r="783" spans="1:6" x14ac:dyDescent="0.25">
      <c r="A783" s="2" t="s">
        <v>2819</v>
      </c>
      <c r="B783" s="2" t="s">
        <v>2820</v>
      </c>
      <c r="C783" s="2" t="s">
        <v>257</v>
      </c>
      <c r="D783" s="2" t="s">
        <v>17</v>
      </c>
      <c r="E783" s="2">
        <v>30045</v>
      </c>
      <c r="F783" t="s">
        <v>3522</v>
      </c>
    </row>
    <row r="784" spans="1:6" x14ac:dyDescent="0.25">
      <c r="A784" s="2" t="s">
        <v>2822</v>
      </c>
      <c r="B784" s="2" t="s">
        <v>2823</v>
      </c>
      <c r="C784" s="2" t="s">
        <v>476</v>
      </c>
      <c r="D784" s="2" t="s">
        <v>314</v>
      </c>
      <c r="E784" s="2" t="s">
        <v>337</v>
      </c>
      <c r="F784" t="s">
        <v>3522</v>
      </c>
    </row>
    <row r="785" spans="1:6" x14ac:dyDescent="0.25">
      <c r="A785" s="2" t="s">
        <v>2825</v>
      </c>
      <c r="B785" s="2" t="s">
        <v>2826</v>
      </c>
      <c r="C785" s="2" t="s">
        <v>135</v>
      </c>
      <c r="D785" s="2" t="s">
        <v>17</v>
      </c>
      <c r="E785" s="2">
        <v>33673</v>
      </c>
      <c r="F785" t="s">
        <v>3521</v>
      </c>
    </row>
    <row r="786" spans="1:6" x14ac:dyDescent="0.25">
      <c r="A786" s="2" t="s">
        <v>2828</v>
      </c>
      <c r="B786" s="2" t="s">
        <v>2829</v>
      </c>
      <c r="C786" s="2" t="s">
        <v>128</v>
      </c>
      <c r="D786" s="2" t="s">
        <v>17</v>
      </c>
      <c r="E786" s="2">
        <v>37240</v>
      </c>
      <c r="F786" t="s">
        <v>3522</v>
      </c>
    </row>
    <row r="787" spans="1:6" x14ac:dyDescent="0.25">
      <c r="A787" s="2" t="s">
        <v>2831</v>
      </c>
      <c r="B787" s="2" t="s">
        <v>2832</v>
      </c>
      <c r="C787" s="2" t="s">
        <v>90</v>
      </c>
      <c r="D787" s="2" t="s">
        <v>17</v>
      </c>
      <c r="E787" s="2">
        <v>33175</v>
      </c>
      <c r="F787" t="s">
        <v>3522</v>
      </c>
    </row>
    <row r="788" spans="1:6" x14ac:dyDescent="0.25">
      <c r="A788" s="2" t="s">
        <v>2834</v>
      </c>
      <c r="B788" s="2" t="s">
        <v>2835</v>
      </c>
      <c r="C788" s="2" t="s">
        <v>201</v>
      </c>
      <c r="D788" s="2" t="s">
        <v>17</v>
      </c>
      <c r="E788" s="2">
        <v>45426</v>
      </c>
      <c r="F788" t="s">
        <v>3521</v>
      </c>
    </row>
    <row r="789" spans="1:6" x14ac:dyDescent="0.25">
      <c r="A789" s="2" t="s">
        <v>2837</v>
      </c>
      <c r="B789" s="2" t="s">
        <v>2838</v>
      </c>
      <c r="C789" s="2" t="s">
        <v>54</v>
      </c>
      <c r="D789" s="2" t="s">
        <v>17</v>
      </c>
      <c r="E789" s="2">
        <v>60686</v>
      </c>
      <c r="F789" t="s">
        <v>3521</v>
      </c>
    </row>
    <row r="790" spans="1:6" x14ac:dyDescent="0.25">
      <c r="A790" s="2" t="s">
        <v>2840</v>
      </c>
      <c r="B790" s="2" t="s">
        <v>2841</v>
      </c>
      <c r="C790" s="2" t="s">
        <v>401</v>
      </c>
      <c r="D790" s="2" t="s">
        <v>314</v>
      </c>
      <c r="E790" s="2" t="s">
        <v>402</v>
      </c>
      <c r="F790" t="s">
        <v>3521</v>
      </c>
    </row>
    <row r="791" spans="1:6" x14ac:dyDescent="0.25">
      <c r="A791" s="2" t="s">
        <v>2843</v>
      </c>
      <c r="B791" s="2" t="s">
        <v>2844</v>
      </c>
      <c r="C791" s="2" t="s">
        <v>36</v>
      </c>
      <c r="D791" s="2" t="s">
        <v>17</v>
      </c>
      <c r="E791" s="2">
        <v>94807</v>
      </c>
      <c r="F791" t="s">
        <v>3522</v>
      </c>
    </row>
    <row r="792" spans="1:6" x14ac:dyDescent="0.25">
      <c r="A792" s="2" t="s">
        <v>2846</v>
      </c>
      <c r="B792" s="2" t="s">
        <v>2847</v>
      </c>
      <c r="C792" s="2" t="s">
        <v>74</v>
      </c>
      <c r="D792" s="2" t="s">
        <v>17</v>
      </c>
      <c r="E792" s="2">
        <v>98506</v>
      </c>
      <c r="F792" t="s">
        <v>3522</v>
      </c>
    </row>
    <row r="793" spans="1:6" x14ac:dyDescent="0.25">
      <c r="A793" s="2" t="s">
        <v>2849</v>
      </c>
      <c r="B793" s="2" t="s">
        <v>2850</v>
      </c>
      <c r="C793" s="2" t="s">
        <v>57</v>
      </c>
      <c r="D793" s="2" t="s">
        <v>17</v>
      </c>
      <c r="E793" s="2">
        <v>76011</v>
      </c>
      <c r="F793" t="s">
        <v>3521</v>
      </c>
    </row>
    <row r="794" spans="1:6" x14ac:dyDescent="0.25">
      <c r="A794" s="2" t="s">
        <v>2852</v>
      </c>
      <c r="B794" s="2" t="s">
        <v>2853</v>
      </c>
      <c r="C794" s="2" t="s">
        <v>353</v>
      </c>
      <c r="D794" s="2" t="s">
        <v>26</v>
      </c>
      <c r="E794" s="2" t="s">
        <v>354</v>
      </c>
      <c r="F794" t="s">
        <v>3521</v>
      </c>
    </row>
    <row r="795" spans="1:6" x14ac:dyDescent="0.25">
      <c r="A795" s="2" t="s">
        <v>2855</v>
      </c>
      <c r="B795" s="2" t="s">
        <v>2856</v>
      </c>
      <c r="C795" s="2" t="s">
        <v>22</v>
      </c>
      <c r="D795" s="2" t="s">
        <v>17</v>
      </c>
      <c r="E795" s="2">
        <v>24009</v>
      </c>
      <c r="F795" t="s">
        <v>3522</v>
      </c>
    </row>
    <row r="796" spans="1:6" x14ac:dyDescent="0.25">
      <c r="A796" s="2" t="s">
        <v>2858</v>
      </c>
      <c r="B796" s="2" t="s">
        <v>2859</v>
      </c>
      <c r="C796" s="2" t="s">
        <v>276</v>
      </c>
      <c r="D796" s="2" t="s">
        <v>17</v>
      </c>
      <c r="E796" s="2">
        <v>11044</v>
      </c>
      <c r="F796" t="s">
        <v>3522</v>
      </c>
    </row>
    <row r="797" spans="1:6" x14ac:dyDescent="0.25">
      <c r="A797" s="2" t="s">
        <v>2861</v>
      </c>
      <c r="B797" s="2" t="s">
        <v>2862</v>
      </c>
      <c r="C797" s="2" t="s">
        <v>280</v>
      </c>
      <c r="D797" s="2" t="s">
        <v>17</v>
      </c>
      <c r="E797" s="2">
        <v>92825</v>
      </c>
      <c r="F797" t="s">
        <v>3522</v>
      </c>
    </row>
    <row r="798" spans="1:6" x14ac:dyDescent="0.25">
      <c r="A798" s="2" t="s">
        <v>2864</v>
      </c>
      <c r="B798" s="2" t="s">
        <v>2865</v>
      </c>
      <c r="C798" s="2" t="s">
        <v>41</v>
      </c>
      <c r="D798" s="2" t="s">
        <v>17</v>
      </c>
      <c r="E798" s="2">
        <v>40596</v>
      </c>
      <c r="F798" t="s">
        <v>3522</v>
      </c>
    </row>
    <row r="799" spans="1:6" x14ac:dyDescent="0.25">
      <c r="A799" s="2" t="s">
        <v>2867</v>
      </c>
      <c r="B799" s="2" t="s">
        <v>2868</v>
      </c>
      <c r="C799" s="2" t="s">
        <v>135</v>
      </c>
      <c r="D799" s="2" t="s">
        <v>17</v>
      </c>
      <c r="E799" s="2">
        <v>33673</v>
      </c>
      <c r="F799" t="s">
        <v>3522</v>
      </c>
    </row>
    <row r="800" spans="1:6" x14ac:dyDescent="0.25">
      <c r="A800" s="2" t="s">
        <v>2870</v>
      </c>
      <c r="B800" s="2" t="s">
        <v>2871</v>
      </c>
      <c r="C800" s="2" t="s">
        <v>96</v>
      </c>
      <c r="D800" s="2" t="s">
        <v>17</v>
      </c>
      <c r="E800" s="2">
        <v>95138</v>
      </c>
      <c r="F800" t="s">
        <v>3521</v>
      </c>
    </row>
    <row r="801" spans="1:6" x14ac:dyDescent="0.25">
      <c r="A801" s="2" t="s">
        <v>2873</v>
      </c>
      <c r="B801" s="2" t="s">
        <v>2874</v>
      </c>
      <c r="C801" s="2" t="s">
        <v>45</v>
      </c>
      <c r="D801" s="2" t="s">
        <v>17</v>
      </c>
      <c r="E801" s="2">
        <v>20470</v>
      </c>
      <c r="F801" t="s">
        <v>3521</v>
      </c>
    </row>
    <row r="802" spans="1:6" x14ac:dyDescent="0.25">
      <c r="A802" s="2" t="s">
        <v>2876</v>
      </c>
      <c r="B802" s="2" t="s">
        <v>2877</v>
      </c>
      <c r="C802" s="2" t="s">
        <v>2160</v>
      </c>
      <c r="D802" s="2" t="s">
        <v>314</v>
      </c>
      <c r="E802" s="2" t="s">
        <v>394</v>
      </c>
      <c r="F802" t="s">
        <v>3522</v>
      </c>
    </row>
    <row r="803" spans="1:6" x14ac:dyDescent="0.25">
      <c r="A803" s="2" t="s">
        <v>2879</v>
      </c>
      <c r="B803" s="2" t="s">
        <v>2880</v>
      </c>
      <c r="C803" s="2" t="s">
        <v>74</v>
      </c>
      <c r="D803" s="2" t="s">
        <v>17</v>
      </c>
      <c r="E803" s="2">
        <v>98506</v>
      </c>
      <c r="F803" t="s">
        <v>3521</v>
      </c>
    </row>
    <row r="804" spans="1:6" x14ac:dyDescent="0.25">
      <c r="A804" s="2" t="s">
        <v>2882</v>
      </c>
      <c r="B804" s="2" t="s">
        <v>2883</v>
      </c>
      <c r="C804" s="2" t="s">
        <v>454</v>
      </c>
      <c r="D804" s="2" t="s">
        <v>17</v>
      </c>
      <c r="E804" s="2">
        <v>75185</v>
      </c>
      <c r="F804" t="s">
        <v>3522</v>
      </c>
    </row>
    <row r="805" spans="1:6" x14ac:dyDescent="0.25">
      <c r="A805" s="2" t="s">
        <v>2885</v>
      </c>
      <c r="B805" s="2" t="s">
        <v>2886</v>
      </c>
      <c r="C805" s="2" t="s">
        <v>129</v>
      </c>
      <c r="D805" s="2" t="s">
        <v>17</v>
      </c>
      <c r="E805" s="2">
        <v>94207</v>
      </c>
      <c r="F805" t="s">
        <v>3522</v>
      </c>
    </row>
    <row r="806" spans="1:6" x14ac:dyDescent="0.25">
      <c r="A806" s="2" t="s">
        <v>2888</v>
      </c>
      <c r="B806" s="2" t="s">
        <v>2889</v>
      </c>
      <c r="C806" s="2" t="s">
        <v>278</v>
      </c>
      <c r="D806" s="2" t="s">
        <v>26</v>
      </c>
      <c r="E806" s="2" t="s">
        <v>307</v>
      </c>
      <c r="F806" t="s">
        <v>3522</v>
      </c>
    </row>
    <row r="807" spans="1:6" x14ac:dyDescent="0.25">
      <c r="A807" s="2" t="s">
        <v>2891</v>
      </c>
      <c r="B807" s="2" t="s">
        <v>2892</v>
      </c>
      <c r="C807" s="2" t="s">
        <v>2893</v>
      </c>
      <c r="D807" s="2" t="s">
        <v>17</v>
      </c>
      <c r="E807" s="2">
        <v>55590</v>
      </c>
      <c r="F807" t="s">
        <v>3522</v>
      </c>
    </row>
    <row r="808" spans="1:6" x14ac:dyDescent="0.25">
      <c r="A808" s="2" t="s">
        <v>2895</v>
      </c>
      <c r="B808" s="2" t="s">
        <v>2896</v>
      </c>
      <c r="C808" s="2" t="s">
        <v>246</v>
      </c>
      <c r="D808" s="2" t="s">
        <v>26</v>
      </c>
      <c r="E808" s="2" t="s">
        <v>247</v>
      </c>
      <c r="F808" t="s">
        <v>3521</v>
      </c>
    </row>
    <row r="809" spans="1:6" x14ac:dyDescent="0.25">
      <c r="A809" s="2" t="s">
        <v>2898</v>
      </c>
      <c r="B809" s="2" t="s">
        <v>2899</v>
      </c>
      <c r="C809" s="2" t="s">
        <v>369</v>
      </c>
      <c r="D809" s="2" t="s">
        <v>314</v>
      </c>
      <c r="E809" s="2" t="s">
        <v>370</v>
      </c>
      <c r="F809" t="s">
        <v>3522</v>
      </c>
    </row>
    <row r="810" spans="1:6" x14ac:dyDescent="0.25">
      <c r="A810" s="2" t="s">
        <v>2901</v>
      </c>
      <c r="B810" s="2" t="s">
        <v>2902</v>
      </c>
      <c r="C810" s="2" t="s">
        <v>130</v>
      </c>
      <c r="D810" s="2" t="s">
        <v>17</v>
      </c>
      <c r="E810" s="2">
        <v>11499</v>
      </c>
      <c r="F810" t="s">
        <v>3521</v>
      </c>
    </row>
    <row r="811" spans="1:6" x14ac:dyDescent="0.25">
      <c r="A811" s="2" t="s">
        <v>2904</v>
      </c>
      <c r="B811" s="2" t="s">
        <v>2905</v>
      </c>
      <c r="C811" s="2" t="s">
        <v>48</v>
      </c>
      <c r="D811" s="2" t="s">
        <v>17</v>
      </c>
      <c r="E811" s="2">
        <v>79934</v>
      </c>
      <c r="F811" t="s">
        <v>3521</v>
      </c>
    </row>
    <row r="812" spans="1:6" x14ac:dyDescent="0.25">
      <c r="A812" s="2" t="s">
        <v>2907</v>
      </c>
      <c r="B812" s="2" t="s">
        <v>2908</v>
      </c>
      <c r="C812" s="2" t="s">
        <v>306</v>
      </c>
      <c r="D812" s="2" t="s">
        <v>17</v>
      </c>
      <c r="E812" s="2">
        <v>34643</v>
      </c>
      <c r="F812" t="s">
        <v>3522</v>
      </c>
    </row>
    <row r="813" spans="1:6" x14ac:dyDescent="0.25">
      <c r="A813" s="2" t="s">
        <v>2910</v>
      </c>
      <c r="B813" s="2" t="s">
        <v>2911</v>
      </c>
      <c r="C813" s="2" t="s">
        <v>417</v>
      </c>
      <c r="D813" s="2" t="s">
        <v>314</v>
      </c>
      <c r="E813" s="2" t="s">
        <v>344</v>
      </c>
      <c r="F813" t="s">
        <v>3521</v>
      </c>
    </row>
    <row r="814" spans="1:6" x14ac:dyDescent="0.25">
      <c r="A814" s="2" t="s">
        <v>2912</v>
      </c>
      <c r="B814" s="2" t="s">
        <v>2913</v>
      </c>
      <c r="C814" s="2" t="s">
        <v>222</v>
      </c>
      <c r="D814" s="2" t="s">
        <v>26</v>
      </c>
      <c r="E814" s="2" t="s">
        <v>223</v>
      </c>
      <c r="F814" t="s">
        <v>3521</v>
      </c>
    </row>
    <row r="815" spans="1:6" x14ac:dyDescent="0.25">
      <c r="A815" s="2" t="s">
        <v>2915</v>
      </c>
      <c r="B815" s="2" t="s">
        <v>2916</v>
      </c>
      <c r="C815" s="2" t="s">
        <v>75</v>
      </c>
      <c r="D815" s="2" t="s">
        <v>17</v>
      </c>
      <c r="E815" s="2">
        <v>73179</v>
      </c>
      <c r="F815" t="s">
        <v>3521</v>
      </c>
    </row>
    <row r="816" spans="1:6" x14ac:dyDescent="0.25">
      <c r="A816" s="2" t="s">
        <v>2918</v>
      </c>
      <c r="B816" s="2" t="s">
        <v>2919</v>
      </c>
      <c r="C816" s="2" t="s">
        <v>45</v>
      </c>
      <c r="D816" s="2" t="s">
        <v>17</v>
      </c>
      <c r="E816" s="2">
        <v>20051</v>
      </c>
      <c r="F816" t="s">
        <v>3522</v>
      </c>
    </row>
    <row r="817" spans="1:6" x14ac:dyDescent="0.25">
      <c r="A817" s="2" t="s">
        <v>2921</v>
      </c>
      <c r="B817" s="2" t="s">
        <v>2922</v>
      </c>
      <c r="C817" s="2" t="s">
        <v>82</v>
      </c>
      <c r="D817" s="2" t="s">
        <v>17</v>
      </c>
      <c r="E817" s="2">
        <v>30351</v>
      </c>
      <c r="F817" t="s">
        <v>3522</v>
      </c>
    </row>
    <row r="818" spans="1:6" x14ac:dyDescent="0.25">
      <c r="A818" s="2" t="s">
        <v>2924</v>
      </c>
      <c r="B818" s="2" t="s">
        <v>2925</v>
      </c>
      <c r="C818" s="2" t="s">
        <v>976</v>
      </c>
      <c r="D818" s="2" t="s">
        <v>314</v>
      </c>
      <c r="E818" s="2" t="s">
        <v>366</v>
      </c>
      <c r="F818" t="s">
        <v>3522</v>
      </c>
    </row>
    <row r="819" spans="1:6" x14ac:dyDescent="0.25">
      <c r="A819" s="2" t="s">
        <v>2927</v>
      </c>
      <c r="B819" s="2" t="s">
        <v>2928</v>
      </c>
      <c r="C819" s="2" t="s">
        <v>118</v>
      </c>
      <c r="D819" s="2" t="s">
        <v>17</v>
      </c>
      <c r="E819" s="2">
        <v>14276</v>
      </c>
      <c r="F819" t="s">
        <v>3522</v>
      </c>
    </row>
    <row r="820" spans="1:6" x14ac:dyDescent="0.25">
      <c r="A820" s="2" t="s">
        <v>2930</v>
      </c>
      <c r="B820" s="2" t="s">
        <v>2931</v>
      </c>
      <c r="C820" s="2" t="s">
        <v>61</v>
      </c>
      <c r="D820" s="2" t="s">
        <v>17</v>
      </c>
      <c r="E820" s="2">
        <v>77260</v>
      </c>
      <c r="F820" t="s">
        <v>3522</v>
      </c>
    </row>
    <row r="821" spans="1:6" x14ac:dyDescent="0.25">
      <c r="A821" s="2" t="s">
        <v>2933</v>
      </c>
      <c r="B821" s="2" t="s">
        <v>2934</v>
      </c>
      <c r="C821" s="2" t="s">
        <v>45</v>
      </c>
      <c r="D821" s="2" t="s">
        <v>17</v>
      </c>
      <c r="E821" s="2">
        <v>20470</v>
      </c>
      <c r="F821" t="s">
        <v>3521</v>
      </c>
    </row>
    <row r="822" spans="1:6" x14ac:dyDescent="0.25">
      <c r="A822" s="2" t="s">
        <v>2936</v>
      </c>
      <c r="B822" s="2" t="s">
        <v>2937</v>
      </c>
      <c r="C822" s="2" t="s">
        <v>121</v>
      </c>
      <c r="D822" s="2" t="s">
        <v>17</v>
      </c>
      <c r="E822" s="2">
        <v>78764</v>
      </c>
      <c r="F822" t="s">
        <v>3521</v>
      </c>
    </row>
    <row r="823" spans="1:6" x14ac:dyDescent="0.25">
      <c r="A823" s="2" t="s">
        <v>2939</v>
      </c>
      <c r="B823" s="2" t="s">
        <v>2940</v>
      </c>
      <c r="C823" s="2" t="s">
        <v>186</v>
      </c>
      <c r="D823" s="2" t="s">
        <v>17</v>
      </c>
      <c r="E823" s="2">
        <v>85205</v>
      </c>
      <c r="F823" t="s">
        <v>3522</v>
      </c>
    </row>
    <row r="824" spans="1:6" x14ac:dyDescent="0.25">
      <c r="A824" s="2" t="s">
        <v>2942</v>
      </c>
      <c r="B824" s="2" t="s">
        <v>2943</v>
      </c>
      <c r="C824" s="2" t="s">
        <v>127</v>
      </c>
      <c r="D824" s="2" t="s">
        <v>17</v>
      </c>
      <c r="E824" s="2">
        <v>31416</v>
      </c>
      <c r="F824" t="s">
        <v>3522</v>
      </c>
    </row>
    <row r="825" spans="1:6" x14ac:dyDescent="0.25">
      <c r="A825" s="2" t="s">
        <v>2945</v>
      </c>
      <c r="B825" s="2" t="s">
        <v>2946</v>
      </c>
      <c r="C825" s="2" t="s">
        <v>72</v>
      </c>
      <c r="D825" s="2" t="s">
        <v>17</v>
      </c>
      <c r="E825" s="2">
        <v>87140</v>
      </c>
      <c r="F825" t="s">
        <v>3521</v>
      </c>
    </row>
    <row r="826" spans="1:6" x14ac:dyDescent="0.25">
      <c r="A826" s="2" t="s">
        <v>2948</v>
      </c>
      <c r="B826" s="2" t="s">
        <v>2949</v>
      </c>
      <c r="C826" s="2" t="s">
        <v>33</v>
      </c>
      <c r="D826" s="2" t="s">
        <v>17</v>
      </c>
      <c r="E826" s="2">
        <v>28299</v>
      </c>
      <c r="F826" t="s">
        <v>3521</v>
      </c>
    </row>
    <row r="827" spans="1:6" x14ac:dyDescent="0.25">
      <c r="A827" s="2" t="s">
        <v>2951</v>
      </c>
      <c r="B827" s="2" t="s">
        <v>2952</v>
      </c>
      <c r="C827" s="2" t="s">
        <v>56</v>
      </c>
      <c r="D827" s="2" t="s">
        <v>17</v>
      </c>
      <c r="E827" s="2">
        <v>92191</v>
      </c>
      <c r="F827" t="s">
        <v>3521</v>
      </c>
    </row>
    <row r="828" spans="1:6" x14ac:dyDescent="0.25">
      <c r="A828" s="2" t="s">
        <v>2954</v>
      </c>
      <c r="B828" s="2" t="s">
        <v>2955</v>
      </c>
      <c r="C828" s="2" t="s">
        <v>248</v>
      </c>
      <c r="D828" s="2" t="s">
        <v>17</v>
      </c>
      <c r="E828" s="2">
        <v>32575</v>
      </c>
      <c r="F828" t="s">
        <v>3521</v>
      </c>
    </row>
    <row r="829" spans="1:6" x14ac:dyDescent="0.25">
      <c r="A829" s="2" t="s">
        <v>2957</v>
      </c>
      <c r="B829" s="2" t="s">
        <v>2958</v>
      </c>
      <c r="C829" s="2" t="s">
        <v>45</v>
      </c>
      <c r="D829" s="2" t="s">
        <v>17</v>
      </c>
      <c r="E829" s="2">
        <v>20470</v>
      </c>
      <c r="F829" t="s">
        <v>3522</v>
      </c>
    </row>
    <row r="830" spans="1:6" x14ac:dyDescent="0.25">
      <c r="A830" s="2" t="s">
        <v>2960</v>
      </c>
      <c r="B830" s="2" t="s">
        <v>2961</v>
      </c>
      <c r="C830" s="2" t="s">
        <v>261</v>
      </c>
      <c r="D830" s="2" t="s">
        <v>17</v>
      </c>
      <c r="E830" s="2">
        <v>34985</v>
      </c>
      <c r="F830" t="s">
        <v>3521</v>
      </c>
    </row>
    <row r="831" spans="1:6" x14ac:dyDescent="0.25">
      <c r="A831" s="2" t="s">
        <v>2963</v>
      </c>
      <c r="B831" s="2" t="s">
        <v>2964</v>
      </c>
      <c r="C831" s="2" t="s">
        <v>24</v>
      </c>
      <c r="D831" s="2" t="s">
        <v>17</v>
      </c>
      <c r="E831" s="2">
        <v>25705</v>
      </c>
      <c r="F831" t="s">
        <v>3522</v>
      </c>
    </row>
    <row r="832" spans="1:6" x14ac:dyDescent="0.25">
      <c r="A832" s="2" t="s">
        <v>2966</v>
      </c>
      <c r="B832" s="2" t="s">
        <v>2967</v>
      </c>
      <c r="C832" s="2" t="s">
        <v>44</v>
      </c>
      <c r="D832" s="2" t="s">
        <v>17</v>
      </c>
      <c r="E832" s="2">
        <v>19172</v>
      </c>
      <c r="F832" t="s">
        <v>3522</v>
      </c>
    </row>
    <row r="833" spans="1:6" x14ac:dyDescent="0.25">
      <c r="A833" s="2" t="s">
        <v>2968</v>
      </c>
      <c r="B833" s="2" t="s">
        <v>2969</v>
      </c>
      <c r="C833" s="2" t="s">
        <v>75</v>
      </c>
      <c r="D833" s="2" t="s">
        <v>17</v>
      </c>
      <c r="E833" s="2">
        <v>73167</v>
      </c>
      <c r="F833" t="s">
        <v>3521</v>
      </c>
    </row>
    <row r="834" spans="1:6" x14ac:dyDescent="0.25">
      <c r="A834" s="2" t="s">
        <v>2971</v>
      </c>
      <c r="B834" s="2" t="s">
        <v>2972</v>
      </c>
      <c r="C834" s="2" t="s">
        <v>265</v>
      </c>
      <c r="D834" s="2" t="s">
        <v>17</v>
      </c>
      <c r="E834" s="2">
        <v>34114</v>
      </c>
      <c r="F834" t="s">
        <v>3522</v>
      </c>
    </row>
    <row r="835" spans="1:6" x14ac:dyDescent="0.25">
      <c r="A835" s="2" t="s">
        <v>2974</v>
      </c>
      <c r="B835" s="2" t="s">
        <v>2975</v>
      </c>
      <c r="C835" s="2" t="s">
        <v>104</v>
      </c>
      <c r="D835" s="2" t="s">
        <v>17</v>
      </c>
      <c r="E835" s="2">
        <v>76105</v>
      </c>
      <c r="F835" t="s">
        <v>3521</v>
      </c>
    </row>
    <row r="836" spans="1:6" x14ac:dyDescent="0.25">
      <c r="A836" s="2" t="s">
        <v>2977</v>
      </c>
      <c r="B836" s="2" t="s">
        <v>2978</v>
      </c>
      <c r="C836" s="2" t="s">
        <v>125</v>
      </c>
      <c r="D836" s="2" t="s">
        <v>17</v>
      </c>
      <c r="E836" s="2">
        <v>68117</v>
      </c>
      <c r="F836" t="s">
        <v>3522</v>
      </c>
    </row>
    <row r="837" spans="1:6" x14ac:dyDescent="0.25">
      <c r="A837" s="2" t="s">
        <v>2980</v>
      </c>
      <c r="B837" s="2" t="s">
        <v>2981</v>
      </c>
      <c r="C837" s="2" t="s">
        <v>124</v>
      </c>
      <c r="D837" s="2" t="s">
        <v>17</v>
      </c>
      <c r="E837" s="2">
        <v>85732</v>
      </c>
      <c r="F837" t="s">
        <v>3521</v>
      </c>
    </row>
    <row r="838" spans="1:6" x14ac:dyDescent="0.25">
      <c r="A838" s="2" t="s">
        <v>2983</v>
      </c>
      <c r="B838" s="2" t="s">
        <v>2984</v>
      </c>
      <c r="C838" s="2" t="s">
        <v>347</v>
      </c>
      <c r="D838" s="2" t="s">
        <v>17</v>
      </c>
      <c r="E838" s="2">
        <v>89436</v>
      </c>
      <c r="F838" t="s">
        <v>3522</v>
      </c>
    </row>
    <row r="839" spans="1:6" x14ac:dyDescent="0.25">
      <c r="A839" s="2" t="s">
        <v>2986</v>
      </c>
      <c r="B839" s="2" t="s">
        <v>2987</v>
      </c>
      <c r="C839" s="2" t="s">
        <v>78</v>
      </c>
      <c r="D839" s="2" t="s">
        <v>17</v>
      </c>
      <c r="E839" s="2">
        <v>32835</v>
      </c>
      <c r="F839" t="s">
        <v>3521</v>
      </c>
    </row>
    <row r="840" spans="1:6" x14ac:dyDescent="0.25">
      <c r="A840" s="2" t="s">
        <v>2989</v>
      </c>
      <c r="B840" s="2" t="s">
        <v>2990</v>
      </c>
      <c r="C840" s="2" t="s">
        <v>45</v>
      </c>
      <c r="D840" s="2" t="s">
        <v>17</v>
      </c>
      <c r="E840" s="2">
        <v>20067</v>
      </c>
      <c r="F840" t="s">
        <v>3522</v>
      </c>
    </row>
    <row r="841" spans="1:6" x14ac:dyDescent="0.25">
      <c r="A841" s="2" t="s">
        <v>2992</v>
      </c>
      <c r="B841" s="2" t="s">
        <v>2993</v>
      </c>
      <c r="C841" s="2" t="s">
        <v>205</v>
      </c>
      <c r="D841" s="2" t="s">
        <v>17</v>
      </c>
      <c r="E841" s="2">
        <v>93907</v>
      </c>
      <c r="F841" t="s">
        <v>3522</v>
      </c>
    </row>
    <row r="842" spans="1:6" x14ac:dyDescent="0.25">
      <c r="A842" s="2" t="s">
        <v>2995</v>
      </c>
      <c r="B842" s="2" t="s">
        <v>2996</v>
      </c>
      <c r="C842" s="2" t="s">
        <v>269</v>
      </c>
      <c r="D842" s="2" t="s">
        <v>17</v>
      </c>
      <c r="E842" s="2">
        <v>33345</v>
      </c>
      <c r="F842" t="s">
        <v>3521</v>
      </c>
    </row>
    <row r="843" spans="1:6" x14ac:dyDescent="0.25">
      <c r="A843" s="2" t="s">
        <v>2998</v>
      </c>
      <c r="B843" s="2" t="s">
        <v>2999</v>
      </c>
      <c r="C843" s="2" t="s">
        <v>48</v>
      </c>
      <c r="D843" s="2" t="s">
        <v>17</v>
      </c>
      <c r="E843" s="2">
        <v>88553</v>
      </c>
      <c r="F843" t="s">
        <v>3522</v>
      </c>
    </row>
    <row r="844" spans="1:6" x14ac:dyDescent="0.25">
      <c r="A844" s="2" t="s">
        <v>3001</v>
      </c>
      <c r="B844" s="2" t="s">
        <v>3002</v>
      </c>
      <c r="C844" s="2" t="s">
        <v>442</v>
      </c>
      <c r="D844" s="2" t="s">
        <v>17</v>
      </c>
      <c r="E844" s="2">
        <v>91210</v>
      </c>
      <c r="F844" t="s">
        <v>3521</v>
      </c>
    </row>
    <row r="845" spans="1:6" x14ac:dyDescent="0.25">
      <c r="A845" s="2" t="s">
        <v>3004</v>
      </c>
      <c r="B845" s="2" t="s">
        <v>3005</v>
      </c>
      <c r="C845" s="2" t="s">
        <v>162</v>
      </c>
      <c r="D845" s="2" t="s">
        <v>17</v>
      </c>
      <c r="E845" s="2">
        <v>22313</v>
      </c>
      <c r="F845" t="s">
        <v>3521</v>
      </c>
    </row>
    <row r="846" spans="1:6" x14ac:dyDescent="0.25">
      <c r="A846" s="2" t="s">
        <v>3007</v>
      </c>
      <c r="B846" s="2" t="s">
        <v>3008</v>
      </c>
      <c r="C846" s="2" t="s">
        <v>18</v>
      </c>
      <c r="D846" s="2" t="s">
        <v>17</v>
      </c>
      <c r="E846" s="2">
        <v>21290</v>
      </c>
      <c r="F846" t="s">
        <v>3521</v>
      </c>
    </row>
    <row r="847" spans="1:6" x14ac:dyDescent="0.25">
      <c r="A847" s="2" t="s">
        <v>3010</v>
      </c>
      <c r="B847" s="2" t="s">
        <v>3011</v>
      </c>
      <c r="C847" s="2" t="s">
        <v>93</v>
      </c>
      <c r="D847" s="2" t="s">
        <v>17</v>
      </c>
      <c r="E847" s="2">
        <v>47732</v>
      </c>
      <c r="F847" t="s">
        <v>3522</v>
      </c>
    </row>
    <row r="848" spans="1:6" x14ac:dyDescent="0.25">
      <c r="A848" s="2" t="s">
        <v>3013</v>
      </c>
      <c r="B848" s="2" t="s">
        <v>3014</v>
      </c>
      <c r="C848" s="2" t="s">
        <v>257</v>
      </c>
      <c r="D848" s="2" t="s">
        <v>17</v>
      </c>
      <c r="E848" s="2">
        <v>30045</v>
      </c>
      <c r="F848" t="s">
        <v>3521</v>
      </c>
    </row>
    <row r="849" spans="1:6" x14ac:dyDescent="0.25">
      <c r="A849" s="2" t="s">
        <v>3016</v>
      </c>
      <c r="B849" s="2" t="s">
        <v>3017</v>
      </c>
      <c r="C849" s="2" t="s">
        <v>117</v>
      </c>
      <c r="D849" s="2" t="s">
        <v>17</v>
      </c>
      <c r="E849" s="2">
        <v>36670</v>
      </c>
      <c r="F849" t="s">
        <v>3521</v>
      </c>
    </row>
    <row r="850" spans="1:6" x14ac:dyDescent="0.25">
      <c r="A850" s="2" t="s">
        <v>3019</v>
      </c>
      <c r="B850" s="2" t="s">
        <v>3020</v>
      </c>
      <c r="C850" s="2" t="s">
        <v>210</v>
      </c>
      <c r="D850" s="2" t="s">
        <v>17</v>
      </c>
      <c r="E850" s="2">
        <v>79705</v>
      </c>
      <c r="F850" t="s">
        <v>3522</v>
      </c>
    </row>
    <row r="851" spans="1:6" x14ac:dyDescent="0.25">
      <c r="A851" s="2" t="s">
        <v>3022</v>
      </c>
      <c r="B851" s="2" t="s">
        <v>3023</v>
      </c>
      <c r="C851" s="2" t="s">
        <v>134</v>
      </c>
      <c r="D851" s="2" t="s">
        <v>17</v>
      </c>
      <c r="E851" s="2">
        <v>33023</v>
      </c>
      <c r="F851" t="s">
        <v>3521</v>
      </c>
    </row>
    <row r="852" spans="1:6" x14ac:dyDescent="0.25">
      <c r="A852" s="2" t="s">
        <v>3024</v>
      </c>
      <c r="B852" s="2" t="s">
        <v>3025</v>
      </c>
      <c r="C852" s="2" t="s">
        <v>146</v>
      </c>
      <c r="D852" s="2" t="s">
        <v>17</v>
      </c>
      <c r="E852" s="2">
        <v>66611</v>
      </c>
      <c r="F852" t="s">
        <v>3521</v>
      </c>
    </row>
    <row r="853" spans="1:6" x14ac:dyDescent="0.25">
      <c r="A853" s="2" t="s">
        <v>3027</v>
      </c>
      <c r="B853" s="2" t="s">
        <v>3028</v>
      </c>
      <c r="C853" s="2" t="s">
        <v>235</v>
      </c>
      <c r="D853" s="2" t="s">
        <v>17</v>
      </c>
      <c r="E853" s="2">
        <v>95973</v>
      </c>
      <c r="F853" t="s">
        <v>3521</v>
      </c>
    </row>
    <row r="854" spans="1:6" x14ac:dyDescent="0.25">
      <c r="A854" s="2" t="s">
        <v>3030</v>
      </c>
      <c r="B854" s="2" t="s">
        <v>3031</v>
      </c>
      <c r="C854" s="2" t="s">
        <v>121</v>
      </c>
      <c r="D854" s="2" t="s">
        <v>17</v>
      </c>
      <c r="E854" s="2">
        <v>78737</v>
      </c>
      <c r="F854" t="s">
        <v>3521</v>
      </c>
    </row>
    <row r="855" spans="1:6" x14ac:dyDescent="0.25">
      <c r="A855" s="2" t="s">
        <v>3033</v>
      </c>
      <c r="B855" s="2" t="s">
        <v>3034</v>
      </c>
      <c r="C855" s="2" t="s">
        <v>48</v>
      </c>
      <c r="D855" s="2" t="s">
        <v>17</v>
      </c>
      <c r="E855" s="2">
        <v>88546</v>
      </c>
      <c r="F855" t="s">
        <v>3522</v>
      </c>
    </row>
    <row r="856" spans="1:6" x14ac:dyDescent="0.25">
      <c r="A856" s="2" t="s">
        <v>3036</v>
      </c>
      <c r="B856" s="2" t="s">
        <v>3037</v>
      </c>
      <c r="C856" s="2" t="s">
        <v>46</v>
      </c>
      <c r="D856" s="2" t="s">
        <v>17</v>
      </c>
      <c r="E856" s="2">
        <v>25326</v>
      </c>
      <c r="F856" t="s">
        <v>3521</v>
      </c>
    </row>
    <row r="857" spans="1:6" x14ac:dyDescent="0.25">
      <c r="A857" s="2" t="s">
        <v>3039</v>
      </c>
      <c r="B857" s="2" t="s">
        <v>3040</v>
      </c>
      <c r="C857" s="2" t="s">
        <v>310</v>
      </c>
      <c r="D857" s="2" t="s">
        <v>17</v>
      </c>
      <c r="E857" s="2">
        <v>18105</v>
      </c>
      <c r="F857" t="s">
        <v>3522</v>
      </c>
    </row>
    <row r="858" spans="1:6" x14ac:dyDescent="0.25">
      <c r="A858" s="2" t="s">
        <v>3042</v>
      </c>
      <c r="B858" s="2" t="s">
        <v>3043</v>
      </c>
      <c r="C858" s="2" t="s">
        <v>178</v>
      </c>
      <c r="D858" s="2" t="s">
        <v>26</v>
      </c>
      <c r="E858" s="2" t="s">
        <v>311</v>
      </c>
      <c r="F858" t="s">
        <v>3521</v>
      </c>
    </row>
    <row r="859" spans="1:6" x14ac:dyDescent="0.25">
      <c r="A859" s="2" t="s">
        <v>3045</v>
      </c>
      <c r="B859" s="2" t="s">
        <v>3046</v>
      </c>
      <c r="C859" s="2" t="s">
        <v>306</v>
      </c>
      <c r="D859" s="2" t="s">
        <v>17</v>
      </c>
      <c r="E859" s="2">
        <v>34643</v>
      </c>
      <c r="F859" t="s">
        <v>3522</v>
      </c>
    </row>
    <row r="860" spans="1:6" x14ac:dyDescent="0.25">
      <c r="A860" s="2" t="s">
        <v>3048</v>
      </c>
      <c r="B860" s="2" t="s">
        <v>3049</v>
      </c>
      <c r="C860" s="2" t="s">
        <v>95</v>
      </c>
      <c r="D860" s="2" t="s">
        <v>17</v>
      </c>
      <c r="E860" s="2">
        <v>58122</v>
      </c>
      <c r="F860" t="s">
        <v>3522</v>
      </c>
    </row>
    <row r="861" spans="1:6" x14ac:dyDescent="0.25">
      <c r="A861" s="2" t="s">
        <v>3051</v>
      </c>
      <c r="B861" s="2" t="s">
        <v>3052</v>
      </c>
      <c r="C861" s="2" t="s">
        <v>2610</v>
      </c>
      <c r="D861" s="2" t="s">
        <v>17</v>
      </c>
      <c r="E861" s="2">
        <v>72905</v>
      </c>
      <c r="F861" t="s">
        <v>3522</v>
      </c>
    </row>
    <row r="862" spans="1:6" x14ac:dyDescent="0.25">
      <c r="A862" s="2" t="s">
        <v>3054</v>
      </c>
      <c r="B862" s="2" t="s">
        <v>3055</v>
      </c>
      <c r="C862" s="2" t="s">
        <v>315</v>
      </c>
      <c r="D862" s="2" t="s">
        <v>17</v>
      </c>
      <c r="E862" s="2">
        <v>33811</v>
      </c>
      <c r="F862" t="s">
        <v>3522</v>
      </c>
    </row>
    <row r="863" spans="1:6" x14ac:dyDescent="0.25">
      <c r="A863" s="2" t="s">
        <v>3057</v>
      </c>
      <c r="B863" s="2" t="s">
        <v>3058</v>
      </c>
      <c r="C863" s="2" t="s">
        <v>47</v>
      </c>
      <c r="D863" s="2" t="s">
        <v>17</v>
      </c>
      <c r="E863" s="2">
        <v>37924</v>
      </c>
      <c r="F863" t="s">
        <v>3521</v>
      </c>
    </row>
    <row r="864" spans="1:6" x14ac:dyDescent="0.25">
      <c r="A864" s="2" t="s">
        <v>3060</v>
      </c>
      <c r="B864" s="2" t="s">
        <v>3061</v>
      </c>
      <c r="C864" s="2" t="s">
        <v>25</v>
      </c>
      <c r="D864" s="2" t="s">
        <v>17</v>
      </c>
      <c r="E864" s="2">
        <v>90030</v>
      </c>
      <c r="F864" t="s">
        <v>3521</v>
      </c>
    </row>
    <row r="865" spans="1:6" x14ac:dyDescent="0.25">
      <c r="A865" s="2" t="s">
        <v>3063</v>
      </c>
      <c r="B865" s="2" t="s">
        <v>3064</v>
      </c>
      <c r="C865" s="2" t="s">
        <v>90</v>
      </c>
      <c r="D865" s="2" t="s">
        <v>17</v>
      </c>
      <c r="E865" s="2">
        <v>33169</v>
      </c>
      <c r="F865" t="s">
        <v>3521</v>
      </c>
    </row>
    <row r="866" spans="1:6" x14ac:dyDescent="0.25">
      <c r="A866" s="2" t="s">
        <v>3066</v>
      </c>
      <c r="B866" s="2" t="s">
        <v>3067</v>
      </c>
      <c r="C866" s="2" t="s">
        <v>479</v>
      </c>
      <c r="D866" s="2" t="s">
        <v>314</v>
      </c>
      <c r="E866" s="2" t="s">
        <v>480</v>
      </c>
      <c r="F866" t="s">
        <v>3522</v>
      </c>
    </row>
    <row r="867" spans="1:6" x14ac:dyDescent="0.25">
      <c r="A867" s="2" t="s">
        <v>3069</v>
      </c>
      <c r="B867" s="2" t="s">
        <v>3070</v>
      </c>
      <c r="C867" s="2" t="s">
        <v>54</v>
      </c>
      <c r="D867" s="2" t="s">
        <v>17</v>
      </c>
      <c r="E867" s="2">
        <v>60604</v>
      </c>
      <c r="F867" t="s">
        <v>3521</v>
      </c>
    </row>
    <row r="868" spans="1:6" x14ac:dyDescent="0.25">
      <c r="A868" s="2" t="s">
        <v>3072</v>
      </c>
      <c r="B868" s="2" t="s">
        <v>3073</v>
      </c>
      <c r="C868" s="2" t="s">
        <v>441</v>
      </c>
      <c r="D868" s="2" t="s">
        <v>314</v>
      </c>
      <c r="E868" s="2" t="s">
        <v>384</v>
      </c>
      <c r="F868" t="s">
        <v>3522</v>
      </c>
    </row>
    <row r="869" spans="1:6" x14ac:dyDescent="0.25">
      <c r="A869" s="2" t="s">
        <v>3075</v>
      </c>
      <c r="B869" s="2" t="s">
        <v>3076</v>
      </c>
      <c r="C869" s="2" t="s">
        <v>474</v>
      </c>
      <c r="D869" s="2" t="s">
        <v>314</v>
      </c>
      <c r="E869" s="2" t="s">
        <v>475</v>
      </c>
      <c r="F869" t="s">
        <v>3521</v>
      </c>
    </row>
    <row r="870" spans="1:6" x14ac:dyDescent="0.25">
      <c r="A870" s="2" t="s">
        <v>3078</v>
      </c>
      <c r="B870" s="2" t="s">
        <v>3079</v>
      </c>
      <c r="C870" s="2" t="s">
        <v>119</v>
      </c>
      <c r="D870" s="2" t="s">
        <v>17</v>
      </c>
      <c r="E870" s="2">
        <v>33064</v>
      </c>
      <c r="F870" t="s">
        <v>3521</v>
      </c>
    </row>
    <row r="871" spans="1:6" x14ac:dyDescent="0.25">
      <c r="A871" s="2" t="s">
        <v>3081</v>
      </c>
      <c r="B871" s="2" t="s">
        <v>3082</v>
      </c>
      <c r="C871" s="2" t="s">
        <v>129</v>
      </c>
      <c r="D871" s="2" t="s">
        <v>17</v>
      </c>
      <c r="E871" s="2">
        <v>94297</v>
      </c>
      <c r="F871" t="s">
        <v>3521</v>
      </c>
    </row>
    <row r="872" spans="1:6" x14ac:dyDescent="0.25">
      <c r="A872" s="2" t="s">
        <v>3084</v>
      </c>
      <c r="B872" s="2" t="s">
        <v>3085</v>
      </c>
      <c r="C872" s="2" t="s">
        <v>343</v>
      </c>
      <c r="D872" s="2" t="s">
        <v>314</v>
      </c>
      <c r="E872" s="2" t="s">
        <v>344</v>
      </c>
      <c r="F872" t="s">
        <v>3521</v>
      </c>
    </row>
    <row r="873" spans="1:6" x14ac:dyDescent="0.25">
      <c r="A873" s="2" t="s">
        <v>3087</v>
      </c>
      <c r="B873" s="2" t="s">
        <v>3088</v>
      </c>
      <c r="C873" s="2" t="s">
        <v>3089</v>
      </c>
      <c r="D873" s="2" t="s">
        <v>26</v>
      </c>
      <c r="E873" s="2" t="s">
        <v>3090</v>
      </c>
      <c r="F873" t="s">
        <v>3521</v>
      </c>
    </row>
    <row r="874" spans="1:6" x14ac:dyDescent="0.25">
      <c r="A874" s="2" t="s">
        <v>3092</v>
      </c>
      <c r="B874" s="2" t="s">
        <v>3093</v>
      </c>
      <c r="C874" s="2" t="s">
        <v>169</v>
      </c>
      <c r="D874" s="2" t="s">
        <v>17</v>
      </c>
      <c r="E874" s="2">
        <v>28805</v>
      </c>
      <c r="F874" t="s">
        <v>3522</v>
      </c>
    </row>
    <row r="875" spans="1:6" x14ac:dyDescent="0.25">
      <c r="A875" s="2" t="s">
        <v>3095</v>
      </c>
      <c r="B875" s="2" t="s">
        <v>3096</v>
      </c>
      <c r="C875" s="2" t="s">
        <v>46</v>
      </c>
      <c r="D875" s="2" t="s">
        <v>17</v>
      </c>
      <c r="E875" s="2">
        <v>25362</v>
      </c>
      <c r="F875" t="s">
        <v>3521</v>
      </c>
    </row>
    <row r="876" spans="1:6" x14ac:dyDescent="0.25">
      <c r="A876" s="2" t="s">
        <v>3098</v>
      </c>
      <c r="B876" s="2" t="s">
        <v>3099</v>
      </c>
      <c r="C876" s="2" t="s">
        <v>61</v>
      </c>
      <c r="D876" s="2" t="s">
        <v>17</v>
      </c>
      <c r="E876" s="2">
        <v>77281</v>
      </c>
      <c r="F876" t="s">
        <v>3522</v>
      </c>
    </row>
    <row r="877" spans="1:6" x14ac:dyDescent="0.25">
      <c r="A877" s="2" t="s">
        <v>3101</v>
      </c>
      <c r="B877" s="2" t="s">
        <v>3102</v>
      </c>
      <c r="C877" s="2" t="s">
        <v>380</v>
      </c>
      <c r="D877" s="2" t="s">
        <v>314</v>
      </c>
      <c r="E877" s="2" t="s">
        <v>365</v>
      </c>
      <c r="F877" t="s">
        <v>3522</v>
      </c>
    </row>
    <row r="878" spans="1:6" x14ac:dyDescent="0.25">
      <c r="A878" s="2" t="s">
        <v>3103</v>
      </c>
      <c r="B878" s="2" t="s">
        <v>3104</v>
      </c>
      <c r="C878" s="2" t="s">
        <v>45</v>
      </c>
      <c r="D878" s="2" t="s">
        <v>17</v>
      </c>
      <c r="E878" s="2">
        <v>20575</v>
      </c>
      <c r="F878" t="s">
        <v>3521</v>
      </c>
    </row>
    <row r="879" spans="1:6" x14ac:dyDescent="0.25">
      <c r="A879" s="2" t="s">
        <v>3106</v>
      </c>
      <c r="B879" s="2" t="s">
        <v>3107</v>
      </c>
      <c r="C879" s="2" t="s">
        <v>197</v>
      </c>
      <c r="D879" s="2" t="s">
        <v>17</v>
      </c>
      <c r="E879" s="2">
        <v>7195</v>
      </c>
      <c r="F879" t="s">
        <v>3522</v>
      </c>
    </row>
    <row r="880" spans="1:6" x14ac:dyDescent="0.25">
      <c r="A880" s="2" t="s">
        <v>3109</v>
      </c>
      <c r="B880" s="2" t="s">
        <v>3110</v>
      </c>
      <c r="C880" s="2" t="s">
        <v>103</v>
      </c>
      <c r="D880" s="2" t="s">
        <v>17</v>
      </c>
      <c r="E880" s="2">
        <v>98195</v>
      </c>
      <c r="F880" t="s">
        <v>3521</v>
      </c>
    </row>
    <row r="881" spans="1:6" x14ac:dyDescent="0.25">
      <c r="A881" s="2" t="s">
        <v>3112</v>
      </c>
      <c r="B881" s="2" t="s">
        <v>3113</v>
      </c>
      <c r="C881" s="2" t="s">
        <v>155</v>
      </c>
      <c r="D881" s="2" t="s">
        <v>17</v>
      </c>
      <c r="E881" s="2">
        <v>80150</v>
      </c>
      <c r="F881" t="s">
        <v>3522</v>
      </c>
    </row>
    <row r="882" spans="1:6" x14ac:dyDescent="0.25">
      <c r="A882" s="2" t="s">
        <v>3115</v>
      </c>
      <c r="B882" s="2" t="s">
        <v>3116</v>
      </c>
      <c r="C882" s="2" t="s">
        <v>154</v>
      </c>
      <c r="D882" s="2" t="s">
        <v>17</v>
      </c>
      <c r="E882" s="2">
        <v>61105</v>
      </c>
      <c r="F882" t="s">
        <v>3522</v>
      </c>
    </row>
    <row r="883" spans="1:6" x14ac:dyDescent="0.25">
      <c r="A883" s="2" t="s">
        <v>3118</v>
      </c>
      <c r="B883" s="2" t="s">
        <v>3119</v>
      </c>
      <c r="C883" s="2" t="s">
        <v>250</v>
      </c>
      <c r="D883" s="2" t="s">
        <v>17</v>
      </c>
      <c r="E883" s="2">
        <v>59112</v>
      </c>
      <c r="F883" t="s">
        <v>3521</v>
      </c>
    </row>
    <row r="884" spans="1:6" x14ac:dyDescent="0.25">
      <c r="A884" s="2" t="s">
        <v>3121</v>
      </c>
      <c r="B884" s="2" t="s">
        <v>3122</v>
      </c>
      <c r="C884" s="2" t="s">
        <v>82</v>
      </c>
      <c r="D884" s="2" t="s">
        <v>17</v>
      </c>
      <c r="E884" s="2">
        <v>31165</v>
      </c>
      <c r="F884" t="s">
        <v>3522</v>
      </c>
    </row>
    <row r="885" spans="1:6" x14ac:dyDescent="0.25">
      <c r="A885" s="2" t="s">
        <v>3124</v>
      </c>
      <c r="B885" s="2" t="s">
        <v>3125</v>
      </c>
      <c r="C885" s="2" t="s">
        <v>88</v>
      </c>
      <c r="D885" s="2" t="s">
        <v>17</v>
      </c>
      <c r="E885" s="2">
        <v>74108</v>
      </c>
      <c r="F885" t="s">
        <v>3521</v>
      </c>
    </row>
    <row r="886" spans="1:6" x14ac:dyDescent="0.25">
      <c r="A886" s="2" t="s">
        <v>3127</v>
      </c>
      <c r="B886" s="2" t="s">
        <v>3128</v>
      </c>
      <c r="C886" s="2" t="s">
        <v>28</v>
      </c>
      <c r="D886" s="2" t="s">
        <v>17</v>
      </c>
      <c r="E886" s="2">
        <v>93704</v>
      </c>
      <c r="F886" t="s">
        <v>3521</v>
      </c>
    </row>
    <row r="887" spans="1:6" x14ac:dyDescent="0.25">
      <c r="A887" s="2" t="s">
        <v>3130</v>
      </c>
      <c r="B887" s="2" t="s">
        <v>3131</v>
      </c>
      <c r="C887" s="2" t="s">
        <v>460</v>
      </c>
      <c r="D887" s="2" t="s">
        <v>314</v>
      </c>
      <c r="E887" s="2" t="s">
        <v>317</v>
      </c>
      <c r="F887" t="s">
        <v>3522</v>
      </c>
    </row>
    <row r="888" spans="1:6" x14ac:dyDescent="0.25">
      <c r="A888" s="2" t="s">
        <v>3133</v>
      </c>
      <c r="B888" s="2" t="s">
        <v>3134</v>
      </c>
      <c r="C888" s="2" t="s">
        <v>148</v>
      </c>
      <c r="D888" s="2" t="s">
        <v>17</v>
      </c>
      <c r="E888" s="2">
        <v>94154</v>
      </c>
      <c r="F888" t="s">
        <v>3522</v>
      </c>
    </row>
    <row r="889" spans="1:6" x14ac:dyDescent="0.25">
      <c r="A889" s="2" t="s">
        <v>3136</v>
      </c>
      <c r="B889" s="2" t="s">
        <v>3137</v>
      </c>
      <c r="C889" s="2" t="s">
        <v>117</v>
      </c>
      <c r="D889" s="2" t="s">
        <v>17</v>
      </c>
      <c r="E889" s="2">
        <v>36689</v>
      </c>
      <c r="F889" t="s">
        <v>3522</v>
      </c>
    </row>
    <row r="890" spans="1:6" x14ac:dyDescent="0.25">
      <c r="A890" s="2" t="s">
        <v>3139</v>
      </c>
      <c r="B890" s="2" t="s">
        <v>3140</v>
      </c>
      <c r="C890" s="2" t="s">
        <v>148</v>
      </c>
      <c r="D890" s="2" t="s">
        <v>17</v>
      </c>
      <c r="E890" s="2">
        <v>94110</v>
      </c>
      <c r="F890" t="s">
        <v>3521</v>
      </c>
    </row>
    <row r="891" spans="1:6" x14ac:dyDescent="0.25">
      <c r="A891" s="2" t="s">
        <v>3142</v>
      </c>
      <c r="B891" s="2" t="s">
        <v>3143</v>
      </c>
      <c r="C891" s="2" t="s">
        <v>130</v>
      </c>
      <c r="D891" s="2" t="s">
        <v>17</v>
      </c>
      <c r="E891" s="2">
        <v>11470</v>
      </c>
      <c r="F891" t="s">
        <v>3521</v>
      </c>
    </row>
    <row r="892" spans="1:6" x14ac:dyDescent="0.25">
      <c r="A892" s="2" t="s">
        <v>3145</v>
      </c>
      <c r="B892" s="2" t="s">
        <v>3146</v>
      </c>
      <c r="C892" s="2" t="s">
        <v>40</v>
      </c>
      <c r="D892" s="2" t="s">
        <v>17</v>
      </c>
      <c r="E892" s="2">
        <v>80243</v>
      </c>
      <c r="F892" t="s">
        <v>3521</v>
      </c>
    </row>
    <row r="893" spans="1:6" x14ac:dyDescent="0.25">
      <c r="A893" s="2" t="s">
        <v>3148</v>
      </c>
      <c r="B893" s="2" t="s">
        <v>3149</v>
      </c>
      <c r="C893" s="2" t="s">
        <v>56</v>
      </c>
      <c r="D893" s="2" t="s">
        <v>17</v>
      </c>
      <c r="E893" s="2">
        <v>92165</v>
      </c>
      <c r="F893" t="s">
        <v>3521</v>
      </c>
    </row>
    <row r="894" spans="1:6" x14ac:dyDescent="0.25">
      <c r="A894" s="2" t="s">
        <v>3151</v>
      </c>
      <c r="B894" s="2" t="s">
        <v>3152</v>
      </c>
      <c r="C894" s="2" t="s">
        <v>302</v>
      </c>
      <c r="D894" s="2" t="s">
        <v>26</v>
      </c>
      <c r="E894" s="2" t="s">
        <v>303</v>
      </c>
      <c r="F894" t="s">
        <v>3522</v>
      </c>
    </row>
    <row r="895" spans="1:6" x14ac:dyDescent="0.25">
      <c r="A895" s="2" t="s">
        <v>3154</v>
      </c>
      <c r="B895" s="2" t="s">
        <v>3155</v>
      </c>
      <c r="C895" s="2" t="s">
        <v>106</v>
      </c>
      <c r="D895" s="2" t="s">
        <v>17</v>
      </c>
      <c r="E895" s="2">
        <v>15250</v>
      </c>
      <c r="F895" t="s">
        <v>3521</v>
      </c>
    </row>
    <row r="896" spans="1:6" x14ac:dyDescent="0.25">
      <c r="A896" s="2" t="s">
        <v>3157</v>
      </c>
      <c r="B896" s="2" t="s">
        <v>3158</v>
      </c>
      <c r="C896" s="2" t="s">
        <v>477</v>
      </c>
      <c r="D896" s="2" t="s">
        <v>314</v>
      </c>
      <c r="E896" s="2" t="s">
        <v>357</v>
      </c>
      <c r="F896" t="s">
        <v>3521</v>
      </c>
    </row>
    <row r="897" spans="1:6" x14ac:dyDescent="0.25">
      <c r="A897" s="2" t="s">
        <v>3160</v>
      </c>
      <c r="B897" s="2" t="s">
        <v>3161</v>
      </c>
      <c r="C897" s="2" t="s">
        <v>55</v>
      </c>
      <c r="D897" s="2" t="s">
        <v>17</v>
      </c>
      <c r="E897" s="2">
        <v>10004</v>
      </c>
      <c r="F897" t="s">
        <v>3522</v>
      </c>
    </row>
    <row r="898" spans="1:6" x14ac:dyDescent="0.25">
      <c r="A898" s="2" t="s">
        <v>3163</v>
      </c>
      <c r="B898" s="2" t="s">
        <v>3164</v>
      </c>
      <c r="C898" s="2" t="s">
        <v>103</v>
      </c>
      <c r="D898" s="2" t="s">
        <v>17</v>
      </c>
      <c r="E898" s="2">
        <v>98148</v>
      </c>
      <c r="F898" t="s">
        <v>3521</v>
      </c>
    </row>
    <row r="899" spans="1:6" x14ac:dyDescent="0.25">
      <c r="A899" s="2" t="s">
        <v>3166</v>
      </c>
      <c r="B899" s="2" t="s">
        <v>3167</v>
      </c>
      <c r="C899" s="2" t="s">
        <v>142</v>
      </c>
      <c r="D899" s="2" t="s">
        <v>26</v>
      </c>
      <c r="E899" s="2" t="s">
        <v>143</v>
      </c>
      <c r="F899" t="s">
        <v>3522</v>
      </c>
    </row>
    <row r="900" spans="1:6" x14ac:dyDescent="0.25">
      <c r="A900" s="2" t="s">
        <v>3169</v>
      </c>
      <c r="B900" s="2" t="s">
        <v>3170</v>
      </c>
      <c r="C900" s="2" t="s">
        <v>274</v>
      </c>
      <c r="D900" s="2" t="s">
        <v>17</v>
      </c>
      <c r="E900" s="2">
        <v>49018</v>
      </c>
      <c r="F900" t="s">
        <v>3522</v>
      </c>
    </row>
    <row r="901" spans="1:6" x14ac:dyDescent="0.25">
      <c r="A901" s="2" t="s">
        <v>3172</v>
      </c>
      <c r="B901" s="2" t="s">
        <v>3173</v>
      </c>
      <c r="C901" s="2" t="s">
        <v>433</v>
      </c>
      <c r="D901" s="2" t="s">
        <v>314</v>
      </c>
      <c r="E901" s="2" t="s">
        <v>434</v>
      </c>
      <c r="F901" t="s">
        <v>3521</v>
      </c>
    </row>
    <row r="902" spans="1:6" x14ac:dyDescent="0.25">
      <c r="A902" s="2" t="s">
        <v>3175</v>
      </c>
      <c r="B902" s="2" t="s">
        <v>3176</v>
      </c>
      <c r="C902" s="2" t="s">
        <v>405</v>
      </c>
      <c r="D902" s="2" t="s">
        <v>314</v>
      </c>
      <c r="E902" s="2" t="s">
        <v>406</v>
      </c>
      <c r="F902" t="s">
        <v>3522</v>
      </c>
    </row>
    <row r="903" spans="1:6" x14ac:dyDescent="0.25">
      <c r="A903" s="2" t="s">
        <v>3178</v>
      </c>
      <c r="B903" s="2" t="s">
        <v>3179</v>
      </c>
      <c r="C903" s="2" t="s">
        <v>61</v>
      </c>
      <c r="D903" s="2" t="s">
        <v>17</v>
      </c>
      <c r="E903" s="2">
        <v>77070</v>
      </c>
      <c r="F903" t="s">
        <v>3521</v>
      </c>
    </row>
    <row r="904" spans="1:6" x14ac:dyDescent="0.25">
      <c r="A904" s="2" t="s">
        <v>3181</v>
      </c>
      <c r="B904" s="2" t="s">
        <v>3182</v>
      </c>
      <c r="C904" s="2" t="s">
        <v>49</v>
      </c>
      <c r="D904" s="2" t="s">
        <v>17</v>
      </c>
      <c r="E904" s="2">
        <v>45249</v>
      </c>
      <c r="F904" t="s">
        <v>3522</v>
      </c>
    </row>
    <row r="905" spans="1:6" x14ac:dyDescent="0.25">
      <c r="A905" s="2" t="s">
        <v>3184</v>
      </c>
      <c r="B905" s="2" t="s">
        <v>3185</v>
      </c>
      <c r="C905" s="2" t="s">
        <v>28</v>
      </c>
      <c r="D905" s="2" t="s">
        <v>17</v>
      </c>
      <c r="E905" s="2">
        <v>93704</v>
      </c>
      <c r="F905" t="s">
        <v>3522</v>
      </c>
    </row>
    <row r="906" spans="1:6" x14ac:dyDescent="0.25">
      <c r="A906" s="2" t="s">
        <v>3187</v>
      </c>
      <c r="B906" s="2" t="s">
        <v>3188</v>
      </c>
      <c r="C906" s="2" t="s">
        <v>171</v>
      </c>
      <c r="D906" s="2" t="s">
        <v>17</v>
      </c>
      <c r="E906" s="2">
        <v>55123</v>
      </c>
      <c r="F906" t="s">
        <v>3522</v>
      </c>
    </row>
    <row r="907" spans="1:6" x14ac:dyDescent="0.25">
      <c r="A907" s="2" t="s">
        <v>3190</v>
      </c>
      <c r="B907" s="2" t="s">
        <v>3191</v>
      </c>
      <c r="C907" s="2" t="s">
        <v>48</v>
      </c>
      <c r="D907" s="2" t="s">
        <v>17</v>
      </c>
      <c r="E907" s="2">
        <v>88519</v>
      </c>
      <c r="F907" t="s">
        <v>3521</v>
      </c>
    </row>
    <row r="908" spans="1:6" x14ac:dyDescent="0.25">
      <c r="A908" s="2" t="s">
        <v>3193</v>
      </c>
      <c r="B908" s="2" t="s">
        <v>3194</v>
      </c>
      <c r="C908" s="2" t="s">
        <v>167</v>
      </c>
      <c r="D908" s="2" t="s">
        <v>17</v>
      </c>
      <c r="E908" s="2">
        <v>50981</v>
      </c>
      <c r="F908" t="s">
        <v>3521</v>
      </c>
    </row>
    <row r="909" spans="1:6" x14ac:dyDescent="0.25">
      <c r="A909" s="2" t="s">
        <v>3196</v>
      </c>
      <c r="B909" s="2" t="s">
        <v>3197</v>
      </c>
      <c r="C909" s="2" t="s">
        <v>187</v>
      </c>
      <c r="D909" s="2" t="s">
        <v>17</v>
      </c>
      <c r="E909" s="2">
        <v>97240</v>
      </c>
      <c r="F909" t="s">
        <v>3522</v>
      </c>
    </row>
    <row r="910" spans="1:6" x14ac:dyDescent="0.25">
      <c r="A910" s="2" t="s">
        <v>3199</v>
      </c>
      <c r="B910" s="2" t="s">
        <v>3200</v>
      </c>
      <c r="C910" s="2" t="s">
        <v>61</v>
      </c>
      <c r="D910" s="2" t="s">
        <v>17</v>
      </c>
      <c r="E910" s="2">
        <v>77070</v>
      </c>
      <c r="F910" t="s">
        <v>3522</v>
      </c>
    </row>
    <row r="911" spans="1:6" x14ac:dyDescent="0.25">
      <c r="A911" s="2" t="s">
        <v>3202</v>
      </c>
      <c r="B911" s="2" t="s">
        <v>3203</v>
      </c>
      <c r="C911" s="2" t="s">
        <v>29</v>
      </c>
      <c r="D911" s="2" t="s">
        <v>17</v>
      </c>
      <c r="E911" s="2">
        <v>27705</v>
      </c>
      <c r="F911" t="s">
        <v>3522</v>
      </c>
    </row>
    <row r="912" spans="1:6" x14ac:dyDescent="0.25">
      <c r="A912" s="2" t="s">
        <v>3205</v>
      </c>
      <c r="B912" s="2" t="s">
        <v>3206</v>
      </c>
      <c r="C912" s="2" t="s">
        <v>239</v>
      </c>
      <c r="D912" s="2" t="s">
        <v>17</v>
      </c>
      <c r="E912" s="2">
        <v>2298</v>
      </c>
      <c r="F912" t="s">
        <v>3522</v>
      </c>
    </row>
    <row r="913" spans="1:6" x14ac:dyDescent="0.25">
      <c r="A913" s="2" t="s">
        <v>3208</v>
      </c>
      <c r="B913" s="2" t="s">
        <v>3209</v>
      </c>
      <c r="C913" s="2" t="s">
        <v>45</v>
      </c>
      <c r="D913" s="2" t="s">
        <v>17</v>
      </c>
      <c r="E913" s="2">
        <v>20226</v>
      </c>
      <c r="F913" t="s">
        <v>3521</v>
      </c>
    </row>
    <row r="914" spans="1:6" x14ac:dyDescent="0.25">
      <c r="A914" s="2" t="s">
        <v>3211</v>
      </c>
      <c r="B914" s="2" t="s">
        <v>3212</v>
      </c>
      <c r="C914" s="2" t="s">
        <v>196</v>
      </c>
      <c r="D914" s="2" t="s">
        <v>17</v>
      </c>
      <c r="E914" s="2">
        <v>12205</v>
      </c>
      <c r="F914" t="s">
        <v>3521</v>
      </c>
    </row>
    <row r="915" spans="1:6" x14ac:dyDescent="0.25">
      <c r="A915" s="2" t="s">
        <v>3214</v>
      </c>
      <c r="B915" s="2" t="s">
        <v>3215</v>
      </c>
      <c r="C915" s="2" t="s">
        <v>124</v>
      </c>
      <c r="D915" s="2" t="s">
        <v>17</v>
      </c>
      <c r="E915" s="2">
        <v>85732</v>
      </c>
      <c r="F915" t="s">
        <v>3522</v>
      </c>
    </row>
    <row r="916" spans="1:6" x14ac:dyDescent="0.25">
      <c r="A916" s="2" t="s">
        <v>3217</v>
      </c>
      <c r="B916" s="2" t="s">
        <v>3218</v>
      </c>
      <c r="C916" s="2" t="s">
        <v>185</v>
      </c>
      <c r="D916" s="2" t="s">
        <v>17</v>
      </c>
      <c r="E916" s="2">
        <v>36195</v>
      </c>
      <c r="F916" t="s">
        <v>3522</v>
      </c>
    </row>
    <row r="917" spans="1:6" x14ac:dyDescent="0.25">
      <c r="A917" s="2" t="s">
        <v>3220</v>
      </c>
      <c r="B917" s="2" t="s">
        <v>3221</v>
      </c>
      <c r="C917" s="2" t="s">
        <v>203</v>
      </c>
      <c r="D917" s="2" t="s">
        <v>17</v>
      </c>
      <c r="E917" s="2">
        <v>99709</v>
      </c>
      <c r="F917" t="s">
        <v>3521</v>
      </c>
    </row>
    <row r="918" spans="1:6" x14ac:dyDescent="0.25">
      <c r="A918" s="2" t="s">
        <v>3223</v>
      </c>
      <c r="B918" s="2" t="s">
        <v>3224</v>
      </c>
      <c r="C918" s="2" t="s">
        <v>1811</v>
      </c>
      <c r="D918" s="2" t="s">
        <v>314</v>
      </c>
      <c r="E918" s="2" t="s">
        <v>391</v>
      </c>
      <c r="F918" t="s">
        <v>3521</v>
      </c>
    </row>
    <row r="919" spans="1:6" x14ac:dyDescent="0.25">
      <c r="A919" s="2" t="s">
        <v>3226</v>
      </c>
      <c r="B919" s="2" t="s">
        <v>3227</v>
      </c>
      <c r="C919" s="2" t="s">
        <v>218</v>
      </c>
      <c r="D919" s="2" t="s">
        <v>26</v>
      </c>
      <c r="E919" s="2" t="s">
        <v>219</v>
      </c>
      <c r="F919" t="s">
        <v>3522</v>
      </c>
    </row>
    <row r="920" spans="1:6" x14ac:dyDescent="0.25">
      <c r="A920" s="2" t="s">
        <v>3228</v>
      </c>
      <c r="B920" s="2" t="s">
        <v>3229</v>
      </c>
      <c r="C920" s="2" t="s">
        <v>207</v>
      </c>
      <c r="D920" s="2" t="s">
        <v>17</v>
      </c>
      <c r="E920" s="2">
        <v>34615</v>
      </c>
      <c r="F920" t="s">
        <v>3522</v>
      </c>
    </row>
    <row r="921" spans="1:6" x14ac:dyDescent="0.25">
      <c r="A921" s="2" t="s">
        <v>3231</v>
      </c>
      <c r="B921" s="2" t="s">
        <v>3232</v>
      </c>
      <c r="C921" s="2" t="s">
        <v>41</v>
      </c>
      <c r="D921" s="2" t="s">
        <v>17</v>
      </c>
      <c r="E921" s="2">
        <v>40515</v>
      </c>
      <c r="F921" t="s">
        <v>3521</v>
      </c>
    </row>
    <row r="922" spans="1:6" x14ac:dyDescent="0.25">
      <c r="A922" s="2" t="s">
        <v>3234</v>
      </c>
      <c r="B922" s="2" t="s">
        <v>3235</v>
      </c>
      <c r="C922" s="2" t="s">
        <v>181</v>
      </c>
      <c r="D922" s="2" t="s">
        <v>17</v>
      </c>
      <c r="E922" s="2">
        <v>49560</v>
      </c>
      <c r="F922" t="s">
        <v>3522</v>
      </c>
    </row>
    <row r="923" spans="1:6" x14ac:dyDescent="0.25">
      <c r="A923" s="2" t="s">
        <v>3237</v>
      </c>
      <c r="B923" s="2" t="s">
        <v>3238</v>
      </c>
      <c r="C923" s="2" t="s">
        <v>167</v>
      </c>
      <c r="D923" s="2" t="s">
        <v>17</v>
      </c>
      <c r="E923" s="2">
        <v>50369</v>
      </c>
      <c r="F923" t="s">
        <v>3522</v>
      </c>
    </row>
    <row r="924" spans="1:6" x14ac:dyDescent="0.25">
      <c r="A924" s="2" t="s">
        <v>3240</v>
      </c>
      <c r="B924" s="2" t="s">
        <v>3241</v>
      </c>
      <c r="C924" s="2" t="s">
        <v>166</v>
      </c>
      <c r="D924" s="2" t="s">
        <v>17</v>
      </c>
      <c r="E924" s="2">
        <v>19810</v>
      </c>
      <c r="F924" t="s">
        <v>3521</v>
      </c>
    </row>
    <row r="925" spans="1:6" x14ac:dyDescent="0.25">
      <c r="A925" s="2" t="s">
        <v>3243</v>
      </c>
      <c r="B925" s="2" t="s">
        <v>3244</v>
      </c>
      <c r="C925" s="2" t="s">
        <v>121</v>
      </c>
      <c r="D925" s="2" t="s">
        <v>17</v>
      </c>
      <c r="E925" s="2">
        <v>78726</v>
      </c>
      <c r="F925" t="s">
        <v>3522</v>
      </c>
    </row>
    <row r="926" spans="1:6" x14ac:dyDescent="0.25">
      <c r="A926" s="2" t="s">
        <v>3246</v>
      </c>
      <c r="B926" s="2" t="s">
        <v>3247</v>
      </c>
      <c r="C926" s="2" t="s">
        <v>78</v>
      </c>
      <c r="D926" s="2" t="s">
        <v>17</v>
      </c>
      <c r="E926" s="2">
        <v>32835</v>
      </c>
      <c r="F926" t="s">
        <v>3522</v>
      </c>
    </row>
    <row r="927" spans="1:6" x14ac:dyDescent="0.25">
      <c r="A927" s="2" t="s">
        <v>3249</v>
      </c>
      <c r="B927" s="2" t="s">
        <v>3250</v>
      </c>
      <c r="C927" s="2" t="s">
        <v>85</v>
      </c>
      <c r="D927" s="2" t="s">
        <v>17</v>
      </c>
      <c r="E927" s="2">
        <v>91199</v>
      </c>
      <c r="F927" t="s">
        <v>3521</v>
      </c>
    </row>
    <row r="928" spans="1:6" x14ac:dyDescent="0.25">
      <c r="A928" s="2" t="s">
        <v>3252</v>
      </c>
      <c r="B928" s="2" t="s">
        <v>3253</v>
      </c>
      <c r="C928" s="2" t="s">
        <v>45</v>
      </c>
      <c r="D928" s="2" t="s">
        <v>17</v>
      </c>
      <c r="E928" s="2">
        <v>20238</v>
      </c>
      <c r="F928" t="s">
        <v>3521</v>
      </c>
    </row>
    <row r="929" spans="1:6" x14ac:dyDescent="0.25">
      <c r="A929" s="2" t="s">
        <v>3255</v>
      </c>
      <c r="B929" s="2" t="s">
        <v>3256</v>
      </c>
      <c r="C929" s="2" t="s">
        <v>187</v>
      </c>
      <c r="D929" s="2" t="s">
        <v>17</v>
      </c>
      <c r="E929" s="2">
        <v>97271</v>
      </c>
      <c r="F929" t="s">
        <v>3522</v>
      </c>
    </row>
    <row r="930" spans="1:6" x14ac:dyDescent="0.25">
      <c r="A930" s="2" t="s">
        <v>3258</v>
      </c>
      <c r="B930" s="2" t="s">
        <v>3259</v>
      </c>
      <c r="C930" s="2" t="s">
        <v>55</v>
      </c>
      <c r="D930" s="2" t="s">
        <v>17</v>
      </c>
      <c r="E930" s="2">
        <v>10004</v>
      </c>
      <c r="F930" t="s">
        <v>3521</v>
      </c>
    </row>
    <row r="931" spans="1:6" x14ac:dyDescent="0.25">
      <c r="A931" s="2" t="s">
        <v>3261</v>
      </c>
      <c r="B931" s="2" t="s">
        <v>3262</v>
      </c>
      <c r="C931" s="2" t="s">
        <v>45</v>
      </c>
      <c r="D931" s="2" t="s">
        <v>17</v>
      </c>
      <c r="E931" s="2">
        <v>20404</v>
      </c>
      <c r="F931" t="s">
        <v>3521</v>
      </c>
    </row>
    <row r="932" spans="1:6" x14ac:dyDescent="0.25">
      <c r="A932" s="2" t="s">
        <v>3264</v>
      </c>
      <c r="B932" s="2" t="s">
        <v>3265</v>
      </c>
      <c r="C932" s="2" t="s">
        <v>45</v>
      </c>
      <c r="D932" s="2" t="s">
        <v>17</v>
      </c>
      <c r="E932" s="2">
        <v>20067</v>
      </c>
      <c r="F932" t="s">
        <v>3521</v>
      </c>
    </row>
    <row r="933" spans="1:6" x14ac:dyDescent="0.25">
      <c r="A933" s="2" t="s">
        <v>3267</v>
      </c>
      <c r="B933" s="2" t="s">
        <v>3268</v>
      </c>
      <c r="C933" s="2" t="s">
        <v>310</v>
      </c>
      <c r="D933" s="2" t="s">
        <v>17</v>
      </c>
      <c r="E933" s="2">
        <v>18105</v>
      </c>
      <c r="F933" t="s">
        <v>3521</v>
      </c>
    </row>
    <row r="934" spans="1:6" x14ac:dyDescent="0.25">
      <c r="A934" s="2" t="s">
        <v>3270</v>
      </c>
      <c r="B934" s="2" t="s">
        <v>3271</v>
      </c>
      <c r="C934" s="2" t="s">
        <v>90</v>
      </c>
      <c r="D934" s="2" t="s">
        <v>17</v>
      </c>
      <c r="E934" s="2">
        <v>33169</v>
      </c>
      <c r="F934" t="s">
        <v>3522</v>
      </c>
    </row>
    <row r="935" spans="1:6" x14ac:dyDescent="0.25">
      <c r="A935" s="2" t="s">
        <v>3273</v>
      </c>
      <c r="B935" s="2" t="s">
        <v>3274</v>
      </c>
      <c r="C935" s="2" t="s">
        <v>75</v>
      </c>
      <c r="D935" s="2" t="s">
        <v>17</v>
      </c>
      <c r="E935" s="2">
        <v>73129</v>
      </c>
      <c r="F935" t="s">
        <v>3521</v>
      </c>
    </row>
    <row r="936" spans="1:6" x14ac:dyDescent="0.25">
      <c r="A936" s="2" t="s">
        <v>3276</v>
      </c>
      <c r="B936" s="2" t="s">
        <v>3277</v>
      </c>
      <c r="C936" s="2" t="s">
        <v>154</v>
      </c>
      <c r="D936" s="2" t="s">
        <v>17</v>
      </c>
      <c r="E936" s="2">
        <v>61105</v>
      </c>
      <c r="F936" t="s">
        <v>3522</v>
      </c>
    </row>
    <row r="937" spans="1:6" x14ac:dyDescent="0.25">
      <c r="A937" s="2" t="s">
        <v>3279</v>
      </c>
      <c r="B937" s="2" t="s">
        <v>3280</v>
      </c>
      <c r="C937" s="2" t="s">
        <v>185</v>
      </c>
      <c r="D937" s="2" t="s">
        <v>17</v>
      </c>
      <c r="E937" s="2">
        <v>36177</v>
      </c>
      <c r="F937" t="s">
        <v>3521</v>
      </c>
    </row>
    <row r="938" spans="1:6" x14ac:dyDescent="0.25">
      <c r="A938" s="2" t="s">
        <v>3282</v>
      </c>
      <c r="B938" s="2" t="s">
        <v>3283</v>
      </c>
      <c r="C938" s="2" t="s">
        <v>85</v>
      </c>
      <c r="D938" s="2" t="s">
        <v>17</v>
      </c>
      <c r="E938" s="2">
        <v>91117</v>
      </c>
      <c r="F938" t="s">
        <v>3521</v>
      </c>
    </row>
    <row r="939" spans="1:6" x14ac:dyDescent="0.25">
      <c r="A939" s="2" t="s">
        <v>3284</v>
      </c>
      <c r="B939" s="2" t="s">
        <v>3285</v>
      </c>
      <c r="C939" s="2" t="s">
        <v>54</v>
      </c>
      <c r="D939" s="2" t="s">
        <v>17</v>
      </c>
      <c r="E939" s="2">
        <v>60624</v>
      </c>
      <c r="F939" t="s">
        <v>3522</v>
      </c>
    </row>
    <row r="940" spans="1:6" x14ac:dyDescent="0.25">
      <c r="A940" s="2" t="s">
        <v>3287</v>
      </c>
      <c r="B940" s="2" t="s">
        <v>3288</v>
      </c>
      <c r="C940" s="2" t="s">
        <v>61</v>
      </c>
      <c r="D940" s="2" t="s">
        <v>17</v>
      </c>
      <c r="E940" s="2">
        <v>77293</v>
      </c>
      <c r="F940" t="s">
        <v>3521</v>
      </c>
    </row>
    <row r="941" spans="1:6" x14ac:dyDescent="0.25">
      <c r="A941" s="2" t="s">
        <v>3290</v>
      </c>
      <c r="B941" s="2" t="s">
        <v>3291</v>
      </c>
      <c r="C941" s="2" t="s">
        <v>225</v>
      </c>
      <c r="D941" s="2" t="s">
        <v>17</v>
      </c>
      <c r="E941" s="2">
        <v>49444</v>
      </c>
      <c r="F941" t="s">
        <v>3522</v>
      </c>
    </row>
    <row r="942" spans="1:6" x14ac:dyDescent="0.25">
      <c r="A942" s="2" t="s">
        <v>3293</v>
      </c>
      <c r="B942" s="2" t="s">
        <v>3294</v>
      </c>
      <c r="C942" s="2" t="s">
        <v>45</v>
      </c>
      <c r="D942" s="2" t="s">
        <v>17</v>
      </c>
      <c r="E942" s="2">
        <v>20380</v>
      </c>
      <c r="F942" t="s">
        <v>3521</v>
      </c>
    </row>
    <row r="943" spans="1:6" x14ac:dyDescent="0.25">
      <c r="A943" s="2" t="s">
        <v>3296</v>
      </c>
      <c r="B943" s="2" t="s">
        <v>3297</v>
      </c>
      <c r="C943" s="2" t="s">
        <v>3298</v>
      </c>
      <c r="D943" s="2" t="s">
        <v>314</v>
      </c>
      <c r="E943" s="2" t="s">
        <v>458</v>
      </c>
      <c r="F943" t="s">
        <v>3521</v>
      </c>
    </row>
    <row r="944" spans="1:6" x14ac:dyDescent="0.25">
      <c r="A944" s="2" t="s">
        <v>3300</v>
      </c>
      <c r="B944" s="2" t="s">
        <v>3301</v>
      </c>
      <c r="C944" s="2" t="s">
        <v>165</v>
      </c>
      <c r="D944" s="2" t="s">
        <v>17</v>
      </c>
      <c r="E944" s="2">
        <v>31205</v>
      </c>
      <c r="F944" t="s">
        <v>3522</v>
      </c>
    </row>
    <row r="945" spans="1:6" x14ac:dyDescent="0.25">
      <c r="A945" s="2" t="s">
        <v>3303</v>
      </c>
      <c r="B945" s="2" t="s">
        <v>3304</v>
      </c>
      <c r="C945" s="2" t="s">
        <v>173</v>
      </c>
      <c r="D945" s="2" t="s">
        <v>17</v>
      </c>
      <c r="E945" s="2">
        <v>71105</v>
      </c>
      <c r="F945" t="s">
        <v>3522</v>
      </c>
    </row>
    <row r="946" spans="1:6" x14ac:dyDescent="0.25">
      <c r="A946" s="2" t="s">
        <v>3306</v>
      </c>
      <c r="B946" s="2" t="s">
        <v>3307</v>
      </c>
      <c r="C946" s="2" t="s">
        <v>132</v>
      </c>
      <c r="D946" s="2" t="s">
        <v>17</v>
      </c>
      <c r="E946" s="2">
        <v>98405</v>
      </c>
      <c r="F946" t="s">
        <v>3522</v>
      </c>
    </row>
    <row r="947" spans="1:6" x14ac:dyDescent="0.25">
      <c r="A947" s="2" t="s">
        <v>3309</v>
      </c>
      <c r="B947" s="2" t="s">
        <v>3310</v>
      </c>
      <c r="C947" s="2" t="s">
        <v>48</v>
      </c>
      <c r="D947" s="2" t="s">
        <v>17</v>
      </c>
      <c r="E947" s="2">
        <v>79934</v>
      </c>
      <c r="F947" t="s">
        <v>3522</v>
      </c>
    </row>
    <row r="948" spans="1:6" x14ac:dyDescent="0.25">
      <c r="A948" s="2" t="s">
        <v>3312</v>
      </c>
      <c r="B948" s="2" t="s">
        <v>3313</v>
      </c>
      <c r="C948" s="2" t="s">
        <v>142</v>
      </c>
      <c r="D948" s="2" t="s">
        <v>17</v>
      </c>
      <c r="E948" s="2">
        <v>35263</v>
      </c>
      <c r="F948" t="s">
        <v>3522</v>
      </c>
    </row>
    <row r="949" spans="1:6" x14ac:dyDescent="0.25">
      <c r="A949" s="2" t="s">
        <v>3315</v>
      </c>
      <c r="B949" s="2" t="s">
        <v>3316</v>
      </c>
      <c r="C949" s="2" t="s">
        <v>316</v>
      </c>
      <c r="D949" s="2" t="s">
        <v>314</v>
      </c>
      <c r="E949" s="2" t="s">
        <v>317</v>
      </c>
      <c r="F949" t="s">
        <v>3522</v>
      </c>
    </row>
    <row r="950" spans="1:6" x14ac:dyDescent="0.25">
      <c r="A950" s="2" t="s">
        <v>3318</v>
      </c>
      <c r="B950" s="2" t="s">
        <v>3319</v>
      </c>
      <c r="C950" s="2" t="s">
        <v>178</v>
      </c>
      <c r="D950" s="2" t="s">
        <v>26</v>
      </c>
      <c r="E950" s="2" t="s">
        <v>260</v>
      </c>
      <c r="F950" t="s">
        <v>3521</v>
      </c>
    </row>
    <row r="951" spans="1:6" x14ac:dyDescent="0.25">
      <c r="A951" s="2" t="s">
        <v>3321</v>
      </c>
      <c r="B951" s="2" t="s">
        <v>3322</v>
      </c>
      <c r="C951" s="2" t="s">
        <v>485</v>
      </c>
      <c r="D951" s="2" t="s">
        <v>314</v>
      </c>
      <c r="E951" s="2" t="s">
        <v>444</v>
      </c>
      <c r="F951" t="s">
        <v>3522</v>
      </c>
    </row>
    <row r="952" spans="1:6" x14ac:dyDescent="0.25">
      <c r="A952" s="2" t="s">
        <v>3324</v>
      </c>
      <c r="B952" s="2" t="s">
        <v>3325</v>
      </c>
      <c r="C952" s="2" t="s">
        <v>166</v>
      </c>
      <c r="D952" s="2" t="s">
        <v>17</v>
      </c>
      <c r="E952" s="2">
        <v>19810</v>
      </c>
      <c r="F952" t="s">
        <v>3521</v>
      </c>
    </row>
    <row r="953" spans="1:6" x14ac:dyDescent="0.25">
      <c r="A953" s="2" t="s">
        <v>3327</v>
      </c>
      <c r="B953" s="2" t="s">
        <v>3328</v>
      </c>
      <c r="C953" s="2" t="s">
        <v>170</v>
      </c>
      <c r="D953" s="2" t="s">
        <v>17</v>
      </c>
      <c r="E953" s="2">
        <v>17121</v>
      </c>
      <c r="F953" t="s">
        <v>3522</v>
      </c>
    </row>
    <row r="954" spans="1:6" x14ac:dyDescent="0.25">
      <c r="A954" s="2" t="s">
        <v>3330</v>
      </c>
      <c r="B954" s="2" t="s">
        <v>3331</v>
      </c>
      <c r="C954" s="2" t="s">
        <v>3298</v>
      </c>
      <c r="D954" s="2" t="s">
        <v>314</v>
      </c>
      <c r="E954" s="2" t="s">
        <v>458</v>
      </c>
      <c r="F954" t="s">
        <v>3521</v>
      </c>
    </row>
    <row r="955" spans="1:6" x14ac:dyDescent="0.25">
      <c r="A955" s="2" t="s">
        <v>3333</v>
      </c>
      <c r="B955" s="2" t="s">
        <v>3334</v>
      </c>
      <c r="C955" s="2" t="s">
        <v>48</v>
      </c>
      <c r="D955" s="2" t="s">
        <v>17</v>
      </c>
      <c r="E955" s="2">
        <v>79940</v>
      </c>
      <c r="F955" t="s">
        <v>3521</v>
      </c>
    </row>
    <row r="956" spans="1:6" x14ac:dyDescent="0.25">
      <c r="A956" s="2" t="s">
        <v>3336</v>
      </c>
      <c r="B956" s="2" t="s">
        <v>3337</v>
      </c>
      <c r="C956" s="2" t="s">
        <v>102</v>
      </c>
      <c r="D956" s="2" t="s">
        <v>17</v>
      </c>
      <c r="E956" s="2">
        <v>63136</v>
      </c>
      <c r="F956" t="s">
        <v>3521</v>
      </c>
    </row>
    <row r="957" spans="1:6" x14ac:dyDescent="0.25">
      <c r="A957" s="2" t="s">
        <v>3339</v>
      </c>
      <c r="B957" s="2" t="s">
        <v>3340</v>
      </c>
      <c r="C957" s="2" t="s">
        <v>2610</v>
      </c>
      <c r="D957" s="2" t="s">
        <v>17</v>
      </c>
      <c r="E957" s="2">
        <v>72905</v>
      </c>
      <c r="F957" t="s">
        <v>3521</v>
      </c>
    </row>
    <row r="958" spans="1:6" x14ac:dyDescent="0.25">
      <c r="A958" s="2" t="s">
        <v>3341</v>
      </c>
      <c r="B958" s="2" t="s">
        <v>3342</v>
      </c>
      <c r="C958" s="2" t="s">
        <v>128</v>
      </c>
      <c r="D958" s="2" t="s">
        <v>17</v>
      </c>
      <c r="E958" s="2">
        <v>37245</v>
      </c>
      <c r="F958" t="s">
        <v>3522</v>
      </c>
    </row>
    <row r="959" spans="1:6" x14ac:dyDescent="0.25">
      <c r="A959" s="2" t="s">
        <v>3343</v>
      </c>
      <c r="B959" s="2" t="s">
        <v>3344</v>
      </c>
      <c r="C959" s="2" t="s">
        <v>45</v>
      </c>
      <c r="D959" s="2" t="s">
        <v>17</v>
      </c>
      <c r="E959" s="2">
        <v>20088</v>
      </c>
      <c r="F959" t="s">
        <v>3521</v>
      </c>
    </row>
    <row r="960" spans="1:6" x14ac:dyDescent="0.25">
      <c r="A960" s="2" t="s">
        <v>3345</v>
      </c>
      <c r="B960" s="2" t="s">
        <v>3346</v>
      </c>
      <c r="C960" s="2" t="s">
        <v>180</v>
      </c>
      <c r="D960" s="2" t="s">
        <v>17</v>
      </c>
      <c r="E960" s="2">
        <v>90305</v>
      </c>
      <c r="F960" t="s">
        <v>3521</v>
      </c>
    </row>
    <row r="961" spans="1:6" x14ac:dyDescent="0.25">
      <c r="A961" s="2" t="s">
        <v>3348</v>
      </c>
      <c r="B961" s="2" t="s">
        <v>3349</v>
      </c>
      <c r="C961" s="2" t="s">
        <v>86</v>
      </c>
      <c r="D961" s="2" t="s">
        <v>17</v>
      </c>
      <c r="E961" s="2">
        <v>72215</v>
      </c>
      <c r="F961" t="s">
        <v>3521</v>
      </c>
    </row>
    <row r="962" spans="1:6" x14ac:dyDescent="0.25">
      <c r="A962" s="2" t="s">
        <v>3351</v>
      </c>
      <c r="B962" s="2" t="s">
        <v>3352</v>
      </c>
      <c r="C962" s="2" t="s">
        <v>259</v>
      </c>
      <c r="D962" s="2" t="s">
        <v>17</v>
      </c>
      <c r="E962" s="2">
        <v>21747</v>
      </c>
      <c r="F962" t="s">
        <v>3521</v>
      </c>
    </row>
    <row r="963" spans="1:6" x14ac:dyDescent="0.25">
      <c r="A963" s="2" t="s">
        <v>3354</v>
      </c>
      <c r="B963" s="2" t="s">
        <v>3355</v>
      </c>
      <c r="C963" s="2" t="s">
        <v>196</v>
      </c>
      <c r="D963" s="2" t="s">
        <v>17</v>
      </c>
      <c r="E963" s="2">
        <v>12205</v>
      </c>
      <c r="F963" t="s">
        <v>3521</v>
      </c>
    </row>
    <row r="964" spans="1:6" x14ac:dyDescent="0.25">
      <c r="A964" s="2" t="s">
        <v>3357</v>
      </c>
      <c r="B964" s="2" t="s">
        <v>3358</v>
      </c>
      <c r="C964" s="2" t="s">
        <v>449</v>
      </c>
      <c r="D964" s="2" t="s">
        <v>314</v>
      </c>
      <c r="E964" s="2" t="s">
        <v>450</v>
      </c>
      <c r="F964" t="s">
        <v>3521</v>
      </c>
    </row>
    <row r="965" spans="1:6" x14ac:dyDescent="0.25">
      <c r="A965" s="2" t="s">
        <v>3360</v>
      </c>
      <c r="B965" s="2" t="s">
        <v>3361</v>
      </c>
      <c r="C965" s="2" t="s">
        <v>41</v>
      </c>
      <c r="D965" s="2" t="s">
        <v>17</v>
      </c>
      <c r="E965" s="2">
        <v>40510</v>
      </c>
      <c r="F965" t="s">
        <v>3521</v>
      </c>
    </row>
    <row r="966" spans="1:6" x14ac:dyDescent="0.25">
      <c r="A966" s="2" t="s">
        <v>3363</v>
      </c>
      <c r="B966" s="2" t="s">
        <v>3364</v>
      </c>
      <c r="C966" s="2" t="s">
        <v>56</v>
      </c>
      <c r="D966" s="2" t="s">
        <v>17</v>
      </c>
      <c r="E966" s="2">
        <v>92165</v>
      </c>
      <c r="F966" t="s">
        <v>3522</v>
      </c>
    </row>
    <row r="967" spans="1:6" x14ac:dyDescent="0.25">
      <c r="A967" s="2" t="s">
        <v>3366</v>
      </c>
      <c r="B967" s="2" t="s">
        <v>3367</v>
      </c>
      <c r="C967" s="2" t="s">
        <v>25</v>
      </c>
      <c r="D967" s="2" t="s">
        <v>17</v>
      </c>
      <c r="E967" s="2">
        <v>90040</v>
      </c>
      <c r="F967" t="s">
        <v>3521</v>
      </c>
    </row>
    <row r="968" spans="1:6" x14ac:dyDescent="0.25">
      <c r="A968" s="2" t="s">
        <v>3369</v>
      </c>
      <c r="B968" s="2" t="s">
        <v>3370</v>
      </c>
      <c r="C968" s="2" t="s">
        <v>137</v>
      </c>
      <c r="D968" s="2" t="s">
        <v>17</v>
      </c>
      <c r="E968" s="2">
        <v>11210</v>
      </c>
      <c r="F968" t="s">
        <v>3521</v>
      </c>
    </row>
    <row r="969" spans="1:6" x14ac:dyDescent="0.25">
      <c r="A969" s="2" t="s">
        <v>3372</v>
      </c>
      <c r="B969" s="2" t="s">
        <v>3373</v>
      </c>
      <c r="C969" s="2" t="s">
        <v>349</v>
      </c>
      <c r="D969" s="2" t="s">
        <v>314</v>
      </c>
      <c r="E969" s="2" t="s">
        <v>344</v>
      </c>
      <c r="F969" t="s">
        <v>3521</v>
      </c>
    </row>
    <row r="970" spans="1:6" x14ac:dyDescent="0.25">
      <c r="A970" s="2" t="s">
        <v>3375</v>
      </c>
      <c r="B970" s="2" t="s">
        <v>3376</v>
      </c>
      <c r="C970" s="2" t="s">
        <v>291</v>
      </c>
      <c r="D970" s="2" t="s">
        <v>17</v>
      </c>
      <c r="E970" s="2">
        <v>32627</v>
      </c>
      <c r="F970" t="s">
        <v>3522</v>
      </c>
    </row>
    <row r="971" spans="1:6" x14ac:dyDescent="0.25">
      <c r="A971" s="2" t="s">
        <v>3378</v>
      </c>
      <c r="B971" s="2" t="s">
        <v>3379</v>
      </c>
      <c r="C971" s="2" t="s">
        <v>207</v>
      </c>
      <c r="D971" s="2" t="s">
        <v>17</v>
      </c>
      <c r="E971" s="2">
        <v>34620</v>
      </c>
      <c r="F971" t="s">
        <v>3521</v>
      </c>
    </row>
    <row r="972" spans="1:6" x14ac:dyDescent="0.25">
      <c r="A972" s="2" t="s">
        <v>3381</v>
      </c>
      <c r="B972" s="2" t="s">
        <v>3382</v>
      </c>
      <c r="C972" s="2" t="s">
        <v>238</v>
      </c>
      <c r="D972" s="2" t="s">
        <v>17</v>
      </c>
      <c r="E972" s="2">
        <v>79165</v>
      </c>
      <c r="F972" t="s">
        <v>3522</v>
      </c>
    </row>
    <row r="973" spans="1:6" x14ac:dyDescent="0.25">
      <c r="A973" s="2" t="s">
        <v>3384</v>
      </c>
      <c r="B973" s="2" t="s">
        <v>3385</v>
      </c>
      <c r="C973" s="2" t="s">
        <v>104</v>
      </c>
      <c r="D973" s="2" t="s">
        <v>17</v>
      </c>
      <c r="E973" s="2">
        <v>76121</v>
      </c>
      <c r="F973" t="s">
        <v>3522</v>
      </c>
    </row>
    <row r="974" spans="1:6" x14ac:dyDescent="0.25">
      <c r="A974" s="2" t="s">
        <v>3387</v>
      </c>
      <c r="B974" s="2" t="s">
        <v>3388</v>
      </c>
      <c r="C974" s="2" t="s">
        <v>327</v>
      </c>
      <c r="D974" s="2" t="s">
        <v>314</v>
      </c>
      <c r="E974" s="2" t="s">
        <v>328</v>
      </c>
      <c r="F974" t="s">
        <v>3521</v>
      </c>
    </row>
    <row r="975" spans="1:6" x14ac:dyDescent="0.25">
      <c r="A975" s="2" t="s">
        <v>3390</v>
      </c>
      <c r="B975" s="2" t="s">
        <v>3391</v>
      </c>
      <c r="C975" s="2" t="s">
        <v>248</v>
      </c>
      <c r="D975" s="2" t="s">
        <v>17</v>
      </c>
      <c r="E975" s="2">
        <v>32575</v>
      </c>
      <c r="F975" t="s">
        <v>3522</v>
      </c>
    </row>
    <row r="976" spans="1:6" x14ac:dyDescent="0.25">
      <c r="A976" s="2" t="s">
        <v>3393</v>
      </c>
      <c r="B976" s="2" t="s">
        <v>3394</v>
      </c>
      <c r="C976" s="2" t="s">
        <v>132</v>
      </c>
      <c r="D976" s="2" t="s">
        <v>17</v>
      </c>
      <c r="E976" s="2">
        <v>98405</v>
      </c>
      <c r="F976" t="s">
        <v>3521</v>
      </c>
    </row>
    <row r="977" spans="1:6" x14ac:dyDescent="0.25">
      <c r="A977" s="2" t="s">
        <v>3396</v>
      </c>
      <c r="B977" s="2" t="s">
        <v>3397</v>
      </c>
      <c r="C977" s="2" t="s">
        <v>481</v>
      </c>
      <c r="D977" s="2" t="s">
        <v>314</v>
      </c>
      <c r="E977" s="2" t="s">
        <v>438</v>
      </c>
      <c r="F977" t="s">
        <v>3521</v>
      </c>
    </row>
    <row r="978" spans="1:6" x14ac:dyDescent="0.25">
      <c r="A978" s="2" t="s">
        <v>3399</v>
      </c>
      <c r="B978" s="2" t="s">
        <v>3400</v>
      </c>
      <c r="C978" s="2" t="s">
        <v>64</v>
      </c>
      <c r="D978" s="2" t="s">
        <v>17</v>
      </c>
      <c r="E978" s="2">
        <v>46896</v>
      </c>
      <c r="F978" t="s">
        <v>3521</v>
      </c>
    </row>
    <row r="979" spans="1:6" x14ac:dyDescent="0.25">
      <c r="A979" s="2" t="s">
        <v>3402</v>
      </c>
      <c r="B979" s="2" t="s">
        <v>3403</v>
      </c>
      <c r="C979" s="2" t="s">
        <v>238</v>
      </c>
      <c r="D979" s="2" t="s">
        <v>17</v>
      </c>
      <c r="E979" s="2">
        <v>79105</v>
      </c>
      <c r="F979" t="s">
        <v>3522</v>
      </c>
    </row>
    <row r="980" spans="1:6" x14ac:dyDescent="0.25">
      <c r="A980" s="2" t="s">
        <v>3405</v>
      </c>
      <c r="B980" s="2" t="s">
        <v>3406</v>
      </c>
      <c r="C980" s="2" t="s">
        <v>45</v>
      </c>
      <c r="D980" s="2" t="s">
        <v>17</v>
      </c>
      <c r="E980" s="2">
        <v>20436</v>
      </c>
      <c r="F980" t="s">
        <v>3521</v>
      </c>
    </row>
    <row r="981" spans="1:6" x14ac:dyDescent="0.25">
      <c r="A981" s="2" t="s">
        <v>3408</v>
      </c>
      <c r="B981" s="2" t="s">
        <v>3409</v>
      </c>
      <c r="C981" s="2" t="s">
        <v>309</v>
      </c>
      <c r="D981" s="2" t="s">
        <v>17</v>
      </c>
      <c r="E981" s="2">
        <v>20910</v>
      </c>
      <c r="F981" t="s">
        <v>3522</v>
      </c>
    </row>
    <row r="982" spans="1:6" x14ac:dyDescent="0.25">
      <c r="A982" s="2" t="s">
        <v>3411</v>
      </c>
      <c r="B982" s="2" t="s">
        <v>3412</v>
      </c>
      <c r="C982" s="2" t="s">
        <v>229</v>
      </c>
      <c r="D982" s="2" t="s">
        <v>17</v>
      </c>
      <c r="E982" s="2">
        <v>53726</v>
      </c>
      <c r="F982" t="s">
        <v>3521</v>
      </c>
    </row>
    <row r="983" spans="1:6" x14ac:dyDescent="0.25">
      <c r="A983" s="2" t="s">
        <v>3414</v>
      </c>
      <c r="B983" s="2" t="s">
        <v>3415</v>
      </c>
      <c r="C983" s="2" t="s">
        <v>224</v>
      </c>
      <c r="D983" s="2" t="s">
        <v>17</v>
      </c>
      <c r="E983" s="2">
        <v>77305</v>
      </c>
      <c r="F983" t="s">
        <v>3521</v>
      </c>
    </row>
    <row r="984" spans="1:6" x14ac:dyDescent="0.25">
      <c r="A984" s="2" t="s">
        <v>3417</v>
      </c>
      <c r="B984" s="2" t="s">
        <v>3418</v>
      </c>
      <c r="C984" s="2" t="s">
        <v>188</v>
      </c>
      <c r="D984" s="2" t="s">
        <v>17</v>
      </c>
      <c r="E984" s="2">
        <v>76205</v>
      </c>
      <c r="F984" t="s">
        <v>3521</v>
      </c>
    </row>
    <row r="985" spans="1:6" x14ac:dyDescent="0.25">
      <c r="A985" s="2" t="s">
        <v>3420</v>
      </c>
      <c r="B985" s="2" t="s">
        <v>3421</v>
      </c>
      <c r="C985" s="2" t="s">
        <v>37</v>
      </c>
      <c r="D985" s="2" t="s">
        <v>17</v>
      </c>
      <c r="E985" s="2">
        <v>43231</v>
      </c>
      <c r="F985" t="s">
        <v>3521</v>
      </c>
    </row>
    <row r="986" spans="1:6" x14ac:dyDescent="0.25">
      <c r="A986" s="2" t="s">
        <v>3423</v>
      </c>
      <c r="B986" s="2" t="s">
        <v>3424</v>
      </c>
      <c r="C986" s="2" t="s">
        <v>403</v>
      </c>
      <c r="D986" s="2" t="s">
        <v>314</v>
      </c>
      <c r="E986" s="2" t="s">
        <v>400</v>
      </c>
      <c r="F986" t="s">
        <v>3521</v>
      </c>
    </row>
    <row r="987" spans="1:6" x14ac:dyDescent="0.25">
      <c r="A987" s="2" t="s">
        <v>3426</v>
      </c>
      <c r="B987" s="2" t="s">
        <v>3427</v>
      </c>
      <c r="C987" s="2" t="s">
        <v>131</v>
      </c>
      <c r="D987" s="2" t="s">
        <v>17</v>
      </c>
      <c r="E987" s="2">
        <v>80045</v>
      </c>
      <c r="F987" t="s">
        <v>3522</v>
      </c>
    </row>
    <row r="988" spans="1:6" x14ac:dyDescent="0.25">
      <c r="A988" s="2" t="s">
        <v>3429</v>
      </c>
      <c r="B988" s="2" t="s">
        <v>3430</v>
      </c>
      <c r="C988" s="2" t="s">
        <v>145</v>
      </c>
      <c r="D988" s="2" t="s">
        <v>17</v>
      </c>
      <c r="E988" s="2">
        <v>32128</v>
      </c>
      <c r="F988" t="s">
        <v>3522</v>
      </c>
    </row>
    <row r="989" spans="1:6" x14ac:dyDescent="0.25">
      <c r="A989" s="2" t="s">
        <v>3432</v>
      </c>
      <c r="B989" s="2" t="s">
        <v>3433</v>
      </c>
      <c r="C989" s="2" t="s">
        <v>249</v>
      </c>
      <c r="D989" s="2" t="s">
        <v>26</v>
      </c>
      <c r="E989" s="2" t="s">
        <v>112</v>
      </c>
      <c r="F989" t="s">
        <v>3521</v>
      </c>
    </row>
    <row r="990" spans="1:6" x14ac:dyDescent="0.25">
      <c r="A990" s="2" t="s">
        <v>3435</v>
      </c>
      <c r="B990" s="2" t="s">
        <v>3436</v>
      </c>
      <c r="C990" s="2" t="s">
        <v>363</v>
      </c>
      <c r="D990" s="2" t="s">
        <v>26</v>
      </c>
      <c r="E990" s="2" t="s">
        <v>364</v>
      </c>
      <c r="F990" t="s">
        <v>3521</v>
      </c>
    </row>
    <row r="991" spans="1:6" x14ac:dyDescent="0.25">
      <c r="A991" s="2" t="s">
        <v>3438</v>
      </c>
      <c r="B991" s="2" t="s">
        <v>3439</v>
      </c>
      <c r="C991" s="2" t="s">
        <v>102</v>
      </c>
      <c r="D991" s="2" t="s">
        <v>17</v>
      </c>
      <c r="E991" s="2">
        <v>63131</v>
      </c>
      <c r="F991" t="s">
        <v>3521</v>
      </c>
    </row>
    <row r="992" spans="1:6" x14ac:dyDescent="0.25">
      <c r="A992" s="2" t="s">
        <v>3441</v>
      </c>
      <c r="B992" s="2" t="s">
        <v>3442</v>
      </c>
      <c r="C992" s="2" t="s">
        <v>288</v>
      </c>
      <c r="D992" s="2" t="s">
        <v>17</v>
      </c>
      <c r="E992" s="2">
        <v>92056</v>
      </c>
      <c r="F992" t="s">
        <v>3522</v>
      </c>
    </row>
    <row r="993" spans="1:6" x14ac:dyDescent="0.25">
      <c r="A993" s="2" t="s">
        <v>3443</v>
      </c>
      <c r="B993" s="2" t="s">
        <v>3444</v>
      </c>
      <c r="C993" s="2" t="s">
        <v>63</v>
      </c>
      <c r="D993" s="2" t="s">
        <v>17</v>
      </c>
      <c r="E993" s="2">
        <v>37416</v>
      </c>
      <c r="F993" t="s">
        <v>3521</v>
      </c>
    </row>
    <row r="994" spans="1:6" x14ac:dyDescent="0.25">
      <c r="A994" s="2" t="s">
        <v>3446</v>
      </c>
      <c r="B994" s="2" t="s">
        <v>3447</v>
      </c>
      <c r="C994" s="2" t="s">
        <v>484</v>
      </c>
      <c r="D994" s="2" t="s">
        <v>314</v>
      </c>
      <c r="E994" s="2" t="s">
        <v>359</v>
      </c>
      <c r="F994" t="s">
        <v>3522</v>
      </c>
    </row>
    <row r="995" spans="1:6" x14ac:dyDescent="0.25">
      <c r="A995" s="2" t="s">
        <v>3449</v>
      </c>
      <c r="B995" s="2" t="s">
        <v>3450</v>
      </c>
      <c r="C995" s="2" t="s">
        <v>44</v>
      </c>
      <c r="D995" s="2" t="s">
        <v>17</v>
      </c>
      <c r="E995" s="2">
        <v>19125</v>
      </c>
      <c r="F995" t="s">
        <v>3522</v>
      </c>
    </row>
    <row r="996" spans="1:6" x14ac:dyDescent="0.25">
      <c r="A996" s="2" t="s">
        <v>3452</v>
      </c>
      <c r="B996" s="2" t="s">
        <v>3453</v>
      </c>
      <c r="C996" s="2" t="s">
        <v>461</v>
      </c>
      <c r="D996" s="2" t="s">
        <v>314</v>
      </c>
      <c r="E996" s="2" t="s">
        <v>379</v>
      </c>
      <c r="F996" t="s">
        <v>3522</v>
      </c>
    </row>
    <row r="997" spans="1:6" x14ac:dyDescent="0.25">
      <c r="A997" s="2" t="s">
        <v>3455</v>
      </c>
      <c r="B997" s="2" t="s">
        <v>3456</v>
      </c>
      <c r="C997" s="2" t="s">
        <v>50</v>
      </c>
      <c r="D997" s="2" t="s">
        <v>17</v>
      </c>
      <c r="E997" s="2">
        <v>75210</v>
      </c>
      <c r="F997" t="s">
        <v>3522</v>
      </c>
    </row>
    <row r="998" spans="1:6" x14ac:dyDescent="0.25">
      <c r="A998" s="2" t="s">
        <v>3458</v>
      </c>
      <c r="B998" s="2" t="s">
        <v>3459</v>
      </c>
      <c r="C998" s="2" t="s">
        <v>2610</v>
      </c>
      <c r="D998" s="2" t="s">
        <v>17</v>
      </c>
      <c r="E998" s="2">
        <v>72905</v>
      </c>
      <c r="F998" t="s">
        <v>3522</v>
      </c>
    </row>
    <row r="999" spans="1:6" x14ac:dyDescent="0.25">
      <c r="A999" s="2" t="s">
        <v>3461</v>
      </c>
      <c r="B999" s="2" t="s">
        <v>3462</v>
      </c>
      <c r="C999" s="2" t="s">
        <v>76</v>
      </c>
      <c r="D999" s="2" t="s">
        <v>17</v>
      </c>
      <c r="E999" s="2">
        <v>80920</v>
      </c>
      <c r="F999" t="s">
        <v>3521</v>
      </c>
    </row>
    <row r="1000" spans="1:6" x14ac:dyDescent="0.25">
      <c r="A1000" s="2" t="s">
        <v>3464</v>
      </c>
      <c r="B1000" s="2" t="s">
        <v>3465</v>
      </c>
      <c r="C1000" s="2" t="s">
        <v>144</v>
      </c>
      <c r="D1000" s="2" t="s">
        <v>17</v>
      </c>
      <c r="E1000" s="2">
        <v>90610</v>
      </c>
      <c r="F1000" t="s">
        <v>3522</v>
      </c>
    </row>
    <row r="1001" spans="1:6" x14ac:dyDescent="0.25">
      <c r="A1001" s="2" t="s">
        <v>3467</v>
      </c>
      <c r="B1001" s="2" t="s">
        <v>3468</v>
      </c>
      <c r="C1001" s="2" t="s">
        <v>178</v>
      </c>
      <c r="D1001" s="2" t="s">
        <v>26</v>
      </c>
      <c r="E1001" s="2" t="s">
        <v>298</v>
      </c>
      <c r="F1001" t="s">
        <v>3521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>
      <selection activeCell="E8" sqref="E8"/>
    </sheetView>
  </sheetViews>
  <sheetFormatPr defaultRowHeight="15" x14ac:dyDescent="0.25"/>
  <cols>
    <col min="1" max="1" width="11.7109375" customWidth="1"/>
    <col min="2" max="2" width="13" customWidth="1"/>
    <col min="3" max="3" width="12.140625" customWidth="1"/>
    <col min="4" max="4" width="6.140625" customWidth="1"/>
    <col min="5" max="5" width="11" customWidth="1"/>
    <col min="6" max="6" width="14.7109375" customWidth="1"/>
    <col min="7" max="7" width="8" bestFit="1" customWidth="1"/>
  </cols>
  <sheetData>
    <row r="1" spans="1:7" x14ac:dyDescent="0.25">
      <c r="A1" t="s">
        <v>9</v>
      </c>
      <c r="B1" t="s">
        <v>7</v>
      </c>
      <c r="C1" t="s">
        <v>8</v>
      </c>
      <c r="D1" t="s">
        <v>10</v>
      </c>
      <c r="E1" t="s">
        <v>11</v>
      </c>
      <c r="F1" t="s">
        <v>15</v>
      </c>
      <c r="G1" t="s">
        <v>14</v>
      </c>
    </row>
    <row r="2" spans="1:7" x14ac:dyDescent="0.25">
      <c r="A2" t="s">
        <v>3498</v>
      </c>
      <c r="B2" t="s">
        <v>3523</v>
      </c>
      <c r="C2" t="s">
        <v>3517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25">
      <c r="A3" t="s">
        <v>3511</v>
      </c>
      <c r="B3" t="s">
        <v>3523</v>
      </c>
      <c r="C3" t="s">
        <v>3517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25">
      <c r="A4" t="s">
        <v>3471</v>
      </c>
      <c r="B4" t="s">
        <v>3523</v>
      </c>
      <c r="C4" t="s">
        <v>3517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25">
      <c r="A5" t="s">
        <v>3513</v>
      </c>
      <c r="B5" t="s">
        <v>3523</v>
      </c>
      <c r="C5" t="s">
        <v>3517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25">
      <c r="A6" t="s">
        <v>3483</v>
      </c>
      <c r="B6" t="s">
        <v>3523</v>
      </c>
      <c r="C6" t="s">
        <v>3519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25">
      <c r="A7" t="s">
        <v>3488</v>
      </c>
      <c r="B7" t="s">
        <v>3523</v>
      </c>
      <c r="C7" t="s">
        <v>3519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25">
      <c r="A8" t="s">
        <v>3486</v>
      </c>
      <c r="B8" t="s">
        <v>3523</v>
      </c>
      <c r="C8" t="s">
        <v>3519</v>
      </c>
      <c r="D8" s="1">
        <v>1</v>
      </c>
      <c r="E8">
        <v>11.25</v>
      </c>
      <c r="F8">
        <v>1.125</v>
      </c>
      <c r="G8">
        <v>1.0125</v>
      </c>
    </row>
    <row r="9" spans="1:7" x14ac:dyDescent="0.25">
      <c r="A9" t="s">
        <v>3506</v>
      </c>
      <c r="B9" t="s">
        <v>3523</v>
      </c>
      <c r="C9" t="s">
        <v>3519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25">
      <c r="A10" t="s">
        <v>3485</v>
      </c>
      <c r="B10" t="s">
        <v>3523</v>
      </c>
      <c r="C10" t="s">
        <v>3518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25">
      <c r="A11" t="s">
        <v>3489</v>
      </c>
      <c r="B11" t="s">
        <v>3523</v>
      </c>
      <c r="C11" t="s">
        <v>3518</v>
      </c>
      <c r="D11" s="1">
        <v>0.5</v>
      </c>
      <c r="E11">
        <v>5.97</v>
      </c>
      <c r="F11">
        <v>1.194</v>
      </c>
      <c r="G11">
        <v>0.5373</v>
      </c>
    </row>
    <row r="12" spans="1:7" x14ac:dyDescent="0.25">
      <c r="A12" t="s">
        <v>3478</v>
      </c>
      <c r="B12" t="s">
        <v>3523</v>
      </c>
      <c r="C12" t="s">
        <v>3518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25">
      <c r="A13" t="s">
        <v>3499</v>
      </c>
      <c r="B13" t="s">
        <v>3523</v>
      </c>
      <c r="C13" t="s">
        <v>3518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25">
      <c r="A14" t="s">
        <v>3509</v>
      </c>
      <c r="B14" t="s">
        <v>3524</v>
      </c>
      <c r="C14" t="s">
        <v>3517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25">
      <c r="A15" t="s">
        <v>3504</v>
      </c>
      <c r="B15" t="s">
        <v>3524</v>
      </c>
      <c r="C15" t="s">
        <v>3517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25">
      <c r="A16" t="s">
        <v>3510</v>
      </c>
      <c r="B16" t="s">
        <v>3524</v>
      </c>
      <c r="C16" t="s">
        <v>3517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25">
      <c r="A17" t="s">
        <v>3473</v>
      </c>
      <c r="B17" t="s">
        <v>3524</v>
      </c>
      <c r="C17" t="s">
        <v>3517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25">
      <c r="A18" t="s">
        <v>3505</v>
      </c>
      <c r="B18" t="s">
        <v>3524</v>
      </c>
      <c r="C18" t="s">
        <v>3519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25">
      <c r="A19" t="s">
        <v>3477</v>
      </c>
      <c r="B19" t="s">
        <v>3524</v>
      </c>
      <c r="C19" t="s">
        <v>3519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25">
      <c r="A20" t="s">
        <v>3469</v>
      </c>
      <c r="B20" t="s">
        <v>3524</v>
      </c>
      <c r="C20" t="s">
        <v>3519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25">
      <c r="A21" t="s">
        <v>3482</v>
      </c>
      <c r="B21" t="s">
        <v>3524</v>
      </c>
      <c r="C21" t="s">
        <v>3519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25">
      <c r="A22" t="s">
        <v>3494</v>
      </c>
      <c r="B22" t="s">
        <v>3524</v>
      </c>
      <c r="C22" t="s">
        <v>3518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25">
      <c r="A23" t="s">
        <v>3503</v>
      </c>
      <c r="B23" t="s">
        <v>3524</v>
      </c>
      <c r="C23" t="s">
        <v>3518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25">
      <c r="A24" t="s">
        <v>3508</v>
      </c>
      <c r="B24" t="s">
        <v>3524</v>
      </c>
      <c r="C24" t="s">
        <v>3518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25">
      <c r="A25" t="s">
        <v>3480</v>
      </c>
      <c r="B25" t="s">
        <v>3524</v>
      </c>
      <c r="C25" t="s">
        <v>3518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25">
      <c r="A26" t="s">
        <v>3476</v>
      </c>
      <c r="B26" t="s">
        <v>3525</v>
      </c>
      <c r="C26" t="s">
        <v>3517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25">
      <c r="A27" t="s">
        <v>3492</v>
      </c>
      <c r="B27" t="s">
        <v>3525</v>
      </c>
      <c r="C27" t="s">
        <v>3517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25">
      <c r="A28" t="s">
        <v>3501</v>
      </c>
      <c r="B28" t="s">
        <v>3525</v>
      </c>
      <c r="C28" t="s">
        <v>3517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25">
      <c r="A29" t="s">
        <v>3495</v>
      </c>
      <c r="B29" t="s">
        <v>3525</v>
      </c>
      <c r="C29" t="s">
        <v>3517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25">
      <c r="A30" t="s">
        <v>3490</v>
      </c>
      <c r="B30" t="s">
        <v>3525</v>
      </c>
      <c r="C30" t="s">
        <v>3519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25">
      <c r="A31" t="s">
        <v>3491</v>
      </c>
      <c r="B31" t="s">
        <v>3525</v>
      </c>
      <c r="C31" t="s">
        <v>3519</v>
      </c>
      <c r="D31" s="1">
        <v>0.5</v>
      </c>
      <c r="E31">
        <v>8.73</v>
      </c>
      <c r="F31">
        <v>1.746</v>
      </c>
      <c r="G31">
        <v>1.1349</v>
      </c>
    </row>
    <row r="32" spans="1:7" x14ac:dyDescent="0.25">
      <c r="A32" t="s">
        <v>3493</v>
      </c>
      <c r="B32" t="s">
        <v>3525</v>
      </c>
      <c r="C32" t="s">
        <v>3519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25">
      <c r="A33" t="s">
        <v>3512</v>
      </c>
      <c r="B33" t="s">
        <v>3525</v>
      </c>
      <c r="C33" t="s">
        <v>3519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25">
      <c r="A34" t="s">
        <v>3481</v>
      </c>
      <c r="B34" t="s">
        <v>3525</v>
      </c>
      <c r="C34" t="s">
        <v>3518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25">
      <c r="A35" t="s">
        <v>3500</v>
      </c>
      <c r="B35" t="s">
        <v>3525</v>
      </c>
      <c r="C35" t="s">
        <v>3518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25">
      <c r="A36" t="s">
        <v>3474</v>
      </c>
      <c r="B36" t="s">
        <v>3525</v>
      </c>
      <c r="C36" t="s">
        <v>3518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25">
      <c r="A37" t="s">
        <v>3496</v>
      </c>
      <c r="B37" t="s">
        <v>3525</v>
      </c>
      <c r="C37" t="s">
        <v>3518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25">
      <c r="A38" t="s">
        <v>3515</v>
      </c>
      <c r="B38" t="s">
        <v>3526</v>
      </c>
      <c r="C38" t="s">
        <v>3517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25">
      <c r="A39" t="s">
        <v>3507</v>
      </c>
      <c r="B39" t="s">
        <v>3526</v>
      </c>
      <c r="C39" t="s">
        <v>3517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25">
      <c r="A40" t="s">
        <v>3502</v>
      </c>
      <c r="B40" t="s">
        <v>3526</v>
      </c>
      <c r="C40" t="s">
        <v>3517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25">
      <c r="A41" t="s">
        <v>3479</v>
      </c>
      <c r="B41" t="s">
        <v>3526</v>
      </c>
      <c r="C41" t="s">
        <v>3517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25">
      <c r="A42" t="s">
        <v>3487</v>
      </c>
      <c r="B42" t="s">
        <v>3526</v>
      </c>
      <c r="C42" t="s">
        <v>3519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25">
      <c r="A43" t="s">
        <v>3470</v>
      </c>
      <c r="B43" t="s">
        <v>3526</v>
      </c>
      <c r="C43" t="s">
        <v>3519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25">
      <c r="A44" t="s">
        <v>3472</v>
      </c>
      <c r="B44" t="s">
        <v>3526</v>
      </c>
      <c r="C44" t="s">
        <v>3519</v>
      </c>
      <c r="D44" s="1">
        <v>1</v>
      </c>
      <c r="E44">
        <v>13.75</v>
      </c>
      <c r="F44">
        <v>1.375</v>
      </c>
      <c r="G44">
        <v>1.5125</v>
      </c>
    </row>
    <row r="45" spans="1:7" x14ac:dyDescent="0.25">
      <c r="A45" t="s">
        <v>3497</v>
      </c>
      <c r="B45" t="s">
        <v>3526</v>
      </c>
      <c r="C45" t="s">
        <v>3519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25">
      <c r="A46" t="s">
        <v>3484</v>
      </c>
      <c r="B46" t="s">
        <v>3526</v>
      </c>
      <c r="C46" t="s">
        <v>3518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25">
      <c r="A47" t="s">
        <v>3475</v>
      </c>
      <c r="B47" t="s">
        <v>3526</v>
      </c>
      <c r="C47" t="s">
        <v>3518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25">
      <c r="A48" t="s">
        <v>3514</v>
      </c>
      <c r="B48" t="s">
        <v>3526</v>
      </c>
      <c r="C48" t="s">
        <v>3518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25">
      <c r="A49" t="s">
        <v>3516</v>
      </c>
      <c r="B49" t="s">
        <v>3526</v>
      </c>
      <c r="C49" t="s">
        <v>3518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8EEF0-01F6-4CB4-9589-6F40E5073FAA}">
  <dimension ref="A1:J5501"/>
  <sheetViews>
    <sheetView workbookViewId="0">
      <selection activeCell="D12" sqref="D12"/>
    </sheetView>
  </sheetViews>
  <sheetFormatPr defaultRowHeight="15" x14ac:dyDescent="0.25"/>
  <cols>
    <col min="1" max="1" width="15.7109375" bestFit="1" customWidth="1"/>
    <col min="2" max="2" width="12.28515625" bestFit="1" customWidth="1"/>
    <col min="3" max="3" width="16" bestFit="1" customWidth="1"/>
    <col min="4" max="4" width="12.140625" bestFit="1" customWidth="1"/>
    <col min="5" max="5" width="10.5703125" bestFit="1" customWidth="1"/>
    <col min="6" max="6" width="13.28515625" bestFit="1" customWidth="1"/>
    <col min="7" max="7" width="12.42578125" bestFit="1" customWidth="1"/>
    <col min="8" max="8" width="6.42578125" bestFit="1" customWidth="1"/>
    <col min="9" max="9" width="11.28515625" bestFit="1" customWidth="1"/>
    <col min="10" max="10" width="7.42578125" bestFit="1" customWidth="1"/>
    <col min="11" max="11" width="15.7109375" bestFit="1" customWidth="1"/>
    <col min="12" max="12" width="10.7109375" bestFit="1" customWidth="1"/>
    <col min="13" max="13" width="16" bestFit="1" customWidth="1"/>
    <col min="14" max="15" width="10.7109375" bestFit="1" customWidth="1"/>
    <col min="16" max="16" width="10.85546875" bestFit="1" customWidth="1"/>
    <col min="17" max="19" width="10.7109375" bestFit="1" customWidth="1"/>
    <col min="20" max="20" width="11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9</v>
      </c>
      <c r="E1" t="s">
        <v>12</v>
      </c>
      <c r="F1" t="s">
        <v>7</v>
      </c>
      <c r="G1" t="s">
        <v>8</v>
      </c>
      <c r="H1" t="s">
        <v>10</v>
      </c>
      <c r="I1" t="s">
        <v>11</v>
      </c>
      <c r="J1" t="s">
        <v>13</v>
      </c>
    </row>
    <row r="2" spans="1:10" x14ac:dyDescent="0.25">
      <c r="A2" t="s">
        <v>486</v>
      </c>
      <c r="B2" s="3">
        <v>43713</v>
      </c>
      <c r="C2" t="s">
        <v>487</v>
      </c>
      <c r="D2" t="s">
        <v>3469</v>
      </c>
      <c r="E2">
        <v>2</v>
      </c>
      <c r="F2" t="s">
        <v>3524</v>
      </c>
      <c r="G2" t="s">
        <v>3519</v>
      </c>
      <c r="H2">
        <v>1</v>
      </c>
      <c r="I2">
        <v>10</v>
      </c>
      <c r="J2">
        <v>19.899999999999999</v>
      </c>
    </row>
    <row r="3" spans="1:10" x14ac:dyDescent="0.25">
      <c r="A3" t="s">
        <v>486</v>
      </c>
      <c r="B3" s="3">
        <v>43713</v>
      </c>
      <c r="C3" t="s">
        <v>487</v>
      </c>
      <c r="D3" t="s">
        <v>3470</v>
      </c>
      <c r="E3">
        <v>5</v>
      </c>
      <c r="F3" t="s">
        <v>3526</v>
      </c>
      <c r="G3" t="s">
        <v>3519</v>
      </c>
      <c r="H3">
        <v>0.5</v>
      </c>
      <c r="I3">
        <v>8.3000000000000007</v>
      </c>
      <c r="J3">
        <v>41.3</v>
      </c>
    </row>
    <row r="4" spans="1:10" x14ac:dyDescent="0.25">
      <c r="A4" t="s">
        <v>491</v>
      </c>
      <c r="B4" s="3">
        <v>44364</v>
      </c>
      <c r="C4" t="s">
        <v>492</v>
      </c>
      <c r="D4" t="s">
        <v>3471</v>
      </c>
      <c r="E4">
        <v>1</v>
      </c>
      <c r="F4" t="s">
        <v>3523</v>
      </c>
      <c r="G4" t="s">
        <v>3517</v>
      </c>
      <c r="H4">
        <v>1</v>
      </c>
      <c r="I4">
        <v>13</v>
      </c>
      <c r="J4">
        <v>13</v>
      </c>
    </row>
    <row r="5" spans="1:10" x14ac:dyDescent="0.25">
      <c r="A5" t="s">
        <v>496</v>
      </c>
      <c r="B5" s="3">
        <v>44392</v>
      </c>
      <c r="C5" t="s">
        <v>497</v>
      </c>
      <c r="D5" t="s">
        <v>3472</v>
      </c>
      <c r="E5">
        <v>2</v>
      </c>
      <c r="F5" t="s">
        <v>3526</v>
      </c>
      <c r="G5" t="s">
        <v>3519</v>
      </c>
      <c r="H5">
        <v>1</v>
      </c>
      <c r="I5">
        <v>13.8</v>
      </c>
      <c r="J5">
        <v>27.5</v>
      </c>
    </row>
    <row r="6" spans="1:10" x14ac:dyDescent="0.25">
      <c r="A6" t="s">
        <v>496</v>
      </c>
      <c r="B6" s="3">
        <v>44392</v>
      </c>
      <c r="C6" t="s">
        <v>497</v>
      </c>
      <c r="D6" t="s">
        <v>3473</v>
      </c>
      <c r="E6">
        <v>2</v>
      </c>
      <c r="F6" t="s">
        <v>3524</v>
      </c>
      <c r="G6" t="s">
        <v>3517</v>
      </c>
      <c r="H6">
        <v>2.5</v>
      </c>
      <c r="I6">
        <v>27.5</v>
      </c>
      <c r="J6">
        <v>55</v>
      </c>
    </row>
    <row r="7" spans="1:10" x14ac:dyDescent="0.25">
      <c r="A7" t="s">
        <v>501</v>
      </c>
      <c r="B7" s="3">
        <v>44412</v>
      </c>
      <c r="C7" t="s">
        <v>502</v>
      </c>
      <c r="D7" t="s">
        <v>3474</v>
      </c>
      <c r="E7">
        <v>3</v>
      </c>
      <c r="F7" t="s">
        <v>3525</v>
      </c>
      <c r="G7" t="s">
        <v>3518</v>
      </c>
      <c r="H7">
        <v>1</v>
      </c>
      <c r="I7">
        <v>13</v>
      </c>
      <c r="J7">
        <v>38.9</v>
      </c>
    </row>
    <row r="8" spans="1:10" x14ac:dyDescent="0.25">
      <c r="A8" t="s">
        <v>504</v>
      </c>
      <c r="B8" s="3">
        <v>44582</v>
      </c>
      <c r="C8" t="s">
        <v>505</v>
      </c>
      <c r="D8" t="s">
        <v>3475</v>
      </c>
      <c r="E8">
        <v>3</v>
      </c>
      <c r="F8" t="s">
        <v>3526</v>
      </c>
      <c r="G8" t="s">
        <v>3518</v>
      </c>
      <c r="H8">
        <v>0.5</v>
      </c>
      <c r="I8">
        <v>7.3</v>
      </c>
      <c r="J8">
        <v>21.9</v>
      </c>
    </row>
    <row r="9" spans="1:10" x14ac:dyDescent="0.25">
      <c r="A9" t="s">
        <v>507</v>
      </c>
      <c r="B9" s="3">
        <v>44701</v>
      </c>
      <c r="C9" t="s">
        <v>508</v>
      </c>
      <c r="D9" t="s">
        <v>3476</v>
      </c>
      <c r="E9">
        <v>1</v>
      </c>
      <c r="F9" t="s">
        <v>3525</v>
      </c>
      <c r="G9" t="s">
        <v>3517</v>
      </c>
      <c r="H9">
        <v>0.2</v>
      </c>
      <c r="I9">
        <v>4.8</v>
      </c>
      <c r="J9">
        <v>4.8</v>
      </c>
    </row>
    <row r="10" spans="1:10" x14ac:dyDescent="0.25">
      <c r="A10" t="s">
        <v>510</v>
      </c>
      <c r="B10" s="3">
        <v>43467</v>
      </c>
      <c r="C10" t="s">
        <v>511</v>
      </c>
      <c r="D10" t="s">
        <v>3477</v>
      </c>
      <c r="E10">
        <v>3</v>
      </c>
      <c r="F10" t="s">
        <v>3524</v>
      </c>
      <c r="G10" t="s">
        <v>3519</v>
      </c>
      <c r="H10">
        <v>0.5</v>
      </c>
      <c r="I10">
        <v>6</v>
      </c>
      <c r="J10">
        <v>17.899999999999999</v>
      </c>
    </row>
    <row r="11" spans="1:10" x14ac:dyDescent="0.25">
      <c r="A11" t="s">
        <v>513</v>
      </c>
      <c r="B11" s="3">
        <v>43713</v>
      </c>
      <c r="C11" t="s">
        <v>514</v>
      </c>
      <c r="D11" t="s">
        <v>3477</v>
      </c>
      <c r="E11">
        <v>1</v>
      </c>
      <c r="F11" t="s">
        <v>3524</v>
      </c>
      <c r="G11" t="s">
        <v>3519</v>
      </c>
      <c r="H11">
        <v>0.5</v>
      </c>
      <c r="I11">
        <v>6</v>
      </c>
      <c r="J11">
        <v>6</v>
      </c>
    </row>
    <row r="12" spans="1:10" x14ac:dyDescent="0.25">
      <c r="A12" t="s">
        <v>516</v>
      </c>
      <c r="B12" s="3">
        <v>44263</v>
      </c>
      <c r="C12" t="s">
        <v>517</v>
      </c>
      <c r="D12" t="s">
        <v>3478</v>
      </c>
      <c r="E12">
        <v>4</v>
      </c>
      <c r="F12" t="s">
        <v>3523</v>
      </c>
      <c r="G12" t="s">
        <v>3518</v>
      </c>
      <c r="H12">
        <v>1</v>
      </c>
      <c r="I12">
        <v>10</v>
      </c>
      <c r="J12">
        <v>39.799999999999997</v>
      </c>
    </row>
    <row r="13" spans="1:10" x14ac:dyDescent="0.25">
      <c r="A13" t="s">
        <v>519</v>
      </c>
      <c r="B13" s="3">
        <v>44132</v>
      </c>
      <c r="C13" t="s">
        <v>520</v>
      </c>
      <c r="D13" t="s">
        <v>3479</v>
      </c>
      <c r="E13">
        <v>5</v>
      </c>
      <c r="F13" t="s">
        <v>3526</v>
      </c>
      <c r="G13" t="s">
        <v>3517</v>
      </c>
      <c r="H13">
        <v>2.5</v>
      </c>
      <c r="I13">
        <v>34.200000000000003</v>
      </c>
      <c r="J13">
        <v>170.8</v>
      </c>
    </row>
    <row r="14" spans="1:10" x14ac:dyDescent="0.25">
      <c r="A14" t="s">
        <v>522</v>
      </c>
      <c r="B14" s="3">
        <v>44744</v>
      </c>
      <c r="C14" t="s">
        <v>523</v>
      </c>
      <c r="D14" t="s">
        <v>3469</v>
      </c>
      <c r="E14">
        <v>5</v>
      </c>
      <c r="F14" t="s">
        <v>3524</v>
      </c>
      <c r="G14" t="s">
        <v>3519</v>
      </c>
      <c r="H14">
        <v>1</v>
      </c>
      <c r="I14">
        <v>10</v>
      </c>
      <c r="J14">
        <v>49.8</v>
      </c>
    </row>
    <row r="15" spans="1:10" x14ac:dyDescent="0.25">
      <c r="A15" t="s">
        <v>525</v>
      </c>
      <c r="B15" s="3">
        <v>43973</v>
      </c>
      <c r="C15" t="s">
        <v>526</v>
      </c>
      <c r="D15" t="s">
        <v>3480</v>
      </c>
      <c r="E15">
        <v>2</v>
      </c>
      <c r="F15" t="s">
        <v>3524</v>
      </c>
      <c r="G15" t="s">
        <v>3518</v>
      </c>
      <c r="H15">
        <v>2.5</v>
      </c>
      <c r="I15">
        <v>20.6</v>
      </c>
      <c r="J15">
        <v>41.2</v>
      </c>
    </row>
    <row r="16" spans="1:10" x14ac:dyDescent="0.25">
      <c r="A16" t="s">
        <v>528</v>
      </c>
      <c r="B16" s="3">
        <v>44656</v>
      </c>
      <c r="C16" t="s">
        <v>529</v>
      </c>
      <c r="D16" t="s">
        <v>3481</v>
      </c>
      <c r="E16">
        <v>3</v>
      </c>
      <c r="F16" t="s">
        <v>3525</v>
      </c>
      <c r="G16" t="s">
        <v>3518</v>
      </c>
      <c r="H16">
        <v>0.2</v>
      </c>
      <c r="I16">
        <v>3.9</v>
      </c>
      <c r="J16">
        <v>11.7</v>
      </c>
    </row>
    <row r="17" spans="1:10" x14ac:dyDescent="0.25">
      <c r="A17" t="s">
        <v>531</v>
      </c>
      <c r="B17" s="3">
        <v>44719</v>
      </c>
      <c r="C17" t="s">
        <v>532</v>
      </c>
      <c r="D17" t="s">
        <v>3482</v>
      </c>
      <c r="E17">
        <v>5</v>
      </c>
      <c r="F17" t="s">
        <v>3524</v>
      </c>
      <c r="G17" t="s">
        <v>3519</v>
      </c>
      <c r="H17">
        <v>2.5</v>
      </c>
      <c r="I17">
        <v>22.9</v>
      </c>
      <c r="J17">
        <v>114.4</v>
      </c>
    </row>
    <row r="18" spans="1:10" x14ac:dyDescent="0.25">
      <c r="A18" t="s">
        <v>534</v>
      </c>
      <c r="B18" s="3">
        <v>43544</v>
      </c>
      <c r="C18" t="s">
        <v>535</v>
      </c>
      <c r="D18" t="s">
        <v>3483</v>
      </c>
      <c r="E18">
        <v>6</v>
      </c>
      <c r="F18" t="s">
        <v>3523</v>
      </c>
      <c r="G18" t="s">
        <v>3519</v>
      </c>
      <c r="H18">
        <v>0.2</v>
      </c>
      <c r="I18">
        <v>3.4</v>
      </c>
      <c r="J18">
        <v>20.3</v>
      </c>
    </row>
    <row r="19" spans="1:10" x14ac:dyDescent="0.25">
      <c r="A19" t="s">
        <v>537</v>
      </c>
      <c r="B19" s="3">
        <v>43757</v>
      </c>
      <c r="C19" t="s">
        <v>538</v>
      </c>
      <c r="D19" t="s">
        <v>3471</v>
      </c>
      <c r="E19">
        <v>6</v>
      </c>
      <c r="F19" t="s">
        <v>3523</v>
      </c>
      <c r="G19" t="s">
        <v>3517</v>
      </c>
      <c r="H19">
        <v>1</v>
      </c>
      <c r="I19">
        <v>13</v>
      </c>
      <c r="J19">
        <v>77.7</v>
      </c>
    </row>
    <row r="20" spans="1:10" x14ac:dyDescent="0.25">
      <c r="A20" t="s">
        <v>540</v>
      </c>
      <c r="B20" s="3">
        <v>43629</v>
      </c>
      <c r="C20" t="s">
        <v>541</v>
      </c>
      <c r="D20" t="s">
        <v>3480</v>
      </c>
      <c r="E20">
        <v>4</v>
      </c>
      <c r="F20" t="s">
        <v>3524</v>
      </c>
      <c r="G20" t="s">
        <v>3518</v>
      </c>
      <c r="H20">
        <v>2.5</v>
      </c>
      <c r="I20">
        <v>20.6</v>
      </c>
      <c r="J20">
        <v>82.3</v>
      </c>
    </row>
    <row r="21" spans="1:10" x14ac:dyDescent="0.25">
      <c r="A21" t="s">
        <v>543</v>
      </c>
      <c r="B21" s="3">
        <v>44169</v>
      </c>
      <c r="C21" t="s">
        <v>544</v>
      </c>
      <c r="D21" t="s">
        <v>3483</v>
      </c>
      <c r="E21">
        <v>5</v>
      </c>
      <c r="F21" t="s">
        <v>3523</v>
      </c>
      <c r="G21" t="s">
        <v>3519</v>
      </c>
      <c r="H21">
        <v>0.2</v>
      </c>
      <c r="I21">
        <v>3.4</v>
      </c>
      <c r="J21">
        <v>16.899999999999999</v>
      </c>
    </row>
    <row r="22" spans="1:10" x14ac:dyDescent="0.25">
      <c r="A22" t="s">
        <v>543</v>
      </c>
      <c r="B22" s="3">
        <v>44169</v>
      </c>
      <c r="C22" t="s">
        <v>544</v>
      </c>
      <c r="D22" t="s">
        <v>3484</v>
      </c>
      <c r="E22">
        <v>4</v>
      </c>
      <c r="F22" t="s">
        <v>3526</v>
      </c>
      <c r="G22" t="s">
        <v>3518</v>
      </c>
      <c r="H22">
        <v>0.2</v>
      </c>
      <c r="I22">
        <v>3.6</v>
      </c>
      <c r="J22">
        <v>14.6</v>
      </c>
    </row>
    <row r="23" spans="1:10" x14ac:dyDescent="0.25">
      <c r="A23" t="s">
        <v>548</v>
      </c>
      <c r="B23" s="3">
        <v>44169</v>
      </c>
      <c r="C23" t="s">
        <v>549</v>
      </c>
      <c r="D23" t="s">
        <v>3485</v>
      </c>
      <c r="E23">
        <v>6</v>
      </c>
      <c r="F23" t="s">
        <v>3523</v>
      </c>
      <c r="G23" t="s">
        <v>3518</v>
      </c>
      <c r="H23">
        <v>0.2</v>
      </c>
      <c r="I23">
        <v>3</v>
      </c>
      <c r="J23">
        <v>17.899999999999999</v>
      </c>
    </row>
    <row r="24" spans="1:10" x14ac:dyDescent="0.25">
      <c r="A24" t="s">
        <v>551</v>
      </c>
      <c r="B24" s="3">
        <v>44218</v>
      </c>
      <c r="C24" t="s">
        <v>552</v>
      </c>
      <c r="D24" t="s">
        <v>3482</v>
      </c>
      <c r="E24">
        <v>4</v>
      </c>
      <c r="F24" t="s">
        <v>3524</v>
      </c>
      <c r="G24" t="s">
        <v>3519</v>
      </c>
      <c r="H24">
        <v>2.5</v>
      </c>
      <c r="I24">
        <v>22.9</v>
      </c>
      <c r="J24">
        <v>91.5</v>
      </c>
    </row>
    <row r="25" spans="1:10" x14ac:dyDescent="0.25">
      <c r="A25" t="s">
        <v>554</v>
      </c>
      <c r="B25" s="3">
        <v>44603</v>
      </c>
      <c r="C25" t="s">
        <v>555</v>
      </c>
      <c r="D25" t="s">
        <v>3485</v>
      </c>
      <c r="E25">
        <v>4</v>
      </c>
      <c r="F25" t="s">
        <v>3523</v>
      </c>
      <c r="G25" t="s">
        <v>3518</v>
      </c>
      <c r="H25">
        <v>0.2</v>
      </c>
      <c r="I25">
        <v>3</v>
      </c>
      <c r="J25">
        <v>11.9</v>
      </c>
    </row>
    <row r="26" spans="1:10" x14ac:dyDescent="0.25">
      <c r="A26" t="s">
        <v>557</v>
      </c>
      <c r="B26" s="3">
        <v>44454</v>
      </c>
      <c r="C26" t="s">
        <v>558</v>
      </c>
      <c r="D26" t="s">
        <v>3486</v>
      </c>
      <c r="E26">
        <v>1</v>
      </c>
      <c r="F26" t="s">
        <v>3523</v>
      </c>
      <c r="G26" t="s">
        <v>3519</v>
      </c>
      <c r="H26">
        <v>1</v>
      </c>
      <c r="I26">
        <v>11.3</v>
      </c>
      <c r="J26">
        <v>11.3</v>
      </c>
    </row>
    <row r="27" spans="1:10" x14ac:dyDescent="0.25">
      <c r="A27" t="s">
        <v>560</v>
      </c>
      <c r="B27" s="3">
        <v>44128</v>
      </c>
      <c r="C27" t="s">
        <v>561</v>
      </c>
      <c r="D27" t="s">
        <v>3487</v>
      </c>
      <c r="E27">
        <v>3</v>
      </c>
      <c r="F27" t="s">
        <v>3526</v>
      </c>
      <c r="G27" t="s">
        <v>3519</v>
      </c>
      <c r="H27">
        <v>0.2</v>
      </c>
      <c r="I27">
        <v>4.0999999999999996</v>
      </c>
      <c r="J27">
        <v>12.4</v>
      </c>
    </row>
    <row r="28" spans="1:10" x14ac:dyDescent="0.25">
      <c r="A28" t="s">
        <v>563</v>
      </c>
      <c r="B28" s="3">
        <v>43516</v>
      </c>
      <c r="C28" t="s">
        <v>564</v>
      </c>
      <c r="D28" t="s">
        <v>3488</v>
      </c>
      <c r="E28">
        <v>4</v>
      </c>
      <c r="F28" t="s">
        <v>3523</v>
      </c>
      <c r="G28" t="s">
        <v>3519</v>
      </c>
      <c r="H28">
        <v>0.5</v>
      </c>
      <c r="I28">
        <v>6.8</v>
      </c>
      <c r="J28">
        <v>27</v>
      </c>
    </row>
    <row r="29" spans="1:10" x14ac:dyDescent="0.25">
      <c r="A29" t="s">
        <v>566</v>
      </c>
      <c r="B29" s="3">
        <v>43746</v>
      </c>
      <c r="C29" t="s">
        <v>567</v>
      </c>
      <c r="D29" t="s">
        <v>3483</v>
      </c>
      <c r="E29">
        <v>5</v>
      </c>
      <c r="F29" t="s">
        <v>3523</v>
      </c>
      <c r="G29" t="s">
        <v>3519</v>
      </c>
      <c r="H29">
        <v>0.2</v>
      </c>
      <c r="I29">
        <v>3.4</v>
      </c>
      <c r="J29">
        <v>16.899999999999999</v>
      </c>
    </row>
    <row r="30" spans="1:10" x14ac:dyDescent="0.25">
      <c r="A30" t="s">
        <v>569</v>
      </c>
      <c r="B30" s="3">
        <v>44775</v>
      </c>
      <c r="C30" t="s">
        <v>570</v>
      </c>
      <c r="D30" t="s">
        <v>3489</v>
      </c>
      <c r="E30">
        <v>3</v>
      </c>
      <c r="F30" t="s">
        <v>3523</v>
      </c>
      <c r="G30" t="s">
        <v>3518</v>
      </c>
      <c r="H30">
        <v>0.5</v>
      </c>
      <c r="I30">
        <v>6</v>
      </c>
      <c r="J30">
        <v>17.899999999999999</v>
      </c>
    </row>
    <row r="31" spans="1:10" x14ac:dyDescent="0.25">
      <c r="A31" t="s">
        <v>572</v>
      </c>
      <c r="B31" s="3">
        <v>43516</v>
      </c>
      <c r="C31" t="s">
        <v>573</v>
      </c>
      <c r="D31" t="s">
        <v>3478</v>
      </c>
      <c r="E31">
        <v>4</v>
      </c>
      <c r="F31" t="s">
        <v>3523</v>
      </c>
      <c r="G31" t="s">
        <v>3518</v>
      </c>
      <c r="H31">
        <v>1</v>
      </c>
      <c r="I31">
        <v>10</v>
      </c>
      <c r="J31">
        <v>39.799999999999997</v>
      </c>
    </row>
    <row r="32" spans="1:10" x14ac:dyDescent="0.25">
      <c r="A32" t="s">
        <v>575</v>
      </c>
      <c r="B32" s="3">
        <v>44464</v>
      </c>
      <c r="C32" t="s">
        <v>576</v>
      </c>
      <c r="D32" t="s">
        <v>3490</v>
      </c>
      <c r="E32">
        <v>5</v>
      </c>
      <c r="F32" t="s">
        <v>3525</v>
      </c>
      <c r="G32" t="s">
        <v>3519</v>
      </c>
      <c r="H32">
        <v>0.2</v>
      </c>
      <c r="I32">
        <v>4.4000000000000004</v>
      </c>
      <c r="J32">
        <v>21.8</v>
      </c>
    </row>
    <row r="33" spans="1:10" x14ac:dyDescent="0.25">
      <c r="A33" t="s">
        <v>575</v>
      </c>
      <c r="B33" s="3">
        <v>44464</v>
      </c>
      <c r="C33" t="s">
        <v>576</v>
      </c>
      <c r="D33" t="s">
        <v>3489</v>
      </c>
      <c r="E33">
        <v>6</v>
      </c>
      <c r="F33" t="s">
        <v>3523</v>
      </c>
      <c r="G33" t="s">
        <v>3518</v>
      </c>
      <c r="H33">
        <v>0.5</v>
      </c>
      <c r="I33">
        <v>6</v>
      </c>
      <c r="J33">
        <v>35.799999999999997</v>
      </c>
    </row>
    <row r="34" spans="1:10" x14ac:dyDescent="0.25">
      <c r="A34" t="s">
        <v>575</v>
      </c>
      <c r="B34" s="3">
        <v>44464</v>
      </c>
      <c r="C34" t="s">
        <v>576</v>
      </c>
      <c r="D34" t="s">
        <v>3491</v>
      </c>
      <c r="E34">
        <v>6</v>
      </c>
      <c r="F34" t="s">
        <v>3525</v>
      </c>
      <c r="G34" t="s">
        <v>3519</v>
      </c>
      <c r="H34">
        <v>0.5</v>
      </c>
      <c r="I34">
        <v>8.6999999999999993</v>
      </c>
      <c r="J34">
        <v>52.4</v>
      </c>
    </row>
    <row r="35" spans="1:10" x14ac:dyDescent="0.25">
      <c r="A35" t="s">
        <v>582</v>
      </c>
      <c r="B35" s="3">
        <v>44394</v>
      </c>
      <c r="C35" t="s">
        <v>583</v>
      </c>
      <c r="D35" t="s">
        <v>3476</v>
      </c>
      <c r="E35">
        <v>5</v>
      </c>
      <c r="F35" t="s">
        <v>3525</v>
      </c>
      <c r="G35" t="s">
        <v>3517</v>
      </c>
      <c r="H35">
        <v>0.2</v>
      </c>
      <c r="I35">
        <v>4.8</v>
      </c>
      <c r="J35">
        <v>23.8</v>
      </c>
    </row>
    <row r="36" spans="1:10" x14ac:dyDescent="0.25">
      <c r="A36" t="s">
        <v>585</v>
      </c>
      <c r="B36" s="3">
        <v>44011</v>
      </c>
      <c r="C36" t="s">
        <v>586</v>
      </c>
      <c r="D36" t="s">
        <v>3492</v>
      </c>
      <c r="E36">
        <v>6</v>
      </c>
      <c r="F36" t="s">
        <v>3525</v>
      </c>
      <c r="G36" t="s">
        <v>3517</v>
      </c>
      <c r="H36">
        <v>0.5</v>
      </c>
      <c r="I36">
        <v>9.5</v>
      </c>
      <c r="J36">
        <v>57.1</v>
      </c>
    </row>
    <row r="37" spans="1:10" x14ac:dyDescent="0.25">
      <c r="A37" t="s">
        <v>588</v>
      </c>
      <c r="B37" s="3">
        <v>44348</v>
      </c>
      <c r="C37" t="s">
        <v>589</v>
      </c>
      <c r="D37" t="s">
        <v>3489</v>
      </c>
      <c r="E37">
        <v>6</v>
      </c>
      <c r="F37" t="s">
        <v>3523</v>
      </c>
      <c r="G37" t="s">
        <v>3518</v>
      </c>
      <c r="H37">
        <v>0.5</v>
      </c>
      <c r="I37">
        <v>6</v>
      </c>
      <c r="J37">
        <v>35.799999999999997</v>
      </c>
    </row>
    <row r="38" spans="1:10" x14ac:dyDescent="0.25">
      <c r="A38" t="s">
        <v>591</v>
      </c>
      <c r="B38" s="3">
        <v>44233</v>
      </c>
      <c r="C38" t="s">
        <v>592</v>
      </c>
      <c r="D38" t="s">
        <v>3490</v>
      </c>
      <c r="E38">
        <v>2</v>
      </c>
      <c r="F38" t="s">
        <v>3525</v>
      </c>
      <c r="G38" t="s">
        <v>3519</v>
      </c>
      <c r="H38">
        <v>0.2</v>
      </c>
      <c r="I38">
        <v>4.4000000000000004</v>
      </c>
      <c r="J38">
        <v>8.6999999999999993</v>
      </c>
    </row>
    <row r="39" spans="1:10" x14ac:dyDescent="0.25">
      <c r="A39" t="s">
        <v>594</v>
      </c>
      <c r="B39" s="3">
        <v>43580</v>
      </c>
      <c r="C39" t="s">
        <v>595</v>
      </c>
      <c r="D39" t="s">
        <v>3492</v>
      </c>
      <c r="E39">
        <v>3</v>
      </c>
      <c r="F39" t="s">
        <v>3525</v>
      </c>
      <c r="G39" t="s">
        <v>3517</v>
      </c>
      <c r="H39">
        <v>0.5</v>
      </c>
      <c r="I39">
        <v>9.5</v>
      </c>
      <c r="J39">
        <v>28.5</v>
      </c>
    </row>
    <row r="40" spans="1:10" x14ac:dyDescent="0.25">
      <c r="A40" t="s">
        <v>597</v>
      </c>
      <c r="B40" s="3">
        <v>43946</v>
      </c>
      <c r="C40" t="s">
        <v>598</v>
      </c>
      <c r="D40" t="s">
        <v>3482</v>
      </c>
      <c r="E40">
        <v>5</v>
      </c>
      <c r="F40" t="s">
        <v>3524</v>
      </c>
      <c r="G40" t="s">
        <v>3519</v>
      </c>
      <c r="H40">
        <v>2.5</v>
      </c>
      <c r="I40">
        <v>22.9</v>
      </c>
      <c r="J40">
        <v>114.4</v>
      </c>
    </row>
    <row r="41" spans="1:10" x14ac:dyDescent="0.25">
      <c r="A41" t="s">
        <v>600</v>
      </c>
      <c r="B41" s="3">
        <v>44524</v>
      </c>
      <c r="C41" t="s">
        <v>601</v>
      </c>
      <c r="D41" t="s">
        <v>3469</v>
      </c>
      <c r="E41">
        <v>6</v>
      </c>
      <c r="F41" t="s">
        <v>3524</v>
      </c>
      <c r="G41" t="s">
        <v>3519</v>
      </c>
      <c r="H41">
        <v>1</v>
      </c>
      <c r="I41">
        <v>10</v>
      </c>
      <c r="J41">
        <v>59.7</v>
      </c>
    </row>
    <row r="42" spans="1:10" x14ac:dyDescent="0.25">
      <c r="A42" t="s">
        <v>603</v>
      </c>
      <c r="B42" s="3">
        <v>44305</v>
      </c>
      <c r="C42" t="s">
        <v>604</v>
      </c>
      <c r="D42" t="s">
        <v>3493</v>
      </c>
      <c r="E42">
        <v>3</v>
      </c>
      <c r="F42" t="s">
        <v>3525</v>
      </c>
      <c r="G42" t="s">
        <v>3519</v>
      </c>
      <c r="H42">
        <v>1</v>
      </c>
      <c r="I42">
        <v>14.6</v>
      </c>
      <c r="J42">
        <v>43.7</v>
      </c>
    </row>
    <row r="43" spans="1:10" x14ac:dyDescent="0.25">
      <c r="A43" t="s">
        <v>606</v>
      </c>
      <c r="B43" s="3">
        <v>44749</v>
      </c>
      <c r="C43" t="s">
        <v>607</v>
      </c>
      <c r="D43" t="s">
        <v>3484</v>
      </c>
      <c r="E43">
        <v>2</v>
      </c>
      <c r="F43" t="s">
        <v>3526</v>
      </c>
      <c r="G43" t="s">
        <v>3518</v>
      </c>
      <c r="H43">
        <v>0.2</v>
      </c>
      <c r="I43">
        <v>3.6</v>
      </c>
      <c r="J43">
        <v>7.3</v>
      </c>
    </row>
    <row r="44" spans="1:10" x14ac:dyDescent="0.25">
      <c r="A44" t="s">
        <v>609</v>
      </c>
      <c r="B44" s="3">
        <v>43607</v>
      </c>
      <c r="C44" t="s">
        <v>610</v>
      </c>
      <c r="D44" t="s">
        <v>3494</v>
      </c>
      <c r="E44">
        <v>3</v>
      </c>
      <c r="F44" t="s">
        <v>3524</v>
      </c>
      <c r="G44" t="s">
        <v>3518</v>
      </c>
      <c r="H44">
        <v>0.2</v>
      </c>
      <c r="I44">
        <v>2.7</v>
      </c>
      <c r="J44">
        <v>8.1</v>
      </c>
    </row>
    <row r="45" spans="1:10" x14ac:dyDescent="0.25">
      <c r="A45" t="s">
        <v>613</v>
      </c>
      <c r="B45" s="3">
        <v>44473</v>
      </c>
      <c r="C45" t="s">
        <v>614</v>
      </c>
      <c r="D45" t="s">
        <v>3495</v>
      </c>
      <c r="E45">
        <v>2</v>
      </c>
      <c r="F45" t="s">
        <v>3525</v>
      </c>
      <c r="G45" t="s">
        <v>3517</v>
      </c>
      <c r="H45">
        <v>2.5</v>
      </c>
      <c r="I45">
        <v>36.5</v>
      </c>
      <c r="J45">
        <v>72.900000000000006</v>
      </c>
    </row>
    <row r="46" spans="1:10" x14ac:dyDescent="0.25">
      <c r="A46" t="s">
        <v>616</v>
      </c>
      <c r="B46" s="3">
        <v>43932</v>
      </c>
      <c r="C46" t="s">
        <v>617</v>
      </c>
      <c r="D46" t="s">
        <v>3470</v>
      </c>
      <c r="E46">
        <v>2</v>
      </c>
      <c r="F46" t="s">
        <v>3526</v>
      </c>
      <c r="G46" t="s">
        <v>3519</v>
      </c>
      <c r="H46">
        <v>0.5</v>
      </c>
      <c r="I46">
        <v>8.3000000000000007</v>
      </c>
      <c r="J46">
        <v>16.5</v>
      </c>
    </row>
    <row r="47" spans="1:10" x14ac:dyDescent="0.25">
      <c r="A47" t="s">
        <v>619</v>
      </c>
      <c r="B47" s="3">
        <v>44592</v>
      </c>
      <c r="C47" t="s">
        <v>620</v>
      </c>
      <c r="D47" t="s">
        <v>3496</v>
      </c>
      <c r="E47">
        <v>6</v>
      </c>
      <c r="F47" t="s">
        <v>3525</v>
      </c>
      <c r="G47" t="s">
        <v>3518</v>
      </c>
      <c r="H47">
        <v>2.5</v>
      </c>
      <c r="I47">
        <v>29.8</v>
      </c>
      <c r="J47">
        <v>178.7</v>
      </c>
    </row>
    <row r="48" spans="1:10" x14ac:dyDescent="0.25">
      <c r="A48" t="s">
        <v>622</v>
      </c>
      <c r="B48" s="3">
        <v>43776</v>
      </c>
      <c r="C48" t="s">
        <v>623</v>
      </c>
      <c r="D48" t="s">
        <v>3497</v>
      </c>
      <c r="E48">
        <v>2</v>
      </c>
      <c r="F48" t="s">
        <v>3526</v>
      </c>
      <c r="G48" t="s">
        <v>3519</v>
      </c>
      <c r="H48">
        <v>2.5</v>
      </c>
      <c r="I48">
        <v>31.6</v>
      </c>
      <c r="J48">
        <v>63.3</v>
      </c>
    </row>
    <row r="49" spans="1:10" x14ac:dyDescent="0.25">
      <c r="A49" t="s">
        <v>625</v>
      </c>
      <c r="B49" s="3">
        <v>43644</v>
      </c>
      <c r="C49" t="s">
        <v>626</v>
      </c>
      <c r="D49" t="s">
        <v>3498</v>
      </c>
      <c r="E49">
        <v>2</v>
      </c>
      <c r="F49" t="s">
        <v>3523</v>
      </c>
      <c r="G49" t="s">
        <v>3517</v>
      </c>
      <c r="H49">
        <v>0.2</v>
      </c>
      <c r="I49">
        <v>3.9</v>
      </c>
      <c r="J49">
        <v>7.8</v>
      </c>
    </row>
    <row r="50" spans="1:10" x14ac:dyDescent="0.25">
      <c r="A50" t="s">
        <v>628</v>
      </c>
      <c r="B50" s="3">
        <v>44085</v>
      </c>
      <c r="C50" t="s">
        <v>629</v>
      </c>
      <c r="D50" t="s">
        <v>3499</v>
      </c>
      <c r="E50">
        <v>4</v>
      </c>
      <c r="F50" t="s">
        <v>3523</v>
      </c>
      <c r="G50" t="s">
        <v>3518</v>
      </c>
      <c r="H50">
        <v>2.5</v>
      </c>
      <c r="I50">
        <v>22.9</v>
      </c>
      <c r="J50">
        <v>91.5</v>
      </c>
    </row>
    <row r="51" spans="1:10" x14ac:dyDescent="0.25">
      <c r="A51" t="s">
        <v>631</v>
      </c>
      <c r="B51" s="3">
        <v>44790</v>
      </c>
      <c r="C51" t="s">
        <v>632</v>
      </c>
      <c r="D51" t="s">
        <v>3471</v>
      </c>
      <c r="E51">
        <v>3</v>
      </c>
      <c r="F51" t="s">
        <v>3523</v>
      </c>
      <c r="G51" t="s">
        <v>3517</v>
      </c>
      <c r="H51">
        <v>1</v>
      </c>
      <c r="I51">
        <v>13</v>
      </c>
      <c r="J51">
        <v>38.9</v>
      </c>
    </row>
    <row r="52" spans="1:10" x14ac:dyDescent="0.25">
      <c r="A52" t="s">
        <v>634</v>
      </c>
      <c r="B52" s="3">
        <v>44792</v>
      </c>
      <c r="C52" t="s">
        <v>635</v>
      </c>
      <c r="D52" t="s">
        <v>3500</v>
      </c>
      <c r="E52">
        <v>2</v>
      </c>
      <c r="F52" t="s">
        <v>3525</v>
      </c>
      <c r="G52" t="s">
        <v>3518</v>
      </c>
      <c r="H52">
        <v>0.5</v>
      </c>
      <c r="I52">
        <v>7.8</v>
      </c>
      <c r="J52">
        <v>15.5</v>
      </c>
    </row>
    <row r="53" spans="1:10" x14ac:dyDescent="0.25">
      <c r="A53" t="s">
        <v>637</v>
      </c>
      <c r="B53" s="3">
        <v>43600</v>
      </c>
      <c r="C53" t="s">
        <v>638</v>
      </c>
      <c r="D53" t="s">
        <v>3495</v>
      </c>
      <c r="E53">
        <v>4</v>
      </c>
      <c r="F53" t="s">
        <v>3525</v>
      </c>
      <c r="G53" t="s">
        <v>3517</v>
      </c>
      <c r="H53">
        <v>2.5</v>
      </c>
      <c r="I53">
        <v>36.5</v>
      </c>
      <c r="J53">
        <v>145.80000000000001</v>
      </c>
    </row>
    <row r="54" spans="1:10" x14ac:dyDescent="0.25">
      <c r="A54" t="s">
        <v>640</v>
      </c>
      <c r="B54" s="3">
        <v>43719</v>
      </c>
      <c r="C54" t="s">
        <v>641</v>
      </c>
      <c r="D54" t="s">
        <v>3477</v>
      </c>
      <c r="E54">
        <v>5</v>
      </c>
      <c r="F54" t="s">
        <v>3524</v>
      </c>
      <c r="G54" t="s">
        <v>3519</v>
      </c>
      <c r="H54">
        <v>0.5</v>
      </c>
      <c r="I54">
        <v>6</v>
      </c>
      <c r="J54">
        <v>29.9</v>
      </c>
    </row>
    <row r="55" spans="1:10" x14ac:dyDescent="0.25">
      <c r="A55" t="s">
        <v>640</v>
      </c>
      <c r="B55" s="3">
        <v>43719</v>
      </c>
      <c r="C55" t="s">
        <v>641</v>
      </c>
      <c r="D55" t="s">
        <v>3495</v>
      </c>
      <c r="E55">
        <v>2</v>
      </c>
      <c r="F55" t="s">
        <v>3525</v>
      </c>
      <c r="G55" t="s">
        <v>3517</v>
      </c>
      <c r="H55">
        <v>2.5</v>
      </c>
      <c r="I55">
        <v>36.5</v>
      </c>
      <c r="J55">
        <v>72.900000000000006</v>
      </c>
    </row>
    <row r="56" spans="1:10" x14ac:dyDescent="0.25">
      <c r="A56" t="s">
        <v>645</v>
      </c>
      <c r="B56" s="3">
        <v>44271</v>
      </c>
      <c r="C56" t="s">
        <v>646</v>
      </c>
      <c r="D56" t="s">
        <v>3493</v>
      </c>
      <c r="E56">
        <v>5</v>
      </c>
      <c r="F56" t="s">
        <v>3525</v>
      </c>
      <c r="G56" t="s">
        <v>3519</v>
      </c>
      <c r="H56">
        <v>1</v>
      </c>
      <c r="I56">
        <v>14.6</v>
      </c>
      <c r="J56">
        <v>72.8</v>
      </c>
    </row>
    <row r="57" spans="1:10" x14ac:dyDescent="0.25">
      <c r="A57" t="s">
        <v>648</v>
      </c>
      <c r="B57" s="3">
        <v>44168</v>
      </c>
      <c r="C57" t="s">
        <v>649</v>
      </c>
      <c r="D57" t="s">
        <v>3501</v>
      </c>
      <c r="E57">
        <v>3</v>
      </c>
      <c r="F57" t="s">
        <v>3525</v>
      </c>
      <c r="G57" t="s">
        <v>3517</v>
      </c>
      <c r="H57">
        <v>1</v>
      </c>
      <c r="I57">
        <v>15.9</v>
      </c>
      <c r="J57">
        <v>47.6</v>
      </c>
    </row>
    <row r="58" spans="1:10" x14ac:dyDescent="0.25">
      <c r="A58" t="s">
        <v>651</v>
      </c>
      <c r="B58" s="3">
        <v>43857</v>
      </c>
      <c r="C58" t="s">
        <v>652</v>
      </c>
      <c r="D58" t="s">
        <v>3484</v>
      </c>
      <c r="E58">
        <v>3</v>
      </c>
      <c r="F58" t="s">
        <v>3526</v>
      </c>
      <c r="G58" t="s">
        <v>3518</v>
      </c>
      <c r="H58">
        <v>0.2</v>
      </c>
      <c r="I58">
        <v>3.6</v>
      </c>
      <c r="J58">
        <v>10.9</v>
      </c>
    </row>
    <row r="59" spans="1:10" x14ac:dyDescent="0.25">
      <c r="A59" t="s">
        <v>654</v>
      </c>
      <c r="B59" s="3">
        <v>44759</v>
      </c>
      <c r="C59" t="s">
        <v>655</v>
      </c>
      <c r="D59" t="s">
        <v>3502</v>
      </c>
      <c r="E59">
        <v>4</v>
      </c>
      <c r="F59" t="s">
        <v>3526</v>
      </c>
      <c r="G59" t="s">
        <v>3517</v>
      </c>
      <c r="H59">
        <v>1</v>
      </c>
      <c r="I59">
        <v>14.9</v>
      </c>
      <c r="J59">
        <v>59.4</v>
      </c>
    </row>
    <row r="60" spans="1:10" x14ac:dyDescent="0.25">
      <c r="A60" t="s">
        <v>657</v>
      </c>
      <c r="B60" s="3">
        <v>44624</v>
      </c>
      <c r="C60" t="s">
        <v>658</v>
      </c>
      <c r="D60" t="s">
        <v>3496</v>
      </c>
      <c r="E60">
        <v>3</v>
      </c>
      <c r="F60" t="s">
        <v>3525</v>
      </c>
      <c r="G60" t="s">
        <v>3518</v>
      </c>
      <c r="H60">
        <v>2.5</v>
      </c>
      <c r="I60">
        <v>29.8</v>
      </c>
      <c r="J60">
        <v>89.4</v>
      </c>
    </row>
    <row r="61" spans="1:10" x14ac:dyDescent="0.25">
      <c r="A61" t="s">
        <v>660</v>
      </c>
      <c r="B61" s="3">
        <v>44537</v>
      </c>
      <c r="C61" t="s">
        <v>661</v>
      </c>
      <c r="D61" t="s">
        <v>3491</v>
      </c>
      <c r="E61">
        <v>3</v>
      </c>
      <c r="F61" t="s">
        <v>3525</v>
      </c>
      <c r="G61" t="s">
        <v>3519</v>
      </c>
      <c r="H61">
        <v>0.5</v>
      </c>
      <c r="I61">
        <v>8.6999999999999993</v>
      </c>
      <c r="J61">
        <v>26.2</v>
      </c>
    </row>
    <row r="62" spans="1:10" x14ac:dyDescent="0.25">
      <c r="A62" t="s">
        <v>663</v>
      </c>
      <c r="B62" s="3">
        <v>44252</v>
      </c>
      <c r="C62" t="s">
        <v>664</v>
      </c>
      <c r="D62" t="s">
        <v>3499</v>
      </c>
      <c r="E62">
        <v>5</v>
      </c>
      <c r="F62" t="s">
        <v>3523</v>
      </c>
      <c r="G62" t="s">
        <v>3518</v>
      </c>
      <c r="H62">
        <v>2.5</v>
      </c>
      <c r="I62">
        <v>22.9</v>
      </c>
      <c r="J62">
        <v>114.4</v>
      </c>
    </row>
    <row r="63" spans="1:10" x14ac:dyDescent="0.25">
      <c r="A63" t="s">
        <v>666</v>
      </c>
      <c r="B63" s="3">
        <v>43521</v>
      </c>
      <c r="C63" t="s">
        <v>667</v>
      </c>
      <c r="D63" t="s">
        <v>3503</v>
      </c>
      <c r="E63">
        <v>5</v>
      </c>
      <c r="F63" t="s">
        <v>3524</v>
      </c>
      <c r="G63" t="s">
        <v>3518</v>
      </c>
      <c r="H63">
        <v>0.5</v>
      </c>
      <c r="I63">
        <v>5.4</v>
      </c>
      <c r="J63">
        <v>26.9</v>
      </c>
    </row>
    <row r="64" spans="1:10" x14ac:dyDescent="0.25">
      <c r="A64" t="s">
        <v>669</v>
      </c>
      <c r="B64" s="3">
        <v>43505</v>
      </c>
      <c r="C64" t="s">
        <v>670</v>
      </c>
      <c r="D64" t="s">
        <v>3476</v>
      </c>
      <c r="E64">
        <v>5</v>
      </c>
      <c r="F64" t="s">
        <v>3525</v>
      </c>
      <c r="G64" t="s">
        <v>3517</v>
      </c>
      <c r="H64">
        <v>0.2</v>
      </c>
      <c r="I64">
        <v>4.8</v>
      </c>
      <c r="J64">
        <v>23.8</v>
      </c>
    </row>
    <row r="65" spans="1:10" x14ac:dyDescent="0.25">
      <c r="A65" t="s">
        <v>672</v>
      </c>
      <c r="B65" s="3">
        <v>43868</v>
      </c>
      <c r="C65" t="s">
        <v>673</v>
      </c>
      <c r="D65" t="s">
        <v>3488</v>
      </c>
      <c r="E65">
        <v>1</v>
      </c>
      <c r="F65" t="s">
        <v>3523</v>
      </c>
      <c r="G65" t="s">
        <v>3519</v>
      </c>
      <c r="H65">
        <v>0.5</v>
      </c>
      <c r="I65">
        <v>6.8</v>
      </c>
      <c r="J65">
        <v>6.8</v>
      </c>
    </row>
    <row r="66" spans="1:10" x14ac:dyDescent="0.25">
      <c r="A66" t="s">
        <v>675</v>
      </c>
      <c r="B66" s="3">
        <v>43913</v>
      </c>
      <c r="C66" t="s">
        <v>676</v>
      </c>
      <c r="D66" t="s">
        <v>3477</v>
      </c>
      <c r="E66">
        <v>6</v>
      </c>
      <c r="F66" t="s">
        <v>3524</v>
      </c>
      <c r="G66" t="s">
        <v>3519</v>
      </c>
      <c r="H66">
        <v>0.5</v>
      </c>
      <c r="I66">
        <v>6</v>
      </c>
      <c r="J66">
        <v>35.799999999999997</v>
      </c>
    </row>
    <row r="67" spans="1:10" x14ac:dyDescent="0.25">
      <c r="A67" t="s">
        <v>678</v>
      </c>
      <c r="B67" s="3">
        <v>44626</v>
      </c>
      <c r="C67" t="s">
        <v>679</v>
      </c>
      <c r="D67" t="s">
        <v>3480</v>
      </c>
      <c r="E67">
        <v>4</v>
      </c>
      <c r="F67" t="s">
        <v>3524</v>
      </c>
      <c r="G67" t="s">
        <v>3518</v>
      </c>
      <c r="H67">
        <v>2.5</v>
      </c>
      <c r="I67">
        <v>20.6</v>
      </c>
      <c r="J67">
        <v>82.3</v>
      </c>
    </row>
    <row r="68" spans="1:10" x14ac:dyDescent="0.25">
      <c r="A68" t="s">
        <v>681</v>
      </c>
      <c r="B68" s="3">
        <v>44666</v>
      </c>
      <c r="C68" t="s">
        <v>682</v>
      </c>
      <c r="D68" t="s">
        <v>3504</v>
      </c>
      <c r="E68">
        <v>1</v>
      </c>
      <c r="F68" t="s">
        <v>3524</v>
      </c>
      <c r="G68" t="s">
        <v>3517</v>
      </c>
      <c r="H68">
        <v>0.5</v>
      </c>
      <c r="I68">
        <v>7.2</v>
      </c>
      <c r="J68">
        <v>7.2</v>
      </c>
    </row>
    <row r="69" spans="1:10" x14ac:dyDescent="0.25">
      <c r="A69" t="s">
        <v>684</v>
      </c>
      <c r="B69" s="3">
        <v>44519</v>
      </c>
      <c r="C69" t="s">
        <v>685</v>
      </c>
      <c r="D69" t="s">
        <v>3476</v>
      </c>
      <c r="E69">
        <v>2</v>
      </c>
      <c r="F69" t="s">
        <v>3525</v>
      </c>
      <c r="G69" t="s">
        <v>3517</v>
      </c>
      <c r="H69">
        <v>0.2</v>
      </c>
      <c r="I69">
        <v>4.8</v>
      </c>
      <c r="J69">
        <v>9.5</v>
      </c>
    </row>
    <row r="70" spans="1:10" x14ac:dyDescent="0.25">
      <c r="A70" t="s">
        <v>687</v>
      </c>
      <c r="B70" s="3">
        <v>43754</v>
      </c>
      <c r="C70" t="s">
        <v>688</v>
      </c>
      <c r="D70" t="s">
        <v>3505</v>
      </c>
      <c r="E70">
        <v>1</v>
      </c>
      <c r="F70" t="s">
        <v>3524</v>
      </c>
      <c r="G70" t="s">
        <v>3519</v>
      </c>
      <c r="H70">
        <v>0.2</v>
      </c>
      <c r="I70">
        <v>3</v>
      </c>
      <c r="J70">
        <v>3</v>
      </c>
    </row>
    <row r="71" spans="1:10" x14ac:dyDescent="0.25">
      <c r="A71" t="s">
        <v>690</v>
      </c>
      <c r="B71" s="3">
        <v>43795</v>
      </c>
      <c r="C71" t="s">
        <v>691</v>
      </c>
      <c r="D71" t="s">
        <v>3469</v>
      </c>
      <c r="E71">
        <v>6</v>
      </c>
      <c r="F71" t="s">
        <v>3524</v>
      </c>
      <c r="G71" t="s">
        <v>3519</v>
      </c>
      <c r="H71">
        <v>1</v>
      </c>
      <c r="I71">
        <v>10</v>
      </c>
      <c r="J71">
        <v>59.7</v>
      </c>
    </row>
    <row r="72" spans="1:10" x14ac:dyDescent="0.25">
      <c r="A72" t="s">
        <v>694</v>
      </c>
      <c r="B72" s="3">
        <v>43646</v>
      </c>
      <c r="C72" t="s">
        <v>695</v>
      </c>
      <c r="D72" t="s">
        <v>3479</v>
      </c>
      <c r="E72">
        <v>4</v>
      </c>
      <c r="F72" t="s">
        <v>3526</v>
      </c>
      <c r="G72" t="s">
        <v>3517</v>
      </c>
      <c r="H72">
        <v>2.5</v>
      </c>
      <c r="I72">
        <v>34.200000000000003</v>
      </c>
      <c r="J72">
        <v>136.6</v>
      </c>
    </row>
    <row r="73" spans="1:10" x14ac:dyDescent="0.25">
      <c r="A73" t="s">
        <v>697</v>
      </c>
      <c r="B73" s="3">
        <v>44200</v>
      </c>
      <c r="C73" t="s">
        <v>698</v>
      </c>
      <c r="D73" t="s">
        <v>3476</v>
      </c>
      <c r="E73">
        <v>2</v>
      </c>
      <c r="F73" t="s">
        <v>3525</v>
      </c>
      <c r="G73" t="s">
        <v>3517</v>
      </c>
      <c r="H73">
        <v>0.2</v>
      </c>
      <c r="I73">
        <v>4.8</v>
      </c>
      <c r="J73">
        <v>9.5</v>
      </c>
    </row>
    <row r="74" spans="1:10" x14ac:dyDescent="0.25">
      <c r="A74" t="s">
        <v>700</v>
      </c>
      <c r="B74" s="3">
        <v>44131</v>
      </c>
      <c r="C74" t="s">
        <v>701</v>
      </c>
      <c r="D74" t="s">
        <v>3506</v>
      </c>
      <c r="E74">
        <v>3</v>
      </c>
      <c r="F74" t="s">
        <v>3523</v>
      </c>
      <c r="G74" t="s">
        <v>3519</v>
      </c>
      <c r="H74">
        <v>2.5</v>
      </c>
      <c r="I74">
        <v>25.9</v>
      </c>
      <c r="J74">
        <v>77.599999999999994</v>
      </c>
    </row>
    <row r="75" spans="1:10" x14ac:dyDescent="0.25">
      <c r="A75" t="s">
        <v>703</v>
      </c>
      <c r="B75" s="3">
        <v>44362</v>
      </c>
      <c r="C75" t="s">
        <v>704</v>
      </c>
      <c r="D75" t="s">
        <v>3490</v>
      </c>
      <c r="E75">
        <v>5</v>
      </c>
      <c r="F75" t="s">
        <v>3525</v>
      </c>
      <c r="G75" t="s">
        <v>3519</v>
      </c>
      <c r="H75">
        <v>0.2</v>
      </c>
      <c r="I75">
        <v>4.4000000000000004</v>
      </c>
      <c r="J75">
        <v>21.8</v>
      </c>
    </row>
    <row r="76" spans="1:10" x14ac:dyDescent="0.25">
      <c r="A76" t="s">
        <v>706</v>
      </c>
      <c r="B76" s="3">
        <v>44396</v>
      </c>
      <c r="C76" t="s">
        <v>707</v>
      </c>
      <c r="D76" t="s">
        <v>3507</v>
      </c>
      <c r="E76">
        <v>2</v>
      </c>
      <c r="F76" t="s">
        <v>3526</v>
      </c>
      <c r="G76" t="s">
        <v>3517</v>
      </c>
      <c r="H76">
        <v>0.5</v>
      </c>
      <c r="I76">
        <v>8.9</v>
      </c>
      <c r="J76">
        <v>17.8</v>
      </c>
    </row>
    <row r="77" spans="1:10" x14ac:dyDescent="0.25">
      <c r="A77" t="s">
        <v>709</v>
      </c>
      <c r="B77" s="3">
        <v>44400</v>
      </c>
      <c r="C77" t="s">
        <v>710</v>
      </c>
      <c r="D77" t="s">
        <v>3508</v>
      </c>
      <c r="E77">
        <v>6</v>
      </c>
      <c r="F77" t="s">
        <v>3524</v>
      </c>
      <c r="G77" t="s">
        <v>3518</v>
      </c>
      <c r="H77">
        <v>1</v>
      </c>
      <c r="I77">
        <v>9</v>
      </c>
      <c r="J77">
        <v>53.7</v>
      </c>
    </row>
    <row r="78" spans="1:10" x14ac:dyDescent="0.25">
      <c r="A78" t="s">
        <v>712</v>
      </c>
      <c r="B78" s="3">
        <v>43855</v>
      </c>
      <c r="C78" t="s">
        <v>713</v>
      </c>
      <c r="D78" t="s">
        <v>3509</v>
      </c>
      <c r="E78">
        <v>1</v>
      </c>
      <c r="F78" t="s">
        <v>3524</v>
      </c>
      <c r="G78" t="s">
        <v>3517</v>
      </c>
      <c r="H78">
        <v>0.2</v>
      </c>
      <c r="I78">
        <v>3.6</v>
      </c>
      <c r="J78">
        <v>3.6</v>
      </c>
    </row>
    <row r="79" spans="1:10" x14ac:dyDescent="0.25">
      <c r="A79" t="s">
        <v>715</v>
      </c>
      <c r="B79" s="3">
        <v>43594</v>
      </c>
      <c r="C79" t="s">
        <v>716</v>
      </c>
      <c r="D79" t="s">
        <v>3484</v>
      </c>
      <c r="E79">
        <v>2</v>
      </c>
      <c r="F79" t="s">
        <v>3526</v>
      </c>
      <c r="G79" t="s">
        <v>3518</v>
      </c>
      <c r="H79">
        <v>0.2</v>
      </c>
      <c r="I79">
        <v>3.6</v>
      </c>
      <c r="J79">
        <v>7.3</v>
      </c>
    </row>
    <row r="80" spans="1:10" x14ac:dyDescent="0.25">
      <c r="A80" t="s">
        <v>718</v>
      </c>
      <c r="B80" s="3">
        <v>43920</v>
      </c>
      <c r="C80" t="s">
        <v>719</v>
      </c>
      <c r="D80" t="s">
        <v>3488</v>
      </c>
      <c r="E80">
        <v>6</v>
      </c>
      <c r="F80" t="s">
        <v>3523</v>
      </c>
      <c r="G80" t="s">
        <v>3519</v>
      </c>
      <c r="H80">
        <v>0.5</v>
      </c>
      <c r="I80">
        <v>6.8</v>
      </c>
      <c r="J80">
        <v>40.5</v>
      </c>
    </row>
    <row r="81" spans="1:10" x14ac:dyDescent="0.25">
      <c r="A81" t="s">
        <v>721</v>
      </c>
      <c r="B81" s="3">
        <v>44633</v>
      </c>
      <c r="C81" t="s">
        <v>722</v>
      </c>
      <c r="D81" t="s">
        <v>3510</v>
      </c>
      <c r="E81">
        <v>4</v>
      </c>
      <c r="F81" t="s">
        <v>3524</v>
      </c>
      <c r="G81" t="s">
        <v>3517</v>
      </c>
      <c r="H81">
        <v>1</v>
      </c>
      <c r="I81">
        <v>12</v>
      </c>
      <c r="J81">
        <v>47.8</v>
      </c>
    </row>
    <row r="82" spans="1:10" x14ac:dyDescent="0.25">
      <c r="A82" t="s">
        <v>724</v>
      </c>
      <c r="B82" s="3">
        <v>43572</v>
      </c>
      <c r="C82" t="s">
        <v>725</v>
      </c>
      <c r="D82" t="s">
        <v>3511</v>
      </c>
      <c r="E82">
        <v>5</v>
      </c>
      <c r="F82" t="s">
        <v>3523</v>
      </c>
      <c r="G82" t="s">
        <v>3517</v>
      </c>
      <c r="H82">
        <v>0.5</v>
      </c>
      <c r="I82">
        <v>7.8</v>
      </c>
      <c r="J82">
        <v>38.9</v>
      </c>
    </row>
    <row r="83" spans="1:10" x14ac:dyDescent="0.25">
      <c r="A83" t="s">
        <v>727</v>
      </c>
      <c r="B83" s="3">
        <v>43763</v>
      </c>
      <c r="C83" t="s">
        <v>728</v>
      </c>
      <c r="D83" t="s">
        <v>3495</v>
      </c>
      <c r="E83">
        <v>3</v>
      </c>
      <c r="F83" t="s">
        <v>3525</v>
      </c>
      <c r="G83" t="s">
        <v>3517</v>
      </c>
      <c r="H83">
        <v>2.5</v>
      </c>
      <c r="I83">
        <v>36.5</v>
      </c>
      <c r="J83">
        <v>109.4</v>
      </c>
    </row>
    <row r="84" spans="1:10" x14ac:dyDescent="0.25">
      <c r="A84" t="s">
        <v>730</v>
      </c>
      <c r="B84" s="3">
        <v>43721</v>
      </c>
      <c r="C84" t="s">
        <v>731</v>
      </c>
      <c r="D84" t="s">
        <v>3512</v>
      </c>
      <c r="E84">
        <v>3</v>
      </c>
      <c r="F84" t="s">
        <v>3525</v>
      </c>
      <c r="G84" t="s">
        <v>3519</v>
      </c>
      <c r="H84">
        <v>2.5</v>
      </c>
      <c r="I84">
        <v>33.5</v>
      </c>
      <c r="J84">
        <v>100.4</v>
      </c>
    </row>
    <row r="85" spans="1:10" x14ac:dyDescent="0.25">
      <c r="A85" t="s">
        <v>733</v>
      </c>
      <c r="B85" s="3">
        <v>43933</v>
      </c>
      <c r="C85" t="s">
        <v>734</v>
      </c>
      <c r="D85" t="s">
        <v>3480</v>
      </c>
      <c r="E85">
        <v>4</v>
      </c>
      <c r="F85" t="s">
        <v>3524</v>
      </c>
      <c r="G85" t="s">
        <v>3518</v>
      </c>
      <c r="H85">
        <v>2.5</v>
      </c>
      <c r="I85">
        <v>20.6</v>
      </c>
      <c r="J85">
        <v>82.3</v>
      </c>
    </row>
    <row r="86" spans="1:10" x14ac:dyDescent="0.25">
      <c r="A86" t="s">
        <v>736</v>
      </c>
      <c r="B86" s="3">
        <v>43783</v>
      </c>
      <c r="C86" t="s">
        <v>737</v>
      </c>
      <c r="D86" t="s">
        <v>3492</v>
      </c>
      <c r="E86">
        <v>1</v>
      </c>
      <c r="F86" t="s">
        <v>3525</v>
      </c>
      <c r="G86" t="s">
        <v>3517</v>
      </c>
      <c r="H86">
        <v>0.5</v>
      </c>
      <c r="I86">
        <v>9.5</v>
      </c>
      <c r="J86">
        <v>9.5</v>
      </c>
    </row>
    <row r="87" spans="1:10" x14ac:dyDescent="0.25">
      <c r="A87" t="s">
        <v>739</v>
      </c>
      <c r="B87" s="3">
        <v>43664</v>
      </c>
      <c r="C87" t="s">
        <v>740</v>
      </c>
      <c r="D87" t="s">
        <v>3513</v>
      </c>
      <c r="E87">
        <v>3</v>
      </c>
      <c r="F87" t="s">
        <v>3523</v>
      </c>
      <c r="G87" t="s">
        <v>3517</v>
      </c>
      <c r="H87">
        <v>2.5</v>
      </c>
      <c r="I87">
        <v>29.8</v>
      </c>
      <c r="J87">
        <v>89.4</v>
      </c>
    </row>
    <row r="88" spans="1:10" x14ac:dyDescent="0.25">
      <c r="A88" t="s">
        <v>739</v>
      </c>
      <c r="B88" s="3">
        <v>43664</v>
      </c>
      <c r="C88" t="s">
        <v>740</v>
      </c>
      <c r="D88" t="s">
        <v>3485</v>
      </c>
      <c r="E88">
        <v>4</v>
      </c>
      <c r="F88" t="s">
        <v>3523</v>
      </c>
      <c r="G88" t="s">
        <v>3518</v>
      </c>
      <c r="H88">
        <v>0.2</v>
      </c>
      <c r="I88">
        <v>3</v>
      </c>
      <c r="J88">
        <v>11.9</v>
      </c>
    </row>
    <row r="89" spans="1:10" x14ac:dyDescent="0.25">
      <c r="A89" t="s">
        <v>744</v>
      </c>
      <c r="B89" s="3">
        <v>44289</v>
      </c>
      <c r="C89" t="s">
        <v>745</v>
      </c>
      <c r="D89" t="s">
        <v>3486</v>
      </c>
      <c r="E89">
        <v>3</v>
      </c>
      <c r="F89" t="s">
        <v>3523</v>
      </c>
      <c r="G89" t="s">
        <v>3519</v>
      </c>
      <c r="H89">
        <v>1</v>
      </c>
      <c r="I89">
        <v>11.3</v>
      </c>
      <c r="J89">
        <v>33.799999999999997</v>
      </c>
    </row>
    <row r="90" spans="1:10" x14ac:dyDescent="0.25">
      <c r="A90" t="s">
        <v>747</v>
      </c>
      <c r="B90" s="3">
        <v>44284</v>
      </c>
      <c r="C90" t="s">
        <v>748</v>
      </c>
      <c r="D90" t="s">
        <v>3510</v>
      </c>
      <c r="E90">
        <v>3</v>
      </c>
      <c r="F90" t="s">
        <v>3524</v>
      </c>
      <c r="G90" t="s">
        <v>3517</v>
      </c>
      <c r="H90">
        <v>1</v>
      </c>
      <c r="I90">
        <v>12</v>
      </c>
      <c r="J90">
        <v>35.9</v>
      </c>
    </row>
    <row r="91" spans="1:10" x14ac:dyDescent="0.25">
      <c r="A91" t="s">
        <v>750</v>
      </c>
      <c r="B91" s="3">
        <v>44545</v>
      </c>
      <c r="C91" t="s">
        <v>751</v>
      </c>
      <c r="D91" t="s">
        <v>3471</v>
      </c>
      <c r="E91">
        <v>6</v>
      </c>
      <c r="F91" t="s">
        <v>3523</v>
      </c>
      <c r="G91" t="s">
        <v>3517</v>
      </c>
      <c r="H91">
        <v>1</v>
      </c>
      <c r="I91">
        <v>13</v>
      </c>
      <c r="J91">
        <v>77.7</v>
      </c>
    </row>
    <row r="92" spans="1:10" x14ac:dyDescent="0.25">
      <c r="A92" t="s">
        <v>753</v>
      </c>
      <c r="B92" s="3">
        <v>43971</v>
      </c>
      <c r="C92" t="s">
        <v>754</v>
      </c>
      <c r="D92" t="s">
        <v>3471</v>
      </c>
      <c r="E92">
        <v>4</v>
      </c>
      <c r="F92" t="s">
        <v>3523</v>
      </c>
      <c r="G92" t="s">
        <v>3517</v>
      </c>
      <c r="H92">
        <v>1</v>
      </c>
      <c r="I92">
        <v>13</v>
      </c>
      <c r="J92">
        <v>51.8</v>
      </c>
    </row>
    <row r="93" spans="1:10" x14ac:dyDescent="0.25">
      <c r="A93" t="s">
        <v>756</v>
      </c>
      <c r="B93" s="3">
        <v>44137</v>
      </c>
      <c r="C93" t="s">
        <v>757</v>
      </c>
      <c r="D93" t="s">
        <v>3506</v>
      </c>
      <c r="E93">
        <v>4</v>
      </c>
      <c r="F93" t="s">
        <v>3523</v>
      </c>
      <c r="G93" t="s">
        <v>3519</v>
      </c>
      <c r="H93">
        <v>2.5</v>
      </c>
      <c r="I93">
        <v>25.9</v>
      </c>
      <c r="J93">
        <v>103.5</v>
      </c>
    </row>
    <row r="94" spans="1:10" x14ac:dyDescent="0.25">
      <c r="A94" t="s">
        <v>759</v>
      </c>
      <c r="B94" s="3">
        <v>44037</v>
      </c>
      <c r="C94" t="s">
        <v>760</v>
      </c>
      <c r="D94" t="s">
        <v>3502</v>
      </c>
      <c r="E94">
        <v>3</v>
      </c>
      <c r="F94" t="s">
        <v>3526</v>
      </c>
      <c r="G94" t="s">
        <v>3517</v>
      </c>
      <c r="H94">
        <v>1</v>
      </c>
      <c r="I94">
        <v>14.9</v>
      </c>
      <c r="J94">
        <v>44.6</v>
      </c>
    </row>
    <row r="95" spans="1:10" x14ac:dyDescent="0.25">
      <c r="A95" t="s">
        <v>762</v>
      </c>
      <c r="B95" s="3">
        <v>43538</v>
      </c>
      <c r="C95" t="s">
        <v>763</v>
      </c>
      <c r="D95" t="s">
        <v>3507</v>
      </c>
      <c r="E95">
        <v>4</v>
      </c>
      <c r="F95" t="s">
        <v>3526</v>
      </c>
      <c r="G95" t="s">
        <v>3517</v>
      </c>
      <c r="H95">
        <v>0.5</v>
      </c>
      <c r="I95">
        <v>8.9</v>
      </c>
      <c r="J95">
        <v>35.6</v>
      </c>
    </row>
    <row r="96" spans="1:10" x14ac:dyDescent="0.25">
      <c r="A96" t="s">
        <v>765</v>
      </c>
      <c r="B96" s="3">
        <v>44014</v>
      </c>
      <c r="C96" t="s">
        <v>766</v>
      </c>
      <c r="D96" t="s">
        <v>3485</v>
      </c>
      <c r="E96">
        <v>6</v>
      </c>
      <c r="F96" t="s">
        <v>3523</v>
      </c>
      <c r="G96" t="s">
        <v>3518</v>
      </c>
      <c r="H96">
        <v>0.2</v>
      </c>
      <c r="I96">
        <v>3</v>
      </c>
      <c r="J96">
        <v>17.899999999999999</v>
      </c>
    </row>
    <row r="97" spans="1:10" x14ac:dyDescent="0.25">
      <c r="A97" t="s">
        <v>768</v>
      </c>
      <c r="B97" s="3">
        <v>43816</v>
      </c>
      <c r="C97" t="s">
        <v>769</v>
      </c>
      <c r="D97" t="s">
        <v>3506</v>
      </c>
      <c r="E97">
        <v>6</v>
      </c>
      <c r="F97" t="s">
        <v>3523</v>
      </c>
      <c r="G97" t="s">
        <v>3519</v>
      </c>
      <c r="H97">
        <v>2.5</v>
      </c>
      <c r="I97">
        <v>25.9</v>
      </c>
      <c r="J97">
        <v>155.30000000000001</v>
      </c>
    </row>
    <row r="98" spans="1:10" x14ac:dyDescent="0.25">
      <c r="A98" t="s">
        <v>771</v>
      </c>
      <c r="B98" s="3">
        <v>44171</v>
      </c>
      <c r="C98" t="s">
        <v>772</v>
      </c>
      <c r="D98" t="s">
        <v>3485</v>
      </c>
      <c r="E98">
        <v>2</v>
      </c>
      <c r="F98" t="s">
        <v>3523</v>
      </c>
      <c r="G98" t="s">
        <v>3518</v>
      </c>
      <c r="H98">
        <v>0.2</v>
      </c>
      <c r="I98">
        <v>3</v>
      </c>
      <c r="J98">
        <v>6</v>
      </c>
    </row>
    <row r="99" spans="1:10" x14ac:dyDescent="0.25">
      <c r="A99" t="s">
        <v>774</v>
      </c>
      <c r="B99" s="3">
        <v>44259</v>
      </c>
      <c r="C99" t="s">
        <v>775</v>
      </c>
      <c r="D99" t="s">
        <v>3488</v>
      </c>
      <c r="E99">
        <v>2</v>
      </c>
      <c r="F99" t="s">
        <v>3523</v>
      </c>
      <c r="G99" t="s">
        <v>3519</v>
      </c>
      <c r="H99">
        <v>0.5</v>
      </c>
      <c r="I99">
        <v>6.8</v>
      </c>
      <c r="J99">
        <v>13.5</v>
      </c>
    </row>
    <row r="100" spans="1:10" x14ac:dyDescent="0.25">
      <c r="A100" t="s">
        <v>777</v>
      </c>
      <c r="B100" s="3">
        <v>44394</v>
      </c>
      <c r="C100" t="s">
        <v>778</v>
      </c>
      <c r="D100" t="s">
        <v>3485</v>
      </c>
      <c r="E100">
        <v>1</v>
      </c>
      <c r="F100" t="s">
        <v>3523</v>
      </c>
      <c r="G100" t="s">
        <v>3518</v>
      </c>
      <c r="H100">
        <v>0.2</v>
      </c>
      <c r="I100">
        <v>3</v>
      </c>
      <c r="J100">
        <v>3</v>
      </c>
    </row>
    <row r="101" spans="1:10" x14ac:dyDescent="0.25">
      <c r="A101" t="s">
        <v>780</v>
      </c>
      <c r="B101" s="3">
        <v>44139</v>
      </c>
      <c r="C101" t="s">
        <v>781</v>
      </c>
      <c r="D101" t="s">
        <v>3490</v>
      </c>
      <c r="E101">
        <v>3</v>
      </c>
      <c r="F101" t="s">
        <v>3525</v>
      </c>
      <c r="G101" t="s">
        <v>3519</v>
      </c>
      <c r="H101">
        <v>0.2</v>
      </c>
      <c r="I101">
        <v>4.4000000000000004</v>
      </c>
      <c r="J101">
        <v>13.1</v>
      </c>
    </row>
    <row r="102" spans="1:10" x14ac:dyDescent="0.25">
      <c r="A102" t="s">
        <v>783</v>
      </c>
      <c r="B102" s="3">
        <v>44291</v>
      </c>
      <c r="C102" t="s">
        <v>784</v>
      </c>
      <c r="D102" t="s">
        <v>3498</v>
      </c>
      <c r="E102">
        <v>2</v>
      </c>
      <c r="F102" t="s">
        <v>3523</v>
      </c>
      <c r="G102" t="s">
        <v>3517</v>
      </c>
      <c r="H102">
        <v>0.2</v>
      </c>
      <c r="I102">
        <v>3.9</v>
      </c>
      <c r="J102">
        <v>7.8</v>
      </c>
    </row>
    <row r="103" spans="1:10" x14ac:dyDescent="0.25">
      <c r="A103" t="s">
        <v>786</v>
      </c>
      <c r="B103" s="3">
        <v>43891</v>
      </c>
      <c r="C103" t="s">
        <v>787</v>
      </c>
      <c r="D103" t="s">
        <v>3496</v>
      </c>
      <c r="E103">
        <v>5</v>
      </c>
      <c r="F103" t="s">
        <v>3525</v>
      </c>
      <c r="G103" t="s">
        <v>3518</v>
      </c>
      <c r="H103">
        <v>2.5</v>
      </c>
      <c r="I103">
        <v>29.8</v>
      </c>
      <c r="J103">
        <v>148.9</v>
      </c>
    </row>
    <row r="104" spans="1:10" x14ac:dyDescent="0.25">
      <c r="A104" t="s">
        <v>789</v>
      </c>
      <c r="B104" s="3">
        <v>44488</v>
      </c>
      <c r="C104" t="s">
        <v>790</v>
      </c>
      <c r="D104" t="s">
        <v>3474</v>
      </c>
      <c r="E104">
        <v>3</v>
      </c>
      <c r="F104" t="s">
        <v>3525</v>
      </c>
      <c r="G104" t="s">
        <v>3518</v>
      </c>
      <c r="H104">
        <v>1</v>
      </c>
      <c r="I104">
        <v>13</v>
      </c>
      <c r="J104">
        <v>38.9</v>
      </c>
    </row>
    <row r="105" spans="1:10" x14ac:dyDescent="0.25">
      <c r="A105" t="s">
        <v>792</v>
      </c>
      <c r="B105" s="3">
        <v>44750</v>
      </c>
      <c r="C105" t="s">
        <v>793</v>
      </c>
      <c r="D105" t="s">
        <v>3505</v>
      </c>
      <c r="E105">
        <v>4</v>
      </c>
      <c r="F105" t="s">
        <v>3524</v>
      </c>
      <c r="G105" t="s">
        <v>3519</v>
      </c>
      <c r="H105">
        <v>0.2</v>
      </c>
      <c r="I105">
        <v>3</v>
      </c>
      <c r="J105">
        <v>11.9</v>
      </c>
    </row>
    <row r="106" spans="1:10" x14ac:dyDescent="0.25">
      <c r="A106" t="s">
        <v>795</v>
      </c>
      <c r="B106" s="3">
        <v>43694</v>
      </c>
      <c r="C106" t="s">
        <v>796</v>
      </c>
      <c r="D106" t="s">
        <v>3493</v>
      </c>
      <c r="E106">
        <v>6</v>
      </c>
      <c r="F106" t="s">
        <v>3525</v>
      </c>
      <c r="G106" t="s">
        <v>3519</v>
      </c>
      <c r="H106">
        <v>1</v>
      </c>
      <c r="I106">
        <v>14.6</v>
      </c>
      <c r="J106">
        <v>87.3</v>
      </c>
    </row>
    <row r="107" spans="1:10" x14ac:dyDescent="0.25">
      <c r="A107" t="s">
        <v>798</v>
      </c>
      <c r="B107" s="3">
        <v>43982</v>
      </c>
      <c r="C107" t="s">
        <v>799</v>
      </c>
      <c r="D107" t="s">
        <v>3488</v>
      </c>
      <c r="E107">
        <v>6</v>
      </c>
      <c r="F107" t="s">
        <v>3523</v>
      </c>
      <c r="G107" t="s">
        <v>3519</v>
      </c>
      <c r="H107">
        <v>0.5</v>
      </c>
      <c r="I107">
        <v>6.8</v>
      </c>
      <c r="J107">
        <v>40.5</v>
      </c>
    </row>
    <row r="108" spans="1:10" x14ac:dyDescent="0.25">
      <c r="A108" t="s">
        <v>801</v>
      </c>
      <c r="B108" s="3">
        <v>43956</v>
      </c>
      <c r="C108" t="s">
        <v>802</v>
      </c>
      <c r="D108" t="s">
        <v>3514</v>
      </c>
      <c r="E108">
        <v>2</v>
      </c>
      <c r="F108" t="s">
        <v>3526</v>
      </c>
      <c r="G108" t="s">
        <v>3518</v>
      </c>
      <c r="H108">
        <v>1</v>
      </c>
      <c r="I108">
        <v>12.2</v>
      </c>
      <c r="J108">
        <v>24.3</v>
      </c>
    </row>
    <row r="109" spans="1:10" x14ac:dyDescent="0.25">
      <c r="A109" t="s">
        <v>804</v>
      </c>
      <c r="B109" s="3">
        <v>43569</v>
      </c>
      <c r="C109" t="s">
        <v>805</v>
      </c>
      <c r="D109" t="s">
        <v>3477</v>
      </c>
      <c r="E109">
        <v>3</v>
      </c>
      <c r="F109" t="s">
        <v>3524</v>
      </c>
      <c r="G109" t="s">
        <v>3519</v>
      </c>
      <c r="H109">
        <v>0.5</v>
      </c>
      <c r="I109">
        <v>6</v>
      </c>
      <c r="J109">
        <v>17.899999999999999</v>
      </c>
    </row>
    <row r="110" spans="1:10" x14ac:dyDescent="0.25">
      <c r="A110" t="s">
        <v>807</v>
      </c>
      <c r="B110" s="3">
        <v>44041</v>
      </c>
      <c r="C110" t="s">
        <v>808</v>
      </c>
      <c r="D110" t="s">
        <v>3488</v>
      </c>
      <c r="E110">
        <v>4</v>
      </c>
      <c r="F110" t="s">
        <v>3523</v>
      </c>
      <c r="G110" t="s">
        <v>3519</v>
      </c>
      <c r="H110">
        <v>0.5</v>
      </c>
      <c r="I110">
        <v>6.8</v>
      </c>
      <c r="J110">
        <v>27</v>
      </c>
    </row>
    <row r="111" spans="1:10" x14ac:dyDescent="0.25">
      <c r="A111" t="s">
        <v>810</v>
      </c>
      <c r="B111" s="3">
        <v>43811</v>
      </c>
      <c r="C111" t="s">
        <v>811</v>
      </c>
      <c r="D111" t="s">
        <v>3500</v>
      </c>
      <c r="E111">
        <v>1</v>
      </c>
      <c r="F111" t="s">
        <v>3525</v>
      </c>
      <c r="G111" t="s">
        <v>3518</v>
      </c>
      <c r="H111">
        <v>0.5</v>
      </c>
      <c r="I111">
        <v>7.8</v>
      </c>
      <c r="J111">
        <v>7.8</v>
      </c>
    </row>
    <row r="112" spans="1:10" x14ac:dyDescent="0.25">
      <c r="A112" t="s">
        <v>813</v>
      </c>
      <c r="B112" s="3">
        <v>44727</v>
      </c>
      <c r="C112" t="s">
        <v>814</v>
      </c>
      <c r="D112" t="s">
        <v>3515</v>
      </c>
      <c r="E112">
        <v>3</v>
      </c>
      <c r="F112" t="s">
        <v>3526</v>
      </c>
      <c r="G112" t="s">
        <v>3517</v>
      </c>
      <c r="H112">
        <v>0.2</v>
      </c>
      <c r="I112">
        <v>4.5</v>
      </c>
      <c r="J112">
        <v>13.4</v>
      </c>
    </row>
    <row r="113" spans="1:10" x14ac:dyDescent="0.25">
      <c r="A113" t="s">
        <v>816</v>
      </c>
      <c r="B113" s="3">
        <v>43642</v>
      </c>
      <c r="C113" t="s">
        <v>817</v>
      </c>
      <c r="D113" t="s">
        <v>3503</v>
      </c>
      <c r="E113">
        <v>5</v>
      </c>
      <c r="F113" t="s">
        <v>3524</v>
      </c>
      <c r="G113" t="s">
        <v>3518</v>
      </c>
      <c r="H113">
        <v>0.5</v>
      </c>
      <c r="I113">
        <v>5.4</v>
      </c>
      <c r="J113">
        <v>26.9</v>
      </c>
    </row>
    <row r="114" spans="1:10" x14ac:dyDescent="0.25">
      <c r="A114" t="s">
        <v>819</v>
      </c>
      <c r="B114" s="3">
        <v>44481</v>
      </c>
      <c r="C114" t="s">
        <v>820</v>
      </c>
      <c r="D114" t="s">
        <v>3486</v>
      </c>
      <c r="E114">
        <v>1</v>
      </c>
      <c r="F114" t="s">
        <v>3523</v>
      </c>
      <c r="G114" t="s">
        <v>3519</v>
      </c>
      <c r="H114">
        <v>1</v>
      </c>
      <c r="I114">
        <v>11.3</v>
      </c>
      <c r="J114">
        <v>11.3</v>
      </c>
    </row>
    <row r="115" spans="1:10" x14ac:dyDescent="0.25">
      <c r="A115" t="s">
        <v>822</v>
      </c>
      <c r="B115" s="3">
        <v>43556</v>
      </c>
      <c r="C115" t="s">
        <v>823</v>
      </c>
      <c r="D115" t="s">
        <v>3493</v>
      </c>
      <c r="E115">
        <v>1</v>
      </c>
      <c r="F115" t="s">
        <v>3525</v>
      </c>
      <c r="G115" t="s">
        <v>3519</v>
      </c>
      <c r="H115">
        <v>1</v>
      </c>
      <c r="I115">
        <v>14.6</v>
      </c>
      <c r="J115">
        <v>14.6</v>
      </c>
    </row>
    <row r="116" spans="1:10" x14ac:dyDescent="0.25">
      <c r="A116" t="s">
        <v>825</v>
      </c>
      <c r="B116" s="3">
        <v>44265</v>
      </c>
      <c r="C116" t="s">
        <v>826</v>
      </c>
      <c r="D116" t="s">
        <v>3509</v>
      </c>
      <c r="E116">
        <v>4</v>
      </c>
      <c r="F116" t="s">
        <v>3524</v>
      </c>
      <c r="G116" t="s">
        <v>3517</v>
      </c>
      <c r="H116">
        <v>0.2</v>
      </c>
      <c r="I116">
        <v>3.6</v>
      </c>
      <c r="J116">
        <v>14.3</v>
      </c>
    </row>
    <row r="117" spans="1:10" x14ac:dyDescent="0.25">
      <c r="A117" t="s">
        <v>828</v>
      </c>
      <c r="B117" s="3">
        <v>43693</v>
      </c>
      <c r="C117" t="s">
        <v>829</v>
      </c>
      <c r="D117" t="s">
        <v>3501</v>
      </c>
      <c r="E117">
        <v>1</v>
      </c>
      <c r="F117" t="s">
        <v>3525</v>
      </c>
      <c r="G117" t="s">
        <v>3517</v>
      </c>
      <c r="H117">
        <v>1</v>
      </c>
      <c r="I117">
        <v>15.9</v>
      </c>
      <c r="J117">
        <v>15.9</v>
      </c>
    </row>
    <row r="118" spans="1:10" x14ac:dyDescent="0.25">
      <c r="A118" t="s">
        <v>831</v>
      </c>
      <c r="B118" s="3">
        <v>44054</v>
      </c>
      <c r="C118" t="s">
        <v>832</v>
      </c>
      <c r="D118" t="s">
        <v>3476</v>
      </c>
      <c r="E118">
        <v>4</v>
      </c>
      <c r="F118" t="s">
        <v>3525</v>
      </c>
      <c r="G118" t="s">
        <v>3517</v>
      </c>
      <c r="H118">
        <v>0.2</v>
      </c>
      <c r="I118">
        <v>4.8</v>
      </c>
      <c r="J118">
        <v>19</v>
      </c>
    </row>
    <row r="119" spans="1:10" x14ac:dyDescent="0.25">
      <c r="A119" t="s">
        <v>834</v>
      </c>
      <c r="B119" s="3">
        <v>44656</v>
      </c>
      <c r="C119" t="s">
        <v>835</v>
      </c>
      <c r="D119" t="s">
        <v>3492</v>
      </c>
      <c r="E119">
        <v>4</v>
      </c>
      <c r="F119" t="s">
        <v>3525</v>
      </c>
      <c r="G119" t="s">
        <v>3517</v>
      </c>
      <c r="H119">
        <v>0.5</v>
      </c>
      <c r="I119">
        <v>9.5</v>
      </c>
      <c r="J119">
        <v>38</v>
      </c>
    </row>
    <row r="120" spans="1:10" x14ac:dyDescent="0.25">
      <c r="A120" t="s">
        <v>837</v>
      </c>
      <c r="B120" s="3">
        <v>43760</v>
      </c>
      <c r="C120" t="s">
        <v>838</v>
      </c>
      <c r="D120" t="s">
        <v>3475</v>
      </c>
      <c r="E120">
        <v>3</v>
      </c>
      <c r="F120" t="s">
        <v>3526</v>
      </c>
      <c r="G120" t="s">
        <v>3518</v>
      </c>
      <c r="H120">
        <v>0.5</v>
      </c>
      <c r="I120">
        <v>7.3</v>
      </c>
      <c r="J120">
        <v>21.9</v>
      </c>
    </row>
    <row r="121" spans="1:10" x14ac:dyDescent="0.25">
      <c r="A121" t="s">
        <v>840</v>
      </c>
      <c r="B121" s="3">
        <v>44471</v>
      </c>
      <c r="C121" t="s">
        <v>841</v>
      </c>
      <c r="D121" t="s">
        <v>3487</v>
      </c>
      <c r="E121">
        <v>1</v>
      </c>
      <c r="F121" t="s">
        <v>3526</v>
      </c>
      <c r="G121" t="s">
        <v>3519</v>
      </c>
      <c r="H121">
        <v>0.2</v>
      </c>
      <c r="I121">
        <v>4.0999999999999996</v>
      </c>
      <c r="J121">
        <v>4.0999999999999996</v>
      </c>
    </row>
    <row r="122" spans="1:10" x14ac:dyDescent="0.25">
      <c r="A122" t="s">
        <v>840</v>
      </c>
      <c r="B122" s="3">
        <v>44471</v>
      </c>
      <c r="C122" t="s">
        <v>841</v>
      </c>
      <c r="D122" t="s">
        <v>3498</v>
      </c>
      <c r="E122">
        <v>1</v>
      </c>
      <c r="F122" t="s">
        <v>3523</v>
      </c>
      <c r="G122" t="s">
        <v>3517</v>
      </c>
      <c r="H122">
        <v>0.2</v>
      </c>
      <c r="I122">
        <v>3.9</v>
      </c>
      <c r="J122">
        <v>3.9</v>
      </c>
    </row>
    <row r="123" spans="1:10" x14ac:dyDescent="0.25">
      <c r="A123" t="s">
        <v>840</v>
      </c>
      <c r="B123" s="3">
        <v>44471</v>
      </c>
      <c r="C123" t="s">
        <v>841</v>
      </c>
      <c r="D123" t="s">
        <v>3472</v>
      </c>
      <c r="E123">
        <v>5</v>
      </c>
      <c r="F123" t="s">
        <v>3526</v>
      </c>
      <c r="G123" t="s">
        <v>3519</v>
      </c>
      <c r="H123">
        <v>1</v>
      </c>
      <c r="I123">
        <v>13.8</v>
      </c>
      <c r="J123">
        <v>68.8</v>
      </c>
    </row>
    <row r="124" spans="1:10" x14ac:dyDescent="0.25">
      <c r="A124" t="s">
        <v>847</v>
      </c>
      <c r="B124" s="3">
        <v>44268</v>
      </c>
      <c r="C124" t="s">
        <v>848</v>
      </c>
      <c r="D124" t="s">
        <v>3489</v>
      </c>
      <c r="E124">
        <v>4</v>
      </c>
      <c r="F124" t="s">
        <v>3523</v>
      </c>
      <c r="G124" t="s">
        <v>3518</v>
      </c>
      <c r="H124">
        <v>0.5</v>
      </c>
      <c r="I124">
        <v>6</v>
      </c>
      <c r="J124">
        <v>23.9</v>
      </c>
    </row>
    <row r="125" spans="1:10" x14ac:dyDescent="0.25">
      <c r="A125" t="s">
        <v>850</v>
      </c>
      <c r="B125" s="3">
        <v>44724</v>
      </c>
      <c r="C125" t="s">
        <v>851</v>
      </c>
      <c r="D125" t="s">
        <v>3495</v>
      </c>
      <c r="E125">
        <v>4</v>
      </c>
      <c r="F125" t="s">
        <v>3525</v>
      </c>
      <c r="G125" t="s">
        <v>3517</v>
      </c>
      <c r="H125">
        <v>2.5</v>
      </c>
      <c r="I125">
        <v>36.5</v>
      </c>
      <c r="J125">
        <v>145.80000000000001</v>
      </c>
    </row>
    <row r="126" spans="1:10" x14ac:dyDescent="0.25">
      <c r="A126" t="s">
        <v>853</v>
      </c>
      <c r="B126" s="3">
        <v>43582</v>
      </c>
      <c r="C126" t="s">
        <v>854</v>
      </c>
      <c r="D126" t="s">
        <v>3490</v>
      </c>
      <c r="E126">
        <v>5</v>
      </c>
      <c r="F126" t="s">
        <v>3525</v>
      </c>
      <c r="G126" t="s">
        <v>3519</v>
      </c>
      <c r="H126">
        <v>0.2</v>
      </c>
      <c r="I126">
        <v>4.4000000000000004</v>
      </c>
      <c r="J126">
        <v>21.8</v>
      </c>
    </row>
    <row r="127" spans="1:10" x14ac:dyDescent="0.25">
      <c r="A127" t="s">
        <v>856</v>
      </c>
      <c r="B127" s="3">
        <v>43608</v>
      </c>
      <c r="C127" t="s">
        <v>857</v>
      </c>
      <c r="D127" t="s">
        <v>3491</v>
      </c>
      <c r="E127">
        <v>3</v>
      </c>
      <c r="F127" t="s">
        <v>3525</v>
      </c>
      <c r="G127" t="s">
        <v>3519</v>
      </c>
      <c r="H127">
        <v>0.5</v>
      </c>
      <c r="I127">
        <v>8.6999999999999993</v>
      </c>
      <c r="J127">
        <v>26.2</v>
      </c>
    </row>
    <row r="128" spans="1:10" x14ac:dyDescent="0.25">
      <c r="A128" t="s">
        <v>859</v>
      </c>
      <c r="B128" s="3">
        <v>44026</v>
      </c>
      <c r="C128" t="s">
        <v>860</v>
      </c>
      <c r="D128" t="s">
        <v>3486</v>
      </c>
      <c r="E128">
        <v>1</v>
      </c>
      <c r="F128" t="s">
        <v>3523</v>
      </c>
      <c r="G128" t="s">
        <v>3519</v>
      </c>
      <c r="H128">
        <v>1</v>
      </c>
      <c r="I128">
        <v>11.3</v>
      </c>
      <c r="J128">
        <v>11.3</v>
      </c>
    </row>
    <row r="129" spans="1:10" x14ac:dyDescent="0.25">
      <c r="A129" t="s">
        <v>862</v>
      </c>
      <c r="B129" s="3">
        <v>44510</v>
      </c>
      <c r="C129" t="s">
        <v>863</v>
      </c>
      <c r="D129" t="s">
        <v>3474</v>
      </c>
      <c r="E129">
        <v>6</v>
      </c>
      <c r="F129" t="s">
        <v>3525</v>
      </c>
      <c r="G129" t="s">
        <v>3518</v>
      </c>
      <c r="H129">
        <v>1</v>
      </c>
      <c r="I129">
        <v>13</v>
      </c>
      <c r="J129">
        <v>77.7</v>
      </c>
    </row>
    <row r="130" spans="1:10" x14ac:dyDescent="0.25">
      <c r="A130" t="s">
        <v>865</v>
      </c>
      <c r="B130" s="3">
        <v>44439</v>
      </c>
      <c r="C130" t="s">
        <v>866</v>
      </c>
      <c r="D130" t="s">
        <v>3488</v>
      </c>
      <c r="E130">
        <v>1</v>
      </c>
      <c r="F130" t="s">
        <v>3523</v>
      </c>
      <c r="G130" t="s">
        <v>3519</v>
      </c>
      <c r="H130">
        <v>0.5</v>
      </c>
      <c r="I130">
        <v>6.8</v>
      </c>
      <c r="J130">
        <v>6.8</v>
      </c>
    </row>
    <row r="131" spans="1:10" x14ac:dyDescent="0.25">
      <c r="A131" t="s">
        <v>868</v>
      </c>
      <c r="B131" s="3">
        <v>43652</v>
      </c>
      <c r="C131" t="s">
        <v>869</v>
      </c>
      <c r="D131" t="s">
        <v>3514</v>
      </c>
      <c r="E131">
        <v>1</v>
      </c>
      <c r="F131" t="s">
        <v>3526</v>
      </c>
      <c r="G131" t="s">
        <v>3518</v>
      </c>
      <c r="H131">
        <v>1</v>
      </c>
      <c r="I131">
        <v>12.2</v>
      </c>
      <c r="J131">
        <v>12.2</v>
      </c>
    </row>
    <row r="132" spans="1:10" x14ac:dyDescent="0.25">
      <c r="A132" t="s">
        <v>871</v>
      </c>
      <c r="B132" s="3">
        <v>44624</v>
      </c>
      <c r="C132" t="s">
        <v>872</v>
      </c>
      <c r="D132" t="s">
        <v>3513</v>
      </c>
      <c r="E132">
        <v>5</v>
      </c>
      <c r="F132" t="s">
        <v>3523</v>
      </c>
      <c r="G132" t="s">
        <v>3517</v>
      </c>
      <c r="H132">
        <v>2.5</v>
      </c>
      <c r="I132">
        <v>29.8</v>
      </c>
      <c r="J132">
        <v>148.9</v>
      </c>
    </row>
    <row r="133" spans="1:10" x14ac:dyDescent="0.25">
      <c r="A133" t="s">
        <v>874</v>
      </c>
      <c r="B133" s="3">
        <v>44196</v>
      </c>
      <c r="C133" t="s">
        <v>875</v>
      </c>
      <c r="D133" t="s">
        <v>3475</v>
      </c>
      <c r="E133">
        <v>2</v>
      </c>
      <c r="F133" t="s">
        <v>3526</v>
      </c>
      <c r="G133" t="s">
        <v>3518</v>
      </c>
      <c r="H133">
        <v>0.5</v>
      </c>
      <c r="I133">
        <v>7.3</v>
      </c>
      <c r="J133">
        <v>14.6</v>
      </c>
    </row>
    <row r="134" spans="1:10" x14ac:dyDescent="0.25">
      <c r="A134" t="s">
        <v>877</v>
      </c>
      <c r="B134" s="3">
        <v>44043</v>
      </c>
      <c r="C134" t="s">
        <v>878</v>
      </c>
      <c r="D134" t="s">
        <v>3513</v>
      </c>
      <c r="E134">
        <v>5</v>
      </c>
      <c r="F134" t="s">
        <v>3523</v>
      </c>
      <c r="G134" t="s">
        <v>3517</v>
      </c>
      <c r="H134">
        <v>2.5</v>
      </c>
      <c r="I134">
        <v>29.8</v>
      </c>
      <c r="J134">
        <v>148.9</v>
      </c>
    </row>
    <row r="135" spans="1:10" x14ac:dyDescent="0.25">
      <c r="A135" t="s">
        <v>880</v>
      </c>
      <c r="B135" s="3">
        <v>44340</v>
      </c>
      <c r="C135" t="s">
        <v>881</v>
      </c>
      <c r="D135" t="s">
        <v>3474</v>
      </c>
      <c r="E135">
        <v>1</v>
      </c>
      <c r="F135" t="s">
        <v>3525</v>
      </c>
      <c r="G135" t="s">
        <v>3518</v>
      </c>
      <c r="H135">
        <v>1</v>
      </c>
      <c r="I135">
        <v>13</v>
      </c>
      <c r="J135">
        <v>13</v>
      </c>
    </row>
    <row r="136" spans="1:10" x14ac:dyDescent="0.25">
      <c r="A136" t="s">
        <v>883</v>
      </c>
      <c r="B136" s="3">
        <v>44758</v>
      </c>
      <c r="C136" t="s">
        <v>884</v>
      </c>
      <c r="D136" t="s">
        <v>3497</v>
      </c>
      <c r="E136">
        <v>3</v>
      </c>
      <c r="F136" t="s">
        <v>3526</v>
      </c>
      <c r="G136" t="s">
        <v>3519</v>
      </c>
      <c r="H136">
        <v>2.5</v>
      </c>
      <c r="I136">
        <v>31.6</v>
      </c>
      <c r="J136">
        <v>94.9</v>
      </c>
    </row>
    <row r="137" spans="1:10" x14ac:dyDescent="0.25">
      <c r="A137" t="s">
        <v>886</v>
      </c>
      <c r="B137" s="3">
        <v>44232</v>
      </c>
      <c r="C137" t="s">
        <v>742</v>
      </c>
      <c r="D137" t="s">
        <v>3511</v>
      </c>
      <c r="E137">
        <v>5</v>
      </c>
      <c r="F137" t="s">
        <v>3523</v>
      </c>
      <c r="G137" t="s">
        <v>3517</v>
      </c>
      <c r="H137">
        <v>0.5</v>
      </c>
      <c r="I137">
        <v>7.8</v>
      </c>
      <c r="J137">
        <v>38.9</v>
      </c>
    </row>
    <row r="138" spans="1:10" x14ac:dyDescent="0.25">
      <c r="A138" t="s">
        <v>889</v>
      </c>
      <c r="B138" s="3">
        <v>44406</v>
      </c>
      <c r="C138" t="s">
        <v>890</v>
      </c>
      <c r="D138" t="s">
        <v>3485</v>
      </c>
      <c r="E138">
        <v>4</v>
      </c>
      <c r="F138" t="s">
        <v>3523</v>
      </c>
      <c r="G138" t="s">
        <v>3518</v>
      </c>
      <c r="H138">
        <v>0.2</v>
      </c>
      <c r="I138">
        <v>3</v>
      </c>
      <c r="J138">
        <v>11.9</v>
      </c>
    </row>
    <row r="139" spans="1:10" x14ac:dyDescent="0.25">
      <c r="A139" t="s">
        <v>892</v>
      </c>
      <c r="B139" s="3">
        <v>44637</v>
      </c>
      <c r="C139" t="s">
        <v>893</v>
      </c>
      <c r="D139" t="s">
        <v>3479</v>
      </c>
      <c r="E139">
        <v>3</v>
      </c>
      <c r="F139" t="s">
        <v>3526</v>
      </c>
      <c r="G139" t="s">
        <v>3517</v>
      </c>
      <c r="H139">
        <v>2.5</v>
      </c>
      <c r="I139">
        <v>34.200000000000003</v>
      </c>
      <c r="J139">
        <v>102.5</v>
      </c>
    </row>
    <row r="140" spans="1:10" x14ac:dyDescent="0.25">
      <c r="A140" t="s">
        <v>895</v>
      </c>
      <c r="B140" s="3">
        <v>44238</v>
      </c>
      <c r="C140" t="s">
        <v>896</v>
      </c>
      <c r="D140" t="s">
        <v>3514</v>
      </c>
      <c r="E140">
        <v>4</v>
      </c>
      <c r="F140" t="s">
        <v>3526</v>
      </c>
      <c r="G140" t="s">
        <v>3518</v>
      </c>
      <c r="H140">
        <v>1</v>
      </c>
      <c r="I140">
        <v>12.2</v>
      </c>
      <c r="J140">
        <v>48.6</v>
      </c>
    </row>
    <row r="141" spans="1:10" x14ac:dyDescent="0.25">
      <c r="A141" t="s">
        <v>898</v>
      </c>
      <c r="B141" s="3">
        <v>43509</v>
      </c>
      <c r="C141" t="s">
        <v>899</v>
      </c>
      <c r="D141" t="s">
        <v>3474</v>
      </c>
      <c r="E141">
        <v>6</v>
      </c>
      <c r="F141" t="s">
        <v>3525</v>
      </c>
      <c r="G141" t="s">
        <v>3518</v>
      </c>
      <c r="H141">
        <v>1</v>
      </c>
      <c r="I141">
        <v>13</v>
      </c>
      <c r="J141">
        <v>77.7</v>
      </c>
    </row>
    <row r="142" spans="1:10" x14ac:dyDescent="0.25">
      <c r="A142" t="s">
        <v>901</v>
      </c>
      <c r="B142" s="3">
        <v>44694</v>
      </c>
      <c r="C142" t="s">
        <v>902</v>
      </c>
      <c r="D142" t="s">
        <v>3496</v>
      </c>
      <c r="E142">
        <v>1</v>
      </c>
      <c r="F142" t="s">
        <v>3525</v>
      </c>
      <c r="G142" t="s">
        <v>3518</v>
      </c>
      <c r="H142">
        <v>2.5</v>
      </c>
      <c r="I142">
        <v>29.8</v>
      </c>
      <c r="J142">
        <v>29.8</v>
      </c>
    </row>
    <row r="143" spans="1:10" x14ac:dyDescent="0.25">
      <c r="A143" t="s">
        <v>905</v>
      </c>
      <c r="B143" s="3">
        <v>43970</v>
      </c>
      <c r="C143" t="s">
        <v>906</v>
      </c>
      <c r="D143" t="s">
        <v>3498</v>
      </c>
      <c r="E143">
        <v>4</v>
      </c>
      <c r="F143" t="s">
        <v>3523</v>
      </c>
      <c r="G143" t="s">
        <v>3517</v>
      </c>
      <c r="H143">
        <v>0.2</v>
      </c>
      <c r="I143">
        <v>3.9</v>
      </c>
      <c r="J143">
        <v>15.5</v>
      </c>
    </row>
    <row r="144" spans="1:10" x14ac:dyDescent="0.25">
      <c r="A144" t="s">
        <v>908</v>
      </c>
      <c r="B144" s="3">
        <v>44678</v>
      </c>
      <c r="C144" t="s">
        <v>909</v>
      </c>
      <c r="D144" t="s">
        <v>3479</v>
      </c>
      <c r="E144">
        <v>4</v>
      </c>
      <c r="F144" t="s">
        <v>3526</v>
      </c>
      <c r="G144" t="s">
        <v>3517</v>
      </c>
      <c r="H144">
        <v>2.5</v>
      </c>
      <c r="I144">
        <v>34.200000000000003</v>
      </c>
      <c r="J144">
        <v>136.6</v>
      </c>
    </row>
    <row r="145" spans="1:10" x14ac:dyDescent="0.25">
      <c r="A145" t="s">
        <v>911</v>
      </c>
      <c r="B145" s="3">
        <v>44083</v>
      </c>
      <c r="C145" t="s">
        <v>912</v>
      </c>
      <c r="D145" t="s">
        <v>3491</v>
      </c>
      <c r="E145">
        <v>2</v>
      </c>
      <c r="F145" t="s">
        <v>3525</v>
      </c>
      <c r="G145" t="s">
        <v>3519</v>
      </c>
      <c r="H145">
        <v>0.5</v>
      </c>
      <c r="I145">
        <v>8.6999999999999993</v>
      </c>
      <c r="J145">
        <v>17.5</v>
      </c>
    </row>
    <row r="146" spans="1:10" x14ac:dyDescent="0.25">
      <c r="A146" t="s">
        <v>914</v>
      </c>
      <c r="B146" s="3">
        <v>44265</v>
      </c>
      <c r="C146" t="s">
        <v>915</v>
      </c>
      <c r="D146" t="s">
        <v>3479</v>
      </c>
      <c r="E146">
        <v>2</v>
      </c>
      <c r="F146" t="s">
        <v>3526</v>
      </c>
      <c r="G146" t="s">
        <v>3517</v>
      </c>
      <c r="H146">
        <v>2.5</v>
      </c>
      <c r="I146">
        <v>34.200000000000003</v>
      </c>
      <c r="J146">
        <v>68.3</v>
      </c>
    </row>
    <row r="147" spans="1:10" x14ac:dyDescent="0.25">
      <c r="A147" t="s">
        <v>917</v>
      </c>
      <c r="B147" s="3">
        <v>43562</v>
      </c>
      <c r="C147" t="s">
        <v>918</v>
      </c>
      <c r="D147" t="s">
        <v>3490</v>
      </c>
      <c r="E147">
        <v>4</v>
      </c>
      <c r="F147" t="s">
        <v>3525</v>
      </c>
      <c r="G147" t="s">
        <v>3519</v>
      </c>
      <c r="H147">
        <v>0.2</v>
      </c>
      <c r="I147">
        <v>4.4000000000000004</v>
      </c>
      <c r="J147">
        <v>17.5</v>
      </c>
    </row>
    <row r="148" spans="1:10" x14ac:dyDescent="0.25">
      <c r="A148" t="s">
        <v>920</v>
      </c>
      <c r="B148" s="3">
        <v>44024</v>
      </c>
      <c r="C148" t="s">
        <v>921</v>
      </c>
      <c r="D148" t="s">
        <v>3493</v>
      </c>
      <c r="E148">
        <v>3</v>
      </c>
      <c r="F148" t="s">
        <v>3525</v>
      </c>
      <c r="G148" t="s">
        <v>3519</v>
      </c>
      <c r="H148">
        <v>1</v>
      </c>
      <c r="I148">
        <v>14.6</v>
      </c>
      <c r="J148">
        <v>43.7</v>
      </c>
    </row>
    <row r="149" spans="1:10" x14ac:dyDescent="0.25">
      <c r="A149" t="s">
        <v>920</v>
      </c>
      <c r="B149" s="3">
        <v>44024</v>
      </c>
      <c r="C149" t="s">
        <v>921</v>
      </c>
      <c r="D149" t="s">
        <v>3472</v>
      </c>
      <c r="E149">
        <v>2</v>
      </c>
      <c r="F149" t="s">
        <v>3526</v>
      </c>
      <c r="G149" t="s">
        <v>3519</v>
      </c>
      <c r="H149">
        <v>1</v>
      </c>
      <c r="I149">
        <v>13.8</v>
      </c>
      <c r="J149">
        <v>27.5</v>
      </c>
    </row>
    <row r="150" spans="1:10" x14ac:dyDescent="0.25">
      <c r="A150" t="s">
        <v>925</v>
      </c>
      <c r="B150" s="3">
        <v>44551</v>
      </c>
      <c r="C150" t="s">
        <v>926</v>
      </c>
      <c r="D150" t="s">
        <v>3484</v>
      </c>
      <c r="E150">
        <v>5</v>
      </c>
      <c r="F150" t="s">
        <v>3526</v>
      </c>
      <c r="G150" t="s">
        <v>3518</v>
      </c>
      <c r="H150">
        <v>0.2</v>
      </c>
      <c r="I150">
        <v>3.6</v>
      </c>
      <c r="J150">
        <v>18.2</v>
      </c>
    </row>
    <row r="151" spans="1:10" x14ac:dyDescent="0.25">
      <c r="A151" t="s">
        <v>928</v>
      </c>
      <c r="B151" s="3">
        <v>44108</v>
      </c>
      <c r="C151" t="s">
        <v>929</v>
      </c>
      <c r="D151" t="s">
        <v>3506</v>
      </c>
      <c r="E151">
        <v>2</v>
      </c>
      <c r="F151" t="s">
        <v>3523</v>
      </c>
      <c r="G151" t="s">
        <v>3519</v>
      </c>
      <c r="H151">
        <v>2.5</v>
      </c>
      <c r="I151">
        <v>25.9</v>
      </c>
      <c r="J151">
        <v>51.8</v>
      </c>
    </row>
    <row r="152" spans="1:10" x14ac:dyDescent="0.25">
      <c r="A152" t="s">
        <v>931</v>
      </c>
      <c r="B152" s="3">
        <v>44051</v>
      </c>
      <c r="C152" t="s">
        <v>932</v>
      </c>
      <c r="D152" t="s">
        <v>3474</v>
      </c>
      <c r="E152">
        <v>1</v>
      </c>
      <c r="F152" t="s">
        <v>3525</v>
      </c>
      <c r="G152" t="s">
        <v>3518</v>
      </c>
      <c r="H152">
        <v>1</v>
      </c>
      <c r="I152">
        <v>13</v>
      </c>
      <c r="J152">
        <v>13</v>
      </c>
    </row>
    <row r="153" spans="1:10" x14ac:dyDescent="0.25">
      <c r="A153" t="s">
        <v>934</v>
      </c>
      <c r="B153" s="3">
        <v>44115</v>
      </c>
      <c r="C153" t="s">
        <v>935</v>
      </c>
      <c r="D153" t="s">
        <v>3486</v>
      </c>
      <c r="E153">
        <v>3</v>
      </c>
      <c r="F153" t="s">
        <v>3523</v>
      </c>
      <c r="G153" t="s">
        <v>3519</v>
      </c>
      <c r="H153">
        <v>1</v>
      </c>
      <c r="I153">
        <v>11.3</v>
      </c>
      <c r="J153">
        <v>33.799999999999997</v>
      </c>
    </row>
    <row r="154" spans="1:10" x14ac:dyDescent="0.25">
      <c r="A154" t="s">
        <v>937</v>
      </c>
      <c r="B154" s="3">
        <v>44510</v>
      </c>
      <c r="C154" t="s">
        <v>938</v>
      </c>
      <c r="D154" t="s">
        <v>3482</v>
      </c>
      <c r="E154">
        <v>3</v>
      </c>
      <c r="F154" t="s">
        <v>3524</v>
      </c>
      <c r="G154" t="s">
        <v>3519</v>
      </c>
      <c r="H154">
        <v>2.5</v>
      </c>
      <c r="I154">
        <v>22.9</v>
      </c>
      <c r="J154">
        <v>68.7</v>
      </c>
    </row>
    <row r="155" spans="1:10" x14ac:dyDescent="0.25">
      <c r="A155" t="s">
        <v>940</v>
      </c>
      <c r="B155" s="3">
        <v>44367</v>
      </c>
      <c r="C155" t="s">
        <v>941</v>
      </c>
      <c r="D155" t="s">
        <v>3494</v>
      </c>
      <c r="E155">
        <v>1</v>
      </c>
      <c r="F155" t="s">
        <v>3524</v>
      </c>
      <c r="G155" t="s">
        <v>3518</v>
      </c>
      <c r="H155">
        <v>0.2</v>
      </c>
      <c r="I155">
        <v>2.7</v>
      </c>
      <c r="J155">
        <v>2.7</v>
      </c>
    </row>
    <row r="156" spans="1:10" x14ac:dyDescent="0.25">
      <c r="A156" t="s">
        <v>943</v>
      </c>
      <c r="B156" s="3">
        <v>44473</v>
      </c>
      <c r="C156" t="s">
        <v>944</v>
      </c>
      <c r="D156" t="s">
        <v>3499</v>
      </c>
      <c r="E156">
        <v>5</v>
      </c>
      <c r="F156" t="s">
        <v>3523</v>
      </c>
      <c r="G156" t="s">
        <v>3518</v>
      </c>
      <c r="H156">
        <v>2.5</v>
      </c>
      <c r="I156">
        <v>22.9</v>
      </c>
      <c r="J156">
        <v>114.4</v>
      </c>
    </row>
    <row r="157" spans="1:10" x14ac:dyDescent="0.25">
      <c r="A157" t="s">
        <v>946</v>
      </c>
      <c r="B157" s="3">
        <v>43640</v>
      </c>
      <c r="C157" t="s">
        <v>947</v>
      </c>
      <c r="D157" t="s">
        <v>3506</v>
      </c>
      <c r="E157">
        <v>6</v>
      </c>
      <c r="F157" t="s">
        <v>3523</v>
      </c>
      <c r="G157" t="s">
        <v>3519</v>
      </c>
      <c r="H157">
        <v>2.5</v>
      </c>
      <c r="I157">
        <v>25.9</v>
      </c>
      <c r="J157">
        <v>155.30000000000001</v>
      </c>
    </row>
    <row r="158" spans="1:10" x14ac:dyDescent="0.25">
      <c r="A158" t="s">
        <v>949</v>
      </c>
      <c r="B158" s="3">
        <v>43764</v>
      </c>
      <c r="C158" t="s">
        <v>950</v>
      </c>
      <c r="D158" t="s">
        <v>3506</v>
      </c>
      <c r="E158">
        <v>3</v>
      </c>
      <c r="F158" t="s">
        <v>3523</v>
      </c>
      <c r="G158" t="s">
        <v>3519</v>
      </c>
      <c r="H158">
        <v>2.5</v>
      </c>
      <c r="I158">
        <v>25.9</v>
      </c>
      <c r="J158">
        <v>77.599999999999994</v>
      </c>
    </row>
    <row r="159" spans="1:10" x14ac:dyDescent="0.25">
      <c r="A159" t="s">
        <v>952</v>
      </c>
      <c r="B159" s="3">
        <v>44374</v>
      </c>
      <c r="C159" t="s">
        <v>953</v>
      </c>
      <c r="D159" t="s">
        <v>3480</v>
      </c>
      <c r="E159">
        <v>3</v>
      </c>
      <c r="F159" t="s">
        <v>3524</v>
      </c>
      <c r="G159" t="s">
        <v>3518</v>
      </c>
      <c r="H159">
        <v>2.5</v>
      </c>
      <c r="I159">
        <v>20.6</v>
      </c>
      <c r="J159">
        <v>61.8</v>
      </c>
    </row>
    <row r="160" spans="1:10" x14ac:dyDescent="0.25">
      <c r="A160" t="s">
        <v>955</v>
      </c>
      <c r="B160" s="3">
        <v>43714</v>
      </c>
      <c r="C160" t="s">
        <v>956</v>
      </c>
      <c r="D160" t="s">
        <v>3480</v>
      </c>
      <c r="E160">
        <v>6</v>
      </c>
      <c r="F160" t="s">
        <v>3524</v>
      </c>
      <c r="G160" t="s">
        <v>3518</v>
      </c>
      <c r="H160">
        <v>2.5</v>
      </c>
      <c r="I160">
        <v>20.6</v>
      </c>
      <c r="J160">
        <v>123.5</v>
      </c>
    </row>
    <row r="161" spans="1:10" x14ac:dyDescent="0.25">
      <c r="A161" t="s">
        <v>958</v>
      </c>
      <c r="B161" s="3">
        <v>44316</v>
      </c>
      <c r="C161" t="s">
        <v>959</v>
      </c>
      <c r="D161" t="s">
        <v>3495</v>
      </c>
      <c r="E161">
        <v>6</v>
      </c>
      <c r="F161" t="s">
        <v>3525</v>
      </c>
      <c r="G161" t="s">
        <v>3517</v>
      </c>
      <c r="H161">
        <v>2.5</v>
      </c>
      <c r="I161">
        <v>36.5</v>
      </c>
      <c r="J161">
        <v>218.7</v>
      </c>
    </row>
    <row r="162" spans="1:10" x14ac:dyDescent="0.25">
      <c r="A162" t="s">
        <v>961</v>
      </c>
      <c r="B162" s="3">
        <v>43837</v>
      </c>
      <c r="C162" t="s">
        <v>962</v>
      </c>
      <c r="D162" t="s">
        <v>3470</v>
      </c>
      <c r="E162">
        <v>4</v>
      </c>
      <c r="F162" t="s">
        <v>3526</v>
      </c>
      <c r="G162" t="s">
        <v>3519</v>
      </c>
      <c r="H162">
        <v>0.5</v>
      </c>
      <c r="I162">
        <v>8.3000000000000007</v>
      </c>
      <c r="J162">
        <v>33</v>
      </c>
    </row>
    <row r="163" spans="1:10" x14ac:dyDescent="0.25">
      <c r="A163" t="s">
        <v>964</v>
      </c>
      <c r="B163" s="3">
        <v>44207</v>
      </c>
      <c r="C163" t="s">
        <v>965</v>
      </c>
      <c r="D163" t="s">
        <v>3511</v>
      </c>
      <c r="E163">
        <v>3</v>
      </c>
      <c r="F163" t="s">
        <v>3523</v>
      </c>
      <c r="G163" t="s">
        <v>3517</v>
      </c>
      <c r="H163">
        <v>0.5</v>
      </c>
      <c r="I163">
        <v>7.8</v>
      </c>
      <c r="J163">
        <v>23.3</v>
      </c>
    </row>
    <row r="164" spans="1:10" x14ac:dyDescent="0.25">
      <c r="A164" t="s">
        <v>967</v>
      </c>
      <c r="B164" s="3">
        <v>44515</v>
      </c>
      <c r="C164" t="s">
        <v>968</v>
      </c>
      <c r="D164" t="s">
        <v>3475</v>
      </c>
      <c r="E164">
        <v>3</v>
      </c>
      <c r="F164" t="s">
        <v>3526</v>
      </c>
      <c r="G164" t="s">
        <v>3518</v>
      </c>
      <c r="H164">
        <v>0.5</v>
      </c>
      <c r="I164">
        <v>7.3</v>
      </c>
      <c r="J164">
        <v>21.9</v>
      </c>
    </row>
    <row r="165" spans="1:10" x14ac:dyDescent="0.25">
      <c r="A165" t="s">
        <v>970</v>
      </c>
      <c r="B165" s="3">
        <v>43619</v>
      </c>
      <c r="C165" t="s">
        <v>971</v>
      </c>
      <c r="D165" t="s">
        <v>3494</v>
      </c>
      <c r="E165">
        <v>6</v>
      </c>
      <c r="F165" t="s">
        <v>3524</v>
      </c>
      <c r="G165" t="s">
        <v>3518</v>
      </c>
      <c r="H165">
        <v>0.2</v>
      </c>
      <c r="I165">
        <v>2.7</v>
      </c>
      <c r="J165">
        <v>16.100000000000001</v>
      </c>
    </row>
    <row r="166" spans="1:10" x14ac:dyDescent="0.25">
      <c r="A166" t="s">
        <v>973</v>
      </c>
      <c r="B166" s="3">
        <v>44182</v>
      </c>
      <c r="C166" t="s">
        <v>974</v>
      </c>
      <c r="D166" t="s">
        <v>3475</v>
      </c>
      <c r="E166">
        <v>4</v>
      </c>
      <c r="F166" t="s">
        <v>3526</v>
      </c>
      <c r="G166" t="s">
        <v>3518</v>
      </c>
      <c r="H166">
        <v>0.5</v>
      </c>
      <c r="I166">
        <v>7.3</v>
      </c>
      <c r="J166">
        <v>29.2</v>
      </c>
    </row>
    <row r="167" spans="1:10" x14ac:dyDescent="0.25">
      <c r="A167" t="s">
        <v>977</v>
      </c>
      <c r="B167" s="3">
        <v>44234</v>
      </c>
      <c r="C167" t="s">
        <v>978</v>
      </c>
      <c r="D167" t="s">
        <v>3508</v>
      </c>
      <c r="E167">
        <v>6</v>
      </c>
      <c r="F167" t="s">
        <v>3524</v>
      </c>
      <c r="G167" t="s">
        <v>3518</v>
      </c>
      <c r="H167">
        <v>1</v>
      </c>
      <c r="I167">
        <v>9</v>
      </c>
      <c r="J167">
        <v>53.7</v>
      </c>
    </row>
    <row r="168" spans="1:10" x14ac:dyDescent="0.25">
      <c r="A168" t="s">
        <v>980</v>
      </c>
      <c r="B168" s="3">
        <v>44270</v>
      </c>
      <c r="C168" t="s">
        <v>981</v>
      </c>
      <c r="D168" t="s">
        <v>3503</v>
      </c>
      <c r="E168">
        <v>5</v>
      </c>
      <c r="F168" t="s">
        <v>3524</v>
      </c>
      <c r="G168" t="s">
        <v>3518</v>
      </c>
      <c r="H168">
        <v>0.5</v>
      </c>
      <c r="I168">
        <v>5.4</v>
      </c>
      <c r="J168">
        <v>26.9</v>
      </c>
    </row>
    <row r="169" spans="1:10" x14ac:dyDescent="0.25">
      <c r="A169" t="s">
        <v>983</v>
      </c>
      <c r="B169" s="3">
        <v>44777</v>
      </c>
      <c r="C169" t="s">
        <v>984</v>
      </c>
      <c r="D169" t="s">
        <v>3470</v>
      </c>
      <c r="E169">
        <v>5</v>
      </c>
      <c r="F169" t="s">
        <v>3526</v>
      </c>
      <c r="G169" t="s">
        <v>3519</v>
      </c>
      <c r="H169">
        <v>0.5</v>
      </c>
      <c r="I169">
        <v>8.3000000000000007</v>
      </c>
      <c r="J169">
        <v>41.3</v>
      </c>
    </row>
    <row r="170" spans="1:10" x14ac:dyDescent="0.25">
      <c r="A170" t="s">
        <v>986</v>
      </c>
      <c r="B170" s="3">
        <v>43484</v>
      </c>
      <c r="C170" t="s">
        <v>987</v>
      </c>
      <c r="D170" t="s">
        <v>3488</v>
      </c>
      <c r="E170">
        <v>6</v>
      </c>
      <c r="F170" t="s">
        <v>3523</v>
      </c>
      <c r="G170" t="s">
        <v>3519</v>
      </c>
      <c r="H170">
        <v>0.5</v>
      </c>
      <c r="I170">
        <v>6.8</v>
      </c>
      <c r="J170">
        <v>40.5</v>
      </c>
    </row>
    <row r="171" spans="1:10" x14ac:dyDescent="0.25">
      <c r="A171" t="s">
        <v>989</v>
      </c>
      <c r="B171" s="3">
        <v>44643</v>
      </c>
      <c r="C171" t="s">
        <v>990</v>
      </c>
      <c r="D171" t="s">
        <v>3508</v>
      </c>
      <c r="E171">
        <v>2</v>
      </c>
      <c r="F171" t="s">
        <v>3524</v>
      </c>
      <c r="G171" t="s">
        <v>3518</v>
      </c>
      <c r="H171">
        <v>1</v>
      </c>
      <c r="I171">
        <v>9</v>
      </c>
      <c r="J171">
        <v>17.899999999999999</v>
      </c>
    </row>
    <row r="172" spans="1:10" x14ac:dyDescent="0.25">
      <c r="A172" t="s">
        <v>993</v>
      </c>
      <c r="B172" s="3">
        <v>44476</v>
      </c>
      <c r="C172" t="s">
        <v>994</v>
      </c>
      <c r="D172" t="s">
        <v>3479</v>
      </c>
      <c r="E172">
        <v>2</v>
      </c>
      <c r="F172" t="s">
        <v>3526</v>
      </c>
      <c r="G172" t="s">
        <v>3517</v>
      </c>
      <c r="H172">
        <v>2.5</v>
      </c>
      <c r="I172">
        <v>34.200000000000003</v>
      </c>
      <c r="J172">
        <v>68.3</v>
      </c>
    </row>
    <row r="173" spans="1:10" x14ac:dyDescent="0.25">
      <c r="A173" t="s">
        <v>996</v>
      </c>
      <c r="B173" s="3">
        <v>43544</v>
      </c>
      <c r="C173" t="s">
        <v>997</v>
      </c>
      <c r="D173" t="s">
        <v>3497</v>
      </c>
      <c r="E173">
        <v>2</v>
      </c>
      <c r="F173" t="s">
        <v>3526</v>
      </c>
      <c r="G173" t="s">
        <v>3519</v>
      </c>
      <c r="H173">
        <v>2.5</v>
      </c>
      <c r="I173">
        <v>31.6</v>
      </c>
      <c r="J173">
        <v>63.3</v>
      </c>
    </row>
    <row r="174" spans="1:10" x14ac:dyDescent="0.25">
      <c r="A174" t="s">
        <v>999</v>
      </c>
      <c r="B174" s="3">
        <v>44545</v>
      </c>
      <c r="C174" t="s">
        <v>1000</v>
      </c>
      <c r="D174" t="s">
        <v>3475</v>
      </c>
      <c r="E174">
        <v>3</v>
      </c>
      <c r="F174" t="s">
        <v>3526</v>
      </c>
      <c r="G174" t="s">
        <v>3518</v>
      </c>
      <c r="H174">
        <v>0.5</v>
      </c>
      <c r="I174">
        <v>7.3</v>
      </c>
      <c r="J174">
        <v>21.9</v>
      </c>
    </row>
    <row r="175" spans="1:10" x14ac:dyDescent="0.25">
      <c r="A175" t="s">
        <v>1002</v>
      </c>
      <c r="B175" s="3">
        <v>44720</v>
      </c>
      <c r="C175" t="s">
        <v>1003</v>
      </c>
      <c r="D175" t="s">
        <v>3482</v>
      </c>
      <c r="E175">
        <v>4</v>
      </c>
      <c r="F175" t="s">
        <v>3524</v>
      </c>
      <c r="G175" t="s">
        <v>3519</v>
      </c>
      <c r="H175">
        <v>2.5</v>
      </c>
      <c r="I175">
        <v>22.9</v>
      </c>
      <c r="J175">
        <v>91.5</v>
      </c>
    </row>
    <row r="176" spans="1:10" x14ac:dyDescent="0.25">
      <c r="A176" t="s">
        <v>1005</v>
      </c>
      <c r="B176" s="3">
        <v>43813</v>
      </c>
      <c r="C176" t="s">
        <v>1006</v>
      </c>
      <c r="D176" t="s">
        <v>3479</v>
      </c>
      <c r="E176">
        <v>6</v>
      </c>
      <c r="F176" t="s">
        <v>3526</v>
      </c>
      <c r="G176" t="s">
        <v>3517</v>
      </c>
      <c r="H176">
        <v>2.5</v>
      </c>
      <c r="I176">
        <v>34.200000000000003</v>
      </c>
      <c r="J176">
        <v>204.9</v>
      </c>
    </row>
    <row r="177" spans="1:10" x14ac:dyDescent="0.25">
      <c r="A177" t="s">
        <v>1008</v>
      </c>
      <c r="B177" s="3">
        <v>44296</v>
      </c>
      <c r="C177" t="s">
        <v>1009</v>
      </c>
      <c r="D177" t="s">
        <v>3497</v>
      </c>
      <c r="E177">
        <v>2</v>
      </c>
      <c r="F177" t="s">
        <v>3526</v>
      </c>
      <c r="G177" t="s">
        <v>3519</v>
      </c>
      <c r="H177">
        <v>2.5</v>
      </c>
      <c r="I177">
        <v>31.6</v>
      </c>
      <c r="J177">
        <v>63.3</v>
      </c>
    </row>
    <row r="178" spans="1:10" x14ac:dyDescent="0.25">
      <c r="A178" t="s">
        <v>1011</v>
      </c>
      <c r="B178" s="3">
        <v>43900</v>
      </c>
      <c r="C178" t="s">
        <v>1012</v>
      </c>
      <c r="D178" t="s">
        <v>3479</v>
      </c>
      <c r="E178">
        <v>1</v>
      </c>
      <c r="F178" t="s">
        <v>3526</v>
      </c>
      <c r="G178" t="s">
        <v>3517</v>
      </c>
      <c r="H178">
        <v>2.5</v>
      </c>
      <c r="I178">
        <v>34.200000000000003</v>
      </c>
      <c r="J178">
        <v>34.200000000000003</v>
      </c>
    </row>
    <row r="179" spans="1:10" x14ac:dyDescent="0.25">
      <c r="A179" t="s">
        <v>1014</v>
      </c>
      <c r="B179" s="3">
        <v>44120</v>
      </c>
      <c r="C179" t="s">
        <v>1015</v>
      </c>
      <c r="D179" t="s">
        <v>3473</v>
      </c>
      <c r="E179">
        <v>4</v>
      </c>
      <c r="F179" t="s">
        <v>3524</v>
      </c>
      <c r="G179" t="s">
        <v>3517</v>
      </c>
      <c r="H179">
        <v>2.5</v>
      </c>
      <c r="I179">
        <v>27.5</v>
      </c>
      <c r="J179">
        <v>109.9</v>
      </c>
    </row>
    <row r="180" spans="1:10" x14ac:dyDescent="0.25">
      <c r="A180" t="s">
        <v>1017</v>
      </c>
      <c r="B180" s="3">
        <v>43746</v>
      </c>
      <c r="C180" t="s">
        <v>1018</v>
      </c>
      <c r="D180" t="s">
        <v>3471</v>
      </c>
      <c r="E180">
        <v>2</v>
      </c>
      <c r="F180" t="s">
        <v>3523</v>
      </c>
      <c r="G180" t="s">
        <v>3517</v>
      </c>
      <c r="H180">
        <v>1</v>
      </c>
      <c r="I180">
        <v>13</v>
      </c>
      <c r="J180">
        <v>25.9</v>
      </c>
    </row>
    <row r="181" spans="1:10" x14ac:dyDescent="0.25">
      <c r="A181" t="s">
        <v>1020</v>
      </c>
      <c r="B181" s="3">
        <v>43830</v>
      </c>
      <c r="C181" t="s">
        <v>1021</v>
      </c>
      <c r="D181" t="s">
        <v>3485</v>
      </c>
      <c r="E181">
        <v>1</v>
      </c>
      <c r="F181" t="s">
        <v>3523</v>
      </c>
      <c r="G181" t="s">
        <v>3518</v>
      </c>
      <c r="H181">
        <v>0.2</v>
      </c>
      <c r="I181">
        <v>3</v>
      </c>
      <c r="J181">
        <v>3</v>
      </c>
    </row>
    <row r="182" spans="1:10" x14ac:dyDescent="0.25">
      <c r="A182" t="s">
        <v>1023</v>
      </c>
      <c r="B182" s="3">
        <v>43910</v>
      </c>
      <c r="C182" t="s">
        <v>1024</v>
      </c>
      <c r="D182" t="s">
        <v>3515</v>
      </c>
      <c r="E182">
        <v>5</v>
      </c>
      <c r="F182" t="s">
        <v>3526</v>
      </c>
      <c r="G182" t="s">
        <v>3517</v>
      </c>
      <c r="H182">
        <v>0.2</v>
      </c>
      <c r="I182">
        <v>4.5</v>
      </c>
      <c r="J182">
        <v>22.3</v>
      </c>
    </row>
    <row r="183" spans="1:10" x14ac:dyDescent="0.25">
      <c r="A183" t="s">
        <v>1023</v>
      </c>
      <c r="B183" s="3">
        <v>43910</v>
      </c>
      <c r="C183" t="s">
        <v>1024</v>
      </c>
      <c r="D183" t="s">
        <v>3489</v>
      </c>
      <c r="E183">
        <v>5</v>
      </c>
      <c r="F183" t="s">
        <v>3523</v>
      </c>
      <c r="G183" t="s">
        <v>3518</v>
      </c>
      <c r="H183">
        <v>0.5</v>
      </c>
      <c r="I183">
        <v>6</v>
      </c>
      <c r="J183">
        <v>29.9</v>
      </c>
    </row>
    <row r="184" spans="1:10" x14ac:dyDescent="0.25">
      <c r="A184" t="s">
        <v>1028</v>
      </c>
      <c r="B184" s="3">
        <v>44284</v>
      </c>
      <c r="C184" t="s">
        <v>1029</v>
      </c>
      <c r="D184" t="s">
        <v>3503</v>
      </c>
      <c r="E184">
        <v>6</v>
      </c>
      <c r="F184" t="s">
        <v>3524</v>
      </c>
      <c r="G184" t="s">
        <v>3518</v>
      </c>
      <c r="H184">
        <v>0.5</v>
      </c>
      <c r="I184">
        <v>5.4</v>
      </c>
      <c r="J184">
        <v>32.200000000000003</v>
      </c>
    </row>
    <row r="185" spans="1:10" x14ac:dyDescent="0.25">
      <c r="A185" t="s">
        <v>1031</v>
      </c>
      <c r="B185" s="3">
        <v>44512</v>
      </c>
      <c r="C185" t="s">
        <v>1032</v>
      </c>
      <c r="D185" t="s">
        <v>3487</v>
      </c>
      <c r="E185">
        <v>2</v>
      </c>
      <c r="F185" t="s">
        <v>3526</v>
      </c>
      <c r="G185" t="s">
        <v>3519</v>
      </c>
      <c r="H185">
        <v>0.2</v>
      </c>
      <c r="I185">
        <v>4.0999999999999996</v>
      </c>
      <c r="J185">
        <v>8.3000000000000007</v>
      </c>
    </row>
    <row r="186" spans="1:10" x14ac:dyDescent="0.25">
      <c r="A186" t="s">
        <v>1034</v>
      </c>
      <c r="B186" s="3">
        <v>44397</v>
      </c>
      <c r="C186" t="s">
        <v>1035</v>
      </c>
      <c r="D186" t="s">
        <v>3511</v>
      </c>
      <c r="E186">
        <v>4</v>
      </c>
      <c r="F186" t="s">
        <v>3523</v>
      </c>
      <c r="G186" t="s">
        <v>3517</v>
      </c>
      <c r="H186">
        <v>0.5</v>
      </c>
      <c r="I186">
        <v>7.8</v>
      </c>
      <c r="J186">
        <v>31.1</v>
      </c>
    </row>
    <row r="187" spans="1:10" x14ac:dyDescent="0.25">
      <c r="A187" t="s">
        <v>1037</v>
      </c>
      <c r="B187" s="3">
        <v>43483</v>
      </c>
      <c r="C187" t="s">
        <v>1038</v>
      </c>
      <c r="D187" t="s">
        <v>3475</v>
      </c>
      <c r="E187">
        <v>5</v>
      </c>
      <c r="F187" t="s">
        <v>3526</v>
      </c>
      <c r="G187" t="s">
        <v>3518</v>
      </c>
      <c r="H187">
        <v>0.5</v>
      </c>
      <c r="I187">
        <v>7.3</v>
      </c>
      <c r="J187">
        <v>36.5</v>
      </c>
    </row>
    <row r="188" spans="1:10" x14ac:dyDescent="0.25">
      <c r="A188" t="s">
        <v>1040</v>
      </c>
      <c r="B188" s="3">
        <v>43684</v>
      </c>
      <c r="C188" t="s">
        <v>1041</v>
      </c>
      <c r="D188" t="s">
        <v>3482</v>
      </c>
      <c r="E188">
        <v>3</v>
      </c>
      <c r="F188" t="s">
        <v>3524</v>
      </c>
      <c r="G188" t="s">
        <v>3519</v>
      </c>
      <c r="H188">
        <v>2.5</v>
      </c>
      <c r="I188">
        <v>22.9</v>
      </c>
      <c r="J188">
        <v>68.7</v>
      </c>
    </row>
    <row r="189" spans="1:10" x14ac:dyDescent="0.25">
      <c r="A189" t="s">
        <v>1043</v>
      </c>
      <c r="B189" s="3">
        <v>44633</v>
      </c>
      <c r="C189" t="s">
        <v>1044</v>
      </c>
      <c r="D189" t="s">
        <v>3491</v>
      </c>
      <c r="E189">
        <v>5</v>
      </c>
      <c r="F189" t="s">
        <v>3525</v>
      </c>
      <c r="G189" t="s">
        <v>3519</v>
      </c>
      <c r="H189">
        <v>0.5</v>
      </c>
      <c r="I189">
        <v>8.6999999999999993</v>
      </c>
      <c r="J189">
        <v>43.7</v>
      </c>
    </row>
    <row r="190" spans="1:10" x14ac:dyDescent="0.25">
      <c r="A190" t="s">
        <v>1046</v>
      </c>
      <c r="B190" s="3">
        <v>44698</v>
      </c>
      <c r="C190" t="s">
        <v>1047</v>
      </c>
      <c r="D190" t="s">
        <v>3515</v>
      </c>
      <c r="E190">
        <v>1</v>
      </c>
      <c r="F190" t="s">
        <v>3526</v>
      </c>
      <c r="G190" t="s">
        <v>3517</v>
      </c>
      <c r="H190">
        <v>0.2</v>
      </c>
      <c r="I190">
        <v>4.5</v>
      </c>
      <c r="J190">
        <v>4.5</v>
      </c>
    </row>
    <row r="191" spans="1:10" x14ac:dyDescent="0.25">
      <c r="A191" t="s">
        <v>1049</v>
      </c>
      <c r="B191" s="3">
        <v>43813</v>
      </c>
      <c r="C191" t="s">
        <v>1050</v>
      </c>
      <c r="D191" t="s">
        <v>3493</v>
      </c>
      <c r="E191">
        <v>3</v>
      </c>
      <c r="F191" t="s">
        <v>3525</v>
      </c>
      <c r="G191" t="s">
        <v>3519</v>
      </c>
      <c r="H191">
        <v>1</v>
      </c>
      <c r="I191">
        <v>14.6</v>
      </c>
      <c r="J191">
        <v>43.7</v>
      </c>
    </row>
    <row r="192" spans="1:10" x14ac:dyDescent="0.25">
      <c r="A192" t="s">
        <v>1052</v>
      </c>
      <c r="B192" s="3">
        <v>43845</v>
      </c>
      <c r="C192" t="s">
        <v>1053</v>
      </c>
      <c r="D192" t="s">
        <v>3512</v>
      </c>
      <c r="E192">
        <v>1</v>
      </c>
      <c r="F192" t="s">
        <v>3525</v>
      </c>
      <c r="G192" t="s">
        <v>3519</v>
      </c>
      <c r="H192">
        <v>2.5</v>
      </c>
      <c r="I192">
        <v>33.5</v>
      </c>
      <c r="J192">
        <v>33.5</v>
      </c>
    </row>
    <row r="193" spans="1:10" x14ac:dyDescent="0.25">
      <c r="A193" t="s">
        <v>1055</v>
      </c>
      <c r="B193" s="3">
        <v>43567</v>
      </c>
      <c r="C193" t="s">
        <v>1056</v>
      </c>
      <c r="D193" t="s">
        <v>3481</v>
      </c>
      <c r="E193">
        <v>5</v>
      </c>
      <c r="F193" t="s">
        <v>3525</v>
      </c>
      <c r="G193" t="s">
        <v>3518</v>
      </c>
      <c r="H193">
        <v>0.2</v>
      </c>
      <c r="I193">
        <v>3.9</v>
      </c>
      <c r="J193">
        <v>19.399999999999999</v>
      </c>
    </row>
    <row r="194" spans="1:10" x14ac:dyDescent="0.25">
      <c r="A194" t="s">
        <v>1058</v>
      </c>
      <c r="B194" s="3">
        <v>43919</v>
      </c>
      <c r="C194" t="s">
        <v>1059</v>
      </c>
      <c r="D194" t="s">
        <v>3514</v>
      </c>
      <c r="E194">
        <v>6</v>
      </c>
      <c r="F194" t="s">
        <v>3526</v>
      </c>
      <c r="G194" t="s">
        <v>3518</v>
      </c>
      <c r="H194">
        <v>1</v>
      </c>
      <c r="I194">
        <v>12.2</v>
      </c>
      <c r="J194">
        <v>72.900000000000006</v>
      </c>
    </row>
    <row r="195" spans="1:10" x14ac:dyDescent="0.25">
      <c r="A195" t="s">
        <v>1061</v>
      </c>
      <c r="B195" s="3">
        <v>44644</v>
      </c>
      <c r="C195" t="s">
        <v>1062</v>
      </c>
      <c r="D195" t="s">
        <v>3502</v>
      </c>
      <c r="E195">
        <v>3</v>
      </c>
      <c r="F195" t="s">
        <v>3526</v>
      </c>
      <c r="G195" t="s">
        <v>3517</v>
      </c>
      <c r="H195">
        <v>1</v>
      </c>
      <c r="I195">
        <v>14.9</v>
      </c>
      <c r="J195">
        <v>44.6</v>
      </c>
    </row>
    <row r="196" spans="1:10" x14ac:dyDescent="0.25">
      <c r="A196" t="s">
        <v>1064</v>
      </c>
      <c r="B196" s="3">
        <v>44398</v>
      </c>
      <c r="C196" t="s">
        <v>1065</v>
      </c>
      <c r="D196" t="s">
        <v>3475</v>
      </c>
      <c r="E196">
        <v>5</v>
      </c>
      <c r="F196" t="s">
        <v>3526</v>
      </c>
      <c r="G196" t="s">
        <v>3518</v>
      </c>
      <c r="H196">
        <v>0.5</v>
      </c>
      <c r="I196">
        <v>7.3</v>
      </c>
      <c r="J196">
        <v>36.5</v>
      </c>
    </row>
    <row r="197" spans="1:10" x14ac:dyDescent="0.25">
      <c r="A197" t="s">
        <v>1067</v>
      </c>
      <c r="B197" s="3">
        <v>43683</v>
      </c>
      <c r="C197" t="s">
        <v>1068</v>
      </c>
      <c r="D197" t="s">
        <v>3471</v>
      </c>
      <c r="E197">
        <v>3</v>
      </c>
      <c r="F197" t="s">
        <v>3523</v>
      </c>
      <c r="G197" t="s">
        <v>3517</v>
      </c>
      <c r="H197">
        <v>1</v>
      </c>
      <c r="I197">
        <v>13</v>
      </c>
      <c r="J197">
        <v>38.9</v>
      </c>
    </row>
    <row r="198" spans="1:10" x14ac:dyDescent="0.25">
      <c r="A198" t="s">
        <v>1070</v>
      </c>
      <c r="B198" s="3">
        <v>44339</v>
      </c>
      <c r="C198" t="s">
        <v>1071</v>
      </c>
      <c r="D198" t="s">
        <v>3507</v>
      </c>
      <c r="E198">
        <v>6</v>
      </c>
      <c r="F198" t="s">
        <v>3526</v>
      </c>
      <c r="G198" t="s">
        <v>3517</v>
      </c>
      <c r="H198">
        <v>0.5</v>
      </c>
      <c r="I198">
        <v>8.9</v>
      </c>
      <c r="J198">
        <v>53.5</v>
      </c>
    </row>
    <row r="199" spans="1:10" x14ac:dyDescent="0.25">
      <c r="A199" t="s">
        <v>1070</v>
      </c>
      <c r="B199" s="3">
        <v>44339</v>
      </c>
      <c r="C199" t="s">
        <v>1071</v>
      </c>
      <c r="D199" t="s">
        <v>3496</v>
      </c>
      <c r="E199">
        <v>2</v>
      </c>
      <c r="F199" t="s">
        <v>3525</v>
      </c>
      <c r="G199" t="s">
        <v>3518</v>
      </c>
      <c r="H199">
        <v>2.5</v>
      </c>
      <c r="I199">
        <v>29.8</v>
      </c>
      <c r="J199">
        <v>59.6</v>
      </c>
    </row>
    <row r="200" spans="1:10" x14ac:dyDescent="0.25">
      <c r="A200" t="s">
        <v>1070</v>
      </c>
      <c r="B200" s="3">
        <v>44339</v>
      </c>
      <c r="C200" t="s">
        <v>1071</v>
      </c>
      <c r="D200" t="s">
        <v>3496</v>
      </c>
      <c r="E200">
        <v>3</v>
      </c>
      <c r="F200" t="s">
        <v>3525</v>
      </c>
      <c r="G200" t="s">
        <v>3518</v>
      </c>
      <c r="H200">
        <v>2.5</v>
      </c>
      <c r="I200">
        <v>29.8</v>
      </c>
      <c r="J200">
        <v>89.4</v>
      </c>
    </row>
    <row r="201" spans="1:10" x14ac:dyDescent="0.25">
      <c r="A201" t="s">
        <v>1070</v>
      </c>
      <c r="B201" s="3">
        <v>44339</v>
      </c>
      <c r="C201" t="s">
        <v>1071</v>
      </c>
      <c r="D201" t="s">
        <v>3492</v>
      </c>
      <c r="E201">
        <v>4</v>
      </c>
      <c r="F201" t="s">
        <v>3525</v>
      </c>
      <c r="G201" t="s">
        <v>3517</v>
      </c>
      <c r="H201">
        <v>0.5</v>
      </c>
      <c r="I201">
        <v>9.5</v>
      </c>
      <c r="J201">
        <v>38</v>
      </c>
    </row>
    <row r="202" spans="1:10" x14ac:dyDescent="0.25">
      <c r="A202" t="s">
        <v>1070</v>
      </c>
      <c r="B202" s="3">
        <v>44339</v>
      </c>
      <c r="C202" t="s">
        <v>1071</v>
      </c>
      <c r="D202" t="s">
        <v>3472</v>
      </c>
      <c r="E202">
        <v>3</v>
      </c>
      <c r="F202" t="s">
        <v>3526</v>
      </c>
      <c r="G202" t="s">
        <v>3519</v>
      </c>
      <c r="H202">
        <v>1</v>
      </c>
      <c r="I202">
        <v>13.8</v>
      </c>
      <c r="J202">
        <v>41.3</v>
      </c>
    </row>
    <row r="203" spans="1:10" x14ac:dyDescent="0.25">
      <c r="A203" t="s">
        <v>1081</v>
      </c>
      <c r="B203" s="3">
        <v>44294</v>
      </c>
      <c r="C203" t="s">
        <v>1082</v>
      </c>
      <c r="D203" t="s">
        <v>3492</v>
      </c>
      <c r="E203">
        <v>6</v>
      </c>
      <c r="F203" t="s">
        <v>3525</v>
      </c>
      <c r="G203" t="s">
        <v>3517</v>
      </c>
      <c r="H203">
        <v>0.5</v>
      </c>
      <c r="I203">
        <v>9.5</v>
      </c>
      <c r="J203">
        <v>57.1</v>
      </c>
    </row>
    <row r="204" spans="1:10" x14ac:dyDescent="0.25">
      <c r="A204" t="s">
        <v>1084</v>
      </c>
      <c r="B204" s="3">
        <v>44486</v>
      </c>
      <c r="C204" t="s">
        <v>1085</v>
      </c>
      <c r="D204" t="s">
        <v>3496</v>
      </c>
      <c r="E204">
        <v>6</v>
      </c>
      <c r="F204" t="s">
        <v>3525</v>
      </c>
      <c r="G204" t="s">
        <v>3518</v>
      </c>
      <c r="H204">
        <v>2.5</v>
      </c>
      <c r="I204">
        <v>29.8</v>
      </c>
      <c r="J204">
        <v>178.7</v>
      </c>
    </row>
    <row r="205" spans="1:10" x14ac:dyDescent="0.25">
      <c r="A205" t="s">
        <v>1087</v>
      </c>
      <c r="B205" s="3">
        <v>44608</v>
      </c>
      <c r="C205" t="s">
        <v>1088</v>
      </c>
      <c r="D205" t="s">
        <v>3476</v>
      </c>
      <c r="E205">
        <v>1</v>
      </c>
      <c r="F205" t="s">
        <v>3525</v>
      </c>
      <c r="G205" t="s">
        <v>3517</v>
      </c>
      <c r="H205">
        <v>0.2</v>
      </c>
      <c r="I205">
        <v>4.8</v>
      </c>
      <c r="J205">
        <v>4.8</v>
      </c>
    </row>
    <row r="206" spans="1:10" x14ac:dyDescent="0.25">
      <c r="A206" t="s">
        <v>1090</v>
      </c>
      <c r="B206" s="3">
        <v>44027</v>
      </c>
      <c r="C206" t="s">
        <v>1091</v>
      </c>
      <c r="D206" t="s">
        <v>3472</v>
      </c>
      <c r="E206">
        <v>6</v>
      </c>
      <c r="F206" t="s">
        <v>3526</v>
      </c>
      <c r="G206" t="s">
        <v>3519</v>
      </c>
      <c r="H206">
        <v>1</v>
      </c>
      <c r="I206">
        <v>13.8</v>
      </c>
      <c r="J206">
        <v>82.5</v>
      </c>
    </row>
    <row r="207" spans="1:10" x14ac:dyDescent="0.25">
      <c r="A207" t="s">
        <v>1093</v>
      </c>
      <c r="B207" s="3">
        <v>43883</v>
      </c>
      <c r="C207" t="s">
        <v>1094</v>
      </c>
      <c r="D207" t="s">
        <v>3494</v>
      </c>
      <c r="E207">
        <v>3</v>
      </c>
      <c r="F207" t="s">
        <v>3524</v>
      </c>
      <c r="G207" t="s">
        <v>3518</v>
      </c>
      <c r="H207">
        <v>0.2</v>
      </c>
      <c r="I207">
        <v>2.7</v>
      </c>
      <c r="J207">
        <v>8.1</v>
      </c>
    </row>
    <row r="208" spans="1:10" x14ac:dyDescent="0.25">
      <c r="A208" t="s">
        <v>1096</v>
      </c>
      <c r="B208" s="3">
        <v>44211</v>
      </c>
      <c r="C208" t="s">
        <v>1097</v>
      </c>
      <c r="D208" t="s">
        <v>3486</v>
      </c>
      <c r="E208">
        <v>2</v>
      </c>
      <c r="F208" t="s">
        <v>3523</v>
      </c>
      <c r="G208" t="s">
        <v>3519</v>
      </c>
      <c r="H208">
        <v>1</v>
      </c>
      <c r="I208">
        <v>11.3</v>
      </c>
      <c r="J208">
        <v>22.5</v>
      </c>
    </row>
    <row r="209" spans="1:10" x14ac:dyDescent="0.25">
      <c r="A209" t="s">
        <v>1099</v>
      </c>
      <c r="B209" s="3">
        <v>44207</v>
      </c>
      <c r="C209" t="s">
        <v>1100</v>
      </c>
      <c r="D209" t="s">
        <v>3488</v>
      </c>
      <c r="E209">
        <v>6</v>
      </c>
      <c r="F209" t="s">
        <v>3523</v>
      </c>
      <c r="G209" t="s">
        <v>3519</v>
      </c>
      <c r="H209">
        <v>0.5</v>
      </c>
      <c r="I209">
        <v>6.8</v>
      </c>
      <c r="J209">
        <v>40.5</v>
      </c>
    </row>
    <row r="210" spans="1:10" x14ac:dyDescent="0.25">
      <c r="A210" t="s">
        <v>1102</v>
      </c>
      <c r="B210" s="3">
        <v>44659</v>
      </c>
      <c r="C210" t="s">
        <v>1103</v>
      </c>
      <c r="D210" t="s">
        <v>3475</v>
      </c>
      <c r="E210">
        <v>4</v>
      </c>
      <c r="F210" t="s">
        <v>3526</v>
      </c>
      <c r="G210" t="s">
        <v>3518</v>
      </c>
      <c r="H210">
        <v>0.5</v>
      </c>
      <c r="I210">
        <v>7.3</v>
      </c>
      <c r="J210">
        <v>29.2</v>
      </c>
    </row>
    <row r="211" spans="1:10" x14ac:dyDescent="0.25">
      <c r="A211" t="s">
        <v>1105</v>
      </c>
      <c r="B211" s="3">
        <v>44105</v>
      </c>
      <c r="C211" t="s">
        <v>1106</v>
      </c>
      <c r="D211" t="s">
        <v>3488</v>
      </c>
      <c r="E211">
        <v>1</v>
      </c>
      <c r="F211" t="s">
        <v>3523</v>
      </c>
      <c r="G211" t="s">
        <v>3519</v>
      </c>
      <c r="H211">
        <v>0.5</v>
      </c>
      <c r="I211">
        <v>6.8</v>
      </c>
      <c r="J211">
        <v>6.8</v>
      </c>
    </row>
    <row r="212" spans="1:10" x14ac:dyDescent="0.25">
      <c r="A212" t="s">
        <v>1108</v>
      </c>
      <c r="B212" s="3">
        <v>43766</v>
      </c>
      <c r="C212" t="s">
        <v>1109</v>
      </c>
      <c r="D212" t="s">
        <v>3474</v>
      </c>
      <c r="E212">
        <v>4</v>
      </c>
      <c r="F212" t="s">
        <v>3525</v>
      </c>
      <c r="G212" t="s">
        <v>3518</v>
      </c>
      <c r="H212">
        <v>1</v>
      </c>
      <c r="I212">
        <v>13</v>
      </c>
      <c r="J212">
        <v>51.8</v>
      </c>
    </row>
    <row r="213" spans="1:10" x14ac:dyDescent="0.25">
      <c r="A213" t="s">
        <v>1111</v>
      </c>
      <c r="B213" s="3">
        <v>44283</v>
      </c>
      <c r="C213" t="s">
        <v>1112</v>
      </c>
      <c r="D213" t="s">
        <v>3507</v>
      </c>
      <c r="E213">
        <v>6</v>
      </c>
      <c r="F213" t="s">
        <v>3526</v>
      </c>
      <c r="G213" t="s">
        <v>3517</v>
      </c>
      <c r="H213">
        <v>0.5</v>
      </c>
      <c r="I213">
        <v>8.9</v>
      </c>
      <c r="J213">
        <v>53.5</v>
      </c>
    </row>
    <row r="214" spans="1:10" x14ac:dyDescent="0.25">
      <c r="A214" t="s">
        <v>1114</v>
      </c>
      <c r="B214" s="3">
        <v>43921</v>
      </c>
      <c r="C214" t="s">
        <v>1115</v>
      </c>
      <c r="D214" t="s">
        <v>3484</v>
      </c>
      <c r="E214">
        <v>4</v>
      </c>
      <c r="F214" t="s">
        <v>3526</v>
      </c>
      <c r="G214" t="s">
        <v>3518</v>
      </c>
      <c r="H214">
        <v>0.2</v>
      </c>
      <c r="I214">
        <v>3.6</v>
      </c>
      <c r="J214">
        <v>14.6</v>
      </c>
    </row>
    <row r="215" spans="1:10" x14ac:dyDescent="0.25">
      <c r="A215" t="s">
        <v>1117</v>
      </c>
      <c r="B215" s="3">
        <v>44646</v>
      </c>
      <c r="C215" t="s">
        <v>1118</v>
      </c>
      <c r="D215" t="s">
        <v>3480</v>
      </c>
      <c r="E215">
        <v>1</v>
      </c>
      <c r="F215" t="s">
        <v>3524</v>
      </c>
      <c r="G215" t="s">
        <v>3518</v>
      </c>
      <c r="H215">
        <v>2.5</v>
      </c>
      <c r="I215">
        <v>20.6</v>
      </c>
      <c r="J215">
        <v>20.6</v>
      </c>
    </row>
    <row r="216" spans="1:10" x14ac:dyDescent="0.25">
      <c r="A216" t="s">
        <v>1120</v>
      </c>
      <c r="B216" s="3">
        <v>43775</v>
      </c>
      <c r="C216" t="s">
        <v>1121</v>
      </c>
      <c r="D216" t="s">
        <v>3501</v>
      </c>
      <c r="E216">
        <v>2</v>
      </c>
      <c r="F216" t="s">
        <v>3525</v>
      </c>
      <c r="G216" t="s">
        <v>3517</v>
      </c>
      <c r="H216">
        <v>1</v>
      </c>
      <c r="I216">
        <v>15.9</v>
      </c>
      <c r="J216">
        <v>31.7</v>
      </c>
    </row>
    <row r="217" spans="1:10" x14ac:dyDescent="0.25">
      <c r="A217" t="s">
        <v>1124</v>
      </c>
      <c r="B217" s="3">
        <v>43829</v>
      </c>
      <c r="C217" t="s">
        <v>1125</v>
      </c>
      <c r="D217" t="s">
        <v>3481</v>
      </c>
      <c r="E217">
        <v>6</v>
      </c>
      <c r="F217" t="s">
        <v>3525</v>
      </c>
      <c r="G217" t="s">
        <v>3518</v>
      </c>
      <c r="H217">
        <v>0.2</v>
      </c>
      <c r="I217">
        <v>3.9</v>
      </c>
      <c r="J217">
        <v>23.3</v>
      </c>
    </row>
    <row r="218" spans="1:10" x14ac:dyDescent="0.25">
      <c r="A218" t="s">
        <v>1127</v>
      </c>
      <c r="B218" s="3">
        <v>44470</v>
      </c>
      <c r="C218" t="s">
        <v>1128</v>
      </c>
      <c r="D218" t="s">
        <v>3493</v>
      </c>
      <c r="E218">
        <v>4</v>
      </c>
      <c r="F218" t="s">
        <v>3525</v>
      </c>
      <c r="G218" t="s">
        <v>3519</v>
      </c>
      <c r="H218">
        <v>1</v>
      </c>
      <c r="I218">
        <v>14.6</v>
      </c>
      <c r="J218">
        <v>58.2</v>
      </c>
    </row>
    <row r="219" spans="1:10" x14ac:dyDescent="0.25">
      <c r="A219" t="s">
        <v>1130</v>
      </c>
      <c r="B219" s="3">
        <v>44174</v>
      </c>
      <c r="C219" t="s">
        <v>1131</v>
      </c>
      <c r="D219" t="s">
        <v>3507</v>
      </c>
      <c r="E219">
        <v>4</v>
      </c>
      <c r="F219" t="s">
        <v>3526</v>
      </c>
      <c r="G219" t="s">
        <v>3517</v>
      </c>
      <c r="H219">
        <v>0.5</v>
      </c>
      <c r="I219">
        <v>8.9</v>
      </c>
      <c r="J219">
        <v>35.6</v>
      </c>
    </row>
    <row r="220" spans="1:10" x14ac:dyDescent="0.25">
      <c r="A220" t="s">
        <v>1133</v>
      </c>
      <c r="B220" s="3">
        <v>44317</v>
      </c>
      <c r="C220" t="s">
        <v>1134</v>
      </c>
      <c r="D220" t="s">
        <v>3486</v>
      </c>
      <c r="E220">
        <v>5</v>
      </c>
      <c r="F220" t="s">
        <v>3523</v>
      </c>
      <c r="G220" t="s">
        <v>3519</v>
      </c>
      <c r="H220">
        <v>1</v>
      </c>
      <c r="I220">
        <v>11.3</v>
      </c>
      <c r="J220">
        <v>56.3</v>
      </c>
    </row>
    <row r="221" spans="1:10" x14ac:dyDescent="0.25">
      <c r="A221" t="s">
        <v>1136</v>
      </c>
      <c r="B221" s="3">
        <v>44777</v>
      </c>
      <c r="C221" t="s">
        <v>1137</v>
      </c>
      <c r="D221" t="s">
        <v>3509</v>
      </c>
      <c r="E221">
        <v>3</v>
      </c>
      <c r="F221" t="s">
        <v>3524</v>
      </c>
      <c r="G221" t="s">
        <v>3517</v>
      </c>
      <c r="H221">
        <v>0.2</v>
      </c>
      <c r="I221">
        <v>3.6</v>
      </c>
      <c r="J221">
        <v>10.8</v>
      </c>
    </row>
    <row r="222" spans="1:10" x14ac:dyDescent="0.25">
      <c r="A222" t="s">
        <v>1136</v>
      </c>
      <c r="B222" s="3">
        <v>44777</v>
      </c>
      <c r="C222" t="s">
        <v>1137</v>
      </c>
      <c r="D222" t="s">
        <v>3505</v>
      </c>
      <c r="E222">
        <v>5</v>
      </c>
      <c r="F222" t="s">
        <v>3524</v>
      </c>
      <c r="G222" t="s">
        <v>3519</v>
      </c>
      <c r="H222">
        <v>0.2</v>
      </c>
      <c r="I222">
        <v>3</v>
      </c>
      <c r="J222">
        <v>14.9</v>
      </c>
    </row>
    <row r="223" spans="1:10" x14ac:dyDescent="0.25">
      <c r="A223" t="s">
        <v>1141</v>
      </c>
      <c r="B223" s="3">
        <v>44513</v>
      </c>
      <c r="C223" t="s">
        <v>1142</v>
      </c>
      <c r="D223" t="s">
        <v>3471</v>
      </c>
      <c r="E223">
        <v>6</v>
      </c>
      <c r="F223" t="s">
        <v>3523</v>
      </c>
      <c r="G223" t="s">
        <v>3517</v>
      </c>
      <c r="H223">
        <v>1</v>
      </c>
      <c r="I223">
        <v>13</v>
      </c>
      <c r="J223">
        <v>77.7</v>
      </c>
    </row>
    <row r="224" spans="1:10" x14ac:dyDescent="0.25">
      <c r="A224" t="s">
        <v>1144</v>
      </c>
      <c r="B224" s="3">
        <v>44090</v>
      </c>
      <c r="C224" t="s">
        <v>1145</v>
      </c>
      <c r="D224" t="s">
        <v>3500</v>
      </c>
      <c r="E224">
        <v>3</v>
      </c>
      <c r="F224" t="s">
        <v>3525</v>
      </c>
      <c r="G224" t="s">
        <v>3518</v>
      </c>
      <c r="H224">
        <v>0.5</v>
      </c>
      <c r="I224">
        <v>7.8</v>
      </c>
      <c r="J224">
        <v>23.3</v>
      </c>
    </row>
    <row r="225" spans="1:10" x14ac:dyDescent="0.25">
      <c r="A225" t="s">
        <v>1147</v>
      </c>
      <c r="B225" s="3">
        <v>44109</v>
      </c>
      <c r="C225" t="s">
        <v>1148</v>
      </c>
      <c r="D225" t="s">
        <v>3502</v>
      </c>
      <c r="E225">
        <v>4</v>
      </c>
      <c r="F225" t="s">
        <v>3526</v>
      </c>
      <c r="G225" t="s">
        <v>3517</v>
      </c>
      <c r="H225">
        <v>1</v>
      </c>
      <c r="I225">
        <v>14.9</v>
      </c>
      <c r="J225">
        <v>59.4</v>
      </c>
    </row>
    <row r="226" spans="1:10" x14ac:dyDescent="0.25">
      <c r="A226" t="s">
        <v>1150</v>
      </c>
      <c r="B226" s="3">
        <v>43836</v>
      </c>
      <c r="C226" t="s">
        <v>1151</v>
      </c>
      <c r="D226" t="s">
        <v>3496</v>
      </c>
      <c r="E226">
        <v>4</v>
      </c>
      <c r="F226" t="s">
        <v>3525</v>
      </c>
      <c r="G226" t="s">
        <v>3518</v>
      </c>
      <c r="H226">
        <v>2.5</v>
      </c>
      <c r="I226">
        <v>29.8</v>
      </c>
      <c r="J226">
        <v>119.1</v>
      </c>
    </row>
    <row r="227" spans="1:10" x14ac:dyDescent="0.25">
      <c r="A227" t="s">
        <v>1153</v>
      </c>
      <c r="B227" s="3">
        <v>44337</v>
      </c>
      <c r="C227" t="s">
        <v>1154</v>
      </c>
      <c r="D227" t="s">
        <v>3509</v>
      </c>
      <c r="E227">
        <v>4</v>
      </c>
      <c r="F227" t="s">
        <v>3524</v>
      </c>
      <c r="G227" t="s">
        <v>3517</v>
      </c>
      <c r="H227">
        <v>0.2</v>
      </c>
      <c r="I227">
        <v>3.6</v>
      </c>
      <c r="J227">
        <v>14.3</v>
      </c>
    </row>
    <row r="228" spans="1:10" x14ac:dyDescent="0.25">
      <c r="A228" t="s">
        <v>1156</v>
      </c>
      <c r="B228" s="3">
        <v>43887</v>
      </c>
      <c r="C228" t="s">
        <v>1157</v>
      </c>
      <c r="D228" t="s">
        <v>3506</v>
      </c>
      <c r="E228">
        <v>5</v>
      </c>
      <c r="F228" t="s">
        <v>3523</v>
      </c>
      <c r="G228" t="s">
        <v>3519</v>
      </c>
      <c r="H228">
        <v>2.5</v>
      </c>
      <c r="I228">
        <v>25.9</v>
      </c>
      <c r="J228">
        <v>129.4</v>
      </c>
    </row>
    <row r="229" spans="1:10" x14ac:dyDescent="0.25">
      <c r="A229" t="s">
        <v>1159</v>
      </c>
      <c r="B229" s="3">
        <v>43880</v>
      </c>
      <c r="C229" t="s">
        <v>1160</v>
      </c>
      <c r="D229" t="s">
        <v>3494</v>
      </c>
      <c r="E229">
        <v>6</v>
      </c>
      <c r="F229" t="s">
        <v>3524</v>
      </c>
      <c r="G229" t="s">
        <v>3518</v>
      </c>
      <c r="H229">
        <v>0.2</v>
      </c>
      <c r="I229">
        <v>2.7</v>
      </c>
      <c r="J229">
        <v>16.100000000000001</v>
      </c>
    </row>
    <row r="230" spans="1:10" x14ac:dyDescent="0.25">
      <c r="A230" t="s">
        <v>1162</v>
      </c>
      <c r="B230" s="3">
        <v>44376</v>
      </c>
      <c r="C230" t="s">
        <v>1163</v>
      </c>
      <c r="D230" t="s">
        <v>3509</v>
      </c>
      <c r="E230">
        <v>5</v>
      </c>
      <c r="F230" t="s">
        <v>3524</v>
      </c>
      <c r="G230" t="s">
        <v>3517</v>
      </c>
      <c r="H230">
        <v>0.2</v>
      </c>
      <c r="I230">
        <v>3.6</v>
      </c>
      <c r="J230">
        <v>17.899999999999999</v>
      </c>
    </row>
    <row r="231" spans="1:10" x14ac:dyDescent="0.25">
      <c r="A231" t="s">
        <v>1165</v>
      </c>
      <c r="B231" s="3">
        <v>44282</v>
      </c>
      <c r="C231" t="s">
        <v>1166</v>
      </c>
      <c r="D231" t="s">
        <v>3490</v>
      </c>
      <c r="E231">
        <v>2</v>
      </c>
      <c r="F231" t="s">
        <v>3525</v>
      </c>
      <c r="G231" t="s">
        <v>3519</v>
      </c>
      <c r="H231">
        <v>0.2</v>
      </c>
      <c r="I231">
        <v>4.4000000000000004</v>
      </c>
      <c r="J231">
        <v>8.6999999999999993</v>
      </c>
    </row>
    <row r="232" spans="1:10" x14ac:dyDescent="0.25">
      <c r="A232" t="s">
        <v>1168</v>
      </c>
      <c r="B232" s="3">
        <v>44496</v>
      </c>
      <c r="C232" t="s">
        <v>1169</v>
      </c>
      <c r="D232" t="s">
        <v>3506</v>
      </c>
      <c r="E232">
        <v>2</v>
      </c>
      <c r="F232" t="s">
        <v>3523</v>
      </c>
      <c r="G232" t="s">
        <v>3519</v>
      </c>
      <c r="H232">
        <v>2.5</v>
      </c>
      <c r="I232">
        <v>25.9</v>
      </c>
      <c r="J232">
        <v>51.8</v>
      </c>
    </row>
    <row r="233" spans="1:10" x14ac:dyDescent="0.25">
      <c r="A233" t="s">
        <v>1171</v>
      </c>
      <c r="B233" s="3">
        <v>43628</v>
      </c>
      <c r="C233" t="s">
        <v>1172</v>
      </c>
      <c r="D233" t="s">
        <v>3490</v>
      </c>
      <c r="E233">
        <v>2</v>
      </c>
      <c r="F233" t="s">
        <v>3525</v>
      </c>
      <c r="G233" t="s">
        <v>3519</v>
      </c>
      <c r="H233">
        <v>0.2</v>
      </c>
      <c r="I233">
        <v>4.4000000000000004</v>
      </c>
      <c r="J233">
        <v>8.6999999999999993</v>
      </c>
    </row>
    <row r="234" spans="1:10" x14ac:dyDescent="0.25">
      <c r="A234" t="s">
        <v>1174</v>
      </c>
      <c r="B234" s="3">
        <v>44010</v>
      </c>
      <c r="C234" t="s">
        <v>1175</v>
      </c>
      <c r="D234" t="s">
        <v>3476</v>
      </c>
      <c r="E234">
        <v>5</v>
      </c>
      <c r="F234" t="s">
        <v>3525</v>
      </c>
      <c r="G234" t="s">
        <v>3517</v>
      </c>
      <c r="H234">
        <v>0.2</v>
      </c>
      <c r="I234">
        <v>4.8</v>
      </c>
      <c r="J234">
        <v>23.8</v>
      </c>
    </row>
    <row r="235" spans="1:10" x14ac:dyDescent="0.25">
      <c r="A235" t="s">
        <v>1177</v>
      </c>
      <c r="B235" s="3">
        <v>44278</v>
      </c>
      <c r="C235" t="s">
        <v>1178</v>
      </c>
      <c r="D235" t="s">
        <v>3487</v>
      </c>
      <c r="E235">
        <v>5</v>
      </c>
      <c r="F235" t="s">
        <v>3526</v>
      </c>
      <c r="G235" t="s">
        <v>3519</v>
      </c>
      <c r="H235">
        <v>0.2</v>
      </c>
      <c r="I235">
        <v>4.0999999999999996</v>
      </c>
      <c r="J235">
        <v>20.6</v>
      </c>
    </row>
    <row r="236" spans="1:10" x14ac:dyDescent="0.25">
      <c r="A236" t="s">
        <v>1180</v>
      </c>
      <c r="B236" s="3">
        <v>44602</v>
      </c>
      <c r="C236" t="s">
        <v>1181</v>
      </c>
      <c r="D236" t="s">
        <v>3495</v>
      </c>
      <c r="E236">
        <v>1</v>
      </c>
      <c r="F236" t="s">
        <v>3525</v>
      </c>
      <c r="G236" t="s">
        <v>3517</v>
      </c>
      <c r="H236">
        <v>2.5</v>
      </c>
      <c r="I236">
        <v>36.5</v>
      </c>
      <c r="J236">
        <v>36.5</v>
      </c>
    </row>
    <row r="237" spans="1:10" x14ac:dyDescent="0.25">
      <c r="A237" t="s">
        <v>1183</v>
      </c>
      <c r="B237" s="3">
        <v>43571</v>
      </c>
      <c r="C237" t="s">
        <v>1184</v>
      </c>
      <c r="D237" t="s">
        <v>3495</v>
      </c>
      <c r="E237">
        <v>5</v>
      </c>
      <c r="F237" t="s">
        <v>3525</v>
      </c>
      <c r="G237" t="s">
        <v>3517</v>
      </c>
      <c r="H237">
        <v>2.5</v>
      </c>
      <c r="I237">
        <v>36.5</v>
      </c>
      <c r="J237">
        <v>182.3</v>
      </c>
    </row>
    <row r="238" spans="1:10" x14ac:dyDescent="0.25">
      <c r="A238" t="s">
        <v>1186</v>
      </c>
      <c r="B238" s="3">
        <v>43873</v>
      </c>
      <c r="C238" t="s">
        <v>1187</v>
      </c>
      <c r="D238" t="s">
        <v>3496</v>
      </c>
      <c r="E238">
        <v>3</v>
      </c>
      <c r="F238" t="s">
        <v>3525</v>
      </c>
      <c r="G238" t="s">
        <v>3518</v>
      </c>
      <c r="H238">
        <v>2.5</v>
      </c>
      <c r="I238">
        <v>29.8</v>
      </c>
      <c r="J238">
        <v>89.4</v>
      </c>
    </row>
    <row r="239" spans="1:10" x14ac:dyDescent="0.25">
      <c r="A239" t="s">
        <v>1189</v>
      </c>
      <c r="B239" s="3">
        <v>44563</v>
      </c>
      <c r="C239" t="s">
        <v>1190</v>
      </c>
      <c r="D239" t="s">
        <v>3509</v>
      </c>
      <c r="E239">
        <v>1</v>
      </c>
      <c r="F239" t="s">
        <v>3524</v>
      </c>
      <c r="G239" t="s">
        <v>3517</v>
      </c>
      <c r="H239">
        <v>0.2</v>
      </c>
      <c r="I239">
        <v>3.6</v>
      </c>
      <c r="J239">
        <v>3.6</v>
      </c>
    </row>
    <row r="240" spans="1:10" x14ac:dyDescent="0.25">
      <c r="A240" t="s">
        <v>1192</v>
      </c>
      <c r="B240" s="3">
        <v>44172</v>
      </c>
      <c r="C240" t="s">
        <v>1193</v>
      </c>
      <c r="D240" t="s">
        <v>3482</v>
      </c>
      <c r="E240">
        <v>2</v>
      </c>
      <c r="F240" t="s">
        <v>3524</v>
      </c>
      <c r="G240" t="s">
        <v>3519</v>
      </c>
      <c r="H240">
        <v>2.5</v>
      </c>
      <c r="I240">
        <v>22.9</v>
      </c>
      <c r="J240">
        <v>45.8</v>
      </c>
    </row>
    <row r="241" spans="1:10" x14ac:dyDescent="0.25">
      <c r="A241" t="s">
        <v>1195</v>
      </c>
      <c r="B241" s="3">
        <v>43881</v>
      </c>
      <c r="C241" t="s">
        <v>1196</v>
      </c>
      <c r="D241" t="s">
        <v>3502</v>
      </c>
      <c r="E241">
        <v>4</v>
      </c>
      <c r="F241" t="s">
        <v>3526</v>
      </c>
      <c r="G241" t="s">
        <v>3517</v>
      </c>
      <c r="H241">
        <v>1</v>
      </c>
      <c r="I241">
        <v>14.9</v>
      </c>
      <c r="J241">
        <v>59.4</v>
      </c>
    </row>
    <row r="242" spans="1:10" x14ac:dyDescent="0.25">
      <c r="A242" t="s">
        <v>1198</v>
      </c>
      <c r="B242" s="3">
        <v>43993</v>
      </c>
      <c r="C242" t="s">
        <v>1199</v>
      </c>
      <c r="D242" t="s">
        <v>3506</v>
      </c>
      <c r="E242">
        <v>6</v>
      </c>
      <c r="F242" t="s">
        <v>3523</v>
      </c>
      <c r="G242" t="s">
        <v>3519</v>
      </c>
      <c r="H242">
        <v>2.5</v>
      </c>
      <c r="I242">
        <v>25.9</v>
      </c>
      <c r="J242">
        <v>155.30000000000001</v>
      </c>
    </row>
    <row r="243" spans="1:10" x14ac:dyDescent="0.25">
      <c r="A243" t="s">
        <v>1201</v>
      </c>
      <c r="B243" s="3">
        <v>44082</v>
      </c>
      <c r="C243" t="s">
        <v>1202</v>
      </c>
      <c r="D243" t="s">
        <v>3482</v>
      </c>
      <c r="E243">
        <v>2</v>
      </c>
      <c r="F243" t="s">
        <v>3524</v>
      </c>
      <c r="G243" t="s">
        <v>3519</v>
      </c>
      <c r="H243">
        <v>2.5</v>
      </c>
      <c r="I243">
        <v>22.9</v>
      </c>
      <c r="J243">
        <v>45.8</v>
      </c>
    </row>
    <row r="244" spans="1:10" x14ac:dyDescent="0.25">
      <c r="A244" t="s">
        <v>1204</v>
      </c>
      <c r="B244" s="3">
        <v>43918</v>
      </c>
      <c r="C244" t="s">
        <v>1205</v>
      </c>
      <c r="D244" t="s">
        <v>3514</v>
      </c>
      <c r="E244">
        <v>3</v>
      </c>
      <c r="F244" t="s">
        <v>3526</v>
      </c>
      <c r="G244" t="s">
        <v>3518</v>
      </c>
      <c r="H244">
        <v>1</v>
      </c>
      <c r="I244">
        <v>12.2</v>
      </c>
      <c r="J244">
        <v>36.5</v>
      </c>
    </row>
    <row r="245" spans="1:10" x14ac:dyDescent="0.25">
      <c r="A245" t="s">
        <v>1207</v>
      </c>
      <c r="B245" s="3">
        <v>44114</v>
      </c>
      <c r="C245" t="s">
        <v>1208</v>
      </c>
      <c r="D245" t="s">
        <v>3475</v>
      </c>
      <c r="E245">
        <v>4</v>
      </c>
      <c r="F245" t="s">
        <v>3526</v>
      </c>
      <c r="G245" t="s">
        <v>3518</v>
      </c>
      <c r="H245">
        <v>0.5</v>
      </c>
      <c r="I245">
        <v>7.3</v>
      </c>
      <c r="J245">
        <v>29.2</v>
      </c>
    </row>
    <row r="246" spans="1:10" x14ac:dyDescent="0.25">
      <c r="A246" t="s">
        <v>1210</v>
      </c>
      <c r="B246" s="3">
        <v>44702</v>
      </c>
      <c r="C246" t="s">
        <v>1211</v>
      </c>
      <c r="D246" t="s">
        <v>3512</v>
      </c>
      <c r="E246">
        <v>4</v>
      </c>
      <c r="F246" t="s">
        <v>3525</v>
      </c>
      <c r="G246" t="s">
        <v>3519</v>
      </c>
      <c r="H246">
        <v>2.5</v>
      </c>
      <c r="I246">
        <v>33.5</v>
      </c>
      <c r="J246">
        <v>133.9</v>
      </c>
    </row>
    <row r="247" spans="1:10" x14ac:dyDescent="0.25">
      <c r="A247" t="s">
        <v>1213</v>
      </c>
      <c r="B247" s="3">
        <v>43951</v>
      </c>
      <c r="C247" t="s">
        <v>1214</v>
      </c>
      <c r="D247" t="s">
        <v>3476</v>
      </c>
      <c r="E247">
        <v>5</v>
      </c>
      <c r="F247" t="s">
        <v>3525</v>
      </c>
      <c r="G247" t="s">
        <v>3517</v>
      </c>
      <c r="H247">
        <v>0.2</v>
      </c>
      <c r="I247">
        <v>4.8</v>
      </c>
      <c r="J247">
        <v>23.8</v>
      </c>
    </row>
    <row r="248" spans="1:10" x14ac:dyDescent="0.25">
      <c r="A248" t="s">
        <v>1216</v>
      </c>
      <c r="B248" s="3">
        <v>44542</v>
      </c>
      <c r="C248" t="s">
        <v>1217</v>
      </c>
      <c r="D248" t="s">
        <v>3474</v>
      </c>
      <c r="E248">
        <v>3</v>
      </c>
      <c r="F248" t="s">
        <v>3525</v>
      </c>
      <c r="G248" t="s">
        <v>3518</v>
      </c>
      <c r="H248">
        <v>1</v>
      </c>
      <c r="I248">
        <v>13</v>
      </c>
      <c r="J248">
        <v>38.9</v>
      </c>
    </row>
    <row r="249" spans="1:10" x14ac:dyDescent="0.25">
      <c r="A249" t="s">
        <v>1219</v>
      </c>
      <c r="B249" s="3">
        <v>44131</v>
      </c>
      <c r="C249" t="s">
        <v>1220</v>
      </c>
      <c r="D249" t="s">
        <v>3509</v>
      </c>
      <c r="E249">
        <v>6</v>
      </c>
      <c r="F249" t="s">
        <v>3524</v>
      </c>
      <c r="G249" t="s">
        <v>3517</v>
      </c>
      <c r="H249">
        <v>0.2</v>
      </c>
      <c r="I249">
        <v>3.6</v>
      </c>
      <c r="J249">
        <v>21.5</v>
      </c>
    </row>
    <row r="250" spans="1:10" x14ac:dyDescent="0.25">
      <c r="A250" t="s">
        <v>1222</v>
      </c>
      <c r="B250" s="3">
        <v>44019</v>
      </c>
      <c r="C250" t="s">
        <v>1223</v>
      </c>
      <c r="D250" t="s">
        <v>3478</v>
      </c>
      <c r="E250">
        <v>1</v>
      </c>
      <c r="F250" t="s">
        <v>3523</v>
      </c>
      <c r="G250" t="s">
        <v>3518</v>
      </c>
      <c r="H250">
        <v>1</v>
      </c>
      <c r="I250">
        <v>10</v>
      </c>
      <c r="J250">
        <v>10</v>
      </c>
    </row>
    <row r="251" spans="1:10" x14ac:dyDescent="0.25">
      <c r="A251" t="s">
        <v>1225</v>
      </c>
      <c r="B251" s="3">
        <v>43861</v>
      </c>
      <c r="C251" t="s">
        <v>1247</v>
      </c>
      <c r="D251" t="s">
        <v>3501</v>
      </c>
      <c r="E251">
        <v>1</v>
      </c>
      <c r="F251" t="s">
        <v>3525</v>
      </c>
      <c r="G251" t="s">
        <v>3517</v>
      </c>
      <c r="H251">
        <v>1</v>
      </c>
      <c r="I251">
        <v>15.9</v>
      </c>
      <c r="J251">
        <v>15.9</v>
      </c>
    </row>
    <row r="252" spans="1:10" x14ac:dyDescent="0.25">
      <c r="A252" t="s">
        <v>1228</v>
      </c>
      <c r="B252" s="3">
        <v>43879</v>
      </c>
      <c r="C252" t="s">
        <v>1229</v>
      </c>
      <c r="D252" t="s">
        <v>3505</v>
      </c>
      <c r="E252">
        <v>1</v>
      </c>
      <c r="F252" t="s">
        <v>3524</v>
      </c>
      <c r="G252" t="s">
        <v>3519</v>
      </c>
      <c r="H252">
        <v>0.2</v>
      </c>
      <c r="I252">
        <v>3</v>
      </c>
      <c r="J252">
        <v>3</v>
      </c>
    </row>
    <row r="253" spans="1:10" x14ac:dyDescent="0.25">
      <c r="A253" t="s">
        <v>1231</v>
      </c>
      <c r="B253" s="3">
        <v>44360</v>
      </c>
      <c r="C253" t="s">
        <v>1232</v>
      </c>
      <c r="D253" t="s">
        <v>3472</v>
      </c>
      <c r="E253">
        <v>5</v>
      </c>
      <c r="F253" t="s">
        <v>3526</v>
      </c>
      <c r="G253" t="s">
        <v>3519</v>
      </c>
      <c r="H253">
        <v>1</v>
      </c>
      <c r="I253">
        <v>13.8</v>
      </c>
      <c r="J253">
        <v>68.8</v>
      </c>
    </row>
    <row r="254" spans="1:10" x14ac:dyDescent="0.25">
      <c r="A254" t="s">
        <v>1234</v>
      </c>
      <c r="B254" s="3">
        <v>44779</v>
      </c>
      <c r="C254" t="s">
        <v>1235</v>
      </c>
      <c r="D254" t="s">
        <v>3478</v>
      </c>
      <c r="E254">
        <v>3</v>
      </c>
      <c r="F254" t="s">
        <v>3523</v>
      </c>
      <c r="G254" t="s">
        <v>3518</v>
      </c>
      <c r="H254">
        <v>1</v>
      </c>
      <c r="I254">
        <v>10</v>
      </c>
      <c r="J254">
        <v>29.9</v>
      </c>
    </row>
    <row r="255" spans="1:10" x14ac:dyDescent="0.25">
      <c r="A255" t="s">
        <v>1237</v>
      </c>
      <c r="B255" s="3">
        <v>44523</v>
      </c>
      <c r="C255" t="s">
        <v>1238</v>
      </c>
      <c r="D255" t="s">
        <v>3493</v>
      </c>
      <c r="E255">
        <v>4</v>
      </c>
      <c r="F255" t="s">
        <v>3525</v>
      </c>
      <c r="G255" t="s">
        <v>3519</v>
      </c>
      <c r="H255">
        <v>1</v>
      </c>
      <c r="I255">
        <v>14.6</v>
      </c>
      <c r="J255">
        <v>58.2</v>
      </c>
    </row>
    <row r="256" spans="1:10" x14ac:dyDescent="0.25">
      <c r="A256" t="s">
        <v>1240</v>
      </c>
      <c r="B256" s="3">
        <v>44482</v>
      </c>
      <c r="C256" t="s">
        <v>1241</v>
      </c>
      <c r="D256" t="s">
        <v>3504</v>
      </c>
      <c r="E256">
        <v>4</v>
      </c>
      <c r="F256" t="s">
        <v>3524</v>
      </c>
      <c r="G256" t="s">
        <v>3517</v>
      </c>
      <c r="H256">
        <v>0.5</v>
      </c>
      <c r="I256">
        <v>7.2</v>
      </c>
      <c r="J256">
        <v>28.7</v>
      </c>
    </row>
    <row r="257" spans="1:10" x14ac:dyDescent="0.25">
      <c r="A257" t="s">
        <v>1243</v>
      </c>
      <c r="B257" s="3">
        <v>44439</v>
      </c>
      <c r="C257" t="s">
        <v>1244</v>
      </c>
      <c r="D257" t="s">
        <v>3504</v>
      </c>
      <c r="E257">
        <v>3</v>
      </c>
      <c r="F257" t="s">
        <v>3524</v>
      </c>
      <c r="G257" t="s">
        <v>3517</v>
      </c>
      <c r="H257">
        <v>0.5</v>
      </c>
      <c r="I257">
        <v>7.2</v>
      </c>
      <c r="J257">
        <v>21.5</v>
      </c>
    </row>
    <row r="258" spans="1:10" x14ac:dyDescent="0.25">
      <c r="A258" t="s">
        <v>1246</v>
      </c>
      <c r="B258" s="3">
        <v>43846</v>
      </c>
      <c r="C258" t="s">
        <v>1247</v>
      </c>
      <c r="D258" t="s">
        <v>3491</v>
      </c>
      <c r="E258">
        <v>2</v>
      </c>
      <c r="F258" t="s">
        <v>3525</v>
      </c>
      <c r="G258" t="s">
        <v>3519</v>
      </c>
      <c r="H258">
        <v>0.5</v>
      </c>
      <c r="I258">
        <v>8.6999999999999993</v>
      </c>
      <c r="J258">
        <v>17.5</v>
      </c>
    </row>
    <row r="259" spans="1:10" x14ac:dyDescent="0.25">
      <c r="A259" t="s">
        <v>1249</v>
      </c>
      <c r="B259" s="3">
        <v>44676</v>
      </c>
      <c r="C259" t="s">
        <v>1250</v>
      </c>
      <c r="D259" t="s">
        <v>3516</v>
      </c>
      <c r="E259">
        <v>1</v>
      </c>
      <c r="F259" t="s">
        <v>3526</v>
      </c>
      <c r="G259" t="s">
        <v>3518</v>
      </c>
      <c r="H259">
        <v>2.5</v>
      </c>
      <c r="I259">
        <v>27.9</v>
      </c>
      <c r="J259">
        <v>27.9</v>
      </c>
    </row>
    <row r="260" spans="1:10" x14ac:dyDescent="0.25">
      <c r="A260" t="s">
        <v>1252</v>
      </c>
      <c r="B260" s="3">
        <v>44513</v>
      </c>
      <c r="C260" t="s">
        <v>1253</v>
      </c>
      <c r="D260" t="s">
        <v>3516</v>
      </c>
      <c r="E260">
        <v>5</v>
      </c>
      <c r="F260" t="s">
        <v>3526</v>
      </c>
      <c r="G260" t="s">
        <v>3518</v>
      </c>
      <c r="H260">
        <v>2.5</v>
      </c>
      <c r="I260">
        <v>27.9</v>
      </c>
      <c r="J260">
        <v>139.69999999999999</v>
      </c>
    </row>
    <row r="261" spans="1:10" x14ac:dyDescent="0.25">
      <c r="A261" t="s">
        <v>1255</v>
      </c>
      <c r="B261" s="3">
        <v>44355</v>
      </c>
      <c r="C261" t="s">
        <v>1256</v>
      </c>
      <c r="D261" t="s">
        <v>3505</v>
      </c>
      <c r="E261">
        <v>2</v>
      </c>
      <c r="F261" t="s">
        <v>3524</v>
      </c>
      <c r="G261" t="s">
        <v>3519</v>
      </c>
      <c r="H261">
        <v>0.2</v>
      </c>
      <c r="I261">
        <v>3</v>
      </c>
      <c r="J261">
        <v>6</v>
      </c>
    </row>
    <row r="262" spans="1:10" x14ac:dyDescent="0.25">
      <c r="A262" t="s">
        <v>1258</v>
      </c>
      <c r="B262" s="3">
        <v>44156</v>
      </c>
      <c r="C262" t="s">
        <v>1259</v>
      </c>
      <c r="D262" t="s">
        <v>3473</v>
      </c>
      <c r="E262">
        <v>1</v>
      </c>
      <c r="F262" t="s">
        <v>3524</v>
      </c>
      <c r="G262" t="s">
        <v>3517</v>
      </c>
      <c r="H262">
        <v>2.5</v>
      </c>
      <c r="I262">
        <v>27.5</v>
      </c>
      <c r="J262">
        <v>27.5</v>
      </c>
    </row>
    <row r="263" spans="1:10" x14ac:dyDescent="0.25">
      <c r="A263" t="s">
        <v>1261</v>
      </c>
      <c r="B263" s="3">
        <v>43538</v>
      </c>
      <c r="C263" t="s">
        <v>1262</v>
      </c>
      <c r="D263" t="s">
        <v>3510</v>
      </c>
      <c r="E263">
        <v>5</v>
      </c>
      <c r="F263" t="s">
        <v>3524</v>
      </c>
      <c r="G263" t="s">
        <v>3517</v>
      </c>
      <c r="H263">
        <v>1</v>
      </c>
      <c r="I263">
        <v>12</v>
      </c>
      <c r="J263">
        <v>59.8</v>
      </c>
    </row>
    <row r="264" spans="1:10" x14ac:dyDescent="0.25">
      <c r="A264" t="s">
        <v>1264</v>
      </c>
      <c r="B264" s="3">
        <v>43693</v>
      </c>
      <c r="C264" t="s">
        <v>1265</v>
      </c>
      <c r="D264" t="s">
        <v>3472</v>
      </c>
      <c r="E264">
        <v>3</v>
      </c>
      <c r="F264" t="s">
        <v>3526</v>
      </c>
      <c r="G264" t="s">
        <v>3519</v>
      </c>
      <c r="H264">
        <v>1</v>
      </c>
      <c r="I264">
        <v>13.8</v>
      </c>
      <c r="J264">
        <v>41.3</v>
      </c>
    </row>
    <row r="265" spans="1:10" x14ac:dyDescent="0.25">
      <c r="A265" t="s">
        <v>1267</v>
      </c>
      <c r="B265" s="3">
        <v>43577</v>
      </c>
      <c r="C265" t="s">
        <v>1268</v>
      </c>
      <c r="D265" t="s">
        <v>3512</v>
      </c>
      <c r="E265">
        <v>4</v>
      </c>
      <c r="F265" t="s">
        <v>3525</v>
      </c>
      <c r="G265" t="s">
        <v>3519</v>
      </c>
      <c r="H265">
        <v>2.5</v>
      </c>
      <c r="I265">
        <v>33.5</v>
      </c>
      <c r="J265">
        <v>133.9</v>
      </c>
    </row>
    <row r="266" spans="1:10" x14ac:dyDescent="0.25">
      <c r="A266" t="s">
        <v>1270</v>
      </c>
      <c r="B266" s="3">
        <v>44683</v>
      </c>
      <c r="C266" t="s">
        <v>1271</v>
      </c>
      <c r="D266" t="s">
        <v>3510</v>
      </c>
      <c r="E266">
        <v>5</v>
      </c>
      <c r="F266" t="s">
        <v>3524</v>
      </c>
      <c r="G266" t="s">
        <v>3517</v>
      </c>
      <c r="H266">
        <v>1</v>
      </c>
      <c r="I266">
        <v>12</v>
      </c>
      <c r="J266">
        <v>59.8</v>
      </c>
    </row>
    <row r="267" spans="1:10" x14ac:dyDescent="0.25">
      <c r="A267" t="s">
        <v>1274</v>
      </c>
      <c r="B267" s="3">
        <v>43872</v>
      </c>
      <c r="C267" t="s">
        <v>1275</v>
      </c>
      <c r="D267" t="s">
        <v>3489</v>
      </c>
      <c r="E267">
        <v>1</v>
      </c>
      <c r="F267" t="s">
        <v>3523</v>
      </c>
      <c r="G267" t="s">
        <v>3518</v>
      </c>
      <c r="H267">
        <v>0.5</v>
      </c>
      <c r="I267">
        <v>6</v>
      </c>
      <c r="J267">
        <v>6</v>
      </c>
    </row>
    <row r="268" spans="1:10" x14ac:dyDescent="0.25">
      <c r="A268" t="s">
        <v>1277</v>
      </c>
      <c r="B268" s="3">
        <v>44283</v>
      </c>
      <c r="C268" t="s">
        <v>1278</v>
      </c>
      <c r="D268" t="s">
        <v>3514</v>
      </c>
      <c r="E268">
        <v>2</v>
      </c>
      <c r="F268" t="s">
        <v>3526</v>
      </c>
      <c r="G268" t="s">
        <v>3518</v>
      </c>
      <c r="H268">
        <v>1</v>
      </c>
      <c r="I268">
        <v>12.2</v>
      </c>
      <c r="J268">
        <v>24.3</v>
      </c>
    </row>
    <row r="269" spans="1:10" x14ac:dyDescent="0.25">
      <c r="A269" t="s">
        <v>1280</v>
      </c>
      <c r="B269" s="3">
        <v>44324</v>
      </c>
      <c r="C269" t="s">
        <v>1281</v>
      </c>
      <c r="D269" t="s">
        <v>3484</v>
      </c>
      <c r="E269">
        <v>6</v>
      </c>
      <c r="F269" t="s">
        <v>3526</v>
      </c>
      <c r="G269" t="s">
        <v>3518</v>
      </c>
      <c r="H269">
        <v>0.2</v>
      </c>
      <c r="I269">
        <v>3.6</v>
      </c>
      <c r="J269">
        <v>21.9</v>
      </c>
    </row>
    <row r="270" spans="1:10" x14ac:dyDescent="0.25">
      <c r="A270" t="s">
        <v>1283</v>
      </c>
      <c r="B270" s="3">
        <v>43790</v>
      </c>
      <c r="C270" t="s">
        <v>1109</v>
      </c>
      <c r="D270" t="s">
        <v>3478</v>
      </c>
      <c r="E270">
        <v>2</v>
      </c>
      <c r="F270" t="s">
        <v>3523</v>
      </c>
      <c r="G270" t="s">
        <v>3518</v>
      </c>
      <c r="H270">
        <v>1</v>
      </c>
      <c r="I270">
        <v>10</v>
      </c>
      <c r="J270">
        <v>19.899999999999999</v>
      </c>
    </row>
    <row r="271" spans="1:10" x14ac:dyDescent="0.25">
      <c r="A271" t="s">
        <v>1286</v>
      </c>
      <c r="B271" s="3">
        <v>44333</v>
      </c>
      <c r="C271" t="s">
        <v>1287</v>
      </c>
      <c r="D271" t="s">
        <v>3485</v>
      </c>
      <c r="E271">
        <v>2</v>
      </c>
      <c r="F271" t="s">
        <v>3523</v>
      </c>
      <c r="G271" t="s">
        <v>3518</v>
      </c>
      <c r="H271">
        <v>0.2</v>
      </c>
      <c r="I271">
        <v>3</v>
      </c>
      <c r="J271">
        <v>6</v>
      </c>
    </row>
    <row r="272" spans="1:10" x14ac:dyDescent="0.25">
      <c r="A272" t="s">
        <v>1289</v>
      </c>
      <c r="B272" s="3">
        <v>43655</v>
      </c>
      <c r="C272" t="s">
        <v>1290</v>
      </c>
      <c r="D272" t="s">
        <v>3475</v>
      </c>
      <c r="E272">
        <v>1</v>
      </c>
      <c r="F272" t="s">
        <v>3526</v>
      </c>
      <c r="G272" t="s">
        <v>3518</v>
      </c>
      <c r="H272">
        <v>0.5</v>
      </c>
      <c r="I272">
        <v>7.3</v>
      </c>
      <c r="J272">
        <v>7.3</v>
      </c>
    </row>
    <row r="273" spans="1:10" x14ac:dyDescent="0.25">
      <c r="A273" t="s">
        <v>1292</v>
      </c>
      <c r="B273" s="3">
        <v>43971</v>
      </c>
      <c r="C273" t="s">
        <v>1293</v>
      </c>
      <c r="D273" t="s">
        <v>3485</v>
      </c>
      <c r="E273">
        <v>4</v>
      </c>
      <c r="F273" t="s">
        <v>3523</v>
      </c>
      <c r="G273" t="s">
        <v>3518</v>
      </c>
      <c r="H273">
        <v>0.2</v>
      </c>
      <c r="I273">
        <v>3</v>
      </c>
      <c r="J273">
        <v>11.9</v>
      </c>
    </row>
    <row r="274" spans="1:10" x14ac:dyDescent="0.25">
      <c r="A274" t="s">
        <v>1295</v>
      </c>
      <c r="B274" s="3">
        <v>44435</v>
      </c>
      <c r="C274" t="s">
        <v>1296</v>
      </c>
      <c r="D274" t="s">
        <v>3510</v>
      </c>
      <c r="E274">
        <v>6</v>
      </c>
      <c r="F274" t="s">
        <v>3524</v>
      </c>
      <c r="G274" t="s">
        <v>3517</v>
      </c>
      <c r="H274">
        <v>1</v>
      </c>
      <c r="I274">
        <v>12</v>
      </c>
      <c r="J274">
        <v>71.7</v>
      </c>
    </row>
    <row r="275" spans="1:10" x14ac:dyDescent="0.25">
      <c r="A275" t="s">
        <v>1299</v>
      </c>
      <c r="B275" s="3">
        <v>44681</v>
      </c>
      <c r="C275" t="s">
        <v>1300</v>
      </c>
      <c r="D275" t="s">
        <v>3498</v>
      </c>
      <c r="E275">
        <v>2</v>
      </c>
      <c r="F275" t="s">
        <v>3523</v>
      </c>
      <c r="G275" t="s">
        <v>3517</v>
      </c>
      <c r="H275">
        <v>0.2</v>
      </c>
      <c r="I275">
        <v>3.9</v>
      </c>
      <c r="J275">
        <v>7.8</v>
      </c>
    </row>
    <row r="276" spans="1:10" x14ac:dyDescent="0.25">
      <c r="A276" t="s">
        <v>1302</v>
      </c>
      <c r="B276" s="3">
        <v>43985</v>
      </c>
      <c r="C276" t="s">
        <v>1303</v>
      </c>
      <c r="D276" t="s">
        <v>3506</v>
      </c>
      <c r="E276">
        <v>1</v>
      </c>
      <c r="F276" t="s">
        <v>3523</v>
      </c>
      <c r="G276" t="s">
        <v>3519</v>
      </c>
      <c r="H276">
        <v>2.5</v>
      </c>
      <c r="I276">
        <v>25.9</v>
      </c>
      <c r="J276">
        <v>25.9</v>
      </c>
    </row>
    <row r="277" spans="1:10" x14ac:dyDescent="0.25">
      <c r="A277" t="s">
        <v>1305</v>
      </c>
      <c r="B277" s="3">
        <v>44725</v>
      </c>
      <c r="C277" t="s">
        <v>1306</v>
      </c>
      <c r="D277" t="s">
        <v>3479</v>
      </c>
      <c r="E277">
        <v>6</v>
      </c>
      <c r="F277" t="s">
        <v>3526</v>
      </c>
      <c r="G277" t="s">
        <v>3517</v>
      </c>
      <c r="H277">
        <v>2.5</v>
      </c>
      <c r="I277">
        <v>34.200000000000003</v>
      </c>
      <c r="J277">
        <v>204.9</v>
      </c>
    </row>
    <row r="278" spans="1:10" x14ac:dyDescent="0.25">
      <c r="A278" t="s">
        <v>1308</v>
      </c>
      <c r="B278" s="3">
        <v>43992</v>
      </c>
      <c r="C278" t="s">
        <v>1309</v>
      </c>
      <c r="D278" t="s">
        <v>3473</v>
      </c>
      <c r="E278">
        <v>4</v>
      </c>
      <c r="F278" t="s">
        <v>3524</v>
      </c>
      <c r="G278" t="s">
        <v>3517</v>
      </c>
      <c r="H278">
        <v>2.5</v>
      </c>
      <c r="I278">
        <v>27.5</v>
      </c>
      <c r="J278">
        <v>109.9</v>
      </c>
    </row>
    <row r="279" spans="1:10" x14ac:dyDescent="0.25">
      <c r="A279" t="s">
        <v>1311</v>
      </c>
      <c r="B279" s="3">
        <v>44183</v>
      </c>
      <c r="C279" t="s">
        <v>1312</v>
      </c>
      <c r="D279" t="s">
        <v>3502</v>
      </c>
      <c r="E279">
        <v>6</v>
      </c>
      <c r="F279" t="s">
        <v>3526</v>
      </c>
      <c r="G279" t="s">
        <v>3517</v>
      </c>
      <c r="H279">
        <v>1</v>
      </c>
      <c r="I279">
        <v>14.9</v>
      </c>
      <c r="J279">
        <v>89.1</v>
      </c>
    </row>
    <row r="280" spans="1:10" x14ac:dyDescent="0.25">
      <c r="A280" t="s">
        <v>1314</v>
      </c>
      <c r="B280" s="3">
        <v>43708</v>
      </c>
      <c r="C280" t="s">
        <v>1315</v>
      </c>
      <c r="D280" t="s">
        <v>3498</v>
      </c>
      <c r="E280">
        <v>2</v>
      </c>
      <c r="F280" t="s">
        <v>3523</v>
      </c>
      <c r="G280" t="s">
        <v>3517</v>
      </c>
      <c r="H280">
        <v>0.2</v>
      </c>
      <c r="I280">
        <v>3.9</v>
      </c>
      <c r="J280">
        <v>7.8</v>
      </c>
    </row>
    <row r="281" spans="1:10" x14ac:dyDescent="0.25">
      <c r="A281" t="s">
        <v>1317</v>
      </c>
      <c r="B281" s="3">
        <v>43521</v>
      </c>
      <c r="C281" t="s">
        <v>1318</v>
      </c>
      <c r="D281" t="s">
        <v>3512</v>
      </c>
      <c r="E281">
        <v>1</v>
      </c>
      <c r="F281" t="s">
        <v>3525</v>
      </c>
      <c r="G281" t="s">
        <v>3519</v>
      </c>
      <c r="H281">
        <v>2.5</v>
      </c>
      <c r="I281">
        <v>33.5</v>
      </c>
      <c r="J281">
        <v>33.5</v>
      </c>
    </row>
    <row r="282" spans="1:10" x14ac:dyDescent="0.25">
      <c r="A282" t="s">
        <v>1320</v>
      </c>
      <c r="B282" s="3">
        <v>44234</v>
      </c>
      <c r="C282" t="s">
        <v>1321</v>
      </c>
      <c r="D282" t="s">
        <v>3470</v>
      </c>
      <c r="E282">
        <v>5</v>
      </c>
      <c r="F282" t="s">
        <v>3526</v>
      </c>
      <c r="G282" t="s">
        <v>3519</v>
      </c>
      <c r="H282">
        <v>0.5</v>
      </c>
      <c r="I282">
        <v>8.3000000000000007</v>
      </c>
      <c r="J282">
        <v>41.3</v>
      </c>
    </row>
    <row r="283" spans="1:10" x14ac:dyDescent="0.25">
      <c r="A283" t="s">
        <v>1323</v>
      </c>
      <c r="B283" s="3">
        <v>44210</v>
      </c>
      <c r="C283" t="s">
        <v>1324</v>
      </c>
      <c r="D283" t="s">
        <v>3502</v>
      </c>
      <c r="E283">
        <v>4</v>
      </c>
      <c r="F283" t="s">
        <v>3526</v>
      </c>
      <c r="G283" t="s">
        <v>3517</v>
      </c>
      <c r="H283">
        <v>1</v>
      </c>
      <c r="I283">
        <v>14.9</v>
      </c>
      <c r="J283">
        <v>59.4</v>
      </c>
    </row>
    <row r="284" spans="1:10" x14ac:dyDescent="0.25">
      <c r="A284" t="s">
        <v>1326</v>
      </c>
      <c r="B284" s="3">
        <v>43520</v>
      </c>
      <c r="C284" t="s">
        <v>1327</v>
      </c>
      <c r="D284" t="s">
        <v>3511</v>
      </c>
      <c r="E284">
        <v>1</v>
      </c>
      <c r="F284" t="s">
        <v>3523</v>
      </c>
      <c r="G284" t="s">
        <v>3517</v>
      </c>
      <c r="H284">
        <v>0.5</v>
      </c>
      <c r="I284">
        <v>7.8</v>
      </c>
      <c r="J284">
        <v>7.8</v>
      </c>
    </row>
    <row r="285" spans="1:10" x14ac:dyDescent="0.25">
      <c r="A285" t="s">
        <v>1329</v>
      </c>
      <c r="B285" s="3">
        <v>43639</v>
      </c>
      <c r="C285" t="s">
        <v>1330</v>
      </c>
      <c r="D285" t="s">
        <v>3503</v>
      </c>
      <c r="E285">
        <v>1</v>
      </c>
      <c r="F285" t="s">
        <v>3524</v>
      </c>
      <c r="G285" t="s">
        <v>3518</v>
      </c>
      <c r="H285">
        <v>0.5</v>
      </c>
      <c r="I285">
        <v>5.4</v>
      </c>
      <c r="J285">
        <v>5.4</v>
      </c>
    </row>
    <row r="286" spans="1:10" x14ac:dyDescent="0.25">
      <c r="A286" t="s">
        <v>1332</v>
      </c>
      <c r="B286" s="3">
        <v>43960</v>
      </c>
      <c r="C286" t="s">
        <v>1333</v>
      </c>
      <c r="D286" t="s">
        <v>3497</v>
      </c>
      <c r="E286">
        <v>3</v>
      </c>
      <c r="F286" t="s">
        <v>3526</v>
      </c>
      <c r="G286" t="s">
        <v>3519</v>
      </c>
      <c r="H286">
        <v>2.5</v>
      </c>
      <c r="I286">
        <v>31.6</v>
      </c>
      <c r="J286">
        <v>94.9</v>
      </c>
    </row>
    <row r="287" spans="1:10" x14ac:dyDescent="0.25">
      <c r="A287" t="s">
        <v>1335</v>
      </c>
      <c r="B287" s="3">
        <v>44030</v>
      </c>
      <c r="C287" t="s">
        <v>1336</v>
      </c>
      <c r="D287" t="s">
        <v>3495</v>
      </c>
      <c r="E287">
        <v>1</v>
      </c>
      <c r="F287" t="s">
        <v>3525</v>
      </c>
      <c r="G287" t="s">
        <v>3517</v>
      </c>
      <c r="H287">
        <v>2.5</v>
      </c>
      <c r="I287">
        <v>36.5</v>
      </c>
      <c r="J287">
        <v>36.5</v>
      </c>
    </row>
    <row r="288" spans="1:10" x14ac:dyDescent="0.25">
      <c r="A288" t="s">
        <v>1338</v>
      </c>
      <c r="B288" s="3">
        <v>43755</v>
      </c>
      <c r="C288" t="s">
        <v>1339</v>
      </c>
      <c r="D288" t="s">
        <v>3483</v>
      </c>
      <c r="E288">
        <v>4</v>
      </c>
      <c r="F288" t="s">
        <v>3523</v>
      </c>
      <c r="G288" t="s">
        <v>3519</v>
      </c>
      <c r="H288">
        <v>0.2</v>
      </c>
      <c r="I288">
        <v>3.4</v>
      </c>
      <c r="J288">
        <v>13.5</v>
      </c>
    </row>
    <row r="289" spans="1:10" x14ac:dyDescent="0.25">
      <c r="A289" t="s">
        <v>1341</v>
      </c>
      <c r="B289" s="3">
        <v>44697</v>
      </c>
      <c r="C289" t="s">
        <v>1342</v>
      </c>
      <c r="D289" t="s">
        <v>3509</v>
      </c>
      <c r="E289">
        <v>4</v>
      </c>
      <c r="F289" t="s">
        <v>3524</v>
      </c>
      <c r="G289" t="s">
        <v>3517</v>
      </c>
      <c r="H289">
        <v>0.2</v>
      </c>
      <c r="I289">
        <v>3.6</v>
      </c>
      <c r="J289">
        <v>14.3</v>
      </c>
    </row>
    <row r="290" spans="1:10" x14ac:dyDescent="0.25">
      <c r="A290" t="s">
        <v>1344</v>
      </c>
      <c r="B290" s="3">
        <v>44279</v>
      </c>
      <c r="C290" t="s">
        <v>1345</v>
      </c>
      <c r="D290" t="s">
        <v>3470</v>
      </c>
      <c r="E290">
        <v>1</v>
      </c>
      <c r="F290" t="s">
        <v>3526</v>
      </c>
      <c r="G290" t="s">
        <v>3519</v>
      </c>
      <c r="H290">
        <v>0.5</v>
      </c>
      <c r="I290">
        <v>8.3000000000000007</v>
      </c>
      <c r="J290">
        <v>8.3000000000000007</v>
      </c>
    </row>
    <row r="291" spans="1:10" x14ac:dyDescent="0.25">
      <c r="A291" t="s">
        <v>1347</v>
      </c>
      <c r="B291" s="3">
        <v>43772</v>
      </c>
      <c r="C291" t="s">
        <v>1348</v>
      </c>
      <c r="D291" t="s">
        <v>3494</v>
      </c>
      <c r="E291">
        <v>5</v>
      </c>
      <c r="F291" t="s">
        <v>3524</v>
      </c>
      <c r="G291" t="s">
        <v>3518</v>
      </c>
      <c r="H291">
        <v>0.2</v>
      </c>
      <c r="I291">
        <v>2.7</v>
      </c>
      <c r="J291">
        <v>13.4</v>
      </c>
    </row>
    <row r="292" spans="1:10" x14ac:dyDescent="0.25">
      <c r="A292" t="s">
        <v>1350</v>
      </c>
      <c r="B292" s="3">
        <v>44497</v>
      </c>
      <c r="C292" t="s">
        <v>1351</v>
      </c>
      <c r="D292" t="s">
        <v>3478</v>
      </c>
      <c r="E292">
        <v>5</v>
      </c>
      <c r="F292" t="s">
        <v>3523</v>
      </c>
      <c r="G292" t="s">
        <v>3518</v>
      </c>
      <c r="H292">
        <v>1</v>
      </c>
      <c r="I292">
        <v>10</v>
      </c>
      <c r="J292">
        <v>49.8</v>
      </c>
    </row>
    <row r="293" spans="1:10" x14ac:dyDescent="0.25">
      <c r="A293" t="s">
        <v>1353</v>
      </c>
      <c r="B293" s="3">
        <v>44181</v>
      </c>
      <c r="C293" t="s">
        <v>1354</v>
      </c>
      <c r="D293" t="s">
        <v>3470</v>
      </c>
      <c r="E293">
        <v>2</v>
      </c>
      <c r="F293" t="s">
        <v>3526</v>
      </c>
      <c r="G293" t="s">
        <v>3519</v>
      </c>
      <c r="H293">
        <v>0.5</v>
      </c>
      <c r="I293">
        <v>8.3000000000000007</v>
      </c>
      <c r="J293">
        <v>16.5</v>
      </c>
    </row>
    <row r="294" spans="1:10" x14ac:dyDescent="0.25">
      <c r="A294" t="s">
        <v>1356</v>
      </c>
      <c r="B294" s="3">
        <v>44529</v>
      </c>
      <c r="C294" t="s">
        <v>1357</v>
      </c>
      <c r="D294" t="s">
        <v>3489</v>
      </c>
      <c r="E294">
        <v>3</v>
      </c>
      <c r="F294" t="s">
        <v>3523</v>
      </c>
      <c r="G294" t="s">
        <v>3518</v>
      </c>
      <c r="H294">
        <v>0.5</v>
      </c>
      <c r="I294">
        <v>6</v>
      </c>
      <c r="J294">
        <v>17.899999999999999</v>
      </c>
    </row>
    <row r="295" spans="1:10" x14ac:dyDescent="0.25">
      <c r="A295" t="s">
        <v>1359</v>
      </c>
      <c r="B295" s="3">
        <v>44275</v>
      </c>
      <c r="C295" t="s">
        <v>1360</v>
      </c>
      <c r="D295" t="s">
        <v>3489</v>
      </c>
      <c r="E295">
        <v>5</v>
      </c>
      <c r="F295" t="s">
        <v>3523</v>
      </c>
      <c r="G295" t="s">
        <v>3518</v>
      </c>
      <c r="H295">
        <v>0.5</v>
      </c>
      <c r="I295">
        <v>6</v>
      </c>
      <c r="J295">
        <v>29.9</v>
      </c>
    </row>
    <row r="296" spans="1:10" x14ac:dyDescent="0.25">
      <c r="A296" t="s">
        <v>1362</v>
      </c>
      <c r="B296" s="3">
        <v>44659</v>
      </c>
      <c r="C296" t="s">
        <v>1363</v>
      </c>
      <c r="D296" t="s">
        <v>3502</v>
      </c>
      <c r="E296">
        <v>3</v>
      </c>
      <c r="F296" t="s">
        <v>3526</v>
      </c>
      <c r="G296" t="s">
        <v>3517</v>
      </c>
      <c r="H296">
        <v>1</v>
      </c>
      <c r="I296">
        <v>14.9</v>
      </c>
      <c r="J296">
        <v>44.6</v>
      </c>
    </row>
    <row r="297" spans="1:10" x14ac:dyDescent="0.25">
      <c r="A297" t="s">
        <v>1365</v>
      </c>
      <c r="B297" s="3">
        <v>44057</v>
      </c>
      <c r="C297" t="s">
        <v>1366</v>
      </c>
      <c r="D297" t="s">
        <v>3472</v>
      </c>
      <c r="E297">
        <v>2</v>
      </c>
      <c r="F297" t="s">
        <v>3526</v>
      </c>
      <c r="G297" t="s">
        <v>3519</v>
      </c>
      <c r="H297">
        <v>1</v>
      </c>
      <c r="I297">
        <v>13.8</v>
      </c>
      <c r="J297">
        <v>27.5</v>
      </c>
    </row>
    <row r="298" spans="1:10" x14ac:dyDescent="0.25">
      <c r="A298" t="s">
        <v>1368</v>
      </c>
      <c r="B298" s="3">
        <v>43597</v>
      </c>
      <c r="C298" t="s">
        <v>1369</v>
      </c>
      <c r="D298" t="s">
        <v>3477</v>
      </c>
      <c r="E298">
        <v>6</v>
      </c>
      <c r="F298" t="s">
        <v>3524</v>
      </c>
      <c r="G298" t="s">
        <v>3519</v>
      </c>
      <c r="H298">
        <v>0.5</v>
      </c>
      <c r="I298">
        <v>6</v>
      </c>
      <c r="J298">
        <v>35.799999999999997</v>
      </c>
    </row>
    <row r="299" spans="1:10" x14ac:dyDescent="0.25">
      <c r="A299" t="s">
        <v>1371</v>
      </c>
      <c r="B299" s="3">
        <v>44258</v>
      </c>
      <c r="C299" t="s">
        <v>1372</v>
      </c>
      <c r="D299" t="s">
        <v>3503</v>
      </c>
      <c r="E299">
        <v>3</v>
      </c>
      <c r="F299" t="s">
        <v>3524</v>
      </c>
      <c r="G299" t="s">
        <v>3518</v>
      </c>
      <c r="H299">
        <v>0.5</v>
      </c>
      <c r="I299">
        <v>5.4</v>
      </c>
      <c r="J299">
        <v>16.100000000000001</v>
      </c>
    </row>
    <row r="300" spans="1:10" x14ac:dyDescent="0.25">
      <c r="A300" t="s">
        <v>1374</v>
      </c>
      <c r="B300" s="3">
        <v>43872</v>
      </c>
      <c r="C300" t="s">
        <v>1375</v>
      </c>
      <c r="D300" t="s">
        <v>3515</v>
      </c>
      <c r="E300">
        <v>6</v>
      </c>
      <c r="F300" t="s">
        <v>3526</v>
      </c>
      <c r="G300" t="s">
        <v>3517</v>
      </c>
      <c r="H300">
        <v>0.2</v>
      </c>
      <c r="I300">
        <v>4.5</v>
      </c>
      <c r="J300">
        <v>26.7</v>
      </c>
    </row>
    <row r="301" spans="1:10" x14ac:dyDescent="0.25">
      <c r="A301" t="s">
        <v>1377</v>
      </c>
      <c r="B301" s="3">
        <v>43582</v>
      </c>
      <c r="C301" t="s">
        <v>1378</v>
      </c>
      <c r="D301" t="s">
        <v>3479</v>
      </c>
      <c r="E301">
        <v>6</v>
      </c>
      <c r="F301" t="s">
        <v>3526</v>
      </c>
      <c r="G301" t="s">
        <v>3517</v>
      </c>
      <c r="H301">
        <v>2.5</v>
      </c>
      <c r="I301">
        <v>34.200000000000003</v>
      </c>
      <c r="J301">
        <v>204.9</v>
      </c>
    </row>
    <row r="302" spans="1:10" x14ac:dyDescent="0.25">
      <c r="A302" t="s">
        <v>1380</v>
      </c>
      <c r="B302" s="3">
        <v>44646</v>
      </c>
      <c r="C302" t="s">
        <v>1381</v>
      </c>
      <c r="D302" t="s">
        <v>3471</v>
      </c>
      <c r="E302">
        <v>3</v>
      </c>
      <c r="F302" t="s">
        <v>3523</v>
      </c>
      <c r="G302" t="s">
        <v>3517</v>
      </c>
      <c r="H302">
        <v>1</v>
      </c>
      <c r="I302">
        <v>13</v>
      </c>
      <c r="J302">
        <v>38.9</v>
      </c>
    </row>
    <row r="303" spans="1:10" x14ac:dyDescent="0.25">
      <c r="A303" t="s">
        <v>1383</v>
      </c>
      <c r="B303" s="3">
        <v>44102</v>
      </c>
      <c r="C303" t="s">
        <v>1384</v>
      </c>
      <c r="D303" t="s">
        <v>3481</v>
      </c>
      <c r="E303">
        <v>4</v>
      </c>
      <c r="F303" t="s">
        <v>3525</v>
      </c>
      <c r="G303" t="s">
        <v>3518</v>
      </c>
      <c r="H303">
        <v>0.2</v>
      </c>
      <c r="I303">
        <v>3.9</v>
      </c>
      <c r="J303">
        <v>15.5</v>
      </c>
    </row>
    <row r="304" spans="1:10" x14ac:dyDescent="0.25">
      <c r="A304" t="s">
        <v>1386</v>
      </c>
      <c r="B304" s="3">
        <v>43762</v>
      </c>
      <c r="C304" t="s">
        <v>1387</v>
      </c>
      <c r="D304" t="s">
        <v>3488</v>
      </c>
      <c r="E304">
        <v>1</v>
      </c>
      <c r="F304" t="s">
        <v>3523</v>
      </c>
      <c r="G304" t="s">
        <v>3519</v>
      </c>
      <c r="H304">
        <v>0.5</v>
      </c>
      <c r="I304">
        <v>6.8</v>
      </c>
      <c r="J304">
        <v>6.8</v>
      </c>
    </row>
    <row r="305" spans="1:10" x14ac:dyDescent="0.25">
      <c r="A305" t="s">
        <v>1389</v>
      </c>
      <c r="B305" s="3">
        <v>44412</v>
      </c>
      <c r="C305" t="s">
        <v>1390</v>
      </c>
      <c r="D305" t="s">
        <v>3516</v>
      </c>
      <c r="E305">
        <v>4</v>
      </c>
      <c r="F305" t="s">
        <v>3526</v>
      </c>
      <c r="G305" t="s">
        <v>3518</v>
      </c>
      <c r="H305">
        <v>2.5</v>
      </c>
      <c r="I305">
        <v>27.9</v>
      </c>
      <c r="J305">
        <v>111.8</v>
      </c>
    </row>
    <row r="306" spans="1:10" x14ac:dyDescent="0.25">
      <c r="A306" t="s">
        <v>1392</v>
      </c>
      <c r="B306" s="3">
        <v>43828</v>
      </c>
      <c r="C306" t="s">
        <v>1414</v>
      </c>
      <c r="D306" t="s">
        <v>3498</v>
      </c>
      <c r="E306">
        <v>1</v>
      </c>
      <c r="F306" t="s">
        <v>3523</v>
      </c>
      <c r="G306" t="s">
        <v>3517</v>
      </c>
      <c r="H306">
        <v>0.2</v>
      </c>
      <c r="I306">
        <v>3.9</v>
      </c>
      <c r="J306">
        <v>3.9</v>
      </c>
    </row>
    <row r="307" spans="1:10" x14ac:dyDescent="0.25">
      <c r="A307" t="s">
        <v>1395</v>
      </c>
      <c r="B307" s="3">
        <v>43796</v>
      </c>
      <c r="C307" t="s">
        <v>1396</v>
      </c>
      <c r="D307" t="s">
        <v>3490</v>
      </c>
      <c r="E307">
        <v>5</v>
      </c>
      <c r="F307" t="s">
        <v>3525</v>
      </c>
      <c r="G307" t="s">
        <v>3519</v>
      </c>
      <c r="H307">
        <v>0.2</v>
      </c>
      <c r="I307">
        <v>4.4000000000000004</v>
      </c>
      <c r="J307">
        <v>21.8</v>
      </c>
    </row>
    <row r="308" spans="1:10" x14ac:dyDescent="0.25">
      <c r="A308" t="s">
        <v>1398</v>
      </c>
      <c r="B308" s="3">
        <v>43890</v>
      </c>
      <c r="C308" t="s">
        <v>1399</v>
      </c>
      <c r="D308" t="s">
        <v>3505</v>
      </c>
      <c r="E308">
        <v>5</v>
      </c>
      <c r="F308" t="s">
        <v>3524</v>
      </c>
      <c r="G308" t="s">
        <v>3519</v>
      </c>
      <c r="H308">
        <v>0.2</v>
      </c>
      <c r="I308">
        <v>3</v>
      </c>
      <c r="J308">
        <v>14.9</v>
      </c>
    </row>
    <row r="309" spans="1:10" x14ac:dyDescent="0.25">
      <c r="A309" t="s">
        <v>1401</v>
      </c>
      <c r="B309" s="3">
        <v>44227</v>
      </c>
      <c r="C309" t="s">
        <v>1402</v>
      </c>
      <c r="D309" t="s">
        <v>3486</v>
      </c>
      <c r="E309">
        <v>3</v>
      </c>
      <c r="F309" t="s">
        <v>3523</v>
      </c>
      <c r="G309" t="s">
        <v>3519</v>
      </c>
      <c r="H309">
        <v>1</v>
      </c>
      <c r="I309">
        <v>11.3</v>
      </c>
      <c r="J309">
        <v>33.799999999999997</v>
      </c>
    </row>
    <row r="310" spans="1:10" x14ac:dyDescent="0.25">
      <c r="A310" t="s">
        <v>1404</v>
      </c>
      <c r="B310" s="3">
        <v>44729</v>
      </c>
      <c r="C310" t="s">
        <v>1405</v>
      </c>
      <c r="D310" t="s">
        <v>3486</v>
      </c>
      <c r="E310">
        <v>3</v>
      </c>
      <c r="F310" t="s">
        <v>3523</v>
      </c>
      <c r="G310" t="s">
        <v>3519</v>
      </c>
      <c r="H310">
        <v>1</v>
      </c>
      <c r="I310">
        <v>11.3</v>
      </c>
      <c r="J310">
        <v>33.799999999999997</v>
      </c>
    </row>
    <row r="311" spans="1:10" x14ac:dyDescent="0.25">
      <c r="A311" t="s">
        <v>1407</v>
      </c>
      <c r="B311" s="3">
        <v>43864</v>
      </c>
      <c r="C311" t="s">
        <v>1408</v>
      </c>
      <c r="D311" t="s">
        <v>3490</v>
      </c>
      <c r="E311">
        <v>6</v>
      </c>
      <c r="F311" t="s">
        <v>3525</v>
      </c>
      <c r="G311" t="s">
        <v>3519</v>
      </c>
      <c r="H311">
        <v>0.2</v>
      </c>
      <c r="I311">
        <v>4.4000000000000004</v>
      </c>
      <c r="J311">
        <v>26.2</v>
      </c>
    </row>
    <row r="312" spans="1:10" x14ac:dyDescent="0.25">
      <c r="A312" t="s">
        <v>1410</v>
      </c>
      <c r="B312" s="3">
        <v>44586</v>
      </c>
      <c r="C312" t="s">
        <v>1411</v>
      </c>
      <c r="D312" t="s">
        <v>3502</v>
      </c>
      <c r="E312">
        <v>1</v>
      </c>
      <c r="F312" t="s">
        <v>3526</v>
      </c>
      <c r="G312" t="s">
        <v>3517</v>
      </c>
      <c r="H312">
        <v>1</v>
      </c>
      <c r="I312">
        <v>14.9</v>
      </c>
      <c r="J312">
        <v>14.9</v>
      </c>
    </row>
    <row r="313" spans="1:10" x14ac:dyDescent="0.25">
      <c r="A313" t="s">
        <v>1413</v>
      </c>
      <c r="B313" s="3">
        <v>43951</v>
      </c>
      <c r="C313" t="s">
        <v>1414</v>
      </c>
      <c r="D313" t="s">
        <v>3497</v>
      </c>
      <c r="E313">
        <v>6</v>
      </c>
      <c r="F313" t="s">
        <v>3526</v>
      </c>
      <c r="G313" t="s">
        <v>3519</v>
      </c>
      <c r="H313">
        <v>2.5</v>
      </c>
      <c r="I313">
        <v>31.6</v>
      </c>
      <c r="J313">
        <v>189.8</v>
      </c>
    </row>
    <row r="314" spans="1:10" x14ac:dyDescent="0.25">
      <c r="A314" t="s">
        <v>1416</v>
      </c>
      <c r="B314" s="3">
        <v>44317</v>
      </c>
      <c r="C314" t="s">
        <v>1417</v>
      </c>
      <c r="D314" t="s">
        <v>3477</v>
      </c>
      <c r="E314">
        <v>1</v>
      </c>
      <c r="F314" t="s">
        <v>3524</v>
      </c>
      <c r="G314" t="s">
        <v>3519</v>
      </c>
      <c r="H314">
        <v>0.5</v>
      </c>
      <c r="I314">
        <v>6</v>
      </c>
      <c r="J314">
        <v>6</v>
      </c>
    </row>
    <row r="315" spans="1:10" x14ac:dyDescent="0.25">
      <c r="A315" t="s">
        <v>1419</v>
      </c>
      <c r="B315" s="3">
        <v>44497</v>
      </c>
      <c r="C315" t="s">
        <v>1420</v>
      </c>
      <c r="D315" t="s">
        <v>3469</v>
      </c>
      <c r="E315">
        <v>3</v>
      </c>
      <c r="F315" t="s">
        <v>3524</v>
      </c>
      <c r="G315" t="s">
        <v>3519</v>
      </c>
      <c r="H315">
        <v>1</v>
      </c>
      <c r="I315">
        <v>10</v>
      </c>
      <c r="J315">
        <v>29.9</v>
      </c>
    </row>
    <row r="316" spans="1:10" x14ac:dyDescent="0.25">
      <c r="A316" t="s">
        <v>1422</v>
      </c>
      <c r="B316" s="3">
        <v>44437</v>
      </c>
      <c r="C316" t="s">
        <v>1423</v>
      </c>
      <c r="D316" t="s">
        <v>3508</v>
      </c>
      <c r="E316">
        <v>5</v>
      </c>
      <c r="F316" t="s">
        <v>3524</v>
      </c>
      <c r="G316" t="s">
        <v>3518</v>
      </c>
      <c r="H316">
        <v>1</v>
      </c>
      <c r="I316">
        <v>9</v>
      </c>
      <c r="J316">
        <v>44.8</v>
      </c>
    </row>
    <row r="317" spans="1:10" x14ac:dyDescent="0.25">
      <c r="A317" t="s">
        <v>1425</v>
      </c>
      <c r="B317" s="3">
        <v>43826</v>
      </c>
      <c r="C317" t="s">
        <v>1426</v>
      </c>
      <c r="D317" t="s">
        <v>3479</v>
      </c>
      <c r="E317">
        <v>1</v>
      </c>
      <c r="F317" t="s">
        <v>3526</v>
      </c>
      <c r="G317" t="s">
        <v>3517</v>
      </c>
      <c r="H317">
        <v>2.5</v>
      </c>
      <c r="I317">
        <v>34.200000000000003</v>
      </c>
      <c r="J317">
        <v>34.200000000000003</v>
      </c>
    </row>
    <row r="318" spans="1:10" x14ac:dyDescent="0.25">
      <c r="A318" t="s">
        <v>1428</v>
      </c>
      <c r="B318" s="3">
        <v>43641</v>
      </c>
      <c r="C318" t="s">
        <v>1429</v>
      </c>
      <c r="D318" t="s">
        <v>3479</v>
      </c>
      <c r="E318">
        <v>6</v>
      </c>
      <c r="F318" t="s">
        <v>3526</v>
      </c>
      <c r="G318" t="s">
        <v>3517</v>
      </c>
      <c r="H318">
        <v>2.5</v>
      </c>
      <c r="I318">
        <v>34.200000000000003</v>
      </c>
      <c r="J318">
        <v>204.9</v>
      </c>
    </row>
    <row r="319" spans="1:10" x14ac:dyDescent="0.25">
      <c r="A319" t="s">
        <v>1431</v>
      </c>
      <c r="B319" s="3">
        <v>43526</v>
      </c>
      <c r="C319" t="s">
        <v>1432</v>
      </c>
      <c r="D319" t="s">
        <v>3475</v>
      </c>
      <c r="E319">
        <v>3</v>
      </c>
      <c r="F319" t="s">
        <v>3526</v>
      </c>
      <c r="G319" t="s">
        <v>3518</v>
      </c>
      <c r="H319">
        <v>0.5</v>
      </c>
      <c r="I319">
        <v>7.3</v>
      </c>
      <c r="J319">
        <v>21.9</v>
      </c>
    </row>
    <row r="320" spans="1:10" x14ac:dyDescent="0.25">
      <c r="A320" t="s">
        <v>1434</v>
      </c>
      <c r="B320" s="3">
        <v>44563</v>
      </c>
      <c r="C320" t="s">
        <v>1435</v>
      </c>
      <c r="D320" t="s">
        <v>3506</v>
      </c>
      <c r="E320">
        <v>2</v>
      </c>
      <c r="F320" t="s">
        <v>3523</v>
      </c>
      <c r="G320" t="s">
        <v>3519</v>
      </c>
      <c r="H320">
        <v>2.5</v>
      </c>
      <c r="I320">
        <v>25.9</v>
      </c>
      <c r="J320">
        <v>51.8</v>
      </c>
    </row>
    <row r="321" spans="1:10" x14ac:dyDescent="0.25">
      <c r="A321" t="s">
        <v>1437</v>
      </c>
      <c r="B321" s="3">
        <v>43676</v>
      </c>
      <c r="C321" t="s">
        <v>1438</v>
      </c>
      <c r="D321" t="s">
        <v>3487</v>
      </c>
      <c r="E321">
        <v>2</v>
      </c>
      <c r="F321" t="s">
        <v>3526</v>
      </c>
      <c r="G321" t="s">
        <v>3519</v>
      </c>
      <c r="H321">
        <v>0.2</v>
      </c>
      <c r="I321">
        <v>4.0999999999999996</v>
      </c>
      <c r="J321">
        <v>8.3000000000000007</v>
      </c>
    </row>
    <row r="322" spans="1:10" x14ac:dyDescent="0.25">
      <c r="A322" t="s">
        <v>1437</v>
      </c>
      <c r="B322" s="3">
        <v>43676</v>
      </c>
      <c r="C322" t="s">
        <v>1438</v>
      </c>
      <c r="D322" t="s">
        <v>3498</v>
      </c>
      <c r="E322">
        <v>5</v>
      </c>
      <c r="F322" t="s">
        <v>3523</v>
      </c>
      <c r="G322" t="s">
        <v>3517</v>
      </c>
      <c r="H322">
        <v>0.2</v>
      </c>
      <c r="I322">
        <v>3.9</v>
      </c>
      <c r="J322">
        <v>19.399999999999999</v>
      </c>
    </row>
    <row r="323" spans="1:10" x14ac:dyDescent="0.25">
      <c r="A323" t="s">
        <v>1442</v>
      </c>
      <c r="B323" s="3">
        <v>44170</v>
      </c>
      <c r="C323" t="s">
        <v>1443</v>
      </c>
      <c r="D323" t="s">
        <v>3483</v>
      </c>
      <c r="E323">
        <v>6</v>
      </c>
      <c r="F323" t="s">
        <v>3523</v>
      </c>
      <c r="G323" t="s">
        <v>3519</v>
      </c>
      <c r="H323">
        <v>0.2</v>
      </c>
      <c r="I323">
        <v>3.4</v>
      </c>
      <c r="J323">
        <v>20.3</v>
      </c>
    </row>
    <row r="324" spans="1:10" x14ac:dyDescent="0.25">
      <c r="A324" t="s">
        <v>1445</v>
      </c>
      <c r="B324" s="3">
        <v>44182</v>
      </c>
      <c r="C324" t="s">
        <v>1446</v>
      </c>
      <c r="D324" t="s">
        <v>3500</v>
      </c>
      <c r="E324">
        <v>3</v>
      </c>
      <c r="F324" t="s">
        <v>3525</v>
      </c>
      <c r="G324" t="s">
        <v>3518</v>
      </c>
      <c r="H324">
        <v>0.5</v>
      </c>
      <c r="I324">
        <v>7.8</v>
      </c>
      <c r="J324">
        <v>23.3</v>
      </c>
    </row>
    <row r="325" spans="1:10" x14ac:dyDescent="0.25">
      <c r="A325" t="s">
        <v>1448</v>
      </c>
      <c r="B325" s="3">
        <v>44373</v>
      </c>
      <c r="C325" t="s">
        <v>1449</v>
      </c>
      <c r="D325" t="s">
        <v>3484</v>
      </c>
      <c r="E325">
        <v>5</v>
      </c>
      <c r="F325" t="s">
        <v>3526</v>
      </c>
      <c r="G325" t="s">
        <v>3518</v>
      </c>
      <c r="H325">
        <v>0.2</v>
      </c>
      <c r="I325">
        <v>3.6</v>
      </c>
      <c r="J325">
        <v>18.2</v>
      </c>
    </row>
    <row r="326" spans="1:10" x14ac:dyDescent="0.25">
      <c r="A326" t="s">
        <v>1451</v>
      </c>
      <c r="B326" s="3">
        <v>43666</v>
      </c>
      <c r="C326" t="s">
        <v>1452</v>
      </c>
      <c r="D326" t="s">
        <v>3472</v>
      </c>
      <c r="E326">
        <v>1</v>
      </c>
      <c r="F326" t="s">
        <v>3526</v>
      </c>
      <c r="G326" t="s">
        <v>3519</v>
      </c>
      <c r="H326">
        <v>1</v>
      </c>
      <c r="I326">
        <v>13.8</v>
      </c>
      <c r="J326">
        <v>13.8</v>
      </c>
    </row>
    <row r="327" spans="1:10" x14ac:dyDescent="0.25">
      <c r="A327" t="s">
        <v>1454</v>
      </c>
      <c r="B327" s="3">
        <v>44756</v>
      </c>
      <c r="C327" t="s">
        <v>1455</v>
      </c>
      <c r="D327" t="s">
        <v>3513</v>
      </c>
      <c r="E327">
        <v>1</v>
      </c>
      <c r="F327" t="s">
        <v>3523</v>
      </c>
      <c r="G327" t="s">
        <v>3517</v>
      </c>
      <c r="H327">
        <v>2.5</v>
      </c>
      <c r="I327">
        <v>29.8</v>
      </c>
      <c r="J327">
        <v>29.8</v>
      </c>
    </row>
    <row r="328" spans="1:10" x14ac:dyDescent="0.25">
      <c r="A328" t="s">
        <v>1457</v>
      </c>
      <c r="B328" s="3">
        <v>44057</v>
      </c>
      <c r="C328" t="s">
        <v>1458</v>
      </c>
      <c r="D328" t="s">
        <v>3508</v>
      </c>
      <c r="E328">
        <v>5</v>
      </c>
      <c r="F328" t="s">
        <v>3524</v>
      </c>
      <c r="G328" t="s">
        <v>3518</v>
      </c>
      <c r="H328">
        <v>1</v>
      </c>
      <c r="I328">
        <v>9</v>
      </c>
      <c r="J328">
        <v>44.8</v>
      </c>
    </row>
    <row r="329" spans="1:10" x14ac:dyDescent="0.25">
      <c r="A329" t="s">
        <v>1460</v>
      </c>
      <c r="B329" s="3">
        <v>43579</v>
      </c>
      <c r="C329" t="s">
        <v>1461</v>
      </c>
      <c r="D329" t="s">
        <v>3508</v>
      </c>
      <c r="E329">
        <v>5</v>
      </c>
      <c r="F329" t="s">
        <v>3524</v>
      </c>
      <c r="G329" t="s">
        <v>3518</v>
      </c>
      <c r="H329">
        <v>1</v>
      </c>
      <c r="I329">
        <v>9</v>
      </c>
      <c r="J329">
        <v>44.8</v>
      </c>
    </row>
    <row r="330" spans="1:10" x14ac:dyDescent="0.25">
      <c r="A330" t="s">
        <v>1463</v>
      </c>
      <c r="B330" s="3">
        <v>43620</v>
      </c>
      <c r="C330" t="s">
        <v>1464</v>
      </c>
      <c r="D330" t="s">
        <v>3492</v>
      </c>
      <c r="E330">
        <v>4</v>
      </c>
      <c r="F330" t="s">
        <v>3525</v>
      </c>
      <c r="G330" t="s">
        <v>3517</v>
      </c>
      <c r="H330">
        <v>0.5</v>
      </c>
      <c r="I330">
        <v>9.5</v>
      </c>
      <c r="J330">
        <v>38</v>
      </c>
    </row>
    <row r="331" spans="1:10" x14ac:dyDescent="0.25">
      <c r="A331" t="s">
        <v>1466</v>
      </c>
      <c r="B331" s="3">
        <v>44781</v>
      </c>
      <c r="C331" t="s">
        <v>1467</v>
      </c>
      <c r="D331" t="s">
        <v>3503</v>
      </c>
      <c r="E331">
        <v>4</v>
      </c>
      <c r="F331" t="s">
        <v>3524</v>
      </c>
      <c r="G331" t="s">
        <v>3518</v>
      </c>
      <c r="H331">
        <v>0.5</v>
      </c>
      <c r="I331">
        <v>5.4</v>
      </c>
      <c r="J331">
        <v>21.5</v>
      </c>
    </row>
    <row r="332" spans="1:10" x14ac:dyDescent="0.25">
      <c r="A332" t="s">
        <v>1469</v>
      </c>
      <c r="B332" s="3">
        <v>43782</v>
      </c>
      <c r="C332" t="s">
        <v>1432</v>
      </c>
      <c r="D332" t="s">
        <v>3503</v>
      </c>
      <c r="E332">
        <v>3</v>
      </c>
      <c r="F332" t="s">
        <v>3524</v>
      </c>
      <c r="G332" t="s">
        <v>3518</v>
      </c>
      <c r="H332">
        <v>0.5</v>
      </c>
      <c r="I332">
        <v>5.4</v>
      </c>
      <c r="J332">
        <v>16.100000000000001</v>
      </c>
    </row>
    <row r="333" spans="1:10" x14ac:dyDescent="0.25">
      <c r="A333" t="s">
        <v>1472</v>
      </c>
      <c r="B333" s="3">
        <v>43989</v>
      </c>
      <c r="C333" t="s">
        <v>1473</v>
      </c>
      <c r="D333" t="s">
        <v>3482</v>
      </c>
      <c r="E333">
        <v>1</v>
      </c>
      <c r="F333" t="s">
        <v>3524</v>
      </c>
      <c r="G333" t="s">
        <v>3519</v>
      </c>
      <c r="H333">
        <v>2.5</v>
      </c>
      <c r="I333">
        <v>22.9</v>
      </c>
      <c r="J333">
        <v>22.9</v>
      </c>
    </row>
    <row r="334" spans="1:10" x14ac:dyDescent="0.25">
      <c r="A334" t="s">
        <v>1475</v>
      </c>
      <c r="B334" s="3">
        <v>43689</v>
      </c>
      <c r="C334" t="s">
        <v>1476</v>
      </c>
      <c r="D334" t="s">
        <v>3489</v>
      </c>
      <c r="E334">
        <v>3</v>
      </c>
      <c r="F334" t="s">
        <v>3523</v>
      </c>
      <c r="G334" t="s">
        <v>3518</v>
      </c>
      <c r="H334">
        <v>0.5</v>
      </c>
      <c r="I334">
        <v>6</v>
      </c>
      <c r="J334">
        <v>17.899999999999999</v>
      </c>
    </row>
    <row r="335" spans="1:10" x14ac:dyDescent="0.25">
      <c r="A335" t="s">
        <v>1478</v>
      </c>
      <c r="B335" s="3">
        <v>43712</v>
      </c>
      <c r="C335" t="s">
        <v>1479</v>
      </c>
      <c r="D335" t="s">
        <v>3477</v>
      </c>
      <c r="E335">
        <v>4</v>
      </c>
      <c r="F335" t="s">
        <v>3524</v>
      </c>
      <c r="G335" t="s">
        <v>3519</v>
      </c>
      <c r="H335">
        <v>0.5</v>
      </c>
      <c r="I335">
        <v>6</v>
      </c>
      <c r="J335">
        <v>23.9</v>
      </c>
    </row>
    <row r="336" spans="1:10" x14ac:dyDescent="0.25">
      <c r="A336" t="s">
        <v>1481</v>
      </c>
      <c r="B336" s="3">
        <v>43742</v>
      </c>
      <c r="C336" t="s">
        <v>1482</v>
      </c>
      <c r="D336" t="s">
        <v>3510</v>
      </c>
      <c r="E336">
        <v>5</v>
      </c>
      <c r="F336" t="s">
        <v>3524</v>
      </c>
      <c r="G336" t="s">
        <v>3517</v>
      </c>
      <c r="H336">
        <v>1</v>
      </c>
      <c r="I336">
        <v>12</v>
      </c>
      <c r="J336">
        <v>59.8</v>
      </c>
    </row>
    <row r="337" spans="1:10" x14ac:dyDescent="0.25">
      <c r="A337" t="s">
        <v>1484</v>
      </c>
      <c r="B337" s="3">
        <v>43885</v>
      </c>
      <c r="C337" t="s">
        <v>1485</v>
      </c>
      <c r="D337" t="s">
        <v>3476</v>
      </c>
      <c r="E337">
        <v>6</v>
      </c>
      <c r="F337" t="s">
        <v>3525</v>
      </c>
      <c r="G337" t="s">
        <v>3517</v>
      </c>
      <c r="H337">
        <v>0.2</v>
      </c>
      <c r="I337">
        <v>4.8</v>
      </c>
      <c r="J337">
        <v>28.5</v>
      </c>
    </row>
    <row r="338" spans="1:10" x14ac:dyDescent="0.25">
      <c r="A338" t="s">
        <v>1487</v>
      </c>
      <c r="B338" s="3">
        <v>44434</v>
      </c>
      <c r="C338" t="s">
        <v>1488</v>
      </c>
      <c r="D338" t="s">
        <v>3486</v>
      </c>
      <c r="E338">
        <v>4</v>
      </c>
      <c r="F338" t="s">
        <v>3523</v>
      </c>
      <c r="G338" t="s">
        <v>3519</v>
      </c>
      <c r="H338">
        <v>1</v>
      </c>
      <c r="I338">
        <v>11.3</v>
      </c>
      <c r="J338">
        <v>45</v>
      </c>
    </row>
    <row r="339" spans="1:10" x14ac:dyDescent="0.25">
      <c r="A339" t="s">
        <v>1490</v>
      </c>
      <c r="B339" s="3">
        <v>44472</v>
      </c>
      <c r="C339" t="s">
        <v>1458</v>
      </c>
      <c r="D339" t="s">
        <v>3516</v>
      </c>
      <c r="E339">
        <v>2</v>
      </c>
      <c r="F339" t="s">
        <v>3526</v>
      </c>
      <c r="G339" t="s">
        <v>3518</v>
      </c>
      <c r="H339">
        <v>2.5</v>
      </c>
      <c r="I339">
        <v>27.9</v>
      </c>
      <c r="J339">
        <v>55.9</v>
      </c>
    </row>
    <row r="340" spans="1:10" x14ac:dyDescent="0.25">
      <c r="A340" t="s">
        <v>1493</v>
      </c>
      <c r="B340" s="3">
        <v>43995</v>
      </c>
      <c r="C340" t="s">
        <v>1494</v>
      </c>
      <c r="D340" t="s">
        <v>3502</v>
      </c>
      <c r="E340">
        <v>4</v>
      </c>
      <c r="F340" t="s">
        <v>3526</v>
      </c>
      <c r="G340" t="s">
        <v>3517</v>
      </c>
      <c r="H340">
        <v>1</v>
      </c>
      <c r="I340">
        <v>14.9</v>
      </c>
      <c r="J340">
        <v>59.4</v>
      </c>
    </row>
    <row r="341" spans="1:10" x14ac:dyDescent="0.25">
      <c r="A341" t="s">
        <v>1496</v>
      </c>
      <c r="B341" s="3">
        <v>44256</v>
      </c>
      <c r="C341" t="s">
        <v>1497</v>
      </c>
      <c r="D341" t="s">
        <v>3484</v>
      </c>
      <c r="E341">
        <v>2</v>
      </c>
      <c r="F341" t="s">
        <v>3526</v>
      </c>
      <c r="G341" t="s">
        <v>3518</v>
      </c>
      <c r="H341">
        <v>0.2</v>
      </c>
      <c r="I341">
        <v>3.6</v>
      </c>
      <c r="J341">
        <v>7.3</v>
      </c>
    </row>
    <row r="342" spans="1:10" x14ac:dyDescent="0.25">
      <c r="A342" t="s">
        <v>1499</v>
      </c>
      <c r="B342" s="3">
        <v>43528</v>
      </c>
      <c r="C342" t="s">
        <v>1500</v>
      </c>
      <c r="D342" t="s">
        <v>3475</v>
      </c>
      <c r="E342">
        <v>1</v>
      </c>
      <c r="F342" t="s">
        <v>3526</v>
      </c>
      <c r="G342" t="s">
        <v>3518</v>
      </c>
      <c r="H342">
        <v>0.5</v>
      </c>
      <c r="I342">
        <v>7.3</v>
      </c>
      <c r="J342">
        <v>7.3</v>
      </c>
    </row>
    <row r="343" spans="1:10" x14ac:dyDescent="0.25">
      <c r="A343" t="s">
        <v>1502</v>
      </c>
      <c r="B343" s="3">
        <v>43751</v>
      </c>
      <c r="C343" t="s">
        <v>1503</v>
      </c>
      <c r="D343" t="s">
        <v>3507</v>
      </c>
      <c r="E343">
        <v>2</v>
      </c>
      <c r="F343" t="s">
        <v>3526</v>
      </c>
      <c r="G343" t="s">
        <v>3517</v>
      </c>
      <c r="H343">
        <v>0.5</v>
      </c>
      <c r="I343">
        <v>8.9</v>
      </c>
      <c r="J343">
        <v>17.8</v>
      </c>
    </row>
    <row r="344" spans="1:10" x14ac:dyDescent="0.25">
      <c r="A344" t="s">
        <v>1502</v>
      </c>
      <c r="B344" s="3">
        <v>43751</v>
      </c>
      <c r="C344" t="s">
        <v>1503</v>
      </c>
      <c r="D344" t="s">
        <v>3500</v>
      </c>
      <c r="E344">
        <v>5</v>
      </c>
      <c r="F344" t="s">
        <v>3525</v>
      </c>
      <c r="G344" t="s">
        <v>3518</v>
      </c>
      <c r="H344">
        <v>0.5</v>
      </c>
      <c r="I344">
        <v>7.8</v>
      </c>
      <c r="J344">
        <v>38.9</v>
      </c>
    </row>
    <row r="345" spans="1:10" x14ac:dyDescent="0.25">
      <c r="A345" t="s">
        <v>1507</v>
      </c>
      <c r="B345" s="3">
        <v>43692</v>
      </c>
      <c r="C345" t="s">
        <v>1508</v>
      </c>
      <c r="D345" t="s">
        <v>3503</v>
      </c>
      <c r="E345">
        <v>6</v>
      </c>
      <c r="F345" t="s">
        <v>3524</v>
      </c>
      <c r="G345" t="s">
        <v>3518</v>
      </c>
      <c r="H345">
        <v>0.5</v>
      </c>
      <c r="I345">
        <v>5.4</v>
      </c>
      <c r="J345">
        <v>32.200000000000003</v>
      </c>
    </row>
    <row r="346" spans="1:10" x14ac:dyDescent="0.25">
      <c r="A346" t="s">
        <v>1510</v>
      </c>
      <c r="B346" s="3">
        <v>44529</v>
      </c>
      <c r="C346" t="s">
        <v>1511</v>
      </c>
      <c r="D346" t="s">
        <v>3469</v>
      </c>
      <c r="E346">
        <v>2</v>
      </c>
      <c r="F346" t="s">
        <v>3524</v>
      </c>
      <c r="G346" t="s">
        <v>3519</v>
      </c>
      <c r="H346">
        <v>1</v>
      </c>
      <c r="I346">
        <v>10</v>
      </c>
      <c r="J346">
        <v>19.899999999999999</v>
      </c>
    </row>
    <row r="347" spans="1:10" x14ac:dyDescent="0.25">
      <c r="A347" t="s">
        <v>1513</v>
      </c>
      <c r="B347" s="3">
        <v>43849</v>
      </c>
      <c r="C347" t="s">
        <v>1514</v>
      </c>
      <c r="D347" t="s">
        <v>3510</v>
      </c>
      <c r="E347">
        <v>5</v>
      </c>
      <c r="F347" t="s">
        <v>3524</v>
      </c>
      <c r="G347" t="s">
        <v>3517</v>
      </c>
      <c r="H347">
        <v>1</v>
      </c>
      <c r="I347">
        <v>12</v>
      </c>
      <c r="J347">
        <v>59.8</v>
      </c>
    </row>
    <row r="348" spans="1:10" x14ac:dyDescent="0.25">
      <c r="A348" t="s">
        <v>1516</v>
      </c>
      <c r="B348" s="3">
        <v>44344</v>
      </c>
      <c r="C348" t="s">
        <v>1517</v>
      </c>
      <c r="D348" t="s">
        <v>3511</v>
      </c>
      <c r="E348">
        <v>3</v>
      </c>
      <c r="F348" t="s">
        <v>3523</v>
      </c>
      <c r="G348" t="s">
        <v>3517</v>
      </c>
      <c r="H348">
        <v>0.5</v>
      </c>
      <c r="I348">
        <v>7.8</v>
      </c>
      <c r="J348">
        <v>23.3</v>
      </c>
    </row>
    <row r="349" spans="1:10" x14ac:dyDescent="0.25">
      <c r="A349" t="s">
        <v>1519</v>
      </c>
      <c r="B349" s="3">
        <v>44576</v>
      </c>
      <c r="C349" t="s">
        <v>1520</v>
      </c>
      <c r="D349" t="s">
        <v>3493</v>
      </c>
      <c r="E349">
        <v>3</v>
      </c>
      <c r="F349" t="s">
        <v>3525</v>
      </c>
      <c r="G349" t="s">
        <v>3519</v>
      </c>
      <c r="H349">
        <v>1</v>
      </c>
      <c r="I349">
        <v>14.6</v>
      </c>
      <c r="J349">
        <v>43.7</v>
      </c>
    </row>
    <row r="350" spans="1:10" x14ac:dyDescent="0.25">
      <c r="A350" t="s">
        <v>1522</v>
      </c>
      <c r="B350" s="3">
        <v>43803</v>
      </c>
      <c r="C350" t="s">
        <v>1523</v>
      </c>
      <c r="D350" t="s">
        <v>3479</v>
      </c>
      <c r="E350">
        <v>6</v>
      </c>
      <c r="F350" t="s">
        <v>3526</v>
      </c>
      <c r="G350" t="s">
        <v>3517</v>
      </c>
      <c r="H350">
        <v>2.5</v>
      </c>
      <c r="I350">
        <v>34.200000000000003</v>
      </c>
      <c r="J350">
        <v>204.9</v>
      </c>
    </row>
    <row r="351" spans="1:10" x14ac:dyDescent="0.25">
      <c r="A351" t="s">
        <v>1525</v>
      </c>
      <c r="B351" s="3">
        <v>44743</v>
      </c>
      <c r="C351" t="s">
        <v>1526</v>
      </c>
      <c r="D351" t="s">
        <v>3509</v>
      </c>
      <c r="E351">
        <v>4</v>
      </c>
      <c r="F351" t="s">
        <v>3524</v>
      </c>
      <c r="G351" t="s">
        <v>3517</v>
      </c>
      <c r="H351">
        <v>0.2</v>
      </c>
      <c r="I351">
        <v>3.6</v>
      </c>
      <c r="J351">
        <v>14.3</v>
      </c>
    </row>
    <row r="352" spans="1:10" x14ac:dyDescent="0.25">
      <c r="A352" t="s">
        <v>1528</v>
      </c>
      <c r="B352" s="3">
        <v>43592</v>
      </c>
      <c r="C352" t="s">
        <v>1529</v>
      </c>
      <c r="D352" t="s">
        <v>3489</v>
      </c>
      <c r="E352">
        <v>4</v>
      </c>
      <c r="F352" t="s">
        <v>3523</v>
      </c>
      <c r="G352" t="s">
        <v>3518</v>
      </c>
      <c r="H352">
        <v>0.5</v>
      </c>
      <c r="I352">
        <v>6</v>
      </c>
      <c r="J352">
        <v>23.9</v>
      </c>
    </row>
    <row r="353" spans="1:10" x14ac:dyDescent="0.25">
      <c r="A353" t="s">
        <v>1531</v>
      </c>
      <c r="B353" s="3">
        <v>44066</v>
      </c>
      <c r="C353" t="s">
        <v>1532</v>
      </c>
      <c r="D353" t="s">
        <v>3486</v>
      </c>
      <c r="E353">
        <v>2</v>
      </c>
      <c r="F353" t="s">
        <v>3523</v>
      </c>
      <c r="G353" t="s">
        <v>3519</v>
      </c>
      <c r="H353">
        <v>1</v>
      </c>
      <c r="I353">
        <v>11.3</v>
      </c>
      <c r="J353">
        <v>22.5</v>
      </c>
    </row>
    <row r="354" spans="1:10" x14ac:dyDescent="0.25">
      <c r="A354" t="s">
        <v>1534</v>
      </c>
      <c r="B354" s="3">
        <v>43984</v>
      </c>
      <c r="C354" t="s">
        <v>1458</v>
      </c>
      <c r="D354" t="s">
        <v>3475</v>
      </c>
      <c r="E354">
        <v>5</v>
      </c>
      <c r="F354" t="s">
        <v>3526</v>
      </c>
      <c r="G354" t="s">
        <v>3518</v>
      </c>
      <c r="H354">
        <v>0.5</v>
      </c>
      <c r="I354">
        <v>7.3</v>
      </c>
      <c r="J354">
        <v>36.5</v>
      </c>
    </row>
    <row r="355" spans="1:10" x14ac:dyDescent="0.25">
      <c r="A355" t="s">
        <v>1537</v>
      </c>
      <c r="B355" s="3">
        <v>43860</v>
      </c>
      <c r="C355" t="s">
        <v>1538</v>
      </c>
      <c r="D355" t="s">
        <v>3488</v>
      </c>
      <c r="E355">
        <v>4</v>
      </c>
      <c r="F355" t="s">
        <v>3523</v>
      </c>
      <c r="G355" t="s">
        <v>3519</v>
      </c>
      <c r="H355">
        <v>0.5</v>
      </c>
      <c r="I355">
        <v>6.8</v>
      </c>
      <c r="J355">
        <v>27</v>
      </c>
    </row>
    <row r="356" spans="1:10" x14ac:dyDescent="0.25">
      <c r="A356" t="s">
        <v>1540</v>
      </c>
      <c r="B356" s="3">
        <v>43876</v>
      </c>
      <c r="C356" t="s">
        <v>1541</v>
      </c>
      <c r="D356" t="s">
        <v>3506</v>
      </c>
      <c r="E356">
        <v>6</v>
      </c>
      <c r="F356" t="s">
        <v>3523</v>
      </c>
      <c r="G356" t="s">
        <v>3519</v>
      </c>
      <c r="H356">
        <v>2.5</v>
      </c>
      <c r="I356">
        <v>25.9</v>
      </c>
      <c r="J356">
        <v>155.30000000000001</v>
      </c>
    </row>
    <row r="357" spans="1:10" x14ac:dyDescent="0.25">
      <c r="A357" t="s">
        <v>1543</v>
      </c>
      <c r="B357" s="3">
        <v>44358</v>
      </c>
      <c r="C357" t="s">
        <v>1544</v>
      </c>
      <c r="D357" t="s">
        <v>3499</v>
      </c>
      <c r="E357">
        <v>5</v>
      </c>
      <c r="F357" t="s">
        <v>3523</v>
      </c>
      <c r="G357" t="s">
        <v>3518</v>
      </c>
      <c r="H357">
        <v>2.5</v>
      </c>
      <c r="I357">
        <v>22.9</v>
      </c>
      <c r="J357">
        <v>114.4</v>
      </c>
    </row>
    <row r="358" spans="1:10" x14ac:dyDescent="0.25">
      <c r="A358" t="s">
        <v>1546</v>
      </c>
      <c r="B358" s="3">
        <v>44631</v>
      </c>
      <c r="C358" t="s">
        <v>1547</v>
      </c>
      <c r="D358" t="s">
        <v>3474</v>
      </c>
      <c r="E358">
        <v>4</v>
      </c>
      <c r="F358" t="s">
        <v>3525</v>
      </c>
      <c r="G358" t="s">
        <v>3518</v>
      </c>
      <c r="H358">
        <v>1</v>
      </c>
      <c r="I358">
        <v>13</v>
      </c>
      <c r="J358">
        <v>51.8</v>
      </c>
    </row>
    <row r="359" spans="1:10" x14ac:dyDescent="0.25">
      <c r="A359" t="s">
        <v>1549</v>
      </c>
      <c r="B359" s="3">
        <v>44448</v>
      </c>
      <c r="C359" t="s">
        <v>1550</v>
      </c>
      <c r="D359" t="s">
        <v>3506</v>
      </c>
      <c r="E359">
        <v>6</v>
      </c>
      <c r="F359" t="s">
        <v>3523</v>
      </c>
      <c r="G359" t="s">
        <v>3519</v>
      </c>
      <c r="H359">
        <v>2.5</v>
      </c>
      <c r="I359">
        <v>25.9</v>
      </c>
      <c r="J359">
        <v>155.30000000000001</v>
      </c>
    </row>
    <row r="360" spans="1:10" x14ac:dyDescent="0.25">
      <c r="A360" t="s">
        <v>1552</v>
      </c>
      <c r="B360" s="3">
        <v>43599</v>
      </c>
      <c r="C360" t="s">
        <v>1553</v>
      </c>
      <c r="D360" t="s">
        <v>3513</v>
      </c>
      <c r="E360">
        <v>1</v>
      </c>
      <c r="F360" t="s">
        <v>3523</v>
      </c>
      <c r="G360" t="s">
        <v>3517</v>
      </c>
      <c r="H360">
        <v>2.5</v>
      </c>
      <c r="I360">
        <v>29.8</v>
      </c>
      <c r="J360">
        <v>29.8</v>
      </c>
    </row>
    <row r="361" spans="1:10" x14ac:dyDescent="0.25">
      <c r="A361" t="s">
        <v>1555</v>
      </c>
      <c r="B361" s="3">
        <v>43563</v>
      </c>
      <c r="C361" t="s">
        <v>1556</v>
      </c>
      <c r="D361" t="s">
        <v>3509</v>
      </c>
      <c r="E361">
        <v>6</v>
      </c>
      <c r="F361" t="s">
        <v>3524</v>
      </c>
      <c r="G361" t="s">
        <v>3517</v>
      </c>
      <c r="H361">
        <v>0.2</v>
      </c>
      <c r="I361">
        <v>3.6</v>
      </c>
      <c r="J361">
        <v>21.5</v>
      </c>
    </row>
    <row r="362" spans="1:10" x14ac:dyDescent="0.25">
      <c r="A362" t="s">
        <v>1558</v>
      </c>
      <c r="B362" s="3">
        <v>44058</v>
      </c>
      <c r="C362" t="s">
        <v>1559</v>
      </c>
      <c r="D362" t="s">
        <v>3480</v>
      </c>
      <c r="E362">
        <v>2</v>
      </c>
      <c r="F362" t="s">
        <v>3524</v>
      </c>
      <c r="G362" t="s">
        <v>3518</v>
      </c>
      <c r="H362">
        <v>2.5</v>
      </c>
      <c r="I362">
        <v>20.6</v>
      </c>
      <c r="J362">
        <v>41.2</v>
      </c>
    </row>
    <row r="363" spans="1:10" x14ac:dyDescent="0.25">
      <c r="A363" t="s">
        <v>1558</v>
      </c>
      <c r="B363" s="3">
        <v>44058</v>
      </c>
      <c r="C363" t="s">
        <v>1559</v>
      </c>
      <c r="D363" t="s">
        <v>3477</v>
      </c>
      <c r="E363">
        <v>1</v>
      </c>
      <c r="F363" t="s">
        <v>3524</v>
      </c>
      <c r="G363" t="s">
        <v>3519</v>
      </c>
      <c r="H363">
        <v>0.5</v>
      </c>
      <c r="I363">
        <v>6</v>
      </c>
      <c r="J363">
        <v>6</v>
      </c>
    </row>
    <row r="364" spans="1:10" x14ac:dyDescent="0.25">
      <c r="A364" t="s">
        <v>1563</v>
      </c>
      <c r="B364" s="3">
        <v>44686</v>
      </c>
      <c r="C364" t="s">
        <v>1564</v>
      </c>
      <c r="D364" t="s">
        <v>3502</v>
      </c>
      <c r="E364">
        <v>5</v>
      </c>
      <c r="F364" t="s">
        <v>3526</v>
      </c>
      <c r="G364" t="s">
        <v>3517</v>
      </c>
      <c r="H364">
        <v>1</v>
      </c>
      <c r="I364">
        <v>14.9</v>
      </c>
      <c r="J364">
        <v>74.3</v>
      </c>
    </row>
    <row r="365" spans="1:10" x14ac:dyDescent="0.25">
      <c r="A365" t="s">
        <v>1566</v>
      </c>
      <c r="B365" s="3">
        <v>44282</v>
      </c>
      <c r="C365" t="s">
        <v>1567</v>
      </c>
      <c r="D365" t="s">
        <v>3493</v>
      </c>
      <c r="E365">
        <v>6</v>
      </c>
      <c r="F365" t="s">
        <v>3525</v>
      </c>
      <c r="G365" t="s">
        <v>3519</v>
      </c>
      <c r="H365">
        <v>1</v>
      </c>
      <c r="I365">
        <v>14.6</v>
      </c>
      <c r="J365">
        <v>87.3</v>
      </c>
    </row>
    <row r="366" spans="1:10" x14ac:dyDescent="0.25">
      <c r="A366" t="s">
        <v>1569</v>
      </c>
      <c r="B366" s="3">
        <v>43582</v>
      </c>
      <c r="C366" t="s">
        <v>1570</v>
      </c>
      <c r="D366" t="s">
        <v>3514</v>
      </c>
      <c r="E366">
        <v>6</v>
      </c>
      <c r="F366" t="s">
        <v>3526</v>
      </c>
      <c r="G366" t="s">
        <v>3518</v>
      </c>
      <c r="H366">
        <v>1</v>
      </c>
      <c r="I366">
        <v>12.2</v>
      </c>
      <c r="J366">
        <v>72.900000000000006</v>
      </c>
    </row>
    <row r="367" spans="1:10" x14ac:dyDescent="0.25">
      <c r="A367" t="s">
        <v>1572</v>
      </c>
      <c r="B367" s="3">
        <v>44464</v>
      </c>
      <c r="C367" t="s">
        <v>1573</v>
      </c>
      <c r="D367" t="s">
        <v>3500</v>
      </c>
      <c r="E367">
        <v>1</v>
      </c>
      <c r="F367" t="s">
        <v>3525</v>
      </c>
      <c r="G367" t="s">
        <v>3518</v>
      </c>
      <c r="H367">
        <v>0.5</v>
      </c>
      <c r="I367">
        <v>7.8</v>
      </c>
      <c r="J367">
        <v>7.8</v>
      </c>
    </row>
    <row r="368" spans="1:10" x14ac:dyDescent="0.25">
      <c r="A368" t="s">
        <v>1575</v>
      </c>
      <c r="B368" s="3">
        <v>43874</v>
      </c>
      <c r="C368" t="s">
        <v>1576</v>
      </c>
      <c r="D368" t="s">
        <v>3475</v>
      </c>
      <c r="E368">
        <v>6</v>
      </c>
      <c r="F368" t="s">
        <v>3526</v>
      </c>
      <c r="G368" t="s">
        <v>3518</v>
      </c>
      <c r="H368">
        <v>0.5</v>
      </c>
      <c r="I368">
        <v>7.3</v>
      </c>
      <c r="J368">
        <v>43.7</v>
      </c>
    </row>
    <row r="369" spans="1:10" x14ac:dyDescent="0.25">
      <c r="A369" t="s">
        <v>1578</v>
      </c>
      <c r="B369" s="3">
        <v>44393</v>
      </c>
      <c r="C369" t="s">
        <v>1579</v>
      </c>
      <c r="D369" t="s">
        <v>3490</v>
      </c>
      <c r="E369">
        <v>2</v>
      </c>
      <c r="F369" t="s">
        <v>3525</v>
      </c>
      <c r="G369" t="s">
        <v>3519</v>
      </c>
      <c r="H369">
        <v>0.2</v>
      </c>
      <c r="I369">
        <v>4.4000000000000004</v>
      </c>
      <c r="J369">
        <v>8.6999999999999993</v>
      </c>
    </row>
    <row r="370" spans="1:10" x14ac:dyDescent="0.25">
      <c r="A370" t="s">
        <v>1581</v>
      </c>
      <c r="B370" s="3">
        <v>44692</v>
      </c>
      <c r="C370" t="s">
        <v>1582</v>
      </c>
      <c r="D370" t="s">
        <v>3497</v>
      </c>
      <c r="E370">
        <v>2</v>
      </c>
      <c r="F370" t="s">
        <v>3526</v>
      </c>
      <c r="G370" t="s">
        <v>3519</v>
      </c>
      <c r="H370">
        <v>2.5</v>
      </c>
      <c r="I370">
        <v>31.6</v>
      </c>
      <c r="J370">
        <v>63.3</v>
      </c>
    </row>
    <row r="371" spans="1:10" x14ac:dyDescent="0.25">
      <c r="A371" t="s">
        <v>1584</v>
      </c>
      <c r="B371" s="3">
        <v>43500</v>
      </c>
      <c r="C371" t="s">
        <v>1585</v>
      </c>
      <c r="D371" t="s">
        <v>3507</v>
      </c>
      <c r="E371">
        <v>1</v>
      </c>
      <c r="F371" t="s">
        <v>3526</v>
      </c>
      <c r="G371" t="s">
        <v>3517</v>
      </c>
      <c r="H371">
        <v>0.5</v>
      </c>
      <c r="I371">
        <v>8.9</v>
      </c>
      <c r="J371">
        <v>8.9</v>
      </c>
    </row>
    <row r="372" spans="1:10" x14ac:dyDescent="0.25">
      <c r="A372" t="s">
        <v>1587</v>
      </c>
      <c r="B372" s="3">
        <v>43501</v>
      </c>
      <c r="C372" t="s">
        <v>1588</v>
      </c>
      <c r="D372" t="s">
        <v>3514</v>
      </c>
      <c r="E372">
        <v>2</v>
      </c>
      <c r="F372" t="s">
        <v>3526</v>
      </c>
      <c r="G372" t="s">
        <v>3518</v>
      </c>
      <c r="H372">
        <v>1</v>
      </c>
      <c r="I372">
        <v>12.2</v>
      </c>
      <c r="J372">
        <v>24.3</v>
      </c>
    </row>
    <row r="373" spans="1:10" x14ac:dyDescent="0.25">
      <c r="A373" t="s">
        <v>1590</v>
      </c>
      <c r="B373" s="3">
        <v>44705</v>
      </c>
      <c r="C373" t="s">
        <v>1591</v>
      </c>
      <c r="D373" t="s">
        <v>3511</v>
      </c>
      <c r="E373">
        <v>6</v>
      </c>
      <c r="F373" t="s">
        <v>3523</v>
      </c>
      <c r="G373" t="s">
        <v>3517</v>
      </c>
      <c r="H373">
        <v>0.5</v>
      </c>
      <c r="I373">
        <v>7.8</v>
      </c>
      <c r="J373">
        <v>46.6</v>
      </c>
    </row>
    <row r="374" spans="1:10" x14ac:dyDescent="0.25">
      <c r="A374" t="s">
        <v>1593</v>
      </c>
      <c r="B374" s="3">
        <v>44108</v>
      </c>
      <c r="C374" t="s">
        <v>1594</v>
      </c>
      <c r="D374" t="s">
        <v>3504</v>
      </c>
      <c r="E374">
        <v>6</v>
      </c>
      <c r="F374" t="s">
        <v>3524</v>
      </c>
      <c r="G374" t="s">
        <v>3517</v>
      </c>
      <c r="H374">
        <v>0.5</v>
      </c>
      <c r="I374">
        <v>7.2</v>
      </c>
      <c r="J374">
        <v>43</v>
      </c>
    </row>
    <row r="375" spans="1:10" x14ac:dyDescent="0.25">
      <c r="A375" t="s">
        <v>1596</v>
      </c>
      <c r="B375" s="3">
        <v>44742</v>
      </c>
      <c r="C375" t="s">
        <v>1597</v>
      </c>
      <c r="D375" t="s">
        <v>3489</v>
      </c>
      <c r="E375">
        <v>3</v>
      </c>
      <c r="F375" t="s">
        <v>3523</v>
      </c>
      <c r="G375" t="s">
        <v>3518</v>
      </c>
      <c r="H375">
        <v>0.5</v>
      </c>
      <c r="I375">
        <v>6</v>
      </c>
      <c r="J375">
        <v>17.899999999999999</v>
      </c>
    </row>
    <row r="376" spans="1:10" x14ac:dyDescent="0.25">
      <c r="A376" t="s">
        <v>1600</v>
      </c>
      <c r="B376" s="3">
        <v>44125</v>
      </c>
      <c r="C376" t="s">
        <v>1601</v>
      </c>
      <c r="D376" t="s">
        <v>3492</v>
      </c>
      <c r="E376">
        <v>4</v>
      </c>
      <c r="F376" t="s">
        <v>3525</v>
      </c>
      <c r="G376" t="s">
        <v>3517</v>
      </c>
      <c r="H376">
        <v>0.5</v>
      </c>
      <c r="I376">
        <v>9.5</v>
      </c>
      <c r="J376">
        <v>38</v>
      </c>
    </row>
    <row r="377" spans="1:10" x14ac:dyDescent="0.25">
      <c r="A377" t="s">
        <v>1603</v>
      </c>
      <c r="B377" s="3">
        <v>44120</v>
      </c>
      <c r="C377" t="s">
        <v>1604</v>
      </c>
      <c r="D377" t="s">
        <v>3483</v>
      </c>
      <c r="E377">
        <v>2</v>
      </c>
      <c r="F377" t="s">
        <v>3523</v>
      </c>
      <c r="G377" t="s">
        <v>3519</v>
      </c>
      <c r="H377">
        <v>0.2</v>
      </c>
      <c r="I377">
        <v>3.4</v>
      </c>
      <c r="J377">
        <v>6.8</v>
      </c>
    </row>
    <row r="378" spans="1:10" x14ac:dyDescent="0.25">
      <c r="A378" t="s">
        <v>1606</v>
      </c>
      <c r="B378" s="3">
        <v>44097</v>
      </c>
      <c r="C378" t="s">
        <v>1607</v>
      </c>
      <c r="D378" t="s">
        <v>3477</v>
      </c>
      <c r="E378">
        <v>1</v>
      </c>
      <c r="F378" t="s">
        <v>3524</v>
      </c>
      <c r="G378" t="s">
        <v>3519</v>
      </c>
      <c r="H378">
        <v>0.5</v>
      </c>
      <c r="I378">
        <v>6</v>
      </c>
      <c r="J378">
        <v>6</v>
      </c>
    </row>
    <row r="379" spans="1:10" x14ac:dyDescent="0.25">
      <c r="A379" t="s">
        <v>1609</v>
      </c>
      <c r="B379" s="3">
        <v>43532</v>
      </c>
      <c r="C379" t="s">
        <v>1610</v>
      </c>
      <c r="D379" t="s">
        <v>3494</v>
      </c>
      <c r="E379">
        <v>3</v>
      </c>
      <c r="F379" t="s">
        <v>3524</v>
      </c>
      <c r="G379" t="s">
        <v>3518</v>
      </c>
      <c r="H379">
        <v>0.2</v>
      </c>
      <c r="I379">
        <v>2.7</v>
      </c>
      <c r="J379">
        <v>8.1</v>
      </c>
    </row>
    <row r="380" spans="1:10" x14ac:dyDescent="0.25">
      <c r="A380" t="s">
        <v>1612</v>
      </c>
      <c r="B380" s="3">
        <v>44377</v>
      </c>
      <c r="C380" t="s">
        <v>1613</v>
      </c>
      <c r="D380" t="s">
        <v>3511</v>
      </c>
      <c r="E380">
        <v>3</v>
      </c>
      <c r="F380" t="s">
        <v>3523</v>
      </c>
      <c r="G380" t="s">
        <v>3517</v>
      </c>
      <c r="H380">
        <v>0.5</v>
      </c>
      <c r="I380">
        <v>7.8</v>
      </c>
      <c r="J380">
        <v>23.3</v>
      </c>
    </row>
    <row r="381" spans="1:10" x14ac:dyDescent="0.25">
      <c r="A381" t="s">
        <v>1615</v>
      </c>
      <c r="B381" s="3">
        <v>43690</v>
      </c>
      <c r="C381" t="s">
        <v>1616</v>
      </c>
      <c r="D381" t="s">
        <v>3504</v>
      </c>
      <c r="E381">
        <v>6</v>
      </c>
      <c r="F381" t="s">
        <v>3524</v>
      </c>
      <c r="G381" t="s">
        <v>3517</v>
      </c>
      <c r="H381">
        <v>0.5</v>
      </c>
      <c r="I381">
        <v>7.2</v>
      </c>
      <c r="J381">
        <v>43</v>
      </c>
    </row>
    <row r="382" spans="1:10" x14ac:dyDescent="0.25">
      <c r="A382" t="s">
        <v>1618</v>
      </c>
      <c r="B382" s="3">
        <v>44249</v>
      </c>
      <c r="C382" t="s">
        <v>1458</v>
      </c>
      <c r="D382" t="s">
        <v>3500</v>
      </c>
      <c r="E382">
        <v>3</v>
      </c>
      <c r="F382" t="s">
        <v>3525</v>
      </c>
      <c r="G382" t="s">
        <v>3518</v>
      </c>
      <c r="H382">
        <v>0.5</v>
      </c>
      <c r="I382">
        <v>7.8</v>
      </c>
      <c r="J382">
        <v>23.3</v>
      </c>
    </row>
    <row r="383" spans="1:10" x14ac:dyDescent="0.25">
      <c r="A383" t="s">
        <v>1621</v>
      </c>
      <c r="B383" s="3">
        <v>44646</v>
      </c>
      <c r="C383" t="s">
        <v>1622</v>
      </c>
      <c r="D383" t="s">
        <v>3485</v>
      </c>
      <c r="E383">
        <v>5</v>
      </c>
      <c r="F383" t="s">
        <v>3523</v>
      </c>
      <c r="G383" t="s">
        <v>3518</v>
      </c>
      <c r="H383">
        <v>0.2</v>
      </c>
      <c r="I383">
        <v>3</v>
      </c>
      <c r="J383">
        <v>14.9</v>
      </c>
    </row>
    <row r="384" spans="1:10" x14ac:dyDescent="0.25">
      <c r="A384" t="s">
        <v>1624</v>
      </c>
      <c r="B384" s="3">
        <v>43840</v>
      </c>
      <c r="C384" t="s">
        <v>1625</v>
      </c>
      <c r="D384" t="s">
        <v>3475</v>
      </c>
      <c r="E384">
        <v>3</v>
      </c>
      <c r="F384" t="s">
        <v>3526</v>
      </c>
      <c r="G384" t="s">
        <v>3518</v>
      </c>
      <c r="H384">
        <v>0.5</v>
      </c>
      <c r="I384">
        <v>7.3</v>
      </c>
      <c r="J384">
        <v>21.9</v>
      </c>
    </row>
    <row r="385" spans="1:10" x14ac:dyDescent="0.25">
      <c r="A385" t="s">
        <v>1627</v>
      </c>
      <c r="B385" s="3">
        <v>43586</v>
      </c>
      <c r="C385" t="s">
        <v>1628</v>
      </c>
      <c r="D385" t="s">
        <v>3507</v>
      </c>
      <c r="E385">
        <v>6</v>
      </c>
      <c r="F385" t="s">
        <v>3526</v>
      </c>
      <c r="G385" t="s">
        <v>3517</v>
      </c>
      <c r="H385">
        <v>0.5</v>
      </c>
      <c r="I385">
        <v>8.9</v>
      </c>
      <c r="J385">
        <v>53.5</v>
      </c>
    </row>
    <row r="386" spans="1:10" x14ac:dyDescent="0.25">
      <c r="A386" t="s">
        <v>1630</v>
      </c>
      <c r="B386" s="3">
        <v>43870</v>
      </c>
      <c r="C386" t="s">
        <v>1631</v>
      </c>
      <c r="D386" t="s">
        <v>3513</v>
      </c>
      <c r="E386">
        <v>4</v>
      </c>
      <c r="F386" t="s">
        <v>3523</v>
      </c>
      <c r="G386" t="s">
        <v>3517</v>
      </c>
      <c r="H386">
        <v>2.5</v>
      </c>
      <c r="I386">
        <v>29.8</v>
      </c>
      <c r="J386">
        <v>119.1</v>
      </c>
    </row>
    <row r="387" spans="1:10" x14ac:dyDescent="0.25">
      <c r="A387" t="s">
        <v>1633</v>
      </c>
      <c r="B387" s="3">
        <v>44559</v>
      </c>
      <c r="C387" t="s">
        <v>1634</v>
      </c>
      <c r="D387" t="s">
        <v>3491</v>
      </c>
      <c r="E387">
        <v>5</v>
      </c>
      <c r="F387" t="s">
        <v>3525</v>
      </c>
      <c r="G387" t="s">
        <v>3519</v>
      </c>
      <c r="H387">
        <v>0.5</v>
      </c>
      <c r="I387">
        <v>8.6999999999999993</v>
      </c>
      <c r="J387">
        <v>43.7</v>
      </c>
    </row>
    <row r="388" spans="1:10" x14ac:dyDescent="0.25">
      <c r="A388" t="s">
        <v>1636</v>
      </c>
      <c r="B388" s="3">
        <v>44083</v>
      </c>
      <c r="C388" t="s">
        <v>1637</v>
      </c>
      <c r="D388" t="s">
        <v>3485</v>
      </c>
      <c r="E388">
        <v>6</v>
      </c>
      <c r="F388" t="s">
        <v>3523</v>
      </c>
      <c r="G388" t="s">
        <v>3518</v>
      </c>
      <c r="H388">
        <v>0.2</v>
      </c>
      <c r="I388">
        <v>3</v>
      </c>
      <c r="J388">
        <v>17.899999999999999</v>
      </c>
    </row>
    <row r="389" spans="1:10" x14ac:dyDescent="0.25">
      <c r="A389" t="s">
        <v>1639</v>
      </c>
      <c r="B389" s="3">
        <v>44455</v>
      </c>
      <c r="C389" t="s">
        <v>1640</v>
      </c>
      <c r="D389" t="s">
        <v>3502</v>
      </c>
      <c r="E389">
        <v>5</v>
      </c>
      <c r="F389" t="s">
        <v>3526</v>
      </c>
      <c r="G389" t="s">
        <v>3517</v>
      </c>
      <c r="H389">
        <v>1</v>
      </c>
      <c r="I389">
        <v>14.9</v>
      </c>
      <c r="J389">
        <v>74.3</v>
      </c>
    </row>
    <row r="390" spans="1:10" x14ac:dyDescent="0.25">
      <c r="A390" t="s">
        <v>1642</v>
      </c>
      <c r="B390" s="3">
        <v>44130</v>
      </c>
      <c r="C390" t="s">
        <v>1643</v>
      </c>
      <c r="D390" t="s">
        <v>3481</v>
      </c>
      <c r="E390">
        <v>3</v>
      </c>
      <c r="F390" t="s">
        <v>3525</v>
      </c>
      <c r="G390" t="s">
        <v>3518</v>
      </c>
      <c r="H390">
        <v>0.2</v>
      </c>
      <c r="I390">
        <v>3.9</v>
      </c>
      <c r="J390">
        <v>11.7</v>
      </c>
    </row>
    <row r="391" spans="1:10" x14ac:dyDescent="0.25">
      <c r="A391" t="s">
        <v>1645</v>
      </c>
      <c r="B391" s="3">
        <v>43536</v>
      </c>
      <c r="C391" t="s">
        <v>1646</v>
      </c>
      <c r="D391" t="s">
        <v>3500</v>
      </c>
      <c r="E391">
        <v>3</v>
      </c>
      <c r="F391" t="s">
        <v>3525</v>
      </c>
      <c r="G391" t="s">
        <v>3518</v>
      </c>
      <c r="H391">
        <v>0.5</v>
      </c>
      <c r="I391">
        <v>7.8</v>
      </c>
      <c r="J391">
        <v>23.3</v>
      </c>
    </row>
    <row r="392" spans="1:10" x14ac:dyDescent="0.25">
      <c r="A392" t="s">
        <v>1648</v>
      </c>
      <c r="B392" s="3">
        <v>44245</v>
      </c>
      <c r="C392" t="s">
        <v>1649</v>
      </c>
      <c r="D392" t="s">
        <v>3475</v>
      </c>
      <c r="E392">
        <v>2</v>
      </c>
      <c r="F392" t="s">
        <v>3526</v>
      </c>
      <c r="G392" t="s">
        <v>3518</v>
      </c>
      <c r="H392">
        <v>0.5</v>
      </c>
      <c r="I392">
        <v>7.3</v>
      </c>
      <c r="J392">
        <v>14.6</v>
      </c>
    </row>
    <row r="393" spans="1:10" x14ac:dyDescent="0.25">
      <c r="A393" t="s">
        <v>1651</v>
      </c>
      <c r="B393" s="3">
        <v>44133</v>
      </c>
      <c r="C393" t="s">
        <v>1652</v>
      </c>
      <c r="D393" t="s">
        <v>3488</v>
      </c>
      <c r="E393">
        <v>2</v>
      </c>
      <c r="F393" t="s">
        <v>3523</v>
      </c>
      <c r="G393" t="s">
        <v>3519</v>
      </c>
      <c r="H393">
        <v>0.5</v>
      </c>
      <c r="I393">
        <v>6.8</v>
      </c>
      <c r="J393">
        <v>13.5</v>
      </c>
    </row>
    <row r="394" spans="1:10" x14ac:dyDescent="0.25">
      <c r="A394" t="s">
        <v>1654</v>
      </c>
      <c r="B394" s="3">
        <v>44445</v>
      </c>
      <c r="C394" t="s">
        <v>1655</v>
      </c>
      <c r="D394" t="s">
        <v>3502</v>
      </c>
      <c r="E394">
        <v>6</v>
      </c>
      <c r="F394" t="s">
        <v>3526</v>
      </c>
      <c r="G394" t="s">
        <v>3517</v>
      </c>
      <c r="H394">
        <v>1</v>
      </c>
      <c r="I394">
        <v>14.9</v>
      </c>
      <c r="J394">
        <v>89.1</v>
      </c>
    </row>
    <row r="395" spans="1:10" x14ac:dyDescent="0.25">
      <c r="A395" t="s">
        <v>1654</v>
      </c>
      <c r="B395" s="3">
        <v>44445</v>
      </c>
      <c r="C395" t="s">
        <v>1655</v>
      </c>
      <c r="D395" t="s">
        <v>3498</v>
      </c>
      <c r="E395">
        <v>1</v>
      </c>
      <c r="F395" t="s">
        <v>3523</v>
      </c>
      <c r="G395" t="s">
        <v>3517</v>
      </c>
      <c r="H395">
        <v>0.2</v>
      </c>
      <c r="I395">
        <v>3.9</v>
      </c>
      <c r="J395">
        <v>3.9</v>
      </c>
    </row>
    <row r="396" spans="1:10" x14ac:dyDescent="0.25">
      <c r="A396" t="s">
        <v>1659</v>
      </c>
      <c r="B396" s="3">
        <v>44083</v>
      </c>
      <c r="C396" t="s">
        <v>1660</v>
      </c>
      <c r="D396" t="s">
        <v>3473</v>
      </c>
      <c r="E396">
        <v>4</v>
      </c>
      <c r="F396" t="s">
        <v>3524</v>
      </c>
      <c r="G396" t="s">
        <v>3517</v>
      </c>
      <c r="H396">
        <v>2.5</v>
      </c>
      <c r="I396">
        <v>27.5</v>
      </c>
      <c r="J396">
        <v>109.9</v>
      </c>
    </row>
    <row r="397" spans="1:10" x14ac:dyDescent="0.25">
      <c r="A397" t="s">
        <v>1662</v>
      </c>
      <c r="B397" s="3">
        <v>44465</v>
      </c>
      <c r="C397" t="s">
        <v>1663</v>
      </c>
      <c r="D397" t="s">
        <v>3500</v>
      </c>
      <c r="E397">
        <v>6</v>
      </c>
      <c r="F397" t="s">
        <v>3525</v>
      </c>
      <c r="G397" t="s">
        <v>3518</v>
      </c>
      <c r="H397">
        <v>0.5</v>
      </c>
      <c r="I397">
        <v>7.8</v>
      </c>
      <c r="J397">
        <v>46.6</v>
      </c>
    </row>
    <row r="398" spans="1:10" x14ac:dyDescent="0.25">
      <c r="A398" t="s">
        <v>1665</v>
      </c>
      <c r="B398" s="3">
        <v>44140</v>
      </c>
      <c r="C398" t="s">
        <v>1666</v>
      </c>
      <c r="D398" t="s">
        <v>3511</v>
      </c>
      <c r="E398">
        <v>5</v>
      </c>
      <c r="F398" t="s">
        <v>3523</v>
      </c>
      <c r="G398" t="s">
        <v>3517</v>
      </c>
      <c r="H398">
        <v>0.5</v>
      </c>
      <c r="I398">
        <v>7.8</v>
      </c>
      <c r="J398">
        <v>38.9</v>
      </c>
    </row>
    <row r="399" spans="1:10" x14ac:dyDescent="0.25">
      <c r="A399" t="s">
        <v>1668</v>
      </c>
      <c r="B399" s="3">
        <v>43720</v>
      </c>
      <c r="C399" t="s">
        <v>1669</v>
      </c>
      <c r="D399" t="s">
        <v>3500</v>
      </c>
      <c r="E399">
        <v>4</v>
      </c>
      <c r="F399" t="s">
        <v>3525</v>
      </c>
      <c r="G399" t="s">
        <v>3518</v>
      </c>
      <c r="H399">
        <v>0.5</v>
      </c>
      <c r="I399">
        <v>7.8</v>
      </c>
      <c r="J399">
        <v>31.1</v>
      </c>
    </row>
    <row r="400" spans="1:10" x14ac:dyDescent="0.25">
      <c r="A400" t="s">
        <v>1671</v>
      </c>
      <c r="B400" s="3">
        <v>43677</v>
      </c>
      <c r="C400" t="s">
        <v>1672</v>
      </c>
      <c r="D400" t="s">
        <v>3485</v>
      </c>
      <c r="E400">
        <v>6</v>
      </c>
      <c r="F400" t="s">
        <v>3523</v>
      </c>
      <c r="G400" t="s">
        <v>3518</v>
      </c>
      <c r="H400">
        <v>0.2</v>
      </c>
      <c r="I400">
        <v>3</v>
      </c>
      <c r="J400">
        <v>17.899999999999999</v>
      </c>
    </row>
    <row r="401" spans="1:10" x14ac:dyDescent="0.25">
      <c r="A401" t="s">
        <v>1674</v>
      </c>
      <c r="B401" s="3">
        <v>43539</v>
      </c>
      <c r="C401" t="s">
        <v>1675</v>
      </c>
      <c r="D401" t="s">
        <v>3516</v>
      </c>
      <c r="E401">
        <v>6</v>
      </c>
      <c r="F401" t="s">
        <v>3526</v>
      </c>
      <c r="G401" t="s">
        <v>3518</v>
      </c>
      <c r="H401">
        <v>2.5</v>
      </c>
      <c r="I401">
        <v>27.9</v>
      </c>
      <c r="J401">
        <v>167.7</v>
      </c>
    </row>
    <row r="402" spans="1:10" x14ac:dyDescent="0.25">
      <c r="A402" t="s">
        <v>1677</v>
      </c>
      <c r="B402" s="3">
        <v>44332</v>
      </c>
      <c r="C402" t="s">
        <v>1678</v>
      </c>
      <c r="D402" t="s">
        <v>3501</v>
      </c>
      <c r="E402">
        <v>4</v>
      </c>
      <c r="F402" t="s">
        <v>3525</v>
      </c>
      <c r="G402" t="s">
        <v>3517</v>
      </c>
      <c r="H402">
        <v>1</v>
      </c>
      <c r="I402">
        <v>15.9</v>
      </c>
      <c r="J402">
        <v>63.4</v>
      </c>
    </row>
    <row r="403" spans="1:10" x14ac:dyDescent="0.25">
      <c r="A403" t="s">
        <v>1680</v>
      </c>
      <c r="B403" s="3">
        <v>43591</v>
      </c>
      <c r="C403" t="s">
        <v>1681</v>
      </c>
      <c r="D403" t="s">
        <v>3490</v>
      </c>
      <c r="E403">
        <v>2</v>
      </c>
      <c r="F403" t="s">
        <v>3525</v>
      </c>
      <c r="G403" t="s">
        <v>3519</v>
      </c>
      <c r="H403">
        <v>0.2</v>
      </c>
      <c r="I403">
        <v>4.4000000000000004</v>
      </c>
      <c r="J403">
        <v>8.6999999999999993</v>
      </c>
    </row>
    <row r="404" spans="1:10" x14ac:dyDescent="0.25">
      <c r="A404" t="s">
        <v>1683</v>
      </c>
      <c r="B404" s="3">
        <v>43502</v>
      </c>
      <c r="C404" t="s">
        <v>1684</v>
      </c>
      <c r="D404" t="s">
        <v>3508</v>
      </c>
      <c r="E404">
        <v>3</v>
      </c>
      <c r="F404" t="s">
        <v>3524</v>
      </c>
      <c r="G404" t="s">
        <v>3518</v>
      </c>
      <c r="H404">
        <v>1</v>
      </c>
      <c r="I404">
        <v>9</v>
      </c>
      <c r="J404">
        <v>26.9</v>
      </c>
    </row>
    <row r="405" spans="1:10" x14ac:dyDescent="0.25">
      <c r="A405" t="s">
        <v>1686</v>
      </c>
      <c r="B405" s="3">
        <v>44295</v>
      </c>
      <c r="C405" t="s">
        <v>1687</v>
      </c>
      <c r="D405" t="s">
        <v>3476</v>
      </c>
      <c r="E405">
        <v>2</v>
      </c>
      <c r="F405" t="s">
        <v>3525</v>
      </c>
      <c r="G405" t="s">
        <v>3517</v>
      </c>
      <c r="H405">
        <v>0.2</v>
      </c>
      <c r="I405">
        <v>4.8</v>
      </c>
      <c r="J405">
        <v>9.5</v>
      </c>
    </row>
    <row r="406" spans="1:10" x14ac:dyDescent="0.25">
      <c r="A406" t="s">
        <v>1689</v>
      </c>
      <c r="B406" s="3">
        <v>43971</v>
      </c>
      <c r="C406" t="s">
        <v>1690</v>
      </c>
      <c r="D406" t="s">
        <v>3478</v>
      </c>
      <c r="E406">
        <v>4</v>
      </c>
      <c r="F406" t="s">
        <v>3523</v>
      </c>
      <c r="G406" t="s">
        <v>3518</v>
      </c>
      <c r="H406">
        <v>1</v>
      </c>
      <c r="I406">
        <v>10</v>
      </c>
      <c r="J406">
        <v>39.799999999999997</v>
      </c>
    </row>
    <row r="407" spans="1:10" x14ac:dyDescent="0.25">
      <c r="A407" t="s">
        <v>1692</v>
      </c>
      <c r="B407" s="3">
        <v>44167</v>
      </c>
      <c r="C407" t="s">
        <v>1693</v>
      </c>
      <c r="D407" t="s">
        <v>3470</v>
      </c>
      <c r="E407">
        <v>3</v>
      </c>
      <c r="F407" t="s">
        <v>3526</v>
      </c>
      <c r="G407" t="s">
        <v>3519</v>
      </c>
      <c r="H407">
        <v>0.5</v>
      </c>
      <c r="I407">
        <v>8.3000000000000007</v>
      </c>
      <c r="J407">
        <v>24.8</v>
      </c>
    </row>
    <row r="408" spans="1:10" x14ac:dyDescent="0.25">
      <c r="A408" t="s">
        <v>1695</v>
      </c>
      <c r="B408" s="3">
        <v>44416</v>
      </c>
      <c r="C408" t="s">
        <v>1696</v>
      </c>
      <c r="D408" t="s">
        <v>3472</v>
      </c>
      <c r="E408">
        <v>5</v>
      </c>
      <c r="F408" t="s">
        <v>3526</v>
      </c>
      <c r="G408" t="s">
        <v>3519</v>
      </c>
      <c r="H408">
        <v>1</v>
      </c>
      <c r="I408">
        <v>13.8</v>
      </c>
      <c r="J408">
        <v>68.8</v>
      </c>
    </row>
    <row r="409" spans="1:10" x14ac:dyDescent="0.25">
      <c r="A409" t="s">
        <v>1698</v>
      </c>
      <c r="B409" s="3">
        <v>44595</v>
      </c>
      <c r="C409" t="s">
        <v>1699</v>
      </c>
      <c r="D409" t="s">
        <v>3470</v>
      </c>
      <c r="E409">
        <v>6</v>
      </c>
      <c r="F409" t="s">
        <v>3526</v>
      </c>
      <c r="G409" t="s">
        <v>3519</v>
      </c>
      <c r="H409">
        <v>0.5</v>
      </c>
      <c r="I409">
        <v>8.3000000000000007</v>
      </c>
      <c r="J409">
        <v>49.5</v>
      </c>
    </row>
    <row r="410" spans="1:10" x14ac:dyDescent="0.25">
      <c r="A410" t="s">
        <v>1701</v>
      </c>
      <c r="B410" s="3">
        <v>44659</v>
      </c>
      <c r="C410" t="s">
        <v>1702</v>
      </c>
      <c r="D410" t="s">
        <v>3506</v>
      </c>
      <c r="E410">
        <v>2</v>
      </c>
      <c r="F410" t="s">
        <v>3523</v>
      </c>
      <c r="G410" t="s">
        <v>3519</v>
      </c>
      <c r="H410">
        <v>2.5</v>
      </c>
      <c r="I410">
        <v>25.9</v>
      </c>
      <c r="J410">
        <v>51.8</v>
      </c>
    </row>
    <row r="411" spans="1:10" x14ac:dyDescent="0.25">
      <c r="A411" t="s">
        <v>1704</v>
      </c>
      <c r="B411" s="3">
        <v>44203</v>
      </c>
      <c r="C411" t="s">
        <v>1705</v>
      </c>
      <c r="D411" t="s">
        <v>3501</v>
      </c>
      <c r="E411">
        <v>3</v>
      </c>
      <c r="F411" t="s">
        <v>3525</v>
      </c>
      <c r="G411" t="s">
        <v>3517</v>
      </c>
      <c r="H411">
        <v>1</v>
      </c>
      <c r="I411">
        <v>15.9</v>
      </c>
      <c r="J411">
        <v>47.6</v>
      </c>
    </row>
    <row r="412" spans="1:10" x14ac:dyDescent="0.25">
      <c r="A412" t="s">
        <v>1707</v>
      </c>
      <c r="B412" s="3">
        <v>44441</v>
      </c>
      <c r="C412" t="s">
        <v>1708</v>
      </c>
      <c r="D412" t="s">
        <v>3498</v>
      </c>
      <c r="E412">
        <v>4</v>
      </c>
      <c r="F412" t="s">
        <v>3523</v>
      </c>
      <c r="G412" t="s">
        <v>3517</v>
      </c>
      <c r="H412">
        <v>0.2</v>
      </c>
      <c r="I412">
        <v>3.9</v>
      </c>
      <c r="J412">
        <v>15.5</v>
      </c>
    </row>
    <row r="413" spans="1:10" x14ac:dyDescent="0.25">
      <c r="A413" t="s">
        <v>1710</v>
      </c>
      <c r="B413" s="3">
        <v>44504</v>
      </c>
      <c r="C413" t="s">
        <v>1711</v>
      </c>
      <c r="D413" t="s">
        <v>3493</v>
      </c>
      <c r="E413">
        <v>6</v>
      </c>
      <c r="F413" t="s">
        <v>3525</v>
      </c>
      <c r="G413" t="s">
        <v>3519</v>
      </c>
      <c r="H413">
        <v>1</v>
      </c>
      <c r="I413">
        <v>14.6</v>
      </c>
      <c r="J413">
        <v>87.3</v>
      </c>
    </row>
    <row r="414" spans="1:10" x14ac:dyDescent="0.25">
      <c r="A414" t="s">
        <v>1713</v>
      </c>
      <c r="B414" s="3">
        <v>44410</v>
      </c>
      <c r="C414" t="s">
        <v>1714</v>
      </c>
      <c r="D414" t="s">
        <v>3486</v>
      </c>
      <c r="E414">
        <v>5</v>
      </c>
      <c r="F414" t="s">
        <v>3523</v>
      </c>
      <c r="G414" t="s">
        <v>3519</v>
      </c>
      <c r="H414">
        <v>1</v>
      </c>
      <c r="I414">
        <v>11.3</v>
      </c>
      <c r="J414">
        <v>56.3</v>
      </c>
    </row>
    <row r="415" spans="1:10" x14ac:dyDescent="0.25">
      <c r="A415" t="s">
        <v>1716</v>
      </c>
      <c r="B415" s="3">
        <v>43857</v>
      </c>
      <c r="C415" t="s">
        <v>1717</v>
      </c>
      <c r="D415" t="s">
        <v>3495</v>
      </c>
      <c r="E415">
        <v>1</v>
      </c>
      <c r="F415" t="s">
        <v>3525</v>
      </c>
      <c r="G415" t="s">
        <v>3517</v>
      </c>
      <c r="H415">
        <v>2.5</v>
      </c>
      <c r="I415">
        <v>36.5</v>
      </c>
      <c r="J415">
        <v>36.5</v>
      </c>
    </row>
    <row r="416" spans="1:10" x14ac:dyDescent="0.25">
      <c r="A416" t="s">
        <v>1719</v>
      </c>
      <c r="B416" s="3">
        <v>43802</v>
      </c>
      <c r="C416" t="s">
        <v>1720</v>
      </c>
      <c r="D416" t="s">
        <v>3509</v>
      </c>
      <c r="E416">
        <v>3</v>
      </c>
      <c r="F416" t="s">
        <v>3524</v>
      </c>
      <c r="G416" t="s">
        <v>3517</v>
      </c>
      <c r="H416">
        <v>0.2</v>
      </c>
      <c r="I416">
        <v>3.6</v>
      </c>
      <c r="J416">
        <v>10.8</v>
      </c>
    </row>
    <row r="417" spans="1:10" x14ac:dyDescent="0.25">
      <c r="A417" t="s">
        <v>1722</v>
      </c>
      <c r="B417" s="3">
        <v>43683</v>
      </c>
      <c r="C417" t="s">
        <v>1723</v>
      </c>
      <c r="D417" t="s">
        <v>3505</v>
      </c>
      <c r="E417">
        <v>3</v>
      </c>
      <c r="F417" t="s">
        <v>3524</v>
      </c>
      <c r="G417" t="s">
        <v>3519</v>
      </c>
      <c r="H417">
        <v>0.2</v>
      </c>
      <c r="I417">
        <v>3</v>
      </c>
      <c r="J417">
        <v>9</v>
      </c>
    </row>
    <row r="418" spans="1:10" x14ac:dyDescent="0.25">
      <c r="A418" t="s">
        <v>1725</v>
      </c>
      <c r="B418" s="3">
        <v>43901</v>
      </c>
      <c r="C418" t="s">
        <v>1726</v>
      </c>
      <c r="D418" t="s">
        <v>3511</v>
      </c>
      <c r="E418">
        <v>3</v>
      </c>
      <c r="F418" t="s">
        <v>3523</v>
      </c>
      <c r="G418" t="s">
        <v>3517</v>
      </c>
      <c r="H418">
        <v>0.5</v>
      </c>
      <c r="I418">
        <v>7.8</v>
      </c>
      <c r="J418">
        <v>23.3</v>
      </c>
    </row>
    <row r="419" spans="1:10" x14ac:dyDescent="0.25">
      <c r="A419" t="s">
        <v>1728</v>
      </c>
      <c r="B419" s="3">
        <v>44457</v>
      </c>
      <c r="C419" t="s">
        <v>1729</v>
      </c>
      <c r="D419" t="s">
        <v>3513</v>
      </c>
      <c r="E419">
        <v>1</v>
      </c>
      <c r="F419" t="s">
        <v>3523</v>
      </c>
      <c r="G419" t="s">
        <v>3517</v>
      </c>
      <c r="H419">
        <v>2.5</v>
      </c>
      <c r="I419">
        <v>29.8</v>
      </c>
      <c r="J419">
        <v>29.8</v>
      </c>
    </row>
    <row r="420" spans="1:10" x14ac:dyDescent="0.25">
      <c r="A420" t="s">
        <v>1731</v>
      </c>
      <c r="B420" s="3">
        <v>44142</v>
      </c>
      <c r="C420" t="s">
        <v>1732</v>
      </c>
      <c r="D420" t="s">
        <v>3513</v>
      </c>
      <c r="E420">
        <v>5</v>
      </c>
      <c r="F420" t="s">
        <v>3523</v>
      </c>
      <c r="G420" t="s">
        <v>3517</v>
      </c>
      <c r="H420">
        <v>2.5</v>
      </c>
      <c r="I420">
        <v>29.8</v>
      </c>
      <c r="J420">
        <v>148.9</v>
      </c>
    </row>
    <row r="421" spans="1:10" x14ac:dyDescent="0.25">
      <c r="A421" t="s">
        <v>1734</v>
      </c>
      <c r="B421" s="3">
        <v>44739</v>
      </c>
      <c r="C421" t="s">
        <v>1735</v>
      </c>
      <c r="D421" t="s">
        <v>3491</v>
      </c>
      <c r="E421">
        <v>1</v>
      </c>
      <c r="F421" t="s">
        <v>3525</v>
      </c>
      <c r="G421" t="s">
        <v>3519</v>
      </c>
      <c r="H421">
        <v>0.5</v>
      </c>
      <c r="I421">
        <v>8.6999999999999993</v>
      </c>
      <c r="J421">
        <v>8.6999999999999993</v>
      </c>
    </row>
    <row r="422" spans="1:10" x14ac:dyDescent="0.25">
      <c r="A422" t="s">
        <v>1737</v>
      </c>
      <c r="B422" s="3">
        <v>43866</v>
      </c>
      <c r="C422" t="s">
        <v>1594</v>
      </c>
      <c r="D422" t="s">
        <v>3500</v>
      </c>
      <c r="E422">
        <v>4</v>
      </c>
      <c r="F422" t="s">
        <v>3525</v>
      </c>
      <c r="G422" t="s">
        <v>3518</v>
      </c>
      <c r="H422">
        <v>0.5</v>
      </c>
      <c r="I422">
        <v>7.8</v>
      </c>
      <c r="J422">
        <v>31.1</v>
      </c>
    </row>
    <row r="423" spans="1:10" x14ac:dyDescent="0.25">
      <c r="A423" t="s">
        <v>1737</v>
      </c>
      <c r="B423" s="3">
        <v>43866</v>
      </c>
      <c r="C423" t="s">
        <v>1594</v>
      </c>
      <c r="D423" t="s">
        <v>3499</v>
      </c>
      <c r="E423">
        <v>6</v>
      </c>
      <c r="F423" t="s">
        <v>3523</v>
      </c>
      <c r="G423" t="s">
        <v>3518</v>
      </c>
      <c r="H423">
        <v>2.5</v>
      </c>
      <c r="I423">
        <v>22.9</v>
      </c>
      <c r="J423">
        <v>137.30000000000001</v>
      </c>
    </row>
    <row r="424" spans="1:10" x14ac:dyDescent="0.25">
      <c r="A424" t="s">
        <v>1742</v>
      </c>
      <c r="B424" s="3">
        <v>43868</v>
      </c>
      <c r="C424" t="s">
        <v>1743</v>
      </c>
      <c r="D424" t="s">
        <v>3489</v>
      </c>
      <c r="E424">
        <v>5</v>
      </c>
      <c r="F424" t="s">
        <v>3523</v>
      </c>
      <c r="G424" t="s">
        <v>3518</v>
      </c>
      <c r="H424">
        <v>0.5</v>
      </c>
      <c r="I424">
        <v>6</v>
      </c>
      <c r="J424">
        <v>29.9</v>
      </c>
    </row>
    <row r="425" spans="1:10" x14ac:dyDescent="0.25">
      <c r="A425" t="s">
        <v>1745</v>
      </c>
      <c r="B425" s="3">
        <v>44183</v>
      </c>
      <c r="C425" t="s">
        <v>1746</v>
      </c>
      <c r="D425" t="s">
        <v>3477</v>
      </c>
      <c r="E425">
        <v>3</v>
      </c>
      <c r="F425" t="s">
        <v>3524</v>
      </c>
      <c r="G425" t="s">
        <v>3519</v>
      </c>
      <c r="H425">
        <v>0.5</v>
      </c>
      <c r="I425">
        <v>6</v>
      </c>
      <c r="J425">
        <v>17.899999999999999</v>
      </c>
    </row>
    <row r="426" spans="1:10" x14ac:dyDescent="0.25">
      <c r="A426" t="s">
        <v>1748</v>
      </c>
      <c r="B426" s="3">
        <v>44431</v>
      </c>
      <c r="C426" t="s">
        <v>1749</v>
      </c>
      <c r="D426" t="s">
        <v>3507</v>
      </c>
      <c r="E426">
        <v>3</v>
      </c>
      <c r="F426" t="s">
        <v>3526</v>
      </c>
      <c r="G426" t="s">
        <v>3517</v>
      </c>
      <c r="H426">
        <v>0.5</v>
      </c>
      <c r="I426">
        <v>8.9</v>
      </c>
      <c r="J426">
        <v>26.7</v>
      </c>
    </row>
    <row r="427" spans="1:10" x14ac:dyDescent="0.25">
      <c r="A427" t="s">
        <v>1751</v>
      </c>
      <c r="B427" s="3">
        <v>44428</v>
      </c>
      <c r="C427" t="s">
        <v>1752</v>
      </c>
      <c r="D427" t="s">
        <v>3508</v>
      </c>
      <c r="E427">
        <v>2</v>
      </c>
      <c r="F427" t="s">
        <v>3524</v>
      </c>
      <c r="G427" t="s">
        <v>3518</v>
      </c>
      <c r="H427">
        <v>1</v>
      </c>
      <c r="I427">
        <v>9</v>
      </c>
      <c r="J427">
        <v>17.899999999999999</v>
      </c>
    </row>
    <row r="428" spans="1:10" x14ac:dyDescent="0.25">
      <c r="A428" t="s">
        <v>1754</v>
      </c>
      <c r="B428" s="3">
        <v>43556</v>
      </c>
      <c r="C428" t="s">
        <v>1755</v>
      </c>
      <c r="D428" t="s">
        <v>3509</v>
      </c>
      <c r="E428">
        <v>4</v>
      </c>
      <c r="F428" t="s">
        <v>3524</v>
      </c>
      <c r="G428" t="s">
        <v>3517</v>
      </c>
      <c r="H428">
        <v>0.2</v>
      </c>
      <c r="I428">
        <v>3.6</v>
      </c>
      <c r="J428">
        <v>14.3</v>
      </c>
    </row>
    <row r="429" spans="1:10" x14ac:dyDescent="0.25">
      <c r="A429" t="s">
        <v>1757</v>
      </c>
      <c r="B429" s="3">
        <v>44224</v>
      </c>
      <c r="C429" t="s">
        <v>1758</v>
      </c>
      <c r="D429" t="s">
        <v>3506</v>
      </c>
      <c r="E429">
        <v>3</v>
      </c>
      <c r="F429" t="s">
        <v>3523</v>
      </c>
      <c r="G429" t="s">
        <v>3519</v>
      </c>
      <c r="H429">
        <v>2.5</v>
      </c>
      <c r="I429">
        <v>25.9</v>
      </c>
      <c r="J429">
        <v>77.599999999999994</v>
      </c>
    </row>
    <row r="430" spans="1:10" x14ac:dyDescent="0.25">
      <c r="A430" t="s">
        <v>1760</v>
      </c>
      <c r="B430" s="3">
        <v>43759</v>
      </c>
      <c r="C430" t="s">
        <v>1761</v>
      </c>
      <c r="D430" t="s">
        <v>3510</v>
      </c>
      <c r="E430">
        <v>5</v>
      </c>
      <c r="F430" t="s">
        <v>3524</v>
      </c>
      <c r="G430" t="s">
        <v>3517</v>
      </c>
      <c r="H430">
        <v>1</v>
      </c>
      <c r="I430">
        <v>12</v>
      </c>
      <c r="J430">
        <v>59.8</v>
      </c>
    </row>
    <row r="431" spans="1:10" x14ac:dyDescent="0.25">
      <c r="A431" t="s">
        <v>1763</v>
      </c>
      <c r="B431" s="3">
        <v>44367</v>
      </c>
      <c r="C431" t="s">
        <v>1594</v>
      </c>
      <c r="D431" t="s">
        <v>3471</v>
      </c>
      <c r="E431">
        <v>6</v>
      </c>
      <c r="F431" t="s">
        <v>3523</v>
      </c>
      <c r="G431" t="s">
        <v>3517</v>
      </c>
      <c r="H431">
        <v>1</v>
      </c>
      <c r="I431">
        <v>13</v>
      </c>
      <c r="J431">
        <v>77.7</v>
      </c>
    </row>
    <row r="432" spans="1:10" x14ac:dyDescent="0.25">
      <c r="A432" t="s">
        <v>1766</v>
      </c>
      <c r="B432" s="3">
        <v>44504</v>
      </c>
      <c r="C432" t="s">
        <v>1767</v>
      </c>
      <c r="D432" t="s">
        <v>3494</v>
      </c>
      <c r="E432">
        <v>2</v>
      </c>
      <c r="F432" t="s">
        <v>3524</v>
      </c>
      <c r="G432" t="s">
        <v>3518</v>
      </c>
      <c r="H432">
        <v>0.2</v>
      </c>
      <c r="I432">
        <v>2.7</v>
      </c>
      <c r="J432">
        <v>5.4</v>
      </c>
    </row>
    <row r="433" spans="1:10" x14ac:dyDescent="0.25">
      <c r="A433" t="s">
        <v>1769</v>
      </c>
      <c r="B433" s="3">
        <v>44291</v>
      </c>
      <c r="C433" t="s">
        <v>1770</v>
      </c>
      <c r="D433" t="s">
        <v>3516</v>
      </c>
      <c r="E433">
        <v>3</v>
      </c>
      <c r="F433" t="s">
        <v>3526</v>
      </c>
      <c r="G433" t="s">
        <v>3518</v>
      </c>
      <c r="H433">
        <v>2.5</v>
      </c>
      <c r="I433">
        <v>27.9</v>
      </c>
      <c r="J433">
        <v>83.8</v>
      </c>
    </row>
    <row r="434" spans="1:10" x14ac:dyDescent="0.25">
      <c r="A434" t="s">
        <v>1772</v>
      </c>
      <c r="B434" s="3">
        <v>43808</v>
      </c>
      <c r="C434" t="s">
        <v>1773</v>
      </c>
      <c r="D434" t="s">
        <v>3486</v>
      </c>
      <c r="E434">
        <v>2</v>
      </c>
      <c r="F434" t="s">
        <v>3523</v>
      </c>
      <c r="G434" t="s">
        <v>3519</v>
      </c>
      <c r="H434">
        <v>1</v>
      </c>
      <c r="I434">
        <v>11.3</v>
      </c>
      <c r="J434">
        <v>22.5</v>
      </c>
    </row>
    <row r="435" spans="1:10" x14ac:dyDescent="0.25">
      <c r="A435" t="s">
        <v>1775</v>
      </c>
      <c r="B435" s="3">
        <v>44563</v>
      </c>
      <c r="C435" t="s">
        <v>1776</v>
      </c>
      <c r="D435" t="s">
        <v>3512</v>
      </c>
      <c r="E435">
        <v>6</v>
      </c>
      <c r="F435" t="s">
        <v>3525</v>
      </c>
      <c r="G435" t="s">
        <v>3519</v>
      </c>
      <c r="H435">
        <v>2.5</v>
      </c>
      <c r="I435">
        <v>33.5</v>
      </c>
      <c r="J435">
        <v>200.8</v>
      </c>
    </row>
    <row r="436" spans="1:10" x14ac:dyDescent="0.25">
      <c r="A436" t="s">
        <v>1778</v>
      </c>
      <c r="B436" s="3">
        <v>43807</v>
      </c>
      <c r="C436" t="s">
        <v>1779</v>
      </c>
      <c r="D436" t="s">
        <v>3486</v>
      </c>
      <c r="E436">
        <v>6</v>
      </c>
      <c r="F436" t="s">
        <v>3523</v>
      </c>
      <c r="G436" t="s">
        <v>3519</v>
      </c>
      <c r="H436">
        <v>1</v>
      </c>
      <c r="I436">
        <v>11.3</v>
      </c>
      <c r="J436">
        <v>67.5</v>
      </c>
    </row>
    <row r="437" spans="1:10" x14ac:dyDescent="0.25">
      <c r="A437" t="s">
        <v>1781</v>
      </c>
      <c r="B437" s="3">
        <v>44528</v>
      </c>
      <c r="C437" t="s">
        <v>1782</v>
      </c>
      <c r="D437" t="s">
        <v>3470</v>
      </c>
      <c r="E437">
        <v>1</v>
      </c>
      <c r="F437" t="s">
        <v>3526</v>
      </c>
      <c r="G437" t="s">
        <v>3519</v>
      </c>
      <c r="H437">
        <v>0.5</v>
      </c>
      <c r="I437">
        <v>8.3000000000000007</v>
      </c>
      <c r="J437">
        <v>8.3000000000000007</v>
      </c>
    </row>
    <row r="438" spans="1:10" x14ac:dyDescent="0.25">
      <c r="A438" t="s">
        <v>1784</v>
      </c>
      <c r="B438" s="3">
        <v>44631</v>
      </c>
      <c r="C438" t="s">
        <v>1785</v>
      </c>
      <c r="D438" t="s">
        <v>3476</v>
      </c>
      <c r="E438">
        <v>2</v>
      </c>
      <c r="F438" t="s">
        <v>3525</v>
      </c>
      <c r="G438" t="s">
        <v>3517</v>
      </c>
      <c r="H438">
        <v>0.2</v>
      </c>
      <c r="I438">
        <v>4.8</v>
      </c>
      <c r="J438">
        <v>9.5</v>
      </c>
    </row>
    <row r="439" spans="1:10" x14ac:dyDescent="0.25">
      <c r="A439" t="s">
        <v>1787</v>
      </c>
      <c r="B439" s="3">
        <v>44213</v>
      </c>
      <c r="C439" t="s">
        <v>1788</v>
      </c>
      <c r="D439" t="s">
        <v>3496</v>
      </c>
      <c r="E439">
        <v>1</v>
      </c>
      <c r="F439" t="s">
        <v>3525</v>
      </c>
      <c r="G439" t="s">
        <v>3518</v>
      </c>
      <c r="H439">
        <v>2.5</v>
      </c>
      <c r="I439">
        <v>29.8</v>
      </c>
      <c r="J439">
        <v>29.8</v>
      </c>
    </row>
    <row r="440" spans="1:10" x14ac:dyDescent="0.25">
      <c r="A440" t="s">
        <v>1790</v>
      </c>
      <c r="B440" s="3">
        <v>43483</v>
      </c>
      <c r="C440" t="s">
        <v>1836</v>
      </c>
      <c r="D440" t="s">
        <v>3500</v>
      </c>
      <c r="E440">
        <v>2</v>
      </c>
      <c r="F440" t="s">
        <v>3525</v>
      </c>
      <c r="G440" t="s">
        <v>3518</v>
      </c>
      <c r="H440">
        <v>0.5</v>
      </c>
      <c r="I440">
        <v>7.8</v>
      </c>
      <c r="J440">
        <v>15.5</v>
      </c>
    </row>
    <row r="441" spans="1:10" x14ac:dyDescent="0.25">
      <c r="A441" t="s">
        <v>1793</v>
      </c>
      <c r="B441" s="3">
        <v>43562</v>
      </c>
      <c r="C441" t="s">
        <v>1794</v>
      </c>
      <c r="D441" t="s">
        <v>3507</v>
      </c>
      <c r="E441">
        <v>4</v>
      </c>
      <c r="F441" t="s">
        <v>3526</v>
      </c>
      <c r="G441" t="s">
        <v>3517</v>
      </c>
      <c r="H441">
        <v>0.5</v>
      </c>
      <c r="I441">
        <v>8.9</v>
      </c>
      <c r="J441">
        <v>35.6</v>
      </c>
    </row>
    <row r="442" spans="1:10" x14ac:dyDescent="0.25">
      <c r="A442" t="s">
        <v>1796</v>
      </c>
      <c r="B442" s="3">
        <v>44230</v>
      </c>
      <c r="C442" t="s">
        <v>1797</v>
      </c>
      <c r="D442" t="s">
        <v>3506</v>
      </c>
      <c r="E442">
        <v>4</v>
      </c>
      <c r="F442" t="s">
        <v>3523</v>
      </c>
      <c r="G442" t="s">
        <v>3519</v>
      </c>
      <c r="H442">
        <v>2.5</v>
      </c>
      <c r="I442">
        <v>25.9</v>
      </c>
      <c r="J442">
        <v>103.5</v>
      </c>
    </row>
    <row r="443" spans="1:10" x14ac:dyDescent="0.25">
      <c r="A443" t="s">
        <v>1799</v>
      </c>
      <c r="B443" s="3">
        <v>43573</v>
      </c>
      <c r="C443" t="s">
        <v>1800</v>
      </c>
      <c r="D443" t="s">
        <v>3514</v>
      </c>
      <c r="E443">
        <v>3</v>
      </c>
      <c r="F443" t="s">
        <v>3526</v>
      </c>
      <c r="G443" t="s">
        <v>3518</v>
      </c>
      <c r="H443">
        <v>1</v>
      </c>
      <c r="I443">
        <v>12.2</v>
      </c>
      <c r="J443">
        <v>36.5</v>
      </c>
    </row>
    <row r="444" spans="1:10" x14ac:dyDescent="0.25">
      <c r="A444" t="s">
        <v>1802</v>
      </c>
      <c r="B444" s="3">
        <v>44384</v>
      </c>
      <c r="C444" t="s">
        <v>1803</v>
      </c>
      <c r="D444" t="s">
        <v>3504</v>
      </c>
      <c r="E444">
        <v>5</v>
      </c>
      <c r="F444" t="s">
        <v>3524</v>
      </c>
      <c r="G444" t="s">
        <v>3517</v>
      </c>
      <c r="H444">
        <v>0.5</v>
      </c>
      <c r="I444">
        <v>7.2</v>
      </c>
      <c r="J444">
        <v>35.9</v>
      </c>
    </row>
    <row r="445" spans="1:10" x14ac:dyDescent="0.25">
      <c r="A445" t="s">
        <v>1805</v>
      </c>
      <c r="B445" s="3">
        <v>44250</v>
      </c>
      <c r="C445" t="s">
        <v>1806</v>
      </c>
      <c r="D445" t="s">
        <v>3515</v>
      </c>
      <c r="E445">
        <v>5</v>
      </c>
      <c r="F445" t="s">
        <v>3526</v>
      </c>
      <c r="G445" t="s">
        <v>3517</v>
      </c>
      <c r="H445">
        <v>0.2</v>
      </c>
      <c r="I445">
        <v>4.5</v>
      </c>
      <c r="J445">
        <v>22.3</v>
      </c>
    </row>
    <row r="446" spans="1:10" x14ac:dyDescent="0.25">
      <c r="A446" t="s">
        <v>1808</v>
      </c>
      <c r="B446" s="3">
        <v>44418</v>
      </c>
      <c r="C446" t="s">
        <v>1809</v>
      </c>
      <c r="D446" t="s">
        <v>3487</v>
      </c>
      <c r="E446">
        <v>6</v>
      </c>
      <c r="F446" t="s">
        <v>3526</v>
      </c>
      <c r="G446" t="s">
        <v>3519</v>
      </c>
      <c r="H446">
        <v>0.2</v>
      </c>
      <c r="I446">
        <v>4.0999999999999996</v>
      </c>
      <c r="J446">
        <v>24.8</v>
      </c>
    </row>
    <row r="447" spans="1:10" x14ac:dyDescent="0.25">
      <c r="A447" t="s">
        <v>1812</v>
      </c>
      <c r="B447" s="3">
        <v>43784</v>
      </c>
      <c r="C447" t="s">
        <v>1813</v>
      </c>
      <c r="D447" t="s">
        <v>3512</v>
      </c>
      <c r="E447">
        <v>2</v>
      </c>
      <c r="F447" t="s">
        <v>3525</v>
      </c>
      <c r="G447" t="s">
        <v>3519</v>
      </c>
      <c r="H447">
        <v>2.5</v>
      </c>
      <c r="I447">
        <v>33.5</v>
      </c>
      <c r="J447">
        <v>66.900000000000006</v>
      </c>
    </row>
    <row r="448" spans="1:10" x14ac:dyDescent="0.25">
      <c r="A448" t="s">
        <v>1815</v>
      </c>
      <c r="B448" s="3">
        <v>43816</v>
      </c>
      <c r="C448" t="s">
        <v>1816</v>
      </c>
      <c r="D448" t="s">
        <v>3491</v>
      </c>
      <c r="E448">
        <v>1</v>
      </c>
      <c r="F448" t="s">
        <v>3525</v>
      </c>
      <c r="G448" t="s">
        <v>3519</v>
      </c>
      <c r="H448">
        <v>0.5</v>
      </c>
      <c r="I448">
        <v>8.6999999999999993</v>
      </c>
      <c r="J448">
        <v>8.6999999999999993</v>
      </c>
    </row>
    <row r="449" spans="1:10" x14ac:dyDescent="0.25">
      <c r="A449" t="s">
        <v>1818</v>
      </c>
      <c r="B449" s="3">
        <v>43908</v>
      </c>
      <c r="C449" t="s">
        <v>1819</v>
      </c>
      <c r="D449" t="s">
        <v>3477</v>
      </c>
      <c r="E449">
        <v>3</v>
      </c>
      <c r="F449" t="s">
        <v>3524</v>
      </c>
      <c r="G449" t="s">
        <v>3519</v>
      </c>
      <c r="H449">
        <v>0.5</v>
      </c>
      <c r="I449">
        <v>6</v>
      </c>
      <c r="J449">
        <v>17.899999999999999</v>
      </c>
    </row>
    <row r="450" spans="1:10" x14ac:dyDescent="0.25">
      <c r="A450" t="s">
        <v>1821</v>
      </c>
      <c r="B450" s="3">
        <v>44718</v>
      </c>
      <c r="C450" t="s">
        <v>1822</v>
      </c>
      <c r="D450" t="s">
        <v>3504</v>
      </c>
      <c r="E450">
        <v>1</v>
      </c>
      <c r="F450" t="s">
        <v>3524</v>
      </c>
      <c r="G450" t="s">
        <v>3517</v>
      </c>
      <c r="H450">
        <v>0.5</v>
      </c>
      <c r="I450">
        <v>7.2</v>
      </c>
      <c r="J450">
        <v>7.2</v>
      </c>
    </row>
    <row r="451" spans="1:10" x14ac:dyDescent="0.25">
      <c r="A451" t="s">
        <v>1824</v>
      </c>
      <c r="B451" s="3">
        <v>44336</v>
      </c>
      <c r="C451" t="s">
        <v>1825</v>
      </c>
      <c r="D451" t="s">
        <v>3494</v>
      </c>
      <c r="E451">
        <v>2</v>
      </c>
      <c r="F451" t="s">
        <v>3524</v>
      </c>
      <c r="G451" t="s">
        <v>3518</v>
      </c>
      <c r="H451">
        <v>0.2</v>
      </c>
      <c r="I451">
        <v>2.7</v>
      </c>
      <c r="J451">
        <v>5.4</v>
      </c>
    </row>
    <row r="452" spans="1:10" x14ac:dyDescent="0.25">
      <c r="A452" t="s">
        <v>1827</v>
      </c>
      <c r="B452" s="3">
        <v>44207</v>
      </c>
      <c r="C452" t="s">
        <v>1828</v>
      </c>
      <c r="D452" t="s">
        <v>3476</v>
      </c>
      <c r="E452">
        <v>5</v>
      </c>
      <c r="F452" t="s">
        <v>3525</v>
      </c>
      <c r="G452" t="s">
        <v>3517</v>
      </c>
      <c r="H452">
        <v>0.2</v>
      </c>
      <c r="I452">
        <v>4.8</v>
      </c>
      <c r="J452">
        <v>23.8</v>
      </c>
    </row>
    <row r="453" spans="1:10" x14ac:dyDescent="0.25">
      <c r="A453" t="s">
        <v>1832</v>
      </c>
      <c r="B453" s="3">
        <v>43518</v>
      </c>
      <c r="C453" t="s">
        <v>1833</v>
      </c>
      <c r="D453" t="s">
        <v>3480</v>
      </c>
      <c r="E453">
        <v>2</v>
      </c>
      <c r="F453" t="s">
        <v>3524</v>
      </c>
      <c r="G453" t="s">
        <v>3518</v>
      </c>
      <c r="H453">
        <v>2.5</v>
      </c>
      <c r="I453">
        <v>20.6</v>
      </c>
      <c r="J453">
        <v>41.2</v>
      </c>
    </row>
    <row r="454" spans="1:10" x14ac:dyDescent="0.25">
      <c r="A454" t="s">
        <v>1835</v>
      </c>
      <c r="B454" s="3">
        <v>44524</v>
      </c>
      <c r="C454" t="s">
        <v>1836</v>
      </c>
      <c r="D454" t="s">
        <v>3498</v>
      </c>
      <c r="E454">
        <v>3</v>
      </c>
      <c r="F454" t="s">
        <v>3523</v>
      </c>
      <c r="G454" t="s">
        <v>3517</v>
      </c>
      <c r="H454">
        <v>0.2</v>
      </c>
      <c r="I454">
        <v>3.9</v>
      </c>
      <c r="J454">
        <v>11.7</v>
      </c>
    </row>
    <row r="455" spans="1:10" x14ac:dyDescent="0.25">
      <c r="A455" t="s">
        <v>1838</v>
      </c>
      <c r="B455" s="3">
        <v>44579</v>
      </c>
      <c r="C455" t="s">
        <v>1839</v>
      </c>
      <c r="D455" t="s">
        <v>3492</v>
      </c>
      <c r="E455">
        <v>4</v>
      </c>
      <c r="F455" t="s">
        <v>3525</v>
      </c>
      <c r="G455" t="s">
        <v>3517</v>
      </c>
      <c r="H455">
        <v>0.5</v>
      </c>
      <c r="I455">
        <v>9.5</v>
      </c>
      <c r="J455">
        <v>38</v>
      </c>
    </row>
    <row r="456" spans="1:10" x14ac:dyDescent="0.25">
      <c r="A456" t="s">
        <v>1841</v>
      </c>
      <c r="B456" s="3">
        <v>44421</v>
      </c>
      <c r="C456" t="s">
        <v>1842</v>
      </c>
      <c r="D456" t="s">
        <v>3480</v>
      </c>
      <c r="E456">
        <v>4</v>
      </c>
      <c r="F456" t="s">
        <v>3524</v>
      </c>
      <c r="G456" t="s">
        <v>3518</v>
      </c>
      <c r="H456">
        <v>2.5</v>
      </c>
      <c r="I456">
        <v>20.6</v>
      </c>
      <c r="J456">
        <v>82.3</v>
      </c>
    </row>
    <row r="457" spans="1:10" x14ac:dyDescent="0.25">
      <c r="A457" t="s">
        <v>1844</v>
      </c>
      <c r="B457" s="3">
        <v>43841</v>
      </c>
      <c r="C457" t="s">
        <v>1845</v>
      </c>
      <c r="D457" t="s">
        <v>3476</v>
      </c>
      <c r="E457">
        <v>2</v>
      </c>
      <c r="F457" t="s">
        <v>3525</v>
      </c>
      <c r="G457" t="s">
        <v>3517</v>
      </c>
      <c r="H457">
        <v>0.2</v>
      </c>
      <c r="I457">
        <v>4.8</v>
      </c>
      <c r="J457">
        <v>9.5</v>
      </c>
    </row>
    <row r="458" spans="1:10" x14ac:dyDescent="0.25">
      <c r="A458" t="s">
        <v>1847</v>
      </c>
      <c r="B458" s="3">
        <v>44017</v>
      </c>
      <c r="C458" t="s">
        <v>1848</v>
      </c>
      <c r="D458" t="s">
        <v>3480</v>
      </c>
      <c r="E458">
        <v>2</v>
      </c>
      <c r="F458" t="s">
        <v>3524</v>
      </c>
      <c r="G458" t="s">
        <v>3518</v>
      </c>
      <c r="H458">
        <v>2.5</v>
      </c>
      <c r="I458">
        <v>20.6</v>
      </c>
      <c r="J458">
        <v>41.2</v>
      </c>
    </row>
    <row r="459" spans="1:10" x14ac:dyDescent="0.25">
      <c r="A459" t="s">
        <v>1850</v>
      </c>
      <c r="B459" s="3">
        <v>43671</v>
      </c>
      <c r="C459" t="s">
        <v>1851</v>
      </c>
      <c r="D459" t="s">
        <v>3492</v>
      </c>
      <c r="E459">
        <v>5</v>
      </c>
      <c r="F459" t="s">
        <v>3525</v>
      </c>
      <c r="G459" t="s">
        <v>3517</v>
      </c>
      <c r="H459">
        <v>0.5</v>
      </c>
      <c r="I459">
        <v>9.5</v>
      </c>
      <c r="J459">
        <v>47.6</v>
      </c>
    </row>
    <row r="460" spans="1:10" x14ac:dyDescent="0.25">
      <c r="A460" t="s">
        <v>1853</v>
      </c>
      <c r="B460" s="3">
        <v>44707</v>
      </c>
      <c r="C460" t="s">
        <v>1854</v>
      </c>
      <c r="D460" t="s">
        <v>3486</v>
      </c>
      <c r="E460">
        <v>4</v>
      </c>
      <c r="F460" t="s">
        <v>3523</v>
      </c>
      <c r="G460" t="s">
        <v>3519</v>
      </c>
      <c r="H460">
        <v>1</v>
      </c>
      <c r="I460">
        <v>11.3</v>
      </c>
      <c r="J460">
        <v>45</v>
      </c>
    </row>
    <row r="461" spans="1:10" x14ac:dyDescent="0.25">
      <c r="A461" t="s">
        <v>1856</v>
      </c>
      <c r="B461" s="3">
        <v>43840</v>
      </c>
      <c r="C461" t="s">
        <v>1857</v>
      </c>
      <c r="D461" t="s">
        <v>3476</v>
      </c>
      <c r="E461">
        <v>5</v>
      </c>
      <c r="F461" t="s">
        <v>3525</v>
      </c>
      <c r="G461" t="s">
        <v>3517</v>
      </c>
      <c r="H461">
        <v>0.2</v>
      </c>
      <c r="I461">
        <v>4.8</v>
      </c>
      <c r="J461">
        <v>23.8</v>
      </c>
    </row>
    <row r="462" spans="1:10" x14ac:dyDescent="0.25">
      <c r="A462" t="s">
        <v>1859</v>
      </c>
      <c r="B462" s="3">
        <v>43602</v>
      </c>
      <c r="C462" t="s">
        <v>1860</v>
      </c>
      <c r="D462" t="s">
        <v>3503</v>
      </c>
      <c r="E462">
        <v>3</v>
      </c>
      <c r="F462" t="s">
        <v>3524</v>
      </c>
      <c r="G462" t="s">
        <v>3518</v>
      </c>
      <c r="H462">
        <v>0.5</v>
      </c>
      <c r="I462">
        <v>5.4</v>
      </c>
      <c r="J462">
        <v>16.100000000000001</v>
      </c>
    </row>
    <row r="463" spans="1:10" x14ac:dyDescent="0.25">
      <c r="A463" t="s">
        <v>1862</v>
      </c>
      <c r="B463" s="3">
        <v>44036</v>
      </c>
      <c r="C463" t="s">
        <v>1863</v>
      </c>
      <c r="D463" t="s">
        <v>3494</v>
      </c>
      <c r="E463">
        <v>4</v>
      </c>
      <c r="F463" t="s">
        <v>3524</v>
      </c>
      <c r="G463" t="s">
        <v>3518</v>
      </c>
      <c r="H463">
        <v>0.2</v>
      </c>
      <c r="I463">
        <v>2.7</v>
      </c>
      <c r="J463">
        <v>10.7</v>
      </c>
    </row>
    <row r="464" spans="1:10" x14ac:dyDescent="0.25">
      <c r="A464" t="s">
        <v>1865</v>
      </c>
      <c r="B464" s="3">
        <v>44124</v>
      </c>
      <c r="C464" t="s">
        <v>1866</v>
      </c>
      <c r="D464" t="s">
        <v>3478</v>
      </c>
      <c r="E464">
        <v>5</v>
      </c>
      <c r="F464" t="s">
        <v>3523</v>
      </c>
      <c r="G464" t="s">
        <v>3518</v>
      </c>
      <c r="H464">
        <v>1</v>
      </c>
      <c r="I464">
        <v>10</v>
      </c>
      <c r="J464">
        <v>49.8</v>
      </c>
    </row>
    <row r="465" spans="1:10" x14ac:dyDescent="0.25">
      <c r="A465" t="s">
        <v>1868</v>
      </c>
      <c r="B465" s="3">
        <v>43730</v>
      </c>
      <c r="C465" t="s">
        <v>1869</v>
      </c>
      <c r="D465" t="s">
        <v>3472</v>
      </c>
      <c r="E465">
        <v>2</v>
      </c>
      <c r="F465" t="s">
        <v>3526</v>
      </c>
      <c r="G465" t="s">
        <v>3519</v>
      </c>
      <c r="H465">
        <v>1</v>
      </c>
      <c r="I465">
        <v>13.8</v>
      </c>
      <c r="J465">
        <v>27.5</v>
      </c>
    </row>
    <row r="466" spans="1:10" x14ac:dyDescent="0.25">
      <c r="A466" t="s">
        <v>1871</v>
      </c>
      <c r="B466" s="3">
        <v>43989</v>
      </c>
      <c r="C466" t="s">
        <v>1872</v>
      </c>
      <c r="D466" t="s">
        <v>3496</v>
      </c>
      <c r="E466">
        <v>4</v>
      </c>
      <c r="F466" t="s">
        <v>3525</v>
      </c>
      <c r="G466" t="s">
        <v>3518</v>
      </c>
      <c r="H466">
        <v>2.5</v>
      </c>
      <c r="I466">
        <v>29.8</v>
      </c>
      <c r="J466">
        <v>119.1</v>
      </c>
    </row>
    <row r="467" spans="1:10" x14ac:dyDescent="0.25">
      <c r="A467" t="s">
        <v>1874</v>
      </c>
      <c r="B467" s="3">
        <v>43814</v>
      </c>
      <c r="C467" t="s">
        <v>1875</v>
      </c>
      <c r="D467" t="s">
        <v>3480</v>
      </c>
      <c r="E467">
        <v>1</v>
      </c>
      <c r="F467" t="s">
        <v>3524</v>
      </c>
      <c r="G467" t="s">
        <v>3518</v>
      </c>
      <c r="H467">
        <v>2.5</v>
      </c>
      <c r="I467">
        <v>20.6</v>
      </c>
      <c r="J467">
        <v>20.6</v>
      </c>
    </row>
    <row r="468" spans="1:10" x14ac:dyDescent="0.25">
      <c r="A468" t="s">
        <v>1877</v>
      </c>
      <c r="B468" s="3">
        <v>44171</v>
      </c>
      <c r="C468" t="s">
        <v>1878</v>
      </c>
      <c r="D468" t="s">
        <v>3485</v>
      </c>
      <c r="E468">
        <v>3</v>
      </c>
      <c r="F468" t="s">
        <v>3523</v>
      </c>
      <c r="G468" t="s">
        <v>3518</v>
      </c>
      <c r="H468">
        <v>0.2</v>
      </c>
      <c r="I468">
        <v>3</v>
      </c>
      <c r="J468">
        <v>9</v>
      </c>
    </row>
    <row r="469" spans="1:10" x14ac:dyDescent="0.25">
      <c r="A469" t="s">
        <v>1880</v>
      </c>
      <c r="B469" s="3">
        <v>44536</v>
      </c>
      <c r="C469" t="s">
        <v>1881</v>
      </c>
      <c r="D469" t="s">
        <v>3489</v>
      </c>
      <c r="E469">
        <v>1</v>
      </c>
      <c r="F469" t="s">
        <v>3523</v>
      </c>
      <c r="G469" t="s">
        <v>3518</v>
      </c>
      <c r="H469">
        <v>0.5</v>
      </c>
      <c r="I469">
        <v>6</v>
      </c>
      <c r="J469">
        <v>6</v>
      </c>
    </row>
    <row r="470" spans="1:10" x14ac:dyDescent="0.25">
      <c r="A470" t="s">
        <v>1883</v>
      </c>
      <c r="B470" s="3">
        <v>44023</v>
      </c>
      <c r="C470" t="s">
        <v>1884</v>
      </c>
      <c r="D470" t="s">
        <v>3472</v>
      </c>
      <c r="E470">
        <v>3</v>
      </c>
      <c r="F470" t="s">
        <v>3526</v>
      </c>
      <c r="G470" t="s">
        <v>3519</v>
      </c>
      <c r="H470">
        <v>1</v>
      </c>
      <c r="I470">
        <v>13.8</v>
      </c>
      <c r="J470">
        <v>41.3</v>
      </c>
    </row>
    <row r="471" spans="1:10" x14ac:dyDescent="0.25">
      <c r="A471" t="s">
        <v>1886</v>
      </c>
      <c r="B471" s="3">
        <v>44375</v>
      </c>
      <c r="C471" t="s">
        <v>1914</v>
      </c>
      <c r="D471" t="s">
        <v>3515</v>
      </c>
      <c r="E471">
        <v>5</v>
      </c>
      <c r="F471" t="s">
        <v>3526</v>
      </c>
      <c r="G471" t="s">
        <v>3517</v>
      </c>
      <c r="H471">
        <v>0.2</v>
      </c>
      <c r="I471">
        <v>4.5</v>
      </c>
      <c r="J471">
        <v>22.3</v>
      </c>
    </row>
    <row r="472" spans="1:10" x14ac:dyDescent="0.25">
      <c r="A472" t="s">
        <v>1889</v>
      </c>
      <c r="B472" s="3">
        <v>44656</v>
      </c>
      <c r="C472" t="s">
        <v>1890</v>
      </c>
      <c r="D472" t="s">
        <v>3488</v>
      </c>
      <c r="E472">
        <v>1</v>
      </c>
      <c r="F472" t="s">
        <v>3523</v>
      </c>
      <c r="G472" t="s">
        <v>3519</v>
      </c>
      <c r="H472">
        <v>0.5</v>
      </c>
      <c r="I472">
        <v>6.8</v>
      </c>
      <c r="J472">
        <v>6.8</v>
      </c>
    </row>
    <row r="473" spans="1:10" x14ac:dyDescent="0.25">
      <c r="A473" t="s">
        <v>1892</v>
      </c>
      <c r="B473" s="3">
        <v>44644</v>
      </c>
      <c r="C473" t="s">
        <v>1893</v>
      </c>
      <c r="D473" t="s">
        <v>3512</v>
      </c>
      <c r="E473">
        <v>4</v>
      </c>
      <c r="F473" t="s">
        <v>3525</v>
      </c>
      <c r="G473" t="s">
        <v>3519</v>
      </c>
      <c r="H473">
        <v>2.5</v>
      </c>
      <c r="I473">
        <v>33.5</v>
      </c>
      <c r="J473">
        <v>133.9</v>
      </c>
    </row>
    <row r="474" spans="1:10" x14ac:dyDescent="0.25">
      <c r="A474" t="s">
        <v>1895</v>
      </c>
      <c r="B474" s="3">
        <v>43869</v>
      </c>
      <c r="C474" t="s">
        <v>1896</v>
      </c>
      <c r="D474" t="s">
        <v>3485</v>
      </c>
      <c r="E474">
        <v>2</v>
      </c>
      <c r="F474" t="s">
        <v>3523</v>
      </c>
      <c r="G474" t="s">
        <v>3518</v>
      </c>
      <c r="H474">
        <v>0.2</v>
      </c>
      <c r="I474">
        <v>3</v>
      </c>
      <c r="J474">
        <v>6</v>
      </c>
    </row>
    <row r="475" spans="1:10" x14ac:dyDescent="0.25">
      <c r="A475" t="s">
        <v>1898</v>
      </c>
      <c r="B475" s="3">
        <v>44603</v>
      </c>
      <c r="C475" t="s">
        <v>1899</v>
      </c>
      <c r="D475" t="s">
        <v>3471</v>
      </c>
      <c r="E475">
        <v>2</v>
      </c>
      <c r="F475" t="s">
        <v>3523</v>
      </c>
      <c r="G475" t="s">
        <v>3517</v>
      </c>
      <c r="H475">
        <v>1</v>
      </c>
      <c r="I475">
        <v>13</v>
      </c>
      <c r="J475">
        <v>25.9</v>
      </c>
    </row>
    <row r="476" spans="1:10" x14ac:dyDescent="0.25">
      <c r="A476" t="s">
        <v>1901</v>
      </c>
      <c r="B476" s="3">
        <v>44014</v>
      </c>
      <c r="C476" t="s">
        <v>1902</v>
      </c>
      <c r="D476" t="s">
        <v>3497</v>
      </c>
      <c r="E476">
        <v>1</v>
      </c>
      <c r="F476" t="s">
        <v>3526</v>
      </c>
      <c r="G476" t="s">
        <v>3519</v>
      </c>
      <c r="H476">
        <v>2.5</v>
      </c>
      <c r="I476">
        <v>31.6</v>
      </c>
      <c r="J476">
        <v>31.6</v>
      </c>
    </row>
    <row r="477" spans="1:10" x14ac:dyDescent="0.25">
      <c r="A477" t="s">
        <v>1904</v>
      </c>
      <c r="B477" s="3">
        <v>44767</v>
      </c>
      <c r="C477" t="s">
        <v>1905</v>
      </c>
      <c r="D477" t="s">
        <v>3490</v>
      </c>
      <c r="E477">
        <v>2</v>
      </c>
      <c r="F477" t="s">
        <v>3525</v>
      </c>
      <c r="G477" t="s">
        <v>3519</v>
      </c>
      <c r="H477">
        <v>0.2</v>
      </c>
      <c r="I477">
        <v>4.4000000000000004</v>
      </c>
      <c r="J477">
        <v>8.6999999999999993</v>
      </c>
    </row>
    <row r="478" spans="1:10" x14ac:dyDescent="0.25">
      <c r="A478" t="s">
        <v>1907</v>
      </c>
      <c r="B478" s="3">
        <v>44274</v>
      </c>
      <c r="C478" t="s">
        <v>1908</v>
      </c>
      <c r="D478" t="s">
        <v>3515</v>
      </c>
      <c r="E478">
        <v>6</v>
      </c>
      <c r="F478" t="s">
        <v>3526</v>
      </c>
      <c r="G478" t="s">
        <v>3517</v>
      </c>
      <c r="H478">
        <v>0.2</v>
      </c>
      <c r="I478">
        <v>4.5</v>
      </c>
      <c r="J478">
        <v>26.7</v>
      </c>
    </row>
    <row r="479" spans="1:10" x14ac:dyDescent="0.25">
      <c r="A479" t="s">
        <v>1910</v>
      </c>
      <c r="B479" s="3">
        <v>43962</v>
      </c>
      <c r="C479" t="s">
        <v>1911</v>
      </c>
      <c r="D479" t="s">
        <v>3490</v>
      </c>
      <c r="E479">
        <v>6</v>
      </c>
      <c r="F479" t="s">
        <v>3525</v>
      </c>
      <c r="G479" t="s">
        <v>3519</v>
      </c>
      <c r="H479">
        <v>0.2</v>
      </c>
      <c r="I479">
        <v>4.4000000000000004</v>
      </c>
      <c r="J479">
        <v>26.2</v>
      </c>
    </row>
    <row r="480" spans="1:10" x14ac:dyDescent="0.25">
      <c r="A480" t="s">
        <v>1913</v>
      </c>
      <c r="B480" s="3">
        <v>43624</v>
      </c>
      <c r="C480" t="s">
        <v>1914</v>
      </c>
      <c r="D480" t="s">
        <v>3508</v>
      </c>
      <c r="E480">
        <v>6</v>
      </c>
      <c r="F480" t="s">
        <v>3524</v>
      </c>
      <c r="G480" t="s">
        <v>3518</v>
      </c>
      <c r="H480">
        <v>1</v>
      </c>
      <c r="I480">
        <v>9</v>
      </c>
      <c r="J480">
        <v>53.7</v>
      </c>
    </row>
    <row r="481" spans="1:10" x14ac:dyDescent="0.25">
      <c r="A481" t="s">
        <v>1913</v>
      </c>
      <c r="B481" s="3">
        <v>43624</v>
      </c>
      <c r="C481" t="s">
        <v>1914</v>
      </c>
      <c r="D481" t="s">
        <v>3497</v>
      </c>
      <c r="E481">
        <v>4</v>
      </c>
      <c r="F481" t="s">
        <v>3526</v>
      </c>
      <c r="G481" t="s">
        <v>3519</v>
      </c>
      <c r="H481">
        <v>2.5</v>
      </c>
      <c r="I481">
        <v>31.6</v>
      </c>
      <c r="J481">
        <v>126.5</v>
      </c>
    </row>
    <row r="482" spans="1:10" x14ac:dyDescent="0.25">
      <c r="A482" t="s">
        <v>1913</v>
      </c>
      <c r="B482" s="3">
        <v>43624</v>
      </c>
      <c r="C482" t="s">
        <v>1914</v>
      </c>
      <c r="D482" t="s">
        <v>3487</v>
      </c>
      <c r="E482">
        <v>1</v>
      </c>
      <c r="F482" t="s">
        <v>3526</v>
      </c>
      <c r="G482" t="s">
        <v>3519</v>
      </c>
      <c r="H482">
        <v>0.2</v>
      </c>
      <c r="I482">
        <v>4.0999999999999996</v>
      </c>
      <c r="J482">
        <v>4.0999999999999996</v>
      </c>
    </row>
    <row r="483" spans="1:10" x14ac:dyDescent="0.25">
      <c r="A483" t="s">
        <v>1920</v>
      </c>
      <c r="B483" s="3">
        <v>43747</v>
      </c>
      <c r="C483" t="s">
        <v>1921</v>
      </c>
      <c r="D483" t="s">
        <v>3510</v>
      </c>
      <c r="E483">
        <v>2</v>
      </c>
      <c r="F483" t="s">
        <v>3524</v>
      </c>
      <c r="G483" t="s">
        <v>3517</v>
      </c>
      <c r="H483">
        <v>1</v>
      </c>
      <c r="I483">
        <v>12</v>
      </c>
      <c r="J483">
        <v>23.9</v>
      </c>
    </row>
    <row r="484" spans="1:10" x14ac:dyDescent="0.25">
      <c r="A484" t="s">
        <v>1923</v>
      </c>
      <c r="B484" s="3">
        <v>44247</v>
      </c>
      <c r="C484" t="s">
        <v>1924</v>
      </c>
      <c r="D484" t="s">
        <v>3516</v>
      </c>
      <c r="E484">
        <v>5</v>
      </c>
      <c r="F484" t="s">
        <v>3526</v>
      </c>
      <c r="G484" t="s">
        <v>3518</v>
      </c>
      <c r="H484">
        <v>2.5</v>
      </c>
      <c r="I484">
        <v>27.9</v>
      </c>
      <c r="J484">
        <v>139.69999999999999</v>
      </c>
    </row>
    <row r="485" spans="1:10" x14ac:dyDescent="0.25">
      <c r="A485" t="s">
        <v>1926</v>
      </c>
      <c r="B485" s="3">
        <v>43790</v>
      </c>
      <c r="C485" t="s">
        <v>1927</v>
      </c>
      <c r="D485" t="s">
        <v>3496</v>
      </c>
      <c r="E485">
        <v>2</v>
      </c>
      <c r="F485" t="s">
        <v>3525</v>
      </c>
      <c r="G485" t="s">
        <v>3518</v>
      </c>
      <c r="H485">
        <v>2.5</v>
      </c>
      <c r="I485">
        <v>29.8</v>
      </c>
      <c r="J485">
        <v>59.6</v>
      </c>
    </row>
    <row r="486" spans="1:10" x14ac:dyDescent="0.25">
      <c r="A486" t="s">
        <v>1929</v>
      </c>
      <c r="B486" s="3">
        <v>44479</v>
      </c>
      <c r="C486" t="s">
        <v>1930</v>
      </c>
      <c r="D486" t="s">
        <v>3492</v>
      </c>
      <c r="E486">
        <v>6</v>
      </c>
      <c r="F486" t="s">
        <v>3525</v>
      </c>
      <c r="G486" t="s">
        <v>3517</v>
      </c>
      <c r="H486">
        <v>0.5</v>
      </c>
      <c r="I486">
        <v>9.5</v>
      </c>
      <c r="J486">
        <v>57.1</v>
      </c>
    </row>
    <row r="487" spans="1:10" x14ac:dyDescent="0.25">
      <c r="A487" t="s">
        <v>1932</v>
      </c>
      <c r="B487" s="3">
        <v>44413</v>
      </c>
      <c r="C487" t="s">
        <v>1933</v>
      </c>
      <c r="D487" t="s">
        <v>3509</v>
      </c>
      <c r="E487">
        <v>6</v>
      </c>
      <c r="F487" t="s">
        <v>3524</v>
      </c>
      <c r="G487" t="s">
        <v>3517</v>
      </c>
      <c r="H487">
        <v>0.2</v>
      </c>
      <c r="I487">
        <v>3.6</v>
      </c>
      <c r="J487">
        <v>21.5</v>
      </c>
    </row>
    <row r="488" spans="1:10" x14ac:dyDescent="0.25">
      <c r="A488" t="s">
        <v>1935</v>
      </c>
      <c r="B488" s="3">
        <v>44043</v>
      </c>
      <c r="C488" t="s">
        <v>1936</v>
      </c>
      <c r="D488" t="s">
        <v>3491</v>
      </c>
      <c r="E488">
        <v>6</v>
      </c>
      <c r="F488" t="s">
        <v>3525</v>
      </c>
      <c r="G488" t="s">
        <v>3519</v>
      </c>
      <c r="H488">
        <v>0.5</v>
      </c>
      <c r="I488">
        <v>8.6999999999999993</v>
      </c>
      <c r="J488">
        <v>52.4</v>
      </c>
    </row>
    <row r="489" spans="1:10" x14ac:dyDescent="0.25">
      <c r="A489" t="s">
        <v>1938</v>
      </c>
      <c r="B489" s="3">
        <v>44093</v>
      </c>
      <c r="C489" t="s">
        <v>1939</v>
      </c>
      <c r="D489" t="s">
        <v>3514</v>
      </c>
      <c r="E489">
        <v>6</v>
      </c>
      <c r="F489" t="s">
        <v>3526</v>
      </c>
      <c r="G489" t="s">
        <v>3518</v>
      </c>
      <c r="H489">
        <v>1</v>
      </c>
      <c r="I489">
        <v>12.2</v>
      </c>
      <c r="J489">
        <v>72.900000000000006</v>
      </c>
    </row>
    <row r="490" spans="1:10" x14ac:dyDescent="0.25">
      <c r="A490" t="s">
        <v>1941</v>
      </c>
      <c r="B490" s="3">
        <v>43954</v>
      </c>
      <c r="C490" t="s">
        <v>1942</v>
      </c>
      <c r="D490" t="s">
        <v>3505</v>
      </c>
      <c r="E490">
        <v>5</v>
      </c>
      <c r="F490" t="s">
        <v>3524</v>
      </c>
      <c r="G490" t="s">
        <v>3519</v>
      </c>
      <c r="H490">
        <v>0.2</v>
      </c>
      <c r="I490">
        <v>3</v>
      </c>
      <c r="J490">
        <v>14.9</v>
      </c>
    </row>
    <row r="491" spans="1:10" x14ac:dyDescent="0.25">
      <c r="A491" t="s">
        <v>1944</v>
      </c>
      <c r="B491" s="3">
        <v>43654</v>
      </c>
      <c r="C491" t="s">
        <v>1945</v>
      </c>
      <c r="D491" t="s">
        <v>3501</v>
      </c>
      <c r="E491">
        <v>6</v>
      </c>
      <c r="F491" t="s">
        <v>3525</v>
      </c>
      <c r="G491" t="s">
        <v>3517</v>
      </c>
      <c r="H491">
        <v>1</v>
      </c>
      <c r="I491">
        <v>15.9</v>
      </c>
      <c r="J491">
        <v>95.1</v>
      </c>
    </row>
    <row r="492" spans="1:10" x14ac:dyDescent="0.25">
      <c r="A492" t="s">
        <v>1947</v>
      </c>
      <c r="B492" s="3">
        <v>43764</v>
      </c>
      <c r="C492" t="s">
        <v>1948</v>
      </c>
      <c r="D492" t="s">
        <v>3500</v>
      </c>
      <c r="E492">
        <v>2</v>
      </c>
      <c r="F492" t="s">
        <v>3525</v>
      </c>
      <c r="G492" t="s">
        <v>3518</v>
      </c>
      <c r="H492">
        <v>0.5</v>
      </c>
      <c r="I492">
        <v>7.8</v>
      </c>
      <c r="J492">
        <v>15.5</v>
      </c>
    </row>
    <row r="493" spans="1:10" x14ac:dyDescent="0.25">
      <c r="A493" t="s">
        <v>1950</v>
      </c>
      <c r="B493" s="3">
        <v>44101</v>
      </c>
      <c r="C493" t="s">
        <v>1951</v>
      </c>
      <c r="D493" t="s">
        <v>3481</v>
      </c>
      <c r="E493">
        <v>6</v>
      </c>
      <c r="F493" t="s">
        <v>3525</v>
      </c>
      <c r="G493" t="s">
        <v>3518</v>
      </c>
      <c r="H493">
        <v>0.2</v>
      </c>
      <c r="I493">
        <v>3.9</v>
      </c>
      <c r="J493">
        <v>23.3</v>
      </c>
    </row>
    <row r="494" spans="1:10" x14ac:dyDescent="0.25">
      <c r="A494" t="s">
        <v>1953</v>
      </c>
      <c r="B494" s="3">
        <v>44620</v>
      </c>
      <c r="C494" t="s">
        <v>1954</v>
      </c>
      <c r="D494" t="s">
        <v>3487</v>
      </c>
      <c r="E494">
        <v>1</v>
      </c>
      <c r="F494" t="s">
        <v>3526</v>
      </c>
      <c r="G494" t="s">
        <v>3519</v>
      </c>
      <c r="H494">
        <v>0.2</v>
      </c>
      <c r="I494">
        <v>4.0999999999999996</v>
      </c>
      <c r="J494">
        <v>4.0999999999999996</v>
      </c>
    </row>
    <row r="495" spans="1:10" x14ac:dyDescent="0.25">
      <c r="A495" t="s">
        <v>1956</v>
      </c>
      <c r="B495" s="3">
        <v>44090</v>
      </c>
      <c r="C495" t="s">
        <v>1957</v>
      </c>
      <c r="D495" t="s">
        <v>3477</v>
      </c>
      <c r="E495">
        <v>6</v>
      </c>
      <c r="F495" t="s">
        <v>3524</v>
      </c>
      <c r="G495" t="s">
        <v>3519</v>
      </c>
      <c r="H495">
        <v>0.5</v>
      </c>
      <c r="I495">
        <v>6</v>
      </c>
      <c r="J495">
        <v>35.799999999999997</v>
      </c>
    </row>
    <row r="496" spans="1:10" x14ac:dyDescent="0.25">
      <c r="A496" t="s">
        <v>1959</v>
      </c>
      <c r="B496" s="3">
        <v>44132</v>
      </c>
      <c r="C496" t="s">
        <v>1960</v>
      </c>
      <c r="D496" t="s">
        <v>3501</v>
      </c>
      <c r="E496">
        <v>2</v>
      </c>
      <c r="F496" t="s">
        <v>3525</v>
      </c>
      <c r="G496" t="s">
        <v>3517</v>
      </c>
      <c r="H496">
        <v>1</v>
      </c>
      <c r="I496">
        <v>15.9</v>
      </c>
      <c r="J496">
        <v>31.7</v>
      </c>
    </row>
    <row r="497" spans="1:10" x14ac:dyDescent="0.25">
      <c r="A497" t="s">
        <v>1962</v>
      </c>
      <c r="B497" s="3">
        <v>43710</v>
      </c>
      <c r="C497" t="s">
        <v>1963</v>
      </c>
      <c r="D497" t="s">
        <v>3501</v>
      </c>
      <c r="E497">
        <v>5</v>
      </c>
      <c r="F497" t="s">
        <v>3525</v>
      </c>
      <c r="G497" t="s">
        <v>3517</v>
      </c>
      <c r="H497">
        <v>1</v>
      </c>
      <c r="I497">
        <v>15.9</v>
      </c>
      <c r="J497">
        <v>79.3</v>
      </c>
    </row>
    <row r="498" spans="1:10" x14ac:dyDescent="0.25">
      <c r="A498" t="s">
        <v>1965</v>
      </c>
      <c r="B498" s="3">
        <v>44438</v>
      </c>
      <c r="C498" t="s">
        <v>1966</v>
      </c>
      <c r="D498" t="s">
        <v>3484</v>
      </c>
      <c r="E498">
        <v>3</v>
      </c>
      <c r="F498" t="s">
        <v>3526</v>
      </c>
      <c r="G498" t="s">
        <v>3518</v>
      </c>
      <c r="H498">
        <v>0.2</v>
      </c>
      <c r="I498">
        <v>3.6</v>
      </c>
      <c r="J498">
        <v>10.9</v>
      </c>
    </row>
    <row r="499" spans="1:10" x14ac:dyDescent="0.25">
      <c r="A499" t="s">
        <v>1968</v>
      </c>
      <c r="B499" s="3">
        <v>44351</v>
      </c>
      <c r="C499" t="s">
        <v>1969</v>
      </c>
      <c r="D499" t="s">
        <v>3478</v>
      </c>
      <c r="E499">
        <v>4</v>
      </c>
      <c r="F499" t="s">
        <v>3523</v>
      </c>
      <c r="G499" t="s">
        <v>3518</v>
      </c>
      <c r="H499">
        <v>1</v>
      </c>
      <c r="I499">
        <v>10</v>
      </c>
      <c r="J499">
        <v>39.799999999999997</v>
      </c>
    </row>
    <row r="500" spans="1:10" x14ac:dyDescent="0.25">
      <c r="A500" t="s">
        <v>1972</v>
      </c>
      <c r="B500" s="3">
        <v>44159</v>
      </c>
      <c r="C500" t="s">
        <v>2003</v>
      </c>
      <c r="D500" t="s">
        <v>3469</v>
      </c>
      <c r="E500">
        <v>5</v>
      </c>
      <c r="F500" t="s">
        <v>3524</v>
      </c>
      <c r="G500" t="s">
        <v>3519</v>
      </c>
      <c r="H500">
        <v>1</v>
      </c>
      <c r="I500">
        <v>10</v>
      </c>
      <c r="J500">
        <v>49.8</v>
      </c>
    </row>
    <row r="501" spans="1:10" x14ac:dyDescent="0.25">
      <c r="A501" t="s">
        <v>1975</v>
      </c>
      <c r="B501" s="3">
        <v>44003</v>
      </c>
      <c r="C501" t="s">
        <v>1976</v>
      </c>
      <c r="D501" t="s">
        <v>3494</v>
      </c>
      <c r="E501">
        <v>3</v>
      </c>
      <c r="F501" t="s">
        <v>3524</v>
      </c>
      <c r="G501" t="s">
        <v>3518</v>
      </c>
      <c r="H501">
        <v>0.2</v>
      </c>
      <c r="I501">
        <v>2.7</v>
      </c>
      <c r="J501">
        <v>8.1</v>
      </c>
    </row>
    <row r="502" spans="1:10" x14ac:dyDescent="0.25">
      <c r="A502" t="s">
        <v>1978</v>
      </c>
      <c r="B502" s="3">
        <v>44025</v>
      </c>
      <c r="C502" t="s">
        <v>1979</v>
      </c>
      <c r="D502" t="s">
        <v>3510</v>
      </c>
      <c r="E502">
        <v>4</v>
      </c>
      <c r="F502" t="s">
        <v>3524</v>
      </c>
      <c r="G502" t="s">
        <v>3517</v>
      </c>
      <c r="H502">
        <v>1</v>
      </c>
      <c r="I502">
        <v>12</v>
      </c>
      <c r="J502">
        <v>47.8</v>
      </c>
    </row>
    <row r="503" spans="1:10" x14ac:dyDescent="0.25">
      <c r="A503" t="s">
        <v>1981</v>
      </c>
      <c r="B503" s="3">
        <v>43467</v>
      </c>
      <c r="C503" t="s">
        <v>1982</v>
      </c>
      <c r="D503" t="s">
        <v>3505</v>
      </c>
      <c r="E503">
        <v>4</v>
      </c>
      <c r="F503" t="s">
        <v>3524</v>
      </c>
      <c r="G503" t="s">
        <v>3519</v>
      </c>
      <c r="H503">
        <v>0.2</v>
      </c>
      <c r="I503">
        <v>3</v>
      </c>
      <c r="J503">
        <v>11.9</v>
      </c>
    </row>
    <row r="504" spans="1:10" x14ac:dyDescent="0.25">
      <c r="A504" t="s">
        <v>1981</v>
      </c>
      <c r="B504" s="3">
        <v>43467</v>
      </c>
      <c r="C504" t="s">
        <v>1982</v>
      </c>
      <c r="D504" t="s">
        <v>3487</v>
      </c>
      <c r="E504">
        <v>4</v>
      </c>
      <c r="F504" t="s">
        <v>3526</v>
      </c>
      <c r="G504" t="s">
        <v>3519</v>
      </c>
      <c r="H504">
        <v>0.2</v>
      </c>
      <c r="I504">
        <v>4.0999999999999996</v>
      </c>
      <c r="J504">
        <v>16.5</v>
      </c>
    </row>
    <row r="505" spans="1:10" x14ac:dyDescent="0.25">
      <c r="A505" t="s">
        <v>1981</v>
      </c>
      <c r="B505" s="3">
        <v>43467</v>
      </c>
      <c r="C505" t="s">
        <v>1982</v>
      </c>
      <c r="D505" t="s">
        <v>3474</v>
      </c>
      <c r="E505">
        <v>4</v>
      </c>
      <c r="F505" t="s">
        <v>3525</v>
      </c>
      <c r="G505" t="s">
        <v>3518</v>
      </c>
      <c r="H505">
        <v>1</v>
      </c>
      <c r="I505">
        <v>13</v>
      </c>
      <c r="J505">
        <v>51.8</v>
      </c>
    </row>
    <row r="506" spans="1:10" x14ac:dyDescent="0.25">
      <c r="A506" t="s">
        <v>1981</v>
      </c>
      <c r="B506" s="3">
        <v>43467</v>
      </c>
      <c r="C506" t="s">
        <v>1982</v>
      </c>
      <c r="D506" t="s">
        <v>3476</v>
      </c>
      <c r="E506">
        <v>3</v>
      </c>
      <c r="F506" t="s">
        <v>3525</v>
      </c>
      <c r="G506" t="s">
        <v>3517</v>
      </c>
      <c r="H506">
        <v>0.2</v>
      </c>
      <c r="I506">
        <v>4.8</v>
      </c>
      <c r="J506">
        <v>14.3</v>
      </c>
    </row>
    <row r="507" spans="1:10" x14ac:dyDescent="0.25">
      <c r="A507" t="s">
        <v>1990</v>
      </c>
      <c r="B507" s="3">
        <v>44609</v>
      </c>
      <c r="C507" t="s">
        <v>1991</v>
      </c>
      <c r="D507" t="s">
        <v>3490</v>
      </c>
      <c r="E507">
        <v>6</v>
      </c>
      <c r="F507" t="s">
        <v>3525</v>
      </c>
      <c r="G507" t="s">
        <v>3519</v>
      </c>
      <c r="H507">
        <v>0.2</v>
      </c>
      <c r="I507">
        <v>4.4000000000000004</v>
      </c>
      <c r="J507">
        <v>26.2</v>
      </c>
    </row>
    <row r="508" spans="1:10" x14ac:dyDescent="0.25">
      <c r="A508" t="s">
        <v>1993</v>
      </c>
      <c r="B508" s="3">
        <v>44184</v>
      </c>
      <c r="C508" t="s">
        <v>1994</v>
      </c>
      <c r="D508" t="s">
        <v>3471</v>
      </c>
      <c r="E508">
        <v>2</v>
      </c>
      <c r="F508" t="s">
        <v>3523</v>
      </c>
      <c r="G508" t="s">
        <v>3517</v>
      </c>
      <c r="H508">
        <v>1</v>
      </c>
      <c r="I508">
        <v>13</v>
      </c>
      <c r="J508">
        <v>25.9</v>
      </c>
    </row>
    <row r="509" spans="1:10" x14ac:dyDescent="0.25">
      <c r="A509" t="s">
        <v>1996</v>
      </c>
      <c r="B509" s="3">
        <v>43516</v>
      </c>
      <c r="C509" t="s">
        <v>1997</v>
      </c>
      <c r="D509" t="s">
        <v>3513</v>
      </c>
      <c r="E509">
        <v>3</v>
      </c>
      <c r="F509" t="s">
        <v>3523</v>
      </c>
      <c r="G509" t="s">
        <v>3517</v>
      </c>
      <c r="H509">
        <v>2.5</v>
      </c>
      <c r="I509">
        <v>29.8</v>
      </c>
      <c r="J509">
        <v>89.4</v>
      </c>
    </row>
    <row r="510" spans="1:10" x14ac:dyDescent="0.25">
      <c r="A510" t="s">
        <v>1999</v>
      </c>
      <c r="B510" s="3">
        <v>44210</v>
      </c>
      <c r="C510" t="s">
        <v>2000</v>
      </c>
      <c r="D510" t="s">
        <v>3500</v>
      </c>
      <c r="E510">
        <v>6</v>
      </c>
      <c r="F510" t="s">
        <v>3525</v>
      </c>
      <c r="G510" t="s">
        <v>3518</v>
      </c>
      <c r="H510">
        <v>0.5</v>
      </c>
      <c r="I510">
        <v>7.8</v>
      </c>
      <c r="J510">
        <v>46.6</v>
      </c>
    </row>
    <row r="511" spans="1:10" x14ac:dyDescent="0.25">
      <c r="A511" t="s">
        <v>2002</v>
      </c>
      <c r="B511" s="3">
        <v>43785</v>
      </c>
      <c r="C511" t="s">
        <v>2003</v>
      </c>
      <c r="D511" t="s">
        <v>3478</v>
      </c>
      <c r="E511">
        <v>3</v>
      </c>
      <c r="F511" t="s">
        <v>3523</v>
      </c>
      <c r="G511" t="s">
        <v>3518</v>
      </c>
      <c r="H511">
        <v>1</v>
      </c>
      <c r="I511">
        <v>10</v>
      </c>
      <c r="J511">
        <v>29.9</v>
      </c>
    </row>
    <row r="512" spans="1:10" x14ac:dyDescent="0.25">
      <c r="A512" t="s">
        <v>2005</v>
      </c>
      <c r="B512" s="3">
        <v>43803</v>
      </c>
      <c r="C512" t="s">
        <v>2006</v>
      </c>
      <c r="D512" t="s">
        <v>3509</v>
      </c>
      <c r="E512">
        <v>3</v>
      </c>
      <c r="F512" t="s">
        <v>3524</v>
      </c>
      <c r="G512" t="s">
        <v>3517</v>
      </c>
      <c r="H512">
        <v>0.2</v>
      </c>
      <c r="I512">
        <v>3.6</v>
      </c>
      <c r="J512">
        <v>10.8</v>
      </c>
    </row>
    <row r="513" spans="1:10" x14ac:dyDescent="0.25">
      <c r="A513" t="s">
        <v>2008</v>
      </c>
      <c r="B513" s="3">
        <v>44043</v>
      </c>
      <c r="C513" t="s">
        <v>2009</v>
      </c>
      <c r="D513" t="s">
        <v>3483</v>
      </c>
      <c r="E513">
        <v>4</v>
      </c>
      <c r="F513" t="s">
        <v>3523</v>
      </c>
      <c r="G513" t="s">
        <v>3519</v>
      </c>
      <c r="H513">
        <v>0.2</v>
      </c>
      <c r="I513">
        <v>3.4</v>
      </c>
      <c r="J513">
        <v>13.5</v>
      </c>
    </row>
    <row r="514" spans="1:10" x14ac:dyDescent="0.25">
      <c r="A514" t="s">
        <v>2011</v>
      </c>
      <c r="B514" s="3">
        <v>43535</v>
      </c>
      <c r="C514" t="s">
        <v>2012</v>
      </c>
      <c r="D514" t="s">
        <v>3501</v>
      </c>
      <c r="E514">
        <v>3</v>
      </c>
      <c r="F514" t="s">
        <v>3525</v>
      </c>
      <c r="G514" t="s">
        <v>3517</v>
      </c>
      <c r="H514">
        <v>1</v>
      </c>
      <c r="I514">
        <v>15.9</v>
      </c>
      <c r="J514">
        <v>47.6</v>
      </c>
    </row>
    <row r="515" spans="1:10" x14ac:dyDescent="0.25">
      <c r="A515" t="s">
        <v>2014</v>
      </c>
      <c r="B515" s="3">
        <v>44691</v>
      </c>
      <c r="C515" t="s">
        <v>2015</v>
      </c>
      <c r="D515" t="s">
        <v>3501</v>
      </c>
      <c r="E515">
        <v>5</v>
      </c>
      <c r="F515" t="s">
        <v>3525</v>
      </c>
      <c r="G515" t="s">
        <v>3517</v>
      </c>
      <c r="H515">
        <v>1</v>
      </c>
      <c r="I515">
        <v>15.9</v>
      </c>
      <c r="J515">
        <v>79.3</v>
      </c>
    </row>
    <row r="516" spans="1:10" x14ac:dyDescent="0.25">
      <c r="A516" t="s">
        <v>2017</v>
      </c>
      <c r="B516" s="3">
        <v>44555</v>
      </c>
      <c r="C516" t="s">
        <v>2018</v>
      </c>
      <c r="D516" t="s">
        <v>3490</v>
      </c>
      <c r="E516">
        <v>6</v>
      </c>
      <c r="F516" t="s">
        <v>3525</v>
      </c>
      <c r="G516" t="s">
        <v>3519</v>
      </c>
      <c r="H516">
        <v>0.2</v>
      </c>
      <c r="I516">
        <v>4.4000000000000004</v>
      </c>
      <c r="J516">
        <v>26.2</v>
      </c>
    </row>
    <row r="517" spans="1:10" x14ac:dyDescent="0.25">
      <c r="A517" t="s">
        <v>2020</v>
      </c>
      <c r="B517" s="3">
        <v>44673</v>
      </c>
      <c r="C517" t="s">
        <v>2021</v>
      </c>
      <c r="D517" t="s">
        <v>3504</v>
      </c>
      <c r="E517">
        <v>3</v>
      </c>
      <c r="F517" t="s">
        <v>3524</v>
      </c>
      <c r="G517" t="s">
        <v>3517</v>
      </c>
      <c r="H517">
        <v>0.5</v>
      </c>
      <c r="I517">
        <v>7.2</v>
      </c>
      <c r="J517">
        <v>21.5</v>
      </c>
    </row>
    <row r="518" spans="1:10" x14ac:dyDescent="0.25">
      <c r="A518" t="s">
        <v>2023</v>
      </c>
      <c r="B518" s="3">
        <v>44723</v>
      </c>
      <c r="C518" t="s">
        <v>2024</v>
      </c>
      <c r="D518" t="s">
        <v>3480</v>
      </c>
      <c r="E518">
        <v>5</v>
      </c>
      <c r="F518" t="s">
        <v>3524</v>
      </c>
      <c r="G518" t="s">
        <v>3518</v>
      </c>
      <c r="H518">
        <v>2.5</v>
      </c>
      <c r="I518">
        <v>20.6</v>
      </c>
      <c r="J518">
        <v>102.9</v>
      </c>
    </row>
    <row r="519" spans="1:10" x14ac:dyDescent="0.25">
      <c r="A519" t="s">
        <v>2026</v>
      </c>
      <c r="B519" s="3">
        <v>44678</v>
      </c>
      <c r="C519" t="s">
        <v>2027</v>
      </c>
      <c r="D519" t="s">
        <v>3481</v>
      </c>
      <c r="E519">
        <v>2</v>
      </c>
      <c r="F519" t="s">
        <v>3525</v>
      </c>
      <c r="G519" t="s">
        <v>3518</v>
      </c>
      <c r="H519">
        <v>0.2</v>
      </c>
      <c r="I519">
        <v>3.9</v>
      </c>
      <c r="J519">
        <v>7.8</v>
      </c>
    </row>
    <row r="520" spans="1:10" x14ac:dyDescent="0.25">
      <c r="A520" t="s">
        <v>2029</v>
      </c>
      <c r="B520" s="3">
        <v>44194</v>
      </c>
      <c r="C520" t="s">
        <v>2030</v>
      </c>
      <c r="D520" t="s">
        <v>3516</v>
      </c>
      <c r="E520">
        <v>5</v>
      </c>
      <c r="F520" t="s">
        <v>3526</v>
      </c>
      <c r="G520" t="s">
        <v>3518</v>
      </c>
      <c r="H520">
        <v>2.5</v>
      </c>
      <c r="I520">
        <v>27.9</v>
      </c>
      <c r="J520">
        <v>139.69999999999999</v>
      </c>
    </row>
    <row r="521" spans="1:10" x14ac:dyDescent="0.25">
      <c r="A521" t="s">
        <v>2032</v>
      </c>
      <c r="B521" s="3">
        <v>44026</v>
      </c>
      <c r="C521" t="s">
        <v>2003</v>
      </c>
      <c r="D521" t="s">
        <v>3489</v>
      </c>
      <c r="E521">
        <v>2</v>
      </c>
      <c r="F521" t="s">
        <v>3523</v>
      </c>
      <c r="G521" t="s">
        <v>3518</v>
      </c>
      <c r="H521">
        <v>0.5</v>
      </c>
      <c r="I521">
        <v>6</v>
      </c>
      <c r="J521">
        <v>11.9</v>
      </c>
    </row>
    <row r="522" spans="1:10" x14ac:dyDescent="0.25">
      <c r="A522" t="s">
        <v>2035</v>
      </c>
      <c r="B522" s="3">
        <v>44446</v>
      </c>
      <c r="C522" t="s">
        <v>2036</v>
      </c>
      <c r="D522" t="s">
        <v>3481</v>
      </c>
      <c r="E522">
        <v>1</v>
      </c>
      <c r="F522" t="s">
        <v>3525</v>
      </c>
      <c r="G522" t="s">
        <v>3518</v>
      </c>
      <c r="H522">
        <v>0.2</v>
      </c>
      <c r="I522">
        <v>3.9</v>
      </c>
      <c r="J522">
        <v>3.9</v>
      </c>
    </row>
    <row r="523" spans="1:10" x14ac:dyDescent="0.25">
      <c r="A523" t="s">
        <v>2035</v>
      </c>
      <c r="B523" s="3">
        <v>44446</v>
      </c>
      <c r="C523" t="s">
        <v>2036</v>
      </c>
      <c r="D523" t="s">
        <v>3469</v>
      </c>
      <c r="E523">
        <v>4</v>
      </c>
      <c r="F523" t="s">
        <v>3524</v>
      </c>
      <c r="G523" t="s">
        <v>3519</v>
      </c>
      <c r="H523">
        <v>1</v>
      </c>
      <c r="I523">
        <v>10</v>
      </c>
      <c r="J523">
        <v>39.799999999999997</v>
      </c>
    </row>
    <row r="524" spans="1:10" x14ac:dyDescent="0.25">
      <c r="A524" t="s">
        <v>2040</v>
      </c>
      <c r="B524" s="3">
        <v>43625</v>
      </c>
      <c r="C524" t="s">
        <v>2041</v>
      </c>
      <c r="D524" t="s">
        <v>3477</v>
      </c>
      <c r="E524">
        <v>5</v>
      </c>
      <c r="F524" t="s">
        <v>3524</v>
      </c>
      <c r="G524" t="s">
        <v>3519</v>
      </c>
      <c r="H524">
        <v>0.5</v>
      </c>
      <c r="I524">
        <v>6</v>
      </c>
      <c r="J524">
        <v>29.9</v>
      </c>
    </row>
    <row r="525" spans="1:10" x14ac:dyDescent="0.25">
      <c r="A525" t="s">
        <v>2043</v>
      </c>
      <c r="B525" s="3">
        <v>44129</v>
      </c>
      <c r="C525" t="s">
        <v>2044</v>
      </c>
      <c r="D525" t="s">
        <v>3496</v>
      </c>
      <c r="E525">
        <v>1</v>
      </c>
      <c r="F525" t="s">
        <v>3525</v>
      </c>
      <c r="G525" t="s">
        <v>3518</v>
      </c>
      <c r="H525">
        <v>2.5</v>
      </c>
      <c r="I525">
        <v>29.8</v>
      </c>
      <c r="J525">
        <v>29.8</v>
      </c>
    </row>
    <row r="526" spans="1:10" x14ac:dyDescent="0.25">
      <c r="A526" t="s">
        <v>2046</v>
      </c>
      <c r="B526" s="3">
        <v>44255</v>
      </c>
      <c r="C526" t="s">
        <v>2047</v>
      </c>
      <c r="D526" t="s">
        <v>3495</v>
      </c>
      <c r="E526">
        <v>2</v>
      </c>
      <c r="F526" t="s">
        <v>3525</v>
      </c>
      <c r="G526" t="s">
        <v>3517</v>
      </c>
      <c r="H526">
        <v>2.5</v>
      </c>
      <c r="I526">
        <v>36.5</v>
      </c>
      <c r="J526">
        <v>72.900000000000006</v>
      </c>
    </row>
    <row r="527" spans="1:10" x14ac:dyDescent="0.25">
      <c r="A527" t="s">
        <v>2049</v>
      </c>
      <c r="B527" s="3">
        <v>44038</v>
      </c>
      <c r="C527" t="s">
        <v>2050</v>
      </c>
      <c r="D527" t="s">
        <v>3494</v>
      </c>
      <c r="E527">
        <v>5</v>
      </c>
      <c r="F527" t="s">
        <v>3524</v>
      </c>
      <c r="G527" t="s">
        <v>3518</v>
      </c>
      <c r="H527">
        <v>0.2</v>
      </c>
      <c r="I527">
        <v>2.7</v>
      </c>
      <c r="J527">
        <v>13.4</v>
      </c>
    </row>
    <row r="528" spans="1:10" x14ac:dyDescent="0.25">
      <c r="A528" t="s">
        <v>2052</v>
      </c>
      <c r="B528" s="3">
        <v>44717</v>
      </c>
      <c r="C528" t="s">
        <v>2053</v>
      </c>
      <c r="D528" t="s">
        <v>3497</v>
      </c>
      <c r="E528">
        <v>4</v>
      </c>
      <c r="F528" t="s">
        <v>3526</v>
      </c>
      <c r="G528" t="s">
        <v>3519</v>
      </c>
      <c r="H528">
        <v>2.5</v>
      </c>
      <c r="I528">
        <v>31.6</v>
      </c>
      <c r="J528">
        <v>126.5</v>
      </c>
    </row>
    <row r="529" spans="1:10" x14ac:dyDescent="0.25">
      <c r="A529" t="s">
        <v>2055</v>
      </c>
      <c r="B529" s="3">
        <v>43517</v>
      </c>
      <c r="C529" t="s">
        <v>2056</v>
      </c>
      <c r="D529" t="s">
        <v>3470</v>
      </c>
      <c r="E529">
        <v>5</v>
      </c>
      <c r="F529" t="s">
        <v>3526</v>
      </c>
      <c r="G529" t="s">
        <v>3519</v>
      </c>
      <c r="H529">
        <v>0.5</v>
      </c>
      <c r="I529">
        <v>8.3000000000000007</v>
      </c>
      <c r="J529">
        <v>41.3</v>
      </c>
    </row>
    <row r="530" spans="1:10" x14ac:dyDescent="0.25">
      <c r="A530" t="s">
        <v>2058</v>
      </c>
      <c r="B530" s="3">
        <v>43926</v>
      </c>
      <c r="C530" t="s">
        <v>2059</v>
      </c>
      <c r="D530" t="s">
        <v>3507</v>
      </c>
      <c r="E530">
        <v>6</v>
      </c>
      <c r="F530" t="s">
        <v>3526</v>
      </c>
      <c r="G530" t="s">
        <v>3517</v>
      </c>
      <c r="H530">
        <v>0.5</v>
      </c>
      <c r="I530">
        <v>8.9</v>
      </c>
      <c r="J530">
        <v>53.5</v>
      </c>
    </row>
    <row r="531" spans="1:10" x14ac:dyDescent="0.25">
      <c r="A531" t="s">
        <v>2061</v>
      </c>
      <c r="B531" s="3">
        <v>43475</v>
      </c>
      <c r="C531" t="s">
        <v>2062</v>
      </c>
      <c r="D531" t="s">
        <v>3469</v>
      </c>
      <c r="E531">
        <v>6</v>
      </c>
      <c r="F531" t="s">
        <v>3524</v>
      </c>
      <c r="G531" t="s">
        <v>3519</v>
      </c>
      <c r="H531">
        <v>1</v>
      </c>
      <c r="I531">
        <v>10</v>
      </c>
      <c r="J531">
        <v>59.7</v>
      </c>
    </row>
    <row r="532" spans="1:10" x14ac:dyDescent="0.25">
      <c r="A532" t="s">
        <v>2064</v>
      </c>
      <c r="B532" s="3">
        <v>44663</v>
      </c>
      <c r="C532" t="s">
        <v>2065</v>
      </c>
      <c r="D532" t="s">
        <v>3469</v>
      </c>
      <c r="E532">
        <v>6</v>
      </c>
      <c r="F532" t="s">
        <v>3524</v>
      </c>
      <c r="G532" t="s">
        <v>3519</v>
      </c>
      <c r="H532">
        <v>1</v>
      </c>
      <c r="I532">
        <v>10</v>
      </c>
      <c r="J532">
        <v>59.7</v>
      </c>
    </row>
    <row r="533" spans="1:10" x14ac:dyDescent="0.25">
      <c r="A533" t="s">
        <v>2067</v>
      </c>
      <c r="B533" s="3">
        <v>44591</v>
      </c>
      <c r="C533" t="s">
        <v>2068</v>
      </c>
      <c r="D533" t="s">
        <v>3508</v>
      </c>
      <c r="E533">
        <v>5</v>
      </c>
      <c r="F533" t="s">
        <v>3524</v>
      </c>
      <c r="G533" t="s">
        <v>3518</v>
      </c>
      <c r="H533">
        <v>1</v>
      </c>
      <c r="I533">
        <v>9</v>
      </c>
      <c r="J533">
        <v>44.8</v>
      </c>
    </row>
    <row r="534" spans="1:10" x14ac:dyDescent="0.25">
      <c r="A534" t="s">
        <v>2070</v>
      </c>
      <c r="B534" s="3">
        <v>44330</v>
      </c>
      <c r="C534" t="s">
        <v>2071</v>
      </c>
      <c r="D534" t="s">
        <v>3470</v>
      </c>
      <c r="E534">
        <v>2</v>
      </c>
      <c r="F534" t="s">
        <v>3526</v>
      </c>
      <c r="G534" t="s">
        <v>3519</v>
      </c>
      <c r="H534">
        <v>0.5</v>
      </c>
      <c r="I534">
        <v>8.3000000000000007</v>
      </c>
      <c r="J534">
        <v>16.5</v>
      </c>
    </row>
    <row r="535" spans="1:10" x14ac:dyDescent="0.25">
      <c r="A535" t="s">
        <v>2073</v>
      </c>
      <c r="B535" s="3">
        <v>44724</v>
      </c>
      <c r="C535" t="s">
        <v>2074</v>
      </c>
      <c r="D535" t="s">
        <v>3503</v>
      </c>
      <c r="E535">
        <v>4</v>
      </c>
      <c r="F535" t="s">
        <v>3524</v>
      </c>
      <c r="G535" t="s">
        <v>3518</v>
      </c>
      <c r="H535">
        <v>0.5</v>
      </c>
      <c r="I535">
        <v>5.4</v>
      </c>
      <c r="J535">
        <v>21.5</v>
      </c>
    </row>
    <row r="536" spans="1:10" x14ac:dyDescent="0.25">
      <c r="A536" t="s">
        <v>2076</v>
      </c>
      <c r="B536" s="3">
        <v>44563</v>
      </c>
      <c r="C536" t="s">
        <v>2077</v>
      </c>
      <c r="D536" t="s">
        <v>3482</v>
      </c>
      <c r="E536">
        <v>2</v>
      </c>
      <c r="F536" t="s">
        <v>3524</v>
      </c>
      <c r="G536" t="s">
        <v>3519</v>
      </c>
      <c r="H536">
        <v>2.5</v>
      </c>
      <c r="I536">
        <v>22.9</v>
      </c>
      <c r="J536">
        <v>45.8</v>
      </c>
    </row>
    <row r="537" spans="1:10" x14ac:dyDescent="0.25">
      <c r="A537" t="s">
        <v>2079</v>
      </c>
      <c r="B537" s="3">
        <v>44585</v>
      </c>
      <c r="C537" t="s">
        <v>2080</v>
      </c>
      <c r="D537" t="s">
        <v>3476</v>
      </c>
      <c r="E537">
        <v>2</v>
      </c>
      <c r="F537" t="s">
        <v>3525</v>
      </c>
      <c r="G537" t="s">
        <v>3517</v>
      </c>
      <c r="H537">
        <v>0.2</v>
      </c>
      <c r="I537">
        <v>4.8</v>
      </c>
      <c r="J537">
        <v>9.5</v>
      </c>
    </row>
    <row r="538" spans="1:10" x14ac:dyDescent="0.25">
      <c r="A538" t="s">
        <v>2082</v>
      </c>
      <c r="B538" s="3">
        <v>43544</v>
      </c>
      <c r="C538" t="s">
        <v>2003</v>
      </c>
      <c r="D538" t="s">
        <v>3494</v>
      </c>
      <c r="E538">
        <v>3</v>
      </c>
      <c r="F538" t="s">
        <v>3524</v>
      </c>
      <c r="G538" t="s">
        <v>3518</v>
      </c>
      <c r="H538">
        <v>0.2</v>
      </c>
      <c r="I538">
        <v>2.7</v>
      </c>
      <c r="J538">
        <v>8.1</v>
      </c>
    </row>
    <row r="539" spans="1:10" x14ac:dyDescent="0.25">
      <c r="A539" t="s">
        <v>2085</v>
      </c>
      <c r="B539" s="3">
        <v>44156</v>
      </c>
      <c r="C539" t="s">
        <v>2086</v>
      </c>
      <c r="D539" t="s">
        <v>3516</v>
      </c>
      <c r="E539">
        <v>4</v>
      </c>
      <c r="F539" t="s">
        <v>3526</v>
      </c>
      <c r="G539" t="s">
        <v>3518</v>
      </c>
      <c r="H539">
        <v>2.5</v>
      </c>
      <c r="I539">
        <v>27.9</v>
      </c>
      <c r="J539">
        <v>111.8</v>
      </c>
    </row>
    <row r="540" spans="1:10" x14ac:dyDescent="0.25">
      <c r="A540" t="s">
        <v>2088</v>
      </c>
      <c r="B540" s="3">
        <v>44482</v>
      </c>
      <c r="C540" t="s">
        <v>2089</v>
      </c>
      <c r="D540" t="s">
        <v>3494</v>
      </c>
      <c r="E540">
        <v>4</v>
      </c>
      <c r="F540" t="s">
        <v>3524</v>
      </c>
      <c r="G540" t="s">
        <v>3518</v>
      </c>
      <c r="H540">
        <v>0.2</v>
      </c>
      <c r="I540">
        <v>2.7</v>
      </c>
      <c r="J540">
        <v>10.7</v>
      </c>
    </row>
    <row r="541" spans="1:10" x14ac:dyDescent="0.25">
      <c r="A541" t="s">
        <v>2091</v>
      </c>
      <c r="B541" s="3">
        <v>44488</v>
      </c>
      <c r="C541" t="s">
        <v>2092</v>
      </c>
      <c r="D541" t="s">
        <v>3503</v>
      </c>
      <c r="E541">
        <v>5</v>
      </c>
      <c r="F541" t="s">
        <v>3524</v>
      </c>
      <c r="G541" t="s">
        <v>3518</v>
      </c>
      <c r="H541">
        <v>0.5</v>
      </c>
      <c r="I541">
        <v>5.4</v>
      </c>
      <c r="J541">
        <v>26.9</v>
      </c>
    </row>
    <row r="542" spans="1:10" x14ac:dyDescent="0.25">
      <c r="A542" t="s">
        <v>2094</v>
      </c>
      <c r="B542" s="3">
        <v>43584</v>
      </c>
      <c r="C542" t="s">
        <v>2095</v>
      </c>
      <c r="D542" t="s">
        <v>3501</v>
      </c>
      <c r="E542">
        <v>4</v>
      </c>
      <c r="F542" t="s">
        <v>3525</v>
      </c>
      <c r="G542" t="s">
        <v>3517</v>
      </c>
      <c r="H542">
        <v>1</v>
      </c>
      <c r="I542">
        <v>15.9</v>
      </c>
      <c r="J542">
        <v>63.4</v>
      </c>
    </row>
    <row r="543" spans="1:10" x14ac:dyDescent="0.25">
      <c r="A543" t="s">
        <v>2097</v>
      </c>
      <c r="B543" s="3">
        <v>43750</v>
      </c>
      <c r="C543" t="s">
        <v>2098</v>
      </c>
      <c r="D543" t="s">
        <v>3499</v>
      </c>
      <c r="E543">
        <v>1</v>
      </c>
      <c r="F543" t="s">
        <v>3523</v>
      </c>
      <c r="G543" t="s">
        <v>3518</v>
      </c>
      <c r="H543">
        <v>2.5</v>
      </c>
      <c r="I543">
        <v>22.9</v>
      </c>
      <c r="J543">
        <v>22.9</v>
      </c>
    </row>
    <row r="544" spans="1:10" x14ac:dyDescent="0.25">
      <c r="A544" t="s">
        <v>2100</v>
      </c>
      <c r="B544" s="3">
        <v>44335</v>
      </c>
      <c r="C544" t="s">
        <v>2101</v>
      </c>
      <c r="D544" t="s">
        <v>3506</v>
      </c>
      <c r="E544">
        <v>4</v>
      </c>
      <c r="F544" t="s">
        <v>3523</v>
      </c>
      <c r="G544" t="s">
        <v>3519</v>
      </c>
      <c r="H544">
        <v>2.5</v>
      </c>
      <c r="I544">
        <v>25.9</v>
      </c>
      <c r="J544">
        <v>103.5</v>
      </c>
    </row>
    <row r="545" spans="1:10" x14ac:dyDescent="0.25">
      <c r="A545" t="s">
        <v>2103</v>
      </c>
      <c r="B545" s="3">
        <v>44380</v>
      </c>
      <c r="C545" t="s">
        <v>2104</v>
      </c>
      <c r="D545" t="s">
        <v>3473</v>
      </c>
      <c r="E545">
        <v>2</v>
      </c>
      <c r="F545" t="s">
        <v>3524</v>
      </c>
      <c r="G545" t="s">
        <v>3517</v>
      </c>
      <c r="H545">
        <v>2.5</v>
      </c>
      <c r="I545">
        <v>27.5</v>
      </c>
      <c r="J545">
        <v>55</v>
      </c>
    </row>
    <row r="546" spans="1:10" x14ac:dyDescent="0.25">
      <c r="A546" t="s">
        <v>2106</v>
      </c>
      <c r="B546" s="3">
        <v>43869</v>
      </c>
      <c r="C546" t="s">
        <v>2107</v>
      </c>
      <c r="D546" t="s">
        <v>3511</v>
      </c>
      <c r="E546">
        <v>2</v>
      </c>
      <c r="F546" t="s">
        <v>3523</v>
      </c>
      <c r="G546" t="s">
        <v>3517</v>
      </c>
      <c r="H546">
        <v>0.5</v>
      </c>
      <c r="I546">
        <v>7.8</v>
      </c>
      <c r="J546">
        <v>15.5</v>
      </c>
    </row>
    <row r="547" spans="1:10" x14ac:dyDescent="0.25">
      <c r="A547" t="s">
        <v>2109</v>
      </c>
      <c r="B547" s="3">
        <v>44120</v>
      </c>
      <c r="C547" t="s">
        <v>2110</v>
      </c>
      <c r="D547" t="s">
        <v>3481</v>
      </c>
      <c r="E547">
        <v>4</v>
      </c>
      <c r="F547" t="s">
        <v>3525</v>
      </c>
      <c r="G547" t="s">
        <v>3518</v>
      </c>
      <c r="H547">
        <v>0.2</v>
      </c>
      <c r="I547">
        <v>3.9</v>
      </c>
      <c r="J547">
        <v>15.5</v>
      </c>
    </row>
    <row r="548" spans="1:10" x14ac:dyDescent="0.25">
      <c r="A548" t="s">
        <v>2112</v>
      </c>
      <c r="B548" s="3">
        <v>44127</v>
      </c>
      <c r="C548" t="s">
        <v>2113</v>
      </c>
      <c r="D548" t="s">
        <v>3516</v>
      </c>
      <c r="E548">
        <v>3</v>
      </c>
      <c r="F548" t="s">
        <v>3526</v>
      </c>
      <c r="G548" t="s">
        <v>3518</v>
      </c>
      <c r="H548">
        <v>2.5</v>
      </c>
      <c r="I548">
        <v>27.9</v>
      </c>
      <c r="J548">
        <v>83.8</v>
      </c>
    </row>
    <row r="549" spans="1:10" x14ac:dyDescent="0.25">
      <c r="A549" t="s">
        <v>2115</v>
      </c>
      <c r="B549" s="3">
        <v>44265</v>
      </c>
      <c r="C549" t="s">
        <v>2122</v>
      </c>
      <c r="D549" t="s">
        <v>3509</v>
      </c>
      <c r="E549">
        <v>3</v>
      </c>
      <c r="F549" t="s">
        <v>3524</v>
      </c>
      <c r="G549" t="s">
        <v>3517</v>
      </c>
      <c r="H549">
        <v>0.2</v>
      </c>
      <c r="I549">
        <v>3.6</v>
      </c>
      <c r="J549">
        <v>10.8</v>
      </c>
    </row>
    <row r="550" spans="1:10" x14ac:dyDescent="0.25">
      <c r="A550" t="s">
        <v>2118</v>
      </c>
      <c r="B550" s="3">
        <v>44384</v>
      </c>
      <c r="C550" t="s">
        <v>2119</v>
      </c>
      <c r="D550" t="s">
        <v>3515</v>
      </c>
      <c r="E550">
        <v>3</v>
      </c>
      <c r="F550" t="s">
        <v>3526</v>
      </c>
      <c r="G550" t="s">
        <v>3517</v>
      </c>
      <c r="H550">
        <v>0.2</v>
      </c>
      <c r="I550">
        <v>4.5</v>
      </c>
      <c r="J550">
        <v>13.4</v>
      </c>
    </row>
    <row r="551" spans="1:10" x14ac:dyDescent="0.25">
      <c r="A551" t="s">
        <v>2121</v>
      </c>
      <c r="B551" s="3">
        <v>44232</v>
      </c>
      <c r="C551" t="s">
        <v>2122</v>
      </c>
      <c r="D551" t="s">
        <v>3515</v>
      </c>
      <c r="E551">
        <v>4</v>
      </c>
      <c r="F551" t="s">
        <v>3526</v>
      </c>
      <c r="G551" t="s">
        <v>3517</v>
      </c>
      <c r="H551">
        <v>0.2</v>
      </c>
      <c r="I551">
        <v>4.5</v>
      </c>
      <c r="J551">
        <v>17.8</v>
      </c>
    </row>
    <row r="552" spans="1:10" x14ac:dyDescent="0.25">
      <c r="A552" t="s">
        <v>2124</v>
      </c>
      <c r="B552" s="3">
        <v>44176</v>
      </c>
      <c r="C552" t="s">
        <v>2125</v>
      </c>
      <c r="D552" t="s">
        <v>3481</v>
      </c>
      <c r="E552">
        <v>6</v>
      </c>
      <c r="F552" t="s">
        <v>3525</v>
      </c>
      <c r="G552" t="s">
        <v>3518</v>
      </c>
      <c r="H552">
        <v>0.2</v>
      </c>
      <c r="I552">
        <v>3.9</v>
      </c>
      <c r="J552">
        <v>23.3</v>
      </c>
    </row>
    <row r="553" spans="1:10" x14ac:dyDescent="0.25">
      <c r="A553" t="s">
        <v>2127</v>
      </c>
      <c r="B553" s="3">
        <v>44694</v>
      </c>
      <c r="C553" t="s">
        <v>2128</v>
      </c>
      <c r="D553" t="s">
        <v>3484</v>
      </c>
      <c r="E553">
        <v>2</v>
      </c>
      <c r="F553" t="s">
        <v>3526</v>
      </c>
      <c r="G553" t="s">
        <v>3518</v>
      </c>
      <c r="H553">
        <v>0.2</v>
      </c>
      <c r="I553">
        <v>3.6</v>
      </c>
      <c r="J553">
        <v>7.3</v>
      </c>
    </row>
    <row r="554" spans="1:10" x14ac:dyDescent="0.25">
      <c r="A554" t="s">
        <v>2130</v>
      </c>
      <c r="B554" s="3">
        <v>43761</v>
      </c>
      <c r="C554" t="s">
        <v>2131</v>
      </c>
      <c r="D554" t="s">
        <v>3515</v>
      </c>
      <c r="E554">
        <v>4</v>
      </c>
      <c r="F554" t="s">
        <v>3526</v>
      </c>
      <c r="G554" t="s">
        <v>3517</v>
      </c>
      <c r="H554">
        <v>0.2</v>
      </c>
      <c r="I554">
        <v>4.5</v>
      </c>
      <c r="J554">
        <v>17.8</v>
      </c>
    </row>
    <row r="555" spans="1:10" x14ac:dyDescent="0.25">
      <c r="A555" t="s">
        <v>2133</v>
      </c>
      <c r="B555" s="3">
        <v>44085</v>
      </c>
      <c r="C555" t="s">
        <v>2134</v>
      </c>
      <c r="D555" t="s">
        <v>3472</v>
      </c>
      <c r="E555">
        <v>5</v>
      </c>
      <c r="F555" t="s">
        <v>3526</v>
      </c>
      <c r="G555" t="s">
        <v>3519</v>
      </c>
      <c r="H555">
        <v>1</v>
      </c>
      <c r="I555">
        <v>13.8</v>
      </c>
      <c r="J555">
        <v>68.8</v>
      </c>
    </row>
    <row r="556" spans="1:10" x14ac:dyDescent="0.25">
      <c r="A556" t="s">
        <v>2136</v>
      </c>
      <c r="B556" s="3">
        <v>43737</v>
      </c>
      <c r="C556" t="s">
        <v>2137</v>
      </c>
      <c r="D556" t="s">
        <v>3473</v>
      </c>
      <c r="E556">
        <v>2</v>
      </c>
      <c r="F556" t="s">
        <v>3524</v>
      </c>
      <c r="G556" t="s">
        <v>3517</v>
      </c>
      <c r="H556">
        <v>2.5</v>
      </c>
      <c r="I556">
        <v>27.5</v>
      </c>
      <c r="J556">
        <v>55</v>
      </c>
    </row>
    <row r="557" spans="1:10" x14ac:dyDescent="0.25">
      <c r="A557" t="s">
        <v>2139</v>
      </c>
      <c r="B557" s="3">
        <v>44258</v>
      </c>
      <c r="C557" t="s">
        <v>2140</v>
      </c>
      <c r="D557" t="s">
        <v>3472</v>
      </c>
      <c r="E557">
        <v>6</v>
      </c>
      <c r="F557" t="s">
        <v>3526</v>
      </c>
      <c r="G557" t="s">
        <v>3519</v>
      </c>
      <c r="H557">
        <v>1</v>
      </c>
      <c r="I557">
        <v>13.8</v>
      </c>
      <c r="J557">
        <v>82.5</v>
      </c>
    </row>
    <row r="558" spans="1:10" x14ac:dyDescent="0.25">
      <c r="A558" t="s">
        <v>2142</v>
      </c>
      <c r="B558" s="3">
        <v>44523</v>
      </c>
      <c r="C558" t="s">
        <v>2143</v>
      </c>
      <c r="D558" t="s">
        <v>3490</v>
      </c>
      <c r="E558">
        <v>2</v>
      </c>
      <c r="F558" t="s">
        <v>3525</v>
      </c>
      <c r="G558" t="s">
        <v>3519</v>
      </c>
      <c r="H558">
        <v>0.2</v>
      </c>
      <c r="I558">
        <v>4.4000000000000004</v>
      </c>
      <c r="J558">
        <v>8.6999999999999993</v>
      </c>
    </row>
    <row r="559" spans="1:10" x14ac:dyDescent="0.25">
      <c r="A559" t="s">
        <v>2145</v>
      </c>
      <c r="B559" s="3">
        <v>44506</v>
      </c>
      <c r="C559" t="s">
        <v>2003</v>
      </c>
      <c r="D559" t="s">
        <v>3502</v>
      </c>
      <c r="E559">
        <v>4</v>
      </c>
      <c r="F559" t="s">
        <v>3526</v>
      </c>
      <c r="G559" t="s">
        <v>3517</v>
      </c>
      <c r="H559">
        <v>1</v>
      </c>
      <c r="I559">
        <v>14.9</v>
      </c>
      <c r="J559">
        <v>59.4</v>
      </c>
    </row>
    <row r="560" spans="1:10" x14ac:dyDescent="0.25">
      <c r="A560" t="s">
        <v>2148</v>
      </c>
      <c r="B560" s="3">
        <v>44225</v>
      </c>
      <c r="C560" t="s">
        <v>2149</v>
      </c>
      <c r="D560" t="s">
        <v>3481</v>
      </c>
      <c r="E560">
        <v>4</v>
      </c>
      <c r="F560" t="s">
        <v>3525</v>
      </c>
      <c r="G560" t="s">
        <v>3518</v>
      </c>
      <c r="H560">
        <v>0.2</v>
      </c>
      <c r="I560">
        <v>3.9</v>
      </c>
      <c r="J560">
        <v>15.5</v>
      </c>
    </row>
    <row r="561" spans="1:10" x14ac:dyDescent="0.25">
      <c r="A561" t="s">
        <v>2151</v>
      </c>
      <c r="B561" s="3">
        <v>44667</v>
      </c>
      <c r="C561" t="s">
        <v>2152</v>
      </c>
      <c r="D561" t="s">
        <v>3471</v>
      </c>
      <c r="E561">
        <v>3</v>
      </c>
      <c r="F561" t="s">
        <v>3523</v>
      </c>
      <c r="G561" t="s">
        <v>3517</v>
      </c>
      <c r="H561">
        <v>1</v>
      </c>
      <c r="I561">
        <v>13</v>
      </c>
      <c r="J561">
        <v>38.9</v>
      </c>
    </row>
    <row r="562" spans="1:10" x14ac:dyDescent="0.25">
      <c r="A562" t="s">
        <v>2154</v>
      </c>
      <c r="B562" s="3">
        <v>44401</v>
      </c>
      <c r="C562" t="s">
        <v>2155</v>
      </c>
      <c r="D562" t="s">
        <v>3497</v>
      </c>
      <c r="E562">
        <v>6</v>
      </c>
      <c r="F562" t="s">
        <v>3526</v>
      </c>
      <c r="G562" t="s">
        <v>3519</v>
      </c>
      <c r="H562">
        <v>2.5</v>
      </c>
      <c r="I562">
        <v>31.6</v>
      </c>
      <c r="J562">
        <v>189.8</v>
      </c>
    </row>
    <row r="563" spans="1:10" x14ac:dyDescent="0.25">
      <c r="A563" t="s">
        <v>2157</v>
      </c>
      <c r="B563" s="3">
        <v>43688</v>
      </c>
      <c r="C563" t="s">
        <v>2158</v>
      </c>
      <c r="D563" t="s">
        <v>3485</v>
      </c>
      <c r="E563">
        <v>6</v>
      </c>
      <c r="F563" t="s">
        <v>3523</v>
      </c>
      <c r="G563" t="s">
        <v>3518</v>
      </c>
      <c r="H563">
        <v>0.2</v>
      </c>
      <c r="I563">
        <v>3</v>
      </c>
      <c r="J563">
        <v>17.899999999999999</v>
      </c>
    </row>
    <row r="564" spans="1:10" x14ac:dyDescent="0.25">
      <c r="A564" t="s">
        <v>2161</v>
      </c>
      <c r="B564" s="3">
        <v>43669</v>
      </c>
      <c r="C564" t="s">
        <v>2162</v>
      </c>
      <c r="D564" t="s">
        <v>3476</v>
      </c>
      <c r="E564">
        <v>6</v>
      </c>
      <c r="F564" t="s">
        <v>3525</v>
      </c>
      <c r="G564" t="s">
        <v>3517</v>
      </c>
      <c r="H564">
        <v>0.2</v>
      </c>
      <c r="I564">
        <v>4.8</v>
      </c>
      <c r="J564">
        <v>28.5</v>
      </c>
    </row>
    <row r="565" spans="1:10" x14ac:dyDescent="0.25">
      <c r="A565" t="s">
        <v>2164</v>
      </c>
      <c r="B565" s="3">
        <v>43991</v>
      </c>
      <c r="C565" t="s">
        <v>2207</v>
      </c>
      <c r="D565" t="s">
        <v>3472</v>
      </c>
      <c r="E565">
        <v>6</v>
      </c>
      <c r="F565" t="s">
        <v>3526</v>
      </c>
      <c r="G565" t="s">
        <v>3519</v>
      </c>
      <c r="H565">
        <v>1</v>
      </c>
      <c r="I565">
        <v>13.8</v>
      </c>
      <c r="J565">
        <v>82.5</v>
      </c>
    </row>
    <row r="566" spans="1:10" x14ac:dyDescent="0.25">
      <c r="A566" t="s">
        <v>2167</v>
      </c>
      <c r="B566" s="3">
        <v>43883</v>
      </c>
      <c r="C566" t="s">
        <v>2168</v>
      </c>
      <c r="D566" t="s">
        <v>3504</v>
      </c>
      <c r="E566">
        <v>2</v>
      </c>
      <c r="F566" t="s">
        <v>3524</v>
      </c>
      <c r="G566" t="s">
        <v>3517</v>
      </c>
      <c r="H566">
        <v>0.5</v>
      </c>
      <c r="I566">
        <v>7.2</v>
      </c>
      <c r="J566">
        <v>14.3</v>
      </c>
    </row>
    <row r="567" spans="1:10" x14ac:dyDescent="0.25">
      <c r="A567" t="s">
        <v>2170</v>
      </c>
      <c r="B567" s="3">
        <v>44031</v>
      </c>
      <c r="C567" t="s">
        <v>2171</v>
      </c>
      <c r="D567" t="s">
        <v>3480</v>
      </c>
      <c r="E567">
        <v>4</v>
      </c>
      <c r="F567" t="s">
        <v>3524</v>
      </c>
      <c r="G567" t="s">
        <v>3518</v>
      </c>
      <c r="H567">
        <v>2.5</v>
      </c>
      <c r="I567">
        <v>20.6</v>
      </c>
      <c r="J567">
        <v>82.3</v>
      </c>
    </row>
    <row r="568" spans="1:10" x14ac:dyDescent="0.25">
      <c r="A568" t="s">
        <v>2173</v>
      </c>
      <c r="B568" s="3">
        <v>44459</v>
      </c>
      <c r="C568" t="s">
        <v>2174</v>
      </c>
      <c r="D568" t="s">
        <v>3483</v>
      </c>
      <c r="E568">
        <v>6</v>
      </c>
      <c r="F568" t="s">
        <v>3523</v>
      </c>
      <c r="G568" t="s">
        <v>3519</v>
      </c>
      <c r="H568">
        <v>0.2</v>
      </c>
      <c r="I568">
        <v>3.4</v>
      </c>
      <c r="J568">
        <v>20.3</v>
      </c>
    </row>
    <row r="569" spans="1:10" x14ac:dyDescent="0.25">
      <c r="A569" t="s">
        <v>2176</v>
      </c>
      <c r="B569" s="3">
        <v>44318</v>
      </c>
      <c r="C569" t="s">
        <v>2177</v>
      </c>
      <c r="D569" t="s">
        <v>3473</v>
      </c>
      <c r="E569">
        <v>6</v>
      </c>
      <c r="F569" t="s">
        <v>3524</v>
      </c>
      <c r="G569" t="s">
        <v>3517</v>
      </c>
      <c r="H569">
        <v>2.5</v>
      </c>
      <c r="I569">
        <v>27.5</v>
      </c>
      <c r="J569">
        <v>164.9</v>
      </c>
    </row>
    <row r="570" spans="1:10" x14ac:dyDescent="0.25">
      <c r="A570" t="s">
        <v>2179</v>
      </c>
      <c r="B570" s="3">
        <v>44526</v>
      </c>
      <c r="C570" t="s">
        <v>2180</v>
      </c>
      <c r="D570" t="s">
        <v>3476</v>
      </c>
      <c r="E570">
        <v>4</v>
      </c>
      <c r="F570" t="s">
        <v>3525</v>
      </c>
      <c r="G570" t="s">
        <v>3517</v>
      </c>
      <c r="H570">
        <v>0.2</v>
      </c>
      <c r="I570">
        <v>4.8</v>
      </c>
      <c r="J570">
        <v>19</v>
      </c>
    </row>
    <row r="571" spans="1:10" x14ac:dyDescent="0.25">
      <c r="A571" t="s">
        <v>2182</v>
      </c>
      <c r="B571" s="3">
        <v>43879</v>
      </c>
      <c r="C571" t="s">
        <v>2207</v>
      </c>
      <c r="D571" t="s">
        <v>3499</v>
      </c>
      <c r="E571">
        <v>6</v>
      </c>
      <c r="F571" t="s">
        <v>3523</v>
      </c>
      <c r="G571" t="s">
        <v>3518</v>
      </c>
      <c r="H571">
        <v>2.5</v>
      </c>
      <c r="I571">
        <v>22.9</v>
      </c>
      <c r="J571">
        <v>137.30000000000001</v>
      </c>
    </row>
    <row r="572" spans="1:10" x14ac:dyDescent="0.25">
      <c r="A572" t="s">
        <v>2185</v>
      </c>
      <c r="B572" s="3">
        <v>43928</v>
      </c>
      <c r="C572" t="s">
        <v>2186</v>
      </c>
      <c r="D572" t="s">
        <v>3488</v>
      </c>
      <c r="E572">
        <v>4</v>
      </c>
      <c r="F572" t="s">
        <v>3523</v>
      </c>
      <c r="G572" t="s">
        <v>3519</v>
      </c>
      <c r="H572">
        <v>0.5</v>
      </c>
      <c r="I572">
        <v>6.8</v>
      </c>
      <c r="J572">
        <v>27</v>
      </c>
    </row>
    <row r="573" spans="1:10" x14ac:dyDescent="0.25">
      <c r="A573" t="s">
        <v>2188</v>
      </c>
      <c r="B573" s="3">
        <v>44592</v>
      </c>
      <c r="C573" t="s">
        <v>2189</v>
      </c>
      <c r="D573" t="s">
        <v>3507</v>
      </c>
      <c r="E573">
        <v>4</v>
      </c>
      <c r="F573" t="s">
        <v>3526</v>
      </c>
      <c r="G573" t="s">
        <v>3517</v>
      </c>
      <c r="H573">
        <v>0.5</v>
      </c>
      <c r="I573">
        <v>8.9</v>
      </c>
      <c r="J573">
        <v>35.6</v>
      </c>
    </row>
    <row r="574" spans="1:10" x14ac:dyDescent="0.25">
      <c r="A574" t="s">
        <v>2191</v>
      </c>
      <c r="B574" s="3">
        <v>43515</v>
      </c>
      <c r="C574" t="s">
        <v>2192</v>
      </c>
      <c r="D574" t="s">
        <v>3485</v>
      </c>
      <c r="E574">
        <v>2</v>
      </c>
      <c r="F574" t="s">
        <v>3523</v>
      </c>
      <c r="G574" t="s">
        <v>3518</v>
      </c>
      <c r="H574">
        <v>0.2</v>
      </c>
      <c r="I574">
        <v>3</v>
      </c>
      <c r="J574">
        <v>6</v>
      </c>
    </row>
    <row r="575" spans="1:10" x14ac:dyDescent="0.25">
      <c r="A575" t="s">
        <v>2194</v>
      </c>
      <c r="B575" s="3">
        <v>43781</v>
      </c>
      <c r="C575" t="s">
        <v>2195</v>
      </c>
      <c r="D575" t="s">
        <v>3486</v>
      </c>
      <c r="E575">
        <v>6</v>
      </c>
      <c r="F575" t="s">
        <v>3523</v>
      </c>
      <c r="G575" t="s">
        <v>3519</v>
      </c>
      <c r="H575">
        <v>1</v>
      </c>
      <c r="I575">
        <v>11.3</v>
      </c>
      <c r="J575">
        <v>67.5</v>
      </c>
    </row>
    <row r="576" spans="1:10" x14ac:dyDescent="0.25">
      <c r="A576" t="s">
        <v>2197</v>
      </c>
      <c r="B576" s="3">
        <v>44697</v>
      </c>
      <c r="C576" t="s">
        <v>2198</v>
      </c>
      <c r="D576" t="s">
        <v>3509</v>
      </c>
      <c r="E576">
        <v>6</v>
      </c>
      <c r="F576" t="s">
        <v>3524</v>
      </c>
      <c r="G576" t="s">
        <v>3517</v>
      </c>
      <c r="H576">
        <v>0.2</v>
      </c>
      <c r="I576">
        <v>3.6</v>
      </c>
      <c r="J576">
        <v>21.5</v>
      </c>
    </row>
    <row r="577" spans="1:10" x14ac:dyDescent="0.25">
      <c r="A577" t="s">
        <v>2200</v>
      </c>
      <c r="B577" s="3">
        <v>44239</v>
      </c>
      <c r="C577" t="s">
        <v>2201</v>
      </c>
      <c r="D577" t="s">
        <v>3512</v>
      </c>
      <c r="E577">
        <v>2</v>
      </c>
      <c r="F577" t="s">
        <v>3525</v>
      </c>
      <c r="G577" t="s">
        <v>3519</v>
      </c>
      <c r="H577">
        <v>2.5</v>
      </c>
      <c r="I577">
        <v>33.5</v>
      </c>
      <c r="J577">
        <v>66.900000000000006</v>
      </c>
    </row>
    <row r="578" spans="1:10" x14ac:dyDescent="0.25">
      <c r="A578" t="s">
        <v>2203</v>
      </c>
      <c r="B578" s="3">
        <v>44290</v>
      </c>
      <c r="C578" t="s">
        <v>2204</v>
      </c>
      <c r="D578" t="s">
        <v>3485</v>
      </c>
      <c r="E578">
        <v>6</v>
      </c>
      <c r="F578" t="s">
        <v>3523</v>
      </c>
      <c r="G578" t="s">
        <v>3518</v>
      </c>
      <c r="H578">
        <v>0.2</v>
      </c>
      <c r="I578">
        <v>3</v>
      </c>
      <c r="J578">
        <v>17.899999999999999</v>
      </c>
    </row>
    <row r="579" spans="1:10" x14ac:dyDescent="0.25">
      <c r="A579" t="s">
        <v>2206</v>
      </c>
      <c r="B579" s="3">
        <v>44410</v>
      </c>
      <c r="C579" t="s">
        <v>2207</v>
      </c>
      <c r="D579" t="s">
        <v>3493</v>
      </c>
      <c r="E579">
        <v>4</v>
      </c>
      <c r="F579" t="s">
        <v>3525</v>
      </c>
      <c r="G579" t="s">
        <v>3519</v>
      </c>
      <c r="H579">
        <v>1</v>
      </c>
      <c r="I579">
        <v>14.6</v>
      </c>
      <c r="J579">
        <v>58.2</v>
      </c>
    </row>
    <row r="580" spans="1:10" x14ac:dyDescent="0.25">
      <c r="A580" t="s">
        <v>2209</v>
      </c>
      <c r="B580" s="3">
        <v>44720</v>
      </c>
      <c r="C580" t="s">
        <v>2210</v>
      </c>
      <c r="D580" t="s">
        <v>3515</v>
      </c>
      <c r="E580">
        <v>3</v>
      </c>
      <c r="F580" t="s">
        <v>3526</v>
      </c>
      <c r="G580" t="s">
        <v>3517</v>
      </c>
      <c r="H580">
        <v>0.2</v>
      </c>
      <c r="I580">
        <v>4.5</v>
      </c>
      <c r="J580">
        <v>13.4</v>
      </c>
    </row>
    <row r="581" spans="1:10" x14ac:dyDescent="0.25">
      <c r="A581" t="s">
        <v>2209</v>
      </c>
      <c r="B581" s="3">
        <v>44720</v>
      </c>
      <c r="C581" t="s">
        <v>2210</v>
      </c>
      <c r="D581" t="s">
        <v>3488</v>
      </c>
      <c r="E581">
        <v>5</v>
      </c>
      <c r="F581" t="s">
        <v>3523</v>
      </c>
      <c r="G581" t="s">
        <v>3519</v>
      </c>
      <c r="H581">
        <v>0.5</v>
      </c>
      <c r="I581">
        <v>6.8</v>
      </c>
      <c r="J581">
        <v>33.799999999999997</v>
      </c>
    </row>
    <row r="582" spans="1:10" x14ac:dyDescent="0.25">
      <c r="A582" t="s">
        <v>2214</v>
      </c>
      <c r="B582" s="3">
        <v>43965</v>
      </c>
      <c r="C582" t="s">
        <v>2215</v>
      </c>
      <c r="D582" t="s">
        <v>3502</v>
      </c>
      <c r="E582">
        <v>3</v>
      </c>
      <c r="F582" t="s">
        <v>3526</v>
      </c>
      <c r="G582" t="s">
        <v>3517</v>
      </c>
      <c r="H582">
        <v>1</v>
      </c>
      <c r="I582">
        <v>14.9</v>
      </c>
      <c r="J582">
        <v>44.6</v>
      </c>
    </row>
    <row r="583" spans="1:10" x14ac:dyDescent="0.25">
      <c r="A583" t="s">
        <v>2217</v>
      </c>
      <c r="B583" s="3">
        <v>44190</v>
      </c>
      <c r="C583" t="s">
        <v>2218</v>
      </c>
      <c r="D583" t="s">
        <v>3507</v>
      </c>
      <c r="E583">
        <v>5</v>
      </c>
      <c r="F583" t="s">
        <v>3526</v>
      </c>
      <c r="G583" t="s">
        <v>3517</v>
      </c>
      <c r="H583">
        <v>0.5</v>
      </c>
      <c r="I583">
        <v>8.9</v>
      </c>
      <c r="J583">
        <v>44.6</v>
      </c>
    </row>
    <row r="584" spans="1:10" x14ac:dyDescent="0.25">
      <c r="A584" t="s">
        <v>2220</v>
      </c>
      <c r="B584" s="3">
        <v>44382</v>
      </c>
      <c r="C584" t="s">
        <v>2221</v>
      </c>
      <c r="D584" t="s">
        <v>3514</v>
      </c>
      <c r="E584">
        <v>5</v>
      </c>
      <c r="F584" t="s">
        <v>3526</v>
      </c>
      <c r="G584" t="s">
        <v>3518</v>
      </c>
      <c r="H584">
        <v>1</v>
      </c>
      <c r="I584">
        <v>12.2</v>
      </c>
      <c r="J584">
        <v>60.8</v>
      </c>
    </row>
    <row r="585" spans="1:10" x14ac:dyDescent="0.25">
      <c r="A585" t="s">
        <v>2223</v>
      </c>
      <c r="B585" s="3">
        <v>43538</v>
      </c>
      <c r="C585" t="s">
        <v>2224</v>
      </c>
      <c r="D585" t="s">
        <v>3509</v>
      </c>
      <c r="E585">
        <v>1</v>
      </c>
      <c r="F585" t="s">
        <v>3524</v>
      </c>
      <c r="G585" t="s">
        <v>3517</v>
      </c>
      <c r="H585">
        <v>0.2</v>
      </c>
      <c r="I585">
        <v>3.6</v>
      </c>
      <c r="J585">
        <v>3.6</v>
      </c>
    </row>
    <row r="586" spans="1:10" x14ac:dyDescent="0.25">
      <c r="A586" t="s">
        <v>2226</v>
      </c>
      <c r="B586" s="3">
        <v>44262</v>
      </c>
      <c r="C586" t="s">
        <v>2227</v>
      </c>
      <c r="D586" t="s">
        <v>3509</v>
      </c>
      <c r="E586">
        <v>6</v>
      </c>
      <c r="F586" t="s">
        <v>3524</v>
      </c>
      <c r="G586" t="s">
        <v>3517</v>
      </c>
      <c r="H586">
        <v>0.2</v>
      </c>
      <c r="I586">
        <v>3.6</v>
      </c>
      <c r="J586">
        <v>21.5</v>
      </c>
    </row>
    <row r="587" spans="1:10" x14ac:dyDescent="0.25">
      <c r="A587" t="s">
        <v>2229</v>
      </c>
      <c r="B587" s="3">
        <v>44505</v>
      </c>
      <c r="C587" t="s">
        <v>2254</v>
      </c>
      <c r="D587" t="s">
        <v>3470</v>
      </c>
      <c r="E587">
        <v>2</v>
      </c>
      <c r="F587" t="s">
        <v>3526</v>
      </c>
      <c r="G587" t="s">
        <v>3519</v>
      </c>
      <c r="H587">
        <v>0.5</v>
      </c>
      <c r="I587">
        <v>8.3000000000000007</v>
      </c>
      <c r="J587">
        <v>16.5</v>
      </c>
    </row>
    <row r="588" spans="1:10" x14ac:dyDescent="0.25">
      <c r="A588" t="s">
        <v>2232</v>
      </c>
      <c r="B588" s="3">
        <v>43867</v>
      </c>
      <c r="C588" t="s">
        <v>2233</v>
      </c>
      <c r="D588" t="s">
        <v>3473</v>
      </c>
      <c r="E588">
        <v>3</v>
      </c>
      <c r="F588" t="s">
        <v>3524</v>
      </c>
      <c r="G588" t="s">
        <v>3517</v>
      </c>
      <c r="H588">
        <v>2.5</v>
      </c>
      <c r="I588">
        <v>27.5</v>
      </c>
      <c r="J588">
        <v>82.5</v>
      </c>
    </row>
    <row r="589" spans="1:10" x14ac:dyDescent="0.25">
      <c r="A589" t="s">
        <v>2235</v>
      </c>
      <c r="B589" s="3">
        <v>44267</v>
      </c>
      <c r="C589" t="s">
        <v>2236</v>
      </c>
      <c r="D589" t="s">
        <v>3500</v>
      </c>
      <c r="E589">
        <v>1</v>
      </c>
      <c r="F589" t="s">
        <v>3525</v>
      </c>
      <c r="G589" t="s">
        <v>3518</v>
      </c>
      <c r="H589">
        <v>0.5</v>
      </c>
      <c r="I589">
        <v>7.8</v>
      </c>
      <c r="J589">
        <v>7.8</v>
      </c>
    </row>
    <row r="590" spans="1:10" x14ac:dyDescent="0.25">
      <c r="A590" t="s">
        <v>2238</v>
      </c>
      <c r="B590" s="3">
        <v>44046</v>
      </c>
      <c r="C590" t="s">
        <v>2239</v>
      </c>
      <c r="D590" t="s">
        <v>3477</v>
      </c>
      <c r="E590">
        <v>2</v>
      </c>
      <c r="F590" t="s">
        <v>3524</v>
      </c>
      <c r="G590" t="s">
        <v>3519</v>
      </c>
      <c r="H590">
        <v>0.5</v>
      </c>
      <c r="I590">
        <v>6</v>
      </c>
      <c r="J590">
        <v>11.9</v>
      </c>
    </row>
    <row r="591" spans="1:10" x14ac:dyDescent="0.25">
      <c r="A591" t="s">
        <v>2241</v>
      </c>
      <c r="B591" s="3">
        <v>43671</v>
      </c>
      <c r="C591" t="s">
        <v>2242</v>
      </c>
      <c r="D591" t="s">
        <v>3479</v>
      </c>
      <c r="E591">
        <v>6</v>
      </c>
      <c r="F591" t="s">
        <v>3526</v>
      </c>
      <c r="G591" t="s">
        <v>3517</v>
      </c>
      <c r="H591">
        <v>2.5</v>
      </c>
      <c r="I591">
        <v>34.200000000000003</v>
      </c>
      <c r="J591">
        <v>204.9</v>
      </c>
    </row>
    <row r="592" spans="1:10" x14ac:dyDescent="0.25">
      <c r="A592" t="s">
        <v>2244</v>
      </c>
      <c r="B592" s="3">
        <v>43950</v>
      </c>
      <c r="C592" t="s">
        <v>2245</v>
      </c>
      <c r="D592" t="s">
        <v>3497</v>
      </c>
      <c r="E592">
        <v>2</v>
      </c>
      <c r="F592" t="s">
        <v>3526</v>
      </c>
      <c r="G592" t="s">
        <v>3519</v>
      </c>
      <c r="H592">
        <v>2.5</v>
      </c>
      <c r="I592">
        <v>31.6</v>
      </c>
      <c r="J592">
        <v>63.3</v>
      </c>
    </row>
    <row r="593" spans="1:10" x14ac:dyDescent="0.25">
      <c r="A593" t="s">
        <v>2247</v>
      </c>
      <c r="B593" s="3">
        <v>43587</v>
      </c>
      <c r="C593" t="s">
        <v>2248</v>
      </c>
      <c r="D593" t="s">
        <v>3494</v>
      </c>
      <c r="E593">
        <v>3</v>
      </c>
      <c r="F593" t="s">
        <v>3524</v>
      </c>
      <c r="G593" t="s">
        <v>3518</v>
      </c>
      <c r="H593">
        <v>0.2</v>
      </c>
      <c r="I593">
        <v>2.7</v>
      </c>
      <c r="J593">
        <v>8.1</v>
      </c>
    </row>
    <row r="594" spans="1:10" x14ac:dyDescent="0.25">
      <c r="A594" t="s">
        <v>2250</v>
      </c>
      <c r="B594" s="3">
        <v>44437</v>
      </c>
      <c r="C594" t="s">
        <v>2251</v>
      </c>
      <c r="D594" t="s">
        <v>3506</v>
      </c>
      <c r="E594">
        <v>2</v>
      </c>
      <c r="F594" t="s">
        <v>3523</v>
      </c>
      <c r="G594" t="s">
        <v>3519</v>
      </c>
      <c r="H594">
        <v>2.5</v>
      </c>
      <c r="I594">
        <v>25.9</v>
      </c>
      <c r="J594">
        <v>51.8</v>
      </c>
    </row>
    <row r="595" spans="1:10" x14ac:dyDescent="0.25">
      <c r="A595" t="s">
        <v>2253</v>
      </c>
      <c r="B595" s="3">
        <v>43903</v>
      </c>
      <c r="C595" t="s">
        <v>2254</v>
      </c>
      <c r="D595" t="s">
        <v>3516</v>
      </c>
      <c r="E595">
        <v>1</v>
      </c>
      <c r="F595" t="s">
        <v>3526</v>
      </c>
      <c r="G595" t="s">
        <v>3518</v>
      </c>
      <c r="H595">
        <v>2.5</v>
      </c>
      <c r="I595">
        <v>27.9</v>
      </c>
      <c r="J595">
        <v>27.9</v>
      </c>
    </row>
    <row r="596" spans="1:10" x14ac:dyDescent="0.25">
      <c r="A596" t="s">
        <v>2256</v>
      </c>
      <c r="B596" s="3">
        <v>43512</v>
      </c>
      <c r="C596" t="s">
        <v>2257</v>
      </c>
      <c r="D596" t="s">
        <v>3513</v>
      </c>
      <c r="E596">
        <v>2</v>
      </c>
      <c r="F596" t="s">
        <v>3523</v>
      </c>
      <c r="G596" t="s">
        <v>3517</v>
      </c>
      <c r="H596">
        <v>2.5</v>
      </c>
      <c r="I596">
        <v>29.8</v>
      </c>
      <c r="J596">
        <v>59.6</v>
      </c>
    </row>
    <row r="597" spans="1:10" x14ac:dyDescent="0.25">
      <c r="A597" t="s">
        <v>2259</v>
      </c>
      <c r="B597" s="3">
        <v>44527</v>
      </c>
      <c r="C597" t="s">
        <v>2260</v>
      </c>
      <c r="D597" t="s">
        <v>3502</v>
      </c>
      <c r="E597">
        <v>1</v>
      </c>
      <c r="F597" t="s">
        <v>3526</v>
      </c>
      <c r="G597" t="s">
        <v>3517</v>
      </c>
      <c r="H597">
        <v>1</v>
      </c>
      <c r="I597">
        <v>14.9</v>
      </c>
      <c r="J597">
        <v>14.9</v>
      </c>
    </row>
    <row r="598" spans="1:10" x14ac:dyDescent="0.25">
      <c r="A598" t="s">
        <v>2262</v>
      </c>
      <c r="B598" s="3">
        <v>44523</v>
      </c>
      <c r="C598" t="s">
        <v>2263</v>
      </c>
      <c r="D598" t="s">
        <v>3488</v>
      </c>
      <c r="E598">
        <v>5</v>
      </c>
      <c r="F598" t="s">
        <v>3523</v>
      </c>
      <c r="G598" t="s">
        <v>3519</v>
      </c>
      <c r="H598">
        <v>0.5</v>
      </c>
      <c r="I598">
        <v>6.8</v>
      </c>
      <c r="J598">
        <v>33.799999999999997</v>
      </c>
    </row>
    <row r="599" spans="1:10" x14ac:dyDescent="0.25">
      <c r="A599" t="s">
        <v>2265</v>
      </c>
      <c r="B599" s="3">
        <v>44532</v>
      </c>
      <c r="C599" t="s">
        <v>2266</v>
      </c>
      <c r="D599" t="s">
        <v>3495</v>
      </c>
      <c r="E599">
        <v>4</v>
      </c>
      <c r="F599" t="s">
        <v>3525</v>
      </c>
      <c r="G599" t="s">
        <v>3517</v>
      </c>
      <c r="H599">
        <v>2.5</v>
      </c>
      <c r="I599">
        <v>36.5</v>
      </c>
      <c r="J599">
        <v>145.80000000000001</v>
      </c>
    </row>
    <row r="600" spans="1:10" x14ac:dyDescent="0.25">
      <c r="A600" t="s">
        <v>2268</v>
      </c>
      <c r="B600" s="3">
        <v>43471</v>
      </c>
      <c r="C600" t="s">
        <v>2269</v>
      </c>
      <c r="D600" t="s">
        <v>3505</v>
      </c>
      <c r="E600">
        <v>4</v>
      </c>
      <c r="F600" t="s">
        <v>3524</v>
      </c>
      <c r="G600" t="s">
        <v>3519</v>
      </c>
      <c r="H600">
        <v>0.2</v>
      </c>
      <c r="I600">
        <v>3</v>
      </c>
      <c r="J600">
        <v>11.9</v>
      </c>
    </row>
    <row r="601" spans="1:10" x14ac:dyDescent="0.25">
      <c r="A601" t="s">
        <v>2271</v>
      </c>
      <c r="B601" s="3">
        <v>44321</v>
      </c>
      <c r="C601" t="s">
        <v>2272</v>
      </c>
      <c r="D601" t="s">
        <v>3485</v>
      </c>
      <c r="E601">
        <v>4</v>
      </c>
      <c r="F601" t="s">
        <v>3523</v>
      </c>
      <c r="G601" t="s">
        <v>3518</v>
      </c>
      <c r="H601">
        <v>0.2</v>
      </c>
      <c r="I601">
        <v>3</v>
      </c>
      <c r="J601">
        <v>11.9</v>
      </c>
    </row>
    <row r="602" spans="1:10" x14ac:dyDescent="0.25">
      <c r="A602" t="s">
        <v>2274</v>
      </c>
      <c r="B602" s="3">
        <v>44492</v>
      </c>
      <c r="C602" t="s">
        <v>2275</v>
      </c>
      <c r="D602" t="s">
        <v>3500</v>
      </c>
      <c r="E602">
        <v>1</v>
      </c>
      <c r="F602" t="s">
        <v>3525</v>
      </c>
      <c r="G602" t="s">
        <v>3518</v>
      </c>
      <c r="H602">
        <v>0.5</v>
      </c>
      <c r="I602">
        <v>7.8</v>
      </c>
      <c r="J602">
        <v>7.8</v>
      </c>
    </row>
    <row r="603" spans="1:10" x14ac:dyDescent="0.25">
      <c r="A603" t="s">
        <v>2277</v>
      </c>
      <c r="B603" s="3">
        <v>43815</v>
      </c>
      <c r="C603" t="s">
        <v>2278</v>
      </c>
      <c r="D603" t="s">
        <v>3473</v>
      </c>
      <c r="E603">
        <v>4</v>
      </c>
      <c r="F603" t="s">
        <v>3524</v>
      </c>
      <c r="G603" t="s">
        <v>3517</v>
      </c>
      <c r="H603">
        <v>2.5</v>
      </c>
      <c r="I603">
        <v>27.5</v>
      </c>
      <c r="J603">
        <v>109.9</v>
      </c>
    </row>
    <row r="604" spans="1:10" x14ac:dyDescent="0.25">
      <c r="A604" t="s">
        <v>2280</v>
      </c>
      <c r="B604" s="3">
        <v>43603</v>
      </c>
      <c r="C604" t="s">
        <v>2281</v>
      </c>
      <c r="D604" t="s">
        <v>3515</v>
      </c>
      <c r="E604">
        <v>5</v>
      </c>
      <c r="F604" t="s">
        <v>3526</v>
      </c>
      <c r="G604" t="s">
        <v>3517</v>
      </c>
      <c r="H604">
        <v>0.2</v>
      </c>
      <c r="I604">
        <v>4.5</v>
      </c>
      <c r="J604">
        <v>22.3</v>
      </c>
    </row>
    <row r="605" spans="1:10" x14ac:dyDescent="0.25">
      <c r="A605" t="s">
        <v>2283</v>
      </c>
      <c r="B605" s="3">
        <v>43660</v>
      </c>
      <c r="C605" t="s">
        <v>2284</v>
      </c>
      <c r="D605" t="s">
        <v>3505</v>
      </c>
      <c r="E605">
        <v>3</v>
      </c>
      <c r="F605" t="s">
        <v>3524</v>
      </c>
      <c r="G605" t="s">
        <v>3519</v>
      </c>
      <c r="H605">
        <v>0.2</v>
      </c>
      <c r="I605">
        <v>3</v>
      </c>
      <c r="J605">
        <v>9</v>
      </c>
    </row>
    <row r="606" spans="1:10" x14ac:dyDescent="0.25">
      <c r="A606" t="s">
        <v>2286</v>
      </c>
      <c r="B606" s="3">
        <v>44148</v>
      </c>
      <c r="C606" t="s">
        <v>2287</v>
      </c>
      <c r="D606" t="s">
        <v>3496</v>
      </c>
      <c r="E606">
        <v>4</v>
      </c>
      <c r="F606" t="s">
        <v>3525</v>
      </c>
      <c r="G606" t="s">
        <v>3518</v>
      </c>
      <c r="H606">
        <v>2.5</v>
      </c>
      <c r="I606">
        <v>29.8</v>
      </c>
      <c r="J606">
        <v>119.1</v>
      </c>
    </row>
    <row r="607" spans="1:10" x14ac:dyDescent="0.25">
      <c r="A607" t="s">
        <v>2289</v>
      </c>
      <c r="B607" s="3">
        <v>44028</v>
      </c>
      <c r="C607" t="s">
        <v>2290</v>
      </c>
      <c r="D607" t="s">
        <v>3513</v>
      </c>
      <c r="E607">
        <v>5</v>
      </c>
      <c r="F607" t="s">
        <v>3523</v>
      </c>
      <c r="G607" t="s">
        <v>3517</v>
      </c>
      <c r="H607">
        <v>2.5</v>
      </c>
      <c r="I607">
        <v>29.8</v>
      </c>
      <c r="J607">
        <v>148.9</v>
      </c>
    </row>
    <row r="608" spans="1:10" x14ac:dyDescent="0.25">
      <c r="A608" t="s">
        <v>2292</v>
      </c>
      <c r="B608" s="3">
        <v>44138</v>
      </c>
      <c r="C608" t="s">
        <v>2254</v>
      </c>
      <c r="D608" t="s">
        <v>3495</v>
      </c>
      <c r="E608">
        <v>3</v>
      </c>
      <c r="F608" t="s">
        <v>3525</v>
      </c>
      <c r="G608" t="s">
        <v>3517</v>
      </c>
      <c r="H608">
        <v>2.5</v>
      </c>
      <c r="I608">
        <v>36.5</v>
      </c>
      <c r="J608">
        <v>109.4</v>
      </c>
    </row>
    <row r="609" spans="1:10" x14ac:dyDescent="0.25">
      <c r="A609" t="s">
        <v>2295</v>
      </c>
      <c r="B609" s="3">
        <v>44640</v>
      </c>
      <c r="C609" t="s">
        <v>2296</v>
      </c>
      <c r="D609" t="s">
        <v>3484</v>
      </c>
      <c r="E609">
        <v>1</v>
      </c>
      <c r="F609" t="s">
        <v>3526</v>
      </c>
      <c r="G609" t="s">
        <v>3518</v>
      </c>
      <c r="H609">
        <v>0.2</v>
      </c>
      <c r="I609">
        <v>3.6</v>
      </c>
      <c r="J609">
        <v>3.6</v>
      </c>
    </row>
    <row r="610" spans="1:10" x14ac:dyDescent="0.25">
      <c r="A610" t="s">
        <v>2298</v>
      </c>
      <c r="B610" s="3">
        <v>44608</v>
      </c>
      <c r="C610" t="s">
        <v>2299</v>
      </c>
      <c r="D610" t="s">
        <v>3516</v>
      </c>
      <c r="E610">
        <v>2</v>
      </c>
      <c r="F610" t="s">
        <v>3526</v>
      </c>
      <c r="G610" t="s">
        <v>3518</v>
      </c>
      <c r="H610">
        <v>2.5</v>
      </c>
      <c r="I610">
        <v>27.9</v>
      </c>
      <c r="J610">
        <v>55.9</v>
      </c>
    </row>
    <row r="611" spans="1:10" x14ac:dyDescent="0.25">
      <c r="A611" t="s">
        <v>2301</v>
      </c>
      <c r="B611" s="3">
        <v>44147</v>
      </c>
      <c r="C611" t="s">
        <v>2302</v>
      </c>
      <c r="D611" t="s">
        <v>3490</v>
      </c>
      <c r="E611">
        <v>6</v>
      </c>
      <c r="F611" t="s">
        <v>3525</v>
      </c>
      <c r="G611" t="s">
        <v>3519</v>
      </c>
      <c r="H611">
        <v>0.2</v>
      </c>
      <c r="I611">
        <v>4.4000000000000004</v>
      </c>
      <c r="J611">
        <v>26.2</v>
      </c>
    </row>
    <row r="612" spans="1:10" x14ac:dyDescent="0.25">
      <c r="A612" t="s">
        <v>2304</v>
      </c>
      <c r="B612" s="3">
        <v>43743</v>
      </c>
      <c r="C612" t="s">
        <v>2305</v>
      </c>
      <c r="D612" t="s">
        <v>3469</v>
      </c>
      <c r="E612">
        <v>4</v>
      </c>
      <c r="F612" t="s">
        <v>3524</v>
      </c>
      <c r="G612" t="s">
        <v>3519</v>
      </c>
      <c r="H612">
        <v>1</v>
      </c>
      <c r="I612">
        <v>10</v>
      </c>
      <c r="J612">
        <v>39.799999999999997</v>
      </c>
    </row>
    <row r="613" spans="1:10" x14ac:dyDescent="0.25">
      <c r="A613" t="s">
        <v>2307</v>
      </c>
      <c r="B613" s="3">
        <v>43739</v>
      </c>
      <c r="C613" t="s">
        <v>2308</v>
      </c>
      <c r="D613" t="s">
        <v>3479</v>
      </c>
      <c r="E613">
        <v>2</v>
      </c>
      <c r="F613" t="s">
        <v>3526</v>
      </c>
      <c r="G613" t="s">
        <v>3517</v>
      </c>
      <c r="H613">
        <v>2.5</v>
      </c>
      <c r="I613">
        <v>34.200000000000003</v>
      </c>
      <c r="J613">
        <v>68.3</v>
      </c>
    </row>
    <row r="614" spans="1:10" x14ac:dyDescent="0.25">
      <c r="A614" t="s">
        <v>2310</v>
      </c>
      <c r="B614" s="3">
        <v>43896</v>
      </c>
      <c r="C614" t="s">
        <v>2311</v>
      </c>
      <c r="D614" t="s">
        <v>3483</v>
      </c>
      <c r="E614">
        <v>4</v>
      </c>
      <c r="F614" t="s">
        <v>3523</v>
      </c>
      <c r="G614" t="s">
        <v>3519</v>
      </c>
      <c r="H614">
        <v>0.2</v>
      </c>
      <c r="I614">
        <v>3.4</v>
      </c>
      <c r="J614">
        <v>13.5</v>
      </c>
    </row>
    <row r="615" spans="1:10" x14ac:dyDescent="0.25">
      <c r="A615" t="s">
        <v>2313</v>
      </c>
      <c r="B615" s="3">
        <v>43761</v>
      </c>
      <c r="C615" t="s">
        <v>2314</v>
      </c>
      <c r="D615" t="s">
        <v>3477</v>
      </c>
      <c r="E615">
        <v>1</v>
      </c>
      <c r="F615" t="s">
        <v>3524</v>
      </c>
      <c r="G615" t="s">
        <v>3519</v>
      </c>
      <c r="H615">
        <v>0.5</v>
      </c>
      <c r="I615">
        <v>6</v>
      </c>
      <c r="J615">
        <v>6</v>
      </c>
    </row>
    <row r="616" spans="1:10" x14ac:dyDescent="0.25">
      <c r="A616" t="s">
        <v>2316</v>
      </c>
      <c r="B616" s="3">
        <v>43944</v>
      </c>
      <c r="C616" t="s">
        <v>2254</v>
      </c>
      <c r="D616" t="s">
        <v>3477</v>
      </c>
      <c r="E616">
        <v>5</v>
      </c>
      <c r="F616" t="s">
        <v>3524</v>
      </c>
      <c r="G616" t="s">
        <v>3519</v>
      </c>
      <c r="H616">
        <v>0.5</v>
      </c>
      <c r="I616">
        <v>6</v>
      </c>
      <c r="J616">
        <v>29.9</v>
      </c>
    </row>
    <row r="617" spans="1:10" x14ac:dyDescent="0.25">
      <c r="A617" t="s">
        <v>2319</v>
      </c>
      <c r="B617" s="3">
        <v>44006</v>
      </c>
      <c r="C617" t="s">
        <v>2320</v>
      </c>
      <c r="D617" t="s">
        <v>3495</v>
      </c>
      <c r="E617">
        <v>2</v>
      </c>
      <c r="F617" t="s">
        <v>3525</v>
      </c>
      <c r="G617" t="s">
        <v>3517</v>
      </c>
      <c r="H617">
        <v>2.5</v>
      </c>
      <c r="I617">
        <v>36.5</v>
      </c>
      <c r="J617">
        <v>72.900000000000006</v>
      </c>
    </row>
    <row r="618" spans="1:10" x14ac:dyDescent="0.25">
      <c r="A618" t="s">
        <v>2322</v>
      </c>
      <c r="B618" s="3">
        <v>44271</v>
      </c>
      <c r="C618" t="s">
        <v>2323</v>
      </c>
      <c r="D618" t="s">
        <v>3497</v>
      </c>
      <c r="E618">
        <v>4</v>
      </c>
      <c r="F618" t="s">
        <v>3526</v>
      </c>
      <c r="G618" t="s">
        <v>3519</v>
      </c>
      <c r="H618">
        <v>2.5</v>
      </c>
      <c r="I618">
        <v>31.6</v>
      </c>
      <c r="J618">
        <v>126.5</v>
      </c>
    </row>
    <row r="619" spans="1:10" x14ac:dyDescent="0.25">
      <c r="A619" t="s">
        <v>2325</v>
      </c>
      <c r="B619" s="3">
        <v>43928</v>
      </c>
      <c r="C619" t="s">
        <v>2326</v>
      </c>
      <c r="D619" t="s">
        <v>3512</v>
      </c>
      <c r="E619">
        <v>1</v>
      </c>
      <c r="F619" t="s">
        <v>3525</v>
      </c>
      <c r="G619" t="s">
        <v>3519</v>
      </c>
      <c r="H619">
        <v>2.5</v>
      </c>
      <c r="I619">
        <v>33.5</v>
      </c>
      <c r="J619">
        <v>33.5</v>
      </c>
    </row>
    <row r="620" spans="1:10" x14ac:dyDescent="0.25">
      <c r="A620" t="s">
        <v>2328</v>
      </c>
      <c r="B620" s="3">
        <v>44469</v>
      </c>
      <c r="C620" t="s">
        <v>2329</v>
      </c>
      <c r="D620" t="s">
        <v>3514</v>
      </c>
      <c r="E620">
        <v>6</v>
      </c>
      <c r="F620" t="s">
        <v>3526</v>
      </c>
      <c r="G620" t="s">
        <v>3518</v>
      </c>
      <c r="H620">
        <v>1</v>
      </c>
      <c r="I620">
        <v>12.2</v>
      </c>
      <c r="J620">
        <v>72.900000000000006</v>
      </c>
    </row>
    <row r="621" spans="1:10" x14ac:dyDescent="0.25">
      <c r="A621" t="s">
        <v>2331</v>
      </c>
      <c r="B621" s="3">
        <v>44682</v>
      </c>
      <c r="C621" t="s">
        <v>2332</v>
      </c>
      <c r="D621" t="s">
        <v>3500</v>
      </c>
      <c r="E621">
        <v>2</v>
      </c>
      <c r="F621" t="s">
        <v>3525</v>
      </c>
      <c r="G621" t="s">
        <v>3518</v>
      </c>
      <c r="H621">
        <v>0.5</v>
      </c>
      <c r="I621">
        <v>7.8</v>
      </c>
      <c r="J621">
        <v>15.5</v>
      </c>
    </row>
    <row r="622" spans="1:10" x14ac:dyDescent="0.25">
      <c r="A622" t="s">
        <v>2334</v>
      </c>
      <c r="B622" s="3">
        <v>44217</v>
      </c>
      <c r="C622" t="s">
        <v>2362</v>
      </c>
      <c r="D622" t="s">
        <v>3483</v>
      </c>
      <c r="E622">
        <v>6</v>
      </c>
      <c r="F622" t="s">
        <v>3523</v>
      </c>
      <c r="G622" t="s">
        <v>3519</v>
      </c>
      <c r="H622">
        <v>0.2</v>
      </c>
      <c r="I622">
        <v>3.4</v>
      </c>
      <c r="J622">
        <v>20.3</v>
      </c>
    </row>
    <row r="623" spans="1:10" x14ac:dyDescent="0.25">
      <c r="A623" t="s">
        <v>2337</v>
      </c>
      <c r="B623" s="3">
        <v>44006</v>
      </c>
      <c r="C623" t="s">
        <v>2338</v>
      </c>
      <c r="D623" t="s">
        <v>3471</v>
      </c>
      <c r="E623">
        <v>6</v>
      </c>
      <c r="F623" t="s">
        <v>3523</v>
      </c>
      <c r="G623" t="s">
        <v>3517</v>
      </c>
      <c r="H623">
        <v>1</v>
      </c>
      <c r="I623">
        <v>13</v>
      </c>
      <c r="J623">
        <v>77.7</v>
      </c>
    </row>
    <row r="624" spans="1:10" x14ac:dyDescent="0.25">
      <c r="A624" t="s">
        <v>2340</v>
      </c>
      <c r="B624" s="3">
        <v>43527</v>
      </c>
      <c r="C624" t="s">
        <v>2341</v>
      </c>
      <c r="D624" t="s">
        <v>3512</v>
      </c>
      <c r="E624">
        <v>4</v>
      </c>
      <c r="F624" t="s">
        <v>3525</v>
      </c>
      <c r="G624" t="s">
        <v>3519</v>
      </c>
      <c r="H624">
        <v>2.5</v>
      </c>
      <c r="I624">
        <v>33.5</v>
      </c>
      <c r="J624">
        <v>133.9</v>
      </c>
    </row>
    <row r="625" spans="1:10" x14ac:dyDescent="0.25">
      <c r="A625" t="s">
        <v>2343</v>
      </c>
      <c r="B625" s="3">
        <v>44224</v>
      </c>
      <c r="C625" t="s">
        <v>2344</v>
      </c>
      <c r="D625" t="s">
        <v>3514</v>
      </c>
      <c r="E625">
        <v>1</v>
      </c>
      <c r="F625" t="s">
        <v>3526</v>
      </c>
      <c r="G625" t="s">
        <v>3518</v>
      </c>
      <c r="H625">
        <v>1</v>
      </c>
      <c r="I625">
        <v>12.2</v>
      </c>
      <c r="J625">
        <v>12.2</v>
      </c>
    </row>
    <row r="626" spans="1:10" x14ac:dyDescent="0.25">
      <c r="A626" t="s">
        <v>2346</v>
      </c>
      <c r="B626" s="3">
        <v>44010</v>
      </c>
      <c r="C626" t="s">
        <v>2347</v>
      </c>
      <c r="D626" t="s">
        <v>3497</v>
      </c>
      <c r="E626">
        <v>2</v>
      </c>
      <c r="F626" t="s">
        <v>3526</v>
      </c>
      <c r="G626" t="s">
        <v>3519</v>
      </c>
      <c r="H626">
        <v>2.5</v>
      </c>
      <c r="I626">
        <v>31.6</v>
      </c>
      <c r="J626">
        <v>63.3</v>
      </c>
    </row>
    <row r="627" spans="1:10" x14ac:dyDescent="0.25">
      <c r="A627" t="s">
        <v>2349</v>
      </c>
      <c r="B627" s="3">
        <v>44017</v>
      </c>
      <c r="C627" t="s">
        <v>2350</v>
      </c>
      <c r="D627" t="s">
        <v>3504</v>
      </c>
      <c r="E627">
        <v>5</v>
      </c>
      <c r="F627" t="s">
        <v>3524</v>
      </c>
      <c r="G627" t="s">
        <v>3517</v>
      </c>
      <c r="H627">
        <v>0.5</v>
      </c>
      <c r="I627">
        <v>7.2</v>
      </c>
      <c r="J627">
        <v>35.9</v>
      </c>
    </row>
    <row r="628" spans="1:10" x14ac:dyDescent="0.25">
      <c r="A628" t="s">
        <v>2352</v>
      </c>
      <c r="B628" s="3">
        <v>43526</v>
      </c>
      <c r="C628" t="s">
        <v>2353</v>
      </c>
      <c r="D628" t="s">
        <v>3506</v>
      </c>
      <c r="E628">
        <v>3</v>
      </c>
      <c r="F628" t="s">
        <v>3523</v>
      </c>
      <c r="G628" t="s">
        <v>3519</v>
      </c>
      <c r="H628">
        <v>2.5</v>
      </c>
      <c r="I628">
        <v>25.9</v>
      </c>
      <c r="J628">
        <v>77.599999999999994</v>
      </c>
    </row>
    <row r="629" spans="1:10" x14ac:dyDescent="0.25">
      <c r="A629" t="s">
        <v>2355</v>
      </c>
      <c r="B629" s="3">
        <v>44682</v>
      </c>
      <c r="C629" t="s">
        <v>2356</v>
      </c>
      <c r="D629" t="s">
        <v>3497</v>
      </c>
      <c r="E629">
        <v>2</v>
      </c>
      <c r="F629" t="s">
        <v>3526</v>
      </c>
      <c r="G629" t="s">
        <v>3519</v>
      </c>
      <c r="H629">
        <v>2.5</v>
      </c>
      <c r="I629">
        <v>31.6</v>
      </c>
      <c r="J629">
        <v>63.3</v>
      </c>
    </row>
    <row r="630" spans="1:10" x14ac:dyDescent="0.25">
      <c r="A630" t="s">
        <v>2358</v>
      </c>
      <c r="B630" s="3">
        <v>44680</v>
      </c>
      <c r="C630" t="s">
        <v>2359</v>
      </c>
      <c r="D630" t="s">
        <v>3515</v>
      </c>
      <c r="E630">
        <v>6</v>
      </c>
      <c r="F630" t="s">
        <v>3526</v>
      </c>
      <c r="G630" t="s">
        <v>3517</v>
      </c>
      <c r="H630">
        <v>0.2</v>
      </c>
      <c r="I630">
        <v>4.5</v>
      </c>
      <c r="J630">
        <v>26.7</v>
      </c>
    </row>
    <row r="631" spans="1:10" x14ac:dyDescent="0.25">
      <c r="A631" t="s">
        <v>2358</v>
      </c>
      <c r="B631" s="3">
        <v>44680</v>
      </c>
      <c r="C631" t="s">
        <v>2359</v>
      </c>
      <c r="D631" t="s">
        <v>3500</v>
      </c>
      <c r="E631">
        <v>4</v>
      </c>
      <c r="F631" t="s">
        <v>3525</v>
      </c>
      <c r="G631" t="s">
        <v>3518</v>
      </c>
      <c r="H631">
        <v>0.5</v>
      </c>
      <c r="I631">
        <v>7.8</v>
      </c>
      <c r="J631">
        <v>31.1</v>
      </c>
    </row>
    <row r="632" spans="1:10" x14ac:dyDescent="0.25">
      <c r="A632" t="s">
        <v>2358</v>
      </c>
      <c r="B632" s="3">
        <v>44680</v>
      </c>
      <c r="C632" t="s">
        <v>2359</v>
      </c>
      <c r="D632" t="s">
        <v>3485</v>
      </c>
      <c r="E632">
        <v>1</v>
      </c>
      <c r="F632" t="s">
        <v>3523</v>
      </c>
      <c r="G632" t="s">
        <v>3518</v>
      </c>
      <c r="H632">
        <v>0.2</v>
      </c>
      <c r="I632">
        <v>3</v>
      </c>
      <c r="J632">
        <v>3</v>
      </c>
    </row>
    <row r="633" spans="1:10" x14ac:dyDescent="0.25">
      <c r="A633" t="s">
        <v>2358</v>
      </c>
      <c r="B633" s="3">
        <v>44680</v>
      </c>
      <c r="C633" t="s">
        <v>2359</v>
      </c>
      <c r="D633" t="s">
        <v>3480</v>
      </c>
      <c r="E633">
        <v>5</v>
      </c>
      <c r="F633" t="s">
        <v>3524</v>
      </c>
      <c r="G633" t="s">
        <v>3518</v>
      </c>
      <c r="H633">
        <v>2.5</v>
      </c>
      <c r="I633">
        <v>20.6</v>
      </c>
      <c r="J633">
        <v>102.9</v>
      </c>
    </row>
    <row r="634" spans="1:10" x14ac:dyDescent="0.25">
      <c r="A634" t="s">
        <v>2368</v>
      </c>
      <c r="B634" s="3">
        <v>44049</v>
      </c>
      <c r="C634" t="s">
        <v>2369</v>
      </c>
      <c r="D634" t="s">
        <v>3507</v>
      </c>
      <c r="E634">
        <v>4</v>
      </c>
      <c r="F634" t="s">
        <v>3526</v>
      </c>
      <c r="G634" t="s">
        <v>3517</v>
      </c>
      <c r="H634">
        <v>0.5</v>
      </c>
      <c r="I634">
        <v>8.9</v>
      </c>
      <c r="J634">
        <v>35.6</v>
      </c>
    </row>
    <row r="635" spans="1:10" x14ac:dyDescent="0.25">
      <c r="A635" t="s">
        <v>2371</v>
      </c>
      <c r="B635" s="3">
        <v>43820</v>
      </c>
      <c r="C635" t="s">
        <v>2372</v>
      </c>
      <c r="D635" t="s">
        <v>3510</v>
      </c>
      <c r="E635">
        <v>4</v>
      </c>
      <c r="F635" t="s">
        <v>3524</v>
      </c>
      <c r="G635" t="s">
        <v>3517</v>
      </c>
      <c r="H635">
        <v>1</v>
      </c>
      <c r="I635">
        <v>12</v>
      </c>
      <c r="J635">
        <v>47.8</v>
      </c>
    </row>
    <row r="636" spans="1:10" x14ac:dyDescent="0.25">
      <c r="A636" t="s">
        <v>2374</v>
      </c>
      <c r="B636" s="3">
        <v>43940</v>
      </c>
      <c r="C636" t="s">
        <v>2375</v>
      </c>
      <c r="D636" t="s">
        <v>3493</v>
      </c>
      <c r="E636">
        <v>3</v>
      </c>
      <c r="F636" t="s">
        <v>3525</v>
      </c>
      <c r="G636" t="s">
        <v>3519</v>
      </c>
      <c r="H636">
        <v>1</v>
      </c>
      <c r="I636">
        <v>14.6</v>
      </c>
      <c r="J636">
        <v>43.7</v>
      </c>
    </row>
    <row r="637" spans="1:10" x14ac:dyDescent="0.25">
      <c r="A637" t="s">
        <v>2377</v>
      </c>
      <c r="B637" s="3">
        <v>44578</v>
      </c>
      <c r="C637" t="s">
        <v>2378</v>
      </c>
      <c r="D637" t="s">
        <v>3507</v>
      </c>
      <c r="E637">
        <v>4</v>
      </c>
      <c r="F637" t="s">
        <v>3526</v>
      </c>
      <c r="G637" t="s">
        <v>3517</v>
      </c>
      <c r="H637">
        <v>0.5</v>
      </c>
      <c r="I637">
        <v>8.9</v>
      </c>
      <c r="J637">
        <v>35.6</v>
      </c>
    </row>
    <row r="638" spans="1:10" x14ac:dyDescent="0.25">
      <c r="A638" t="s">
        <v>2380</v>
      </c>
      <c r="B638" s="3">
        <v>43487</v>
      </c>
      <c r="C638" t="s">
        <v>2381</v>
      </c>
      <c r="D638" t="s">
        <v>3501</v>
      </c>
      <c r="E638">
        <v>6</v>
      </c>
      <c r="F638" t="s">
        <v>3525</v>
      </c>
      <c r="G638" t="s">
        <v>3517</v>
      </c>
      <c r="H638">
        <v>1</v>
      </c>
      <c r="I638">
        <v>15.9</v>
      </c>
      <c r="J638">
        <v>95.1</v>
      </c>
    </row>
    <row r="639" spans="1:10" x14ac:dyDescent="0.25">
      <c r="A639" t="s">
        <v>2383</v>
      </c>
      <c r="B639" s="3">
        <v>43889</v>
      </c>
      <c r="C639" t="s">
        <v>2384</v>
      </c>
      <c r="D639" t="s">
        <v>3497</v>
      </c>
      <c r="E639">
        <v>1</v>
      </c>
      <c r="F639" t="s">
        <v>3526</v>
      </c>
      <c r="G639" t="s">
        <v>3519</v>
      </c>
      <c r="H639">
        <v>2.5</v>
      </c>
      <c r="I639">
        <v>31.6</v>
      </c>
      <c r="J639">
        <v>31.6</v>
      </c>
    </row>
    <row r="640" spans="1:10" x14ac:dyDescent="0.25">
      <c r="A640" t="s">
        <v>2387</v>
      </c>
      <c r="B640" s="3">
        <v>43684</v>
      </c>
      <c r="C640" t="s">
        <v>2388</v>
      </c>
      <c r="D640" t="s">
        <v>3506</v>
      </c>
      <c r="E640">
        <v>3</v>
      </c>
      <c r="F640" t="s">
        <v>3523</v>
      </c>
      <c r="G640" t="s">
        <v>3519</v>
      </c>
      <c r="H640">
        <v>2.5</v>
      </c>
      <c r="I640">
        <v>25.9</v>
      </c>
      <c r="J640">
        <v>77.599999999999994</v>
      </c>
    </row>
    <row r="641" spans="1:10" x14ac:dyDescent="0.25">
      <c r="A641" t="s">
        <v>2390</v>
      </c>
      <c r="B641" s="3">
        <v>44331</v>
      </c>
      <c r="C641" t="s">
        <v>2391</v>
      </c>
      <c r="D641" t="s">
        <v>3481</v>
      </c>
      <c r="E641">
        <v>1</v>
      </c>
      <c r="F641" t="s">
        <v>3525</v>
      </c>
      <c r="G641" t="s">
        <v>3518</v>
      </c>
      <c r="H641">
        <v>0.2</v>
      </c>
      <c r="I641">
        <v>3.9</v>
      </c>
      <c r="J641">
        <v>3.9</v>
      </c>
    </row>
    <row r="642" spans="1:10" x14ac:dyDescent="0.25">
      <c r="A642" t="s">
        <v>2393</v>
      </c>
      <c r="B642" s="3">
        <v>44547</v>
      </c>
      <c r="C642" t="s">
        <v>2420</v>
      </c>
      <c r="D642" t="s">
        <v>3473</v>
      </c>
      <c r="E642">
        <v>5</v>
      </c>
      <c r="F642" t="s">
        <v>3524</v>
      </c>
      <c r="G642" t="s">
        <v>3517</v>
      </c>
      <c r="H642">
        <v>2.5</v>
      </c>
      <c r="I642">
        <v>27.5</v>
      </c>
      <c r="J642">
        <v>137.4</v>
      </c>
    </row>
    <row r="643" spans="1:10" x14ac:dyDescent="0.25">
      <c r="A643" t="s">
        <v>2396</v>
      </c>
      <c r="B643" s="3">
        <v>44448</v>
      </c>
      <c r="C643" t="s">
        <v>2397</v>
      </c>
      <c r="D643" t="s">
        <v>3510</v>
      </c>
      <c r="E643">
        <v>3</v>
      </c>
      <c r="F643" t="s">
        <v>3524</v>
      </c>
      <c r="G643" t="s">
        <v>3517</v>
      </c>
      <c r="H643">
        <v>1</v>
      </c>
      <c r="I643">
        <v>12</v>
      </c>
      <c r="J643">
        <v>35.9</v>
      </c>
    </row>
    <row r="644" spans="1:10" x14ac:dyDescent="0.25">
      <c r="A644" t="s">
        <v>2399</v>
      </c>
      <c r="B644" s="3">
        <v>43880</v>
      </c>
      <c r="C644" t="s">
        <v>2400</v>
      </c>
      <c r="D644" t="s">
        <v>3487</v>
      </c>
      <c r="E644">
        <v>2</v>
      </c>
      <c r="F644" t="s">
        <v>3526</v>
      </c>
      <c r="G644" t="s">
        <v>3519</v>
      </c>
      <c r="H644">
        <v>0.2</v>
      </c>
      <c r="I644">
        <v>4.0999999999999996</v>
      </c>
      <c r="J644">
        <v>8.3000000000000007</v>
      </c>
    </row>
    <row r="645" spans="1:10" x14ac:dyDescent="0.25">
      <c r="A645" t="s">
        <v>2404</v>
      </c>
      <c r="B645" s="3">
        <v>44011</v>
      </c>
      <c r="C645" t="s">
        <v>2405</v>
      </c>
      <c r="D645" t="s">
        <v>3479</v>
      </c>
      <c r="E645">
        <v>3</v>
      </c>
      <c r="F645" t="s">
        <v>3526</v>
      </c>
      <c r="G645" t="s">
        <v>3517</v>
      </c>
      <c r="H645">
        <v>2.5</v>
      </c>
      <c r="I645">
        <v>34.200000000000003</v>
      </c>
      <c r="J645">
        <v>102.5</v>
      </c>
    </row>
    <row r="646" spans="1:10" x14ac:dyDescent="0.25">
      <c r="A646" t="s">
        <v>2407</v>
      </c>
      <c r="B646" s="3">
        <v>44694</v>
      </c>
      <c r="C646" t="s">
        <v>2408</v>
      </c>
      <c r="D646" t="s">
        <v>3480</v>
      </c>
      <c r="E646">
        <v>2</v>
      </c>
      <c r="F646" t="s">
        <v>3524</v>
      </c>
      <c r="G646" t="s">
        <v>3518</v>
      </c>
      <c r="H646">
        <v>2.5</v>
      </c>
      <c r="I646">
        <v>20.6</v>
      </c>
      <c r="J646">
        <v>41.2</v>
      </c>
    </row>
    <row r="647" spans="1:10" x14ac:dyDescent="0.25">
      <c r="A647" t="s">
        <v>2410</v>
      </c>
      <c r="B647" s="3">
        <v>44106</v>
      </c>
      <c r="C647" t="s">
        <v>2411</v>
      </c>
      <c r="D647" t="s">
        <v>3499</v>
      </c>
      <c r="E647">
        <v>3</v>
      </c>
      <c r="F647" t="s">
        <v>3523</v>
      </c>
      <c r="G647" t="s">
        <v>3518</v>
      </c>
      <c r="H647">
        <v>2.5</v>
      </c>
      <c r="I647">
        <v>22.9</v>
      </c>
      <c r="J647">
        <v>68.7</v>
      </c>
    </row>
    <row r="648" spans="1:10" x14ac:dyDescent="0.25">
      <c r="A648" t="s">
        <v>2413</v>
      </c>
      <c r="B648" s="3">
        <v>44532</v>
      </c>
      <c r="C648" t="s">
        <v>2414</v>
      </c>
      <c r="D648" t="s">
        <v>3478</v>
      </c>
      <c r="E648">
        <v>1</v>
      </c>
      <c r="F648" t="s">
        <v>3523</v>
      </c>
      <c r="G648" t="s">
        <v>3518</v>
      </c>
      <c r="H648">
        <v>1</v>
      </c>
      <c r="I648">
        <v>10</v>
      </c>
      <c r="J648">
        <v>10</v>
      </c>
    </row>
    <row r="649" spans="1:10" x14ac:dyDescent="0.25">
      <c r="A649" t="s">
        <v>2416</v>
      </c>
      <c r="B649" s="3">
        <v>44502</v>
      </c>
      <c r="C649" t="s">
        <v>2417</v>
      </c>
      <c r="D649" t="s">
        <v>3492</v>
      </c>
      <c r="E649">
        <v>3</v>
      </c>
      <c r="F649" t="s">
        <v>3525</v>
      </c>
      <c r="G649" t="s">
        <v>3517</v>
      </c>
      <c r="H649">
        <v>0.5</v>
      </c>
      <c r="I649">
        <v>9.5</v>
      </c>
      <c r="J649">
        <v>28.5</v>
      </c>
    </row>
    <row r="650" spans="1:10" x14ac:dyDescent="0.25">
      <c r="A650" t="s">
        <v>2419</v>
      </c>
      <c r="B650" s="3">
        <v>43884</v>
      </c>
      <c r="C650" t="s">
        <v>2420</v>
      </c>
      <c r="D650" t="s">
        <v>3494</v>
      </c>
      <c r="E650">
        <v>6</v>
      </c>
      <c r="F650" t="s">
        <v>3524</v>
      </c>
      <c r="G650" t="s">
        <v>3518</v>
      </c>
      <c r="H650">
        <v>0.2</v>
      </c>
      <c r="I650">
        <v>2.7</v>
      </c>
      <c r="J650">
        <v>16.100000000000001</v>
      </c>
    </row>
    <row r="651" spans="1:10" x14ac:dyDescent="0.25">
      <c r="A651" t="s">
        <v>2422</v>
      </c>
      <c r="B651" s="3">
        <v>44015</v>
      </c>
      <c r="C651" t="s">
        <v>2423</v>
      </c>
      <c r="D651" t="s">
        <v>3501</v>
      </c>
      <c r="E651">
        <v>6</v>
      </c>
      <c r="F651" t="s">
        <v>3525</v>
      </c>
      <c r="G651" t="s">
        <v>3517</v>
      </c>
      <c r="H651">
        <v>1</v>
      </c>
      <c r="I651">
        <v>15.9</v>
      </c>
      <c r="J651">
        <v>95.1</v>
      </c>
    </row>
    <row r="652" spans="1:10" x14ac:dyDescent="0.25">
      <c r="A652" t="s">
        <v>2425</v>
      </c>
      <c r="B652" s="3">
        <v>43507</v>
      </c>
      <c r="C652" t="s">
        <v>2426</v>
      </c>
      <c r="D652" t="s">
        <v>3503</v>
      </c>
      <c r="E652">
        <v>1</v>
      </c>
      <c r="F652" t="s">
        <v>3524</v>
      </c>
      <c r="G652" t="s">
        <v>3518</v>
      </c>
      <c r="H652">
        <v>0.5</v>
      </c>
      <c r="I652">
        <v>5.4</v>
      </c>
      <c r="J652">
        <v>5.4</v>
      </c>
    </row>
    <row r="653" spans="1:10" x14ac:dyDescent="0.25">
      <c r="A653" t="s">
        <v>2428</v>
      </c>
      <c r="B653" s="3">
        <v>44084</v>
      </c>
      <c r="C653" t="s">
        <v>2429</v>
      </c>
      <c r="D653" t="s">
        <v>3510</v>
      </c>
      <c r="E653">
        <v>4</v>
      </c>
      <c r="F653" t="s">
        <v>3524</v>
      </c>
      <c r="G653" t="s">
        <v>3517</v>
      </c>
      <c r="H653">
        <v>1</v>
      </c>
      <c r="I653">
        <v>12</v>
      </c>
      <c r="J653">
        <v>47.8</v>
      </c>
    </row>
    <row r="654" spans="1:10" x14ac:dyDescent="0.25">
      <c r="A654" t="s">
        <v>2431</v>
      </c>
      <c r="B654" s="3">
        <v>43892</v>
      </c>
      <c r="C654" t="s">
        <v>2432</v>
      </c>
      <c r="D654" t="s">
        <v>3501</v>
      </c>
      <c r="E654">
        <v>4</v>
      </c>
      <c r="F654" t="s">
        <v>3525</v>
      </c>
      <c r="G654" t="s">
        <v>3517</v>
      </c>
      <c r="H654">
        <v>1</v>
      </c>
      <c r="I654">
        <v>15.9</v>
      </c>
      <c r="J654">
        <v>63.4</v>
      </c>
    </row>
    <row r="655" spans="1:10" x14ac:dyDescent="0.25">
      <c r="A655" t="s">
        <v>2434</v>
      </c>
      <c r="B655" s="3">
        <v>44375</v>
      </c>
      <c r="C655" t="s">
        <v>2435</v>
      </c>
      <c r="D655" t="s">
        <v>3506</v>
      </c>
      <c r="E655">
        <v>4</v>
      </c>
      <c r="F655" t="s">
        <v>3523</v>
      </c>
      <c r="G655" t="s">
        <v>3519</v>
      </c>
      <c r="H655">
        <v>2.5</v>
      </c>
      <c r="I655">
        <v>25.9</v>
      </c>
      <c r="J655">
        <v>103.5</v>
      </c>
    </row>
    <row r="656" spans="1:10" x14ac:dyDescent="0.25">
      <c r="A656" t="s">
        <v>2437</v>
      </c>
      <c r="B656" s="3">
        <v>43476</v>
      </c>
      <c r="C656" t="s">
        <v>2438</v>
      </c>
      <c r="D656" t="s">
        <v>3499</v>
      </c>
      <c r="E656">
        <v>3</v>
      </c>
      <c r="F656" t="s">
        <v>3523</v>
      </c>
      <c r="G656" t="s">
        <v>3518</v>
      </c>
      <c r="H656">
        <v>2.5</v>
      </c>
      <c r="I656">
        <v>22.9</v>
      </c>
      <c r="J656">
        <v>68.7</v>
      </c>
    </row>
    <row r="657" spans="1:10" x14ac:dyDescent="0.25">
      <c r="A657" t="s">
        <v>2440</v>
      </c>
      <c r="B657" s="3">
        <v>43728</v>
      </c>
      <c r="C657" t="s">
        <v>2441</v>
      </c>
      <c r="D657" t="s">
        <v>3482</v>
      </c>
      <c r="E657">
        <v>2</v>
      </c>
      <c r="F657" t="s">
        <v>3524</v>
      </c>
      <c r="G657" t="s">
        <v>3519</v>
      </c>
      <c r="H657">
        <v>2.5</v>
      </c>
      <c r="I657">
        <v>22.9</v>
      </c>
      <c r="J657">
        <v>45.8</v>
      </c>
    </row>
    <row r="658" spans="1:10" x14ac:dyDescent="0.25">
      <c r="A658" t="s">
        <v>2443</v>
      </c>
      <c r="B658" s="3">
        <v>44485</v>
      </c>
      <c r="C658" t="s">
        <v>2444</v>
      </c>
      <c r="D658" t="s">
        <v>3474</v>
      </c>
      <c r="E658">
        <v>4</v>
      </c>
      <c r="F658" t="s">
        <v>3525</v>
      </c>
      <c r="G658" t="s">
        <v>3518</v>
      </c>
      <c r="H658">
        <v>1</v>
      </c>
      <c r="I658">
        <v>13</v>
      </c>
      <c r="J658">
        <v>51.8</v>
      </c>
    </row>
    <row r="659" spans="1:10" x14ac:dyDescent="0.25">
      <c r="A659" t="s">
        <v>2446</v>
      </c>
      <c r="B659" s="3">
        <v>43831</v>
      </c>
      <c r="C659" t="s">
        <v>2447</v>
      </c>
      <c r="D659" t="s">
        <v>3488</v>
      </c>
      <c r="E659">
        <v>2</v>
      </c>
      <c r="F659" t="s">
        <v>3523</v>
      </c>
      <c r="G659" t="s">
        <v>3519</v>
      </c>
      <c r="H659">
        <v>0.5</v>
      </c>
      <c r="I659">
        <v>6.8</v>
      </c>
      <c r="J659">
        <v>13.5</v>
      </c>
    </row>
    <row r="660" spans="1:10" x14ac:dyDescent="0.25">
      <c r="A660" t="s">
        <v>2449</v>
      </c>
      <c r="B660" s="3">
        <v>44630</v>
      </c>
      <c r="C660" t="s">
        <v>2479</v>
      </c>
      <c r="D660" t="s">
        <v>3470</v>
      </c>
      <c r="E660">
        <v>3</v>
      </c>
      <c r="F660" t="s">
        <v>3526</v>
      </c>
      <c r="G660" t="s">
        <v>3519</v>
      </c>
      <c r="H660">
        <v>0.5</v>
      </c>
      <c r="I660">
        <v>8.3000000000000007</v>
      </c>
      <c r="J660">
        <v>24.8</v>
      </c>
    </row>
    <row r="661" spans="1:10" x14ac:dyDescent="0.25">
      <c r="A661" t="s">
        <v>2452</v>
      </c>
      <c r="B661" s="3">
        <v>44693</v>
      </c>
      <c r="C661" t="s">
        <v>2453</v>
      </c>
      <c r="D661" t="s">
        <v>3499</v>
      </c>
      <c r="E661">
        <v>2</v>
      </c>
      <c r="F661" t="s">
        <v>3523</v>
      </c>
      <c r="G661" t="s">
        <v>3518</v>
      </c>
      <c r="H661">
        <v>2.5</v>
      </c>
      <c r="I661">
        <v>22.9</v>
      </c>
      <c r="J661">
        <v>45.8</v>
      </c>
    </row>
    <row r="662" spans="1:10" x14ac:dyDescent="0.25">
      <c r="A662" t="s">
        <v>2455</v>
      </c>
      <c r="B662" s="3">
        <v>44084</v>
      </c>
      <c r="C662" t="s">
        <v>2456</v>
      </c>
      <c r="D662" t="s">
        <v>3507</v>
      </c>
      <c r="E662">
        <v>6</v>
      </c>
      <c r="F662" t="s">
        <v>3526</v>
      </c>
      <c r="G662" t="s">
        <v>3517</v>
      </c>
      <c r="H662">
        <v>0.5</v>
      </c>
      <c r="I662">
        <v>8.9</v>
      </c>
      <c r="J662">
        <v>53.5</v>
      </c>
    </row>
    <row r="663" spans="1:10" x14ac:dyDescent="0.25">
      <c r="A663" t="s">
        <v>2458</v>
      </c>
      <c r="B663" s="3">
        <v>44485</v>
      </c>
      <c r="C663" t="s">
        <v>2459</v>
      </c>
      <c r="D663" t="s">
        <v>3483</v>
      </c>
      <c r="E663">
        <v>6</v>
      </c>
      <c r="F663" t="s">
        <v>3523</v>
      </c>
      <c r="G663" t="s">
        <v>3519</v>
      </c>
      <c r="H663">
        <v>0.2</v>
      </c>
      <c r="I663">
        <v>3.4</v>
      </c>
      <c r="J663">
        <v>20.3</v>
      </c>
    </row>
    <row r="664" spans="1:10" x14ac:dyDescent="0.25">
      <c r="A664" t="s">
        <v>2461</v>
      </c>
      <c r="B664" s="3">
        <v>44364</v>
      </c>
      <c r="C664" t="s">
        <v>2462</v>
      </c>
      <c r="D664" t="s">
        <v>3496</v>
      </c>
      <c r="E664">
        <v>5</v>
      </c>
      <c r="F664" t="s">
        <v>3525</v>
      </c>
      <c r="G664" t="s">
        <v>3518</v>
      </c>
      <c r="H664">
        <v>2.5</v>
      </c>
      <c r="I664">
        <v>29.8</v>
      </c>
      <c r="J664">
        <v>148.9</v>
      </c>
    </row>
    <row r="665" spans="1:10" x14ac:dyDescent="0.25">
      <c r="A665" t="s">
        <v>2464</v>
      </c>
      <c r="B665" s="3">
        <v>43554</v>
      </c>
      <c r="C665" t="s">
        <v>2465</v>
      </c>
      <c r="D665" t="s">
        <v>3486</v>
      </c>
      <c r="E665">
        <v>6</v>
      </c>
      <c r="F665" t="s">
        <v>3523</v>
      </c>
      <c r="G665" t="s">
        <v>3519</v>
      </c>
      <c r="H665">
        <v>1</v>
      </c>
      <c r="I665">
        <v>11.3</v>
      </c>
      <c r="J665">
        <v>67.5</v>
      </c>
    </row>
    <row r="666" spans="1:10" x14ac:dyDescent="0.25">
      <c r="A666" t="s">
        <v>2467</v>
      </c>
      <c r="B666" s="3">
        <v>44549</v>
      </c>
      <c r="C666" t="s">
        <v>2468</v>
      </c>
      <c r="D666" t="s">
        <v>3514</v>
      </c>
      <c r="E666">
        <v>6</v>
      </c>
      <c r="F666" t="s">
        <v>3526</v>
      </c>
      <c r="G666" t="s">
        <v>3518</v>
      </c>
      <c r="H666">
        <v>1</v>
      </c>
      <c r="I666">
        <v>12.2</v>
      </c>
      <c r="J666">
        <v>72.900000000000006</v>
      </c>
    </row>
    <row r="667" spans="1:10" x14ac:dyDescent="0.25">
      <c r="A667" t="s">
        <v>2467</v>
      </c>
      <c r="B667" s="3">
        <v>44549</v>
      </c>
      <c r="C667" t="s">
        <v>2468</v>
      </c>
      <c r="D667" t="s">
        <v>3481</v>
      </c>
      <c r="E667">
        <v>2</v>
      </c>
      <c r="F667" t="s">
        <v>3525</v>
      </c>
      <c r="G667" t="s">
        <v>3518</v>
      </c>
      <c r="H667">
        <v>0.2</v>
      </c>
      <c r="I667">
        <v>3.9</v>
      </c>
      <c r="J667">
        <v>7.8</v>
      </c>
    </row>
    <row r="668" spans="1:10" x14ac:dyDescent="0.25">
      <c r="A668" t="s">
        <v>2472</v>
      </c>
      <c r="B668" s="3">
        <v>43987</v>
      </c>
      <c r="C668" t="s">
        <v>2473</v>
      </c>
      <c r="D668" t="s">
        <v>3499</v>
      </c>
      <c r="E668">
        <v>4</v>
      </c>
      <c r="F668" t="s">
        <v>3523</v>
      </c>
      <c r="G668" t="s">
        <v>3518</v>
      </c>
      <c r="H668">
        <v>2.5</v>
      </c>
      <c r="I668">
        <v>22.9</v>
      </c>
      <c r="J668">
        <v>91.5</v>
      </c>
    </row>
    <row r="669" spans="1:10" x14ac:dyDescent="0.25">
      <c r="A669" t="s">
        <v>2475</v>
      </c>
      <c r="B669" s="3">
        <v>44451</v>
      </c>
      <c r="C669" t="s">
        <v>2476</v>
      </c>
      <c r="D669" t="s">
        <v>3478</v>
      </c>
      <c r="E669">
        <v>6</v>
      </c>
      <c r="F669" t="s">
        <v>3523</v>
      </c>
      <c r="G669" t="s">
        <v>3518</v>
      </c>
      <c r="H669">
        <v>1</v>
      </c>
      <c r="I669">
        <v>10</v>
      </c>
      <c r="J669">
        <v>59.7</v>
      </c>
    </row>
    <row r="670" spans="1:10" x14ac:dyDescent="0.25">
      <c r="A670" t="s">
        <v>2478</v>
      </c>
      <c r="B670" s="3">
        <v>44636</v>
      </c>
      <c r="C670" t="s">
        <v>2479</v>
      </c>
      <c r="D670" t="s">
        <v>3473</v>
      </c>
      <c r="E670">
        <v>5</v>
      </c>
      <c r="F670" t="s">
        <v>3524</v>
      </c>
      <c r="G670" t="s">
        <v>3517</v>
      </c>
      <c r="H670">
        <v>2.5</v>
      </c>
      <c r="I670">
        <v>27.5</v>
      </c>
      <c r="J670">
        <v>137.4</v>
      </c>
    </row>
    <row r="671" spans="1:10" x14ac:dyDescent="0.25">
      <c r="A671" t="s">
        <v>2481</v>
      </c>
      <c r="B671" s="3">
        <v>44551</v>
      </c>
      <c r="C671" t="s">
        <v>2482</v>
      </c>
      <c r="D671" t="s">
        <v>3512</v>
      </c>
      <c r="E671">
        <v>2</v>
      </c>
      <c r="F671" t="s">
        <v>3525</v>
      </c>
      <c r="G671" t="s">
        <v>3519</v>
      </c>
      <c r="H671">
        <v>2.5</v>
      </c>
      <c r="I671">
        <v>33.5</v>
      </c>
      <c r="J671">
        <v>66.900000000000006</v>
      </c>
    </row>
    <row r="672" spans="1:10" x14ac:dyDescent="0.25">
      <c r="A672" t="s">
        <v>2484</v>
      </c>
      <c r="B672" s="3">
        <v>43606</v>
      </c>
      <c r="C672" t="s">
        <v>2485</v>
      </c>
      <c r="D672" t="s">
        <v>3490</v>
      </c>
      <c r="E672">
        <v>3</v>
      </c>
      <c r="F672" t="s">
        <v>3525</v>
      </c>
      <c r="G672" t="s">
        <v>3519</v>
      </c>
      <c r="H672">
        <v>0.2</v>
      </c>
      <c r="I672">
        <v>4.4000000000000004</v>
      </c>
      <c r="J672">
        <v>13.1</v>
      </c>
    </row>
    <row r="673" spans="1:10" x14ac:dyDescent="0.25">
      <c r="A673" t="s">
        <v>2487</v>
      </c>
      <c r="B673" s="3">
        <v>44495</v>
      </c>
      <c r="C673" t="s">
        <v>2488</v>
      </c>
      <c r="D673" t="s">
        <v>3510</v>
      </c>
      <c r="E673">
        <v>5</v>
      </c>
      <c r="F673" t="s">
        <v>3524</v>
      </c>
      <c r="G673" t="s">
        <v>3517</v>
      </c>
      <c r="H673">
        <v>1</v>
      </c>
      <c r="I673">
        <v>12</v>
      </c>
      <c r="J673">
        <v>59.8</v>
      </c>
    </row>
    <row r="674" spans="1:10" x14ac:dyDescent="0.25">
      <c r="A674" t="s">
        <v>2490</v>
      </c>
      <c r="B674" s="3">
        <v>43916</v>
      </c>
      <c r="C674" t="s">
        <v>2491</v>
      </c>
      <c r="D674" t="s">
        <v>3491</v>
      </c>
      <c r="E674">
        <v>5</v>
      </c>
      <c r="F674" t="s">
        <v>3525</v>
      </c>
      <c r="G674" t="s">
        <v>3519</v>
      </c>
      <c r="H674">
        <v>0.5</v>
      </c>
      <c r="I674">
        <v>8.6999999999999993</v>
      </c>
      <c r="J674">
        <v>43.7</v>
      </c>
    </row>
    <row r="675" spans="1:10" x14ac:dyDescent="0.25">
      <c r="A675" t="s">
        <v>2493</v>
      </c>
      <c r="B675" s="3">
        <v>44118</v>
      </c>
      <c r="C675" t="s">
        <v>2494</v>
      </c>
      <c r="D675" t="s">
        <v>3472</v>
      </c>
      <c r="E675">
        <v>6</v>
      </c>
      <c r="F675" t="s">
        <v>3526</v>
      </c>
      <c r="G675" t="s">
        <v>3519</v>
      </c>
      <c r="H675">
        <v>1</v>
      </c>
      <c r="I675">
        <v>13.8</v>
      </c>
      <c r="J675">
        <v>82.5</v>
      </c>
    </row>
    <row r="676" spans="1:10" x14ac:dyDescent="0.25">
      <c r="A676" t="s">
        <v>2496</v>
      </c>
      <c r="B676" s="3">
        <v>44543</v>
      </c>
      <c r="C676" t="s">
        <v>2497</v>
      </c>
      <c r="D676" t="s">
        <v>3513</v>
      </c>
      <c r="E676">
        <v>6</v>
      </c>
      <c r="F676" t="s">
        <v>3523</v>
      </c>
      <c r="G676" t="s">
        <v>3517</v>
      </c>
      <c r="H676">
        <v>2.5</v>
      </c>
      <c r="I676">
        <v>29.8</v>
      </c>
      <c r="J676">
        <v>178.7</v>
      </c>
    </row>
    <row r="677" spans="1:10" x14ac:dyDescent="0.25">
      <c r="A677" t="s">
        <v>2499</v>
      </c>
      <c r="B677" s="3">
        <v>44263</v>
      </c>
      <c r="C677" t="s">
        <v>2500</v>
      </c>
      <c r="D677" t="s">
        <v>3496</v>
      </c>
      <c r="E677">
        <v>4</v>
      </c>
      <c r="F677" t="s">
        <v>3525</v>
      </c>
      <c r="G677" t="s">
        <v>3518</v>
      </c>
      <c r="H677">
        <v>2.5</v>
      </c>
      <c r="I677">
        <v>29.8</v>
      </c>
      <c r="J677">
        <v>119.1</v>
      </c>
    </row>
    <row r="678" spans="1:10" x14ac:dyDescent="0.25">
      <c r="A678" t="s">
        <v>2502</v>
      </c>
      <c r="B678" s="3">
        <v>44217</v>
      </c>
      <c r="C678" t="s">
        <v>2503</v>
      </c>
      <c r="D678" t="s">
        <v>3492</v>
      </c>
      <c r="E678">
        <v>5</v>
      </c>
      <c r="F678" t="s">
        <v>3525</v>
      </c>
      <c r="G678" t="s">
        <v>3517</v>
      </c>
      <c r="H678">
        <v>0.5</v>
      </c>
      <c r="I678">
        <v>9.5</v>
      </c>
      <c r="J678">
        <v>47.6</v>
      </c>
    </row>
    <row r="679" spans="1:10" x14ac:dyDescent="0.25">
      <c r="A679" t="s">
        <v>2505</v>
      </c>
      <c r="B679" s="3">
        <v>44206</v>
      </c>
      <c r="C679" t="s">
        <v>2506</v>
      </c>
      <c r="D679" t="s">
        <v>3491</v>
      </c>
      <c r="E679">
        <v>5</v>
      </c>
      <c r="F679" t="s">
        <v>3525</v>
      </c>
      <c r="G679" t="s">
        <v>3519</v>
      </c>
      <c r="H679">
        <v>0.5</v>
      </c>
      <c r="I679">
        <v>8.6999999999999993</v>
      </c>
      <c r="J679">
        <v>43.7</v>
      </c>
    </row>
    <row r="680" spans="1:10" x14ac:dyDescent="0.25">
      <c r="A680" t="s">
        <v>2508</v>
      </c>
      <c r="B680" s="3">
        <v>44281</v>
      </c>
      <c r="C680" t="s">
        <v>2509</v>
      </c>
      <c r="D680" t="s">
        <v>3513</v>
      </c>
      <c r="E680">
        <v>6</v>
      </c>
      <c r="F680" t="s">
        <v>3523</v>
      </c>
      <c r="G680" t="s">
        <v>3517</v>
      </c>
      <c r="H680">
        <v>2.5</v>
      </c>
      <c r="I680">
        <v>29.8</v>
      </c>
      <c r="J680">
        <v>178.7</v>
      </c>
    </row>
    <row r="681" spans="1:10" x14ac:dyDescent="0.25">
      <c r="A681" t="s">
        <v>2511</v>
      </c>
      <c r="B681" s="3">
        <v>44645</v>
      </c>
      <c r="C681" t="s">
        <v>2512</v>
      </c>
      <c r="D681" t="s">
        <v>3473</v>
      </c>
      <c r="E681">
        <v>1</v>
      </c>
      <c r="F681" t="s">
        <v>3524</v>
      </c>
      <c r="G681" t="s">
        <v>3517</v>
      </c>
      <c r="H681">
        <v>2.5</v>
      </c>
      <c r="I681">
        <v>27.5</v>
      </c>
      <c r="J681">
        <v>27.5</v>
      </c>
    </row>
    <row r="682" spans="1:10" x14ac:dyDescent="0.25">
      <c r="A682" t="s">
        <v>2514</v>
      </c>
      <c r="B682" s="3">
        <v>44399</v>
      </c>
      <c r="C682" t="s">
        <v>2515</v>
      </c>
      <c r="D682" t="s">
        <v>3486</v>
      </c>
      <c r="E682">
        <v>5</v>
      </c>
      <c r="F682" t="s">
        <v>3523</v>
      </c>
      <c r="G682" t="s">
        <v>3519</v>
      </c>
      <c r="H682">
        <v>1</v>
      </c>
      <c r="I682">
        <v>11.3</v>
      </c>
      <c r="J682">
        <v>56.3</v>
      </c>
    </row>
    <row r="683" spans="1:10" x14ac:dyDescent="0.25">
      <c r="A683" t="s">
        <v>2517</v>
      </c>
      <c r="B683" s="3">
        <v>44080</v>
      </c>
      <c r="C683" t="s">
        <v>2518</v>
      </c>
      <c r="D683" t="s">
        <v>3476</v>
      </c>
      <c r="E683">
        <v>2</v>
      </c>
      <c r="F683" t="s">
        <v>3525</v>
      </c>
      <c r="G683" t="s">
        <v>3517</v>
      </c>
      <c r="H683">
        <v>0.2</v>
      </c>
      <c r="I683">
        <v>4.8</v>
      </c>
      <c r="J683">
        <v>9.5</v>
      </c>
    </row>
    <row r="684" spans="1:10" x14ac:dyDescent="0.25">
      <c r="A684" t="s">
        <v>2520</v>
      </c>
      <c r="B684" s="3">
        <v>43827</v>
      </c>
      <c r="C684" t="s">
        <v>2521</v>
      </c>
      <c r="D684" t="s">
        <v>3487</v>
      </c>
      <c r="E684">
        <v>2</v>
      </c>
      <c r="F684" t="s">
        <v>3526</v>
      </c>
      <c r="G684" t="s">
        <v>3519</v>
      </c>
      <c r="H684">
        <v>0.2</v>
      </c>
      <c r="I684">
        <v>4.0999999999999996</v>
      </c>
      <c r="J684">
        <v>8.3000000000000007</v>
      </c>
    </row>
    <row r="685" spans="1:10" x14ac:dyDescent="0.25">
      <c r="A685" t="s">
        <v>2523</v>
      </c>
      <c r="B685" s="3">
        <v>43941</v>
      </c>
      <c r="C685" t="s">
        <v>2524</v>
      </c>
      <c r="D685" t="s">
        <v>3500</v>
      </c>
      <c r="E685">
        <v>6</v>
      </c>
      <c r="F685" t="s">
        <v>3525</v>
      </c>
      <c r="G685" t="s">
        <v>3518</v>
      </c>
      <c r="H685">
        <v>0.5</v>
      </c>
      <c r="I685">
        <v>7.8</v>
      </c>
      <c r="J685">
        <v>46.6</v>
      </c>
    </row>
    <row r="686" spans="1:10" x14ac:dyDescent="0.25">
      <c r="A686" t="s">
        <v>2526</v>
      </c>
      <c r="B686" s="3">
        <v>43517</v>
      </c>
      <c r="C686" t="s">
        <v>2527</v>
      </c>
      <c r="D686" t="s">
        <v>3510</v>
      </c>
      <c r="E686">
        <v>6</v>
      </c>
      <c r="F686" t="s">
        <v>3524</v>
      </c>
      <c r="G686" t="s">
        <v>3517</v>
      </c>
      <c r="H686">
        <v>1</v>
      </c>
      <c r="I686">
        <v>12</v>
      </c>
      <c r="J686">
        <v>71.7</v>
      </c>
    </row>
    <row r="687" spans="1:10" x14ac:dyDescent="0.25">
      <c r="A687" t="s">
        <v>2529</v>
      </c>
      <c r="B687" s="3">
        <v>44637</v>
      </c>
      <c r="C687" t="s">
        <v>2530</v>
      </c>
      <c r="D687" t="s">
        <v>3495</v>
      </c>
      <c r="E687">
        <v>2</v>
      </c>
      <c r="F687" t="s">
        <v>3525</v>
      </c>
      <c r="G687" t="s">
        <v>3517</v>
      </c>
      <c r="H687">
        <v>2.5</v>
      </c>
      <c r="I687">
        <v>36.5</v>
      </c>
      <c r="J687">
        <v>72.900000000000006</v>
      </c>
    </row>
    <row r="688" spans="1:10" x14ac:dyDescent="0.25">
      <c r="A688" t="s">
        <v>2532</v>
      </c>
      <c r="B688" s="3">
        <v>44330</v>
      </c>
      <c r="C688" t="s">
        <v>2533</v>
      </c>
      <c r="D688" t="s">
        <v>3494</v>
      </c>
      <c r="E688">
        <v>3</v>
      </c>
      <c r="F688" t="s">
        <v>3524</v>
      </c>
      <c r="G688" t="s">
        <v>3518</v>
      </c>
      <c r="H688">
        <v>0.2</v>
      </c>
      <c r="I688">
        <v>2.7</v>
      </c>
      <c r="J688">
        <v>8.1</v>
      </c>
    </row>
    <row r="689" spans="1:10" x14ac:dyDescent="0.25">
      <c r="A689" t="s">
        <v>2535</v>
      </c>
      <c r="B689" s="3">
        <v>43471</v>
      </c>
      <c r="C689" t="s">
        <v>2536</v>
      </c>
      <c r="D689" t="s">
        <v>3470</v>
      </c>
      <c r="E689">
        <v>2</v>
      </c>
      <c r="F689" t="s">
        <v>3526</v>
      </c>
      <c r="G689" t="s">
        <v>3519</v>
      </c>
      <c r="H689">
        <v>0.5</v>
      </c>
      <c r="I689">
        <v>8.3000000000000007</v>
      </c>
      <c r="J689">
        <v>16.5</v>
      </c>
    </row>
    <row r="690" spans="1:10" x14ac:dyDescent="0.25">
      <c r="A690" t="s">
        <v>2538</v>
      </c>
      <c r="B690" s="3">
        <v>43579</v>
      </c>
      <c r="C690" t="s">
        <v>2539</v>
      </c>
      <c r="D690" t="s">
        <v>3471</v>
      </c>
      <c r="E690">
        <v>5</v>
      </c>
      <c r="F690" t="s">
        <v>3523</v>
      </c>
      <c r="G690" t="s">
        <v>3517</v>
      </c>
      <c r="H690">
        <v>1</v>
      </c>
      <c r="I690">
        <v>13</v>
      </c>
      <c r="J690">
        <v>64.8</v>
      </c>
    </row>
    <row r="691" spans="1:10" x14ac:dyDescent="0.25">
      <c r="A691" t="s">
        <v>2541</v>
      </c>
      <c r="B691" s="3">
        <v>44346</v>
      </c>
      <c r="C691" t="s">
        <v>2542</v>
      </c>
      <c r="D691" t="s">
        <v>3488</v>
      </c>
      <c r="E691">
        <v>5</v>
      </c>
      <c r="F691" t="s">
        <v>3523</v>
      </c>
      <c r="G691" t="s">
        <v>3519</v>
      </c>
      <c r="H691">
        <v>0.5</v>
      </c>
      <c r="I691">
        <v>6.8</v>
      </c>
      <c r="J691">
        <v>33.799999999999997</v>
      </c>
    </row>
    <row r="692" spans="1:10" x14ac:dyDescent="0.25">
      <c r="A692" t="s">
        <v>2544</v>
      </c>
      <c r="B692" s="3">
        <v>44754</v>
      </c>
      <c r="C692" t="s">
        <v>2545</v>
      </c>
      <c r="D692" t="s">
        <v>3496</v>
      </c>
      <c r="E692">
        <v>6</v>
      </c>
      <c r="F692" t="s">
        <v>3525</v>
      </c>
      <c r="G692" t="s">
        <v>3518</v>
      </c>
      <c r="H692">
        <v>2.5</v>
      </c>
      <c r="I692">
        <v>29.8</v>
      </c>
      <c r="J692">
        <v>178.7</v>
      </c>
    </row>
    <row r="693" spans="1:10" x14ac:dyDescent="0.25">
      <c r="A693" t="s">
        <v>2547</v>
      </c>
      <c r="B693" s="3">
        <v>44227</v>
      </c>
      <c r="C693" t="s">
        <v>2569</v>
      </c>
      <c r="D693" t="s">
        <v>3486</v>
      </c>
      <c r="E693">
        <v>2</v>
      </c>
      <c r="F693" t="s">
        <v>3523</v>
      </c>
      <c r="G693" t="s">
        <v>3519</v>
      </c>
      <c r="H693">
        <v>1</v>
      </c>
      <c r="I693">
        <v>11.3</v>
      </c>
      <c r="J693">
        <v>22.5</v>
      </c>
    </row>
    <row r="694" spans="1:10" x14ac:dyDescent="0.25">
      <c r="A694" t="s">
        <v>2550</v>
      </c>
      <c r="B694" s="3">
        <v>43720</v>
      </c>
      <c r="C694" t="s">
        <v>2551</v>
      </c>
      <c r="D694" t="s">
        <v>3474</v>
      </c>
      <c r="E694">
        <v>1</v>
      </c>
      <c r="F694" t="s">
        <v>3525</v>
      </c>
      <c r="G694" t="s">
        <v>3518</v>
      </c>
      <c r="H694">
        <v>1</v>
      </c>
      <c r="I694">
        <v>13</v>
      </c>
      <c r="J694">
        <v>13</v>
      </c>
    </row>
    <row r="695" spans="1:10" x14ac:dyDescent="0.25">
      <c r="A695" t="s">
        <v>2553</v>
      </c>
      <c r="B695" s="3">
        <v>44012</v>
      </c>
      <c r="C695" t="s">
        <v>2554</v>
      </c>
      <c r="D695" t="s">
        <v>3506</v>
      </c>
      <c r="E695">
        <v>2</v>
      </c>
      <c r="F695" t="s">
        <v>3523</v>
      </c>
      <c r="G695" t="s">
        <v>3519</v>
      </c>
      <c r="H695">
        <v>2.5</v>
      </c>
      <c r="I695">
        <v>25.9</v>
      </c>
      <c r="J695">
        <v>51.8</v>
      </c>
    </row>
    <row r="696" spans="1:10" x14ac:dyDescent="0.25">
      <c r="A696" t="s">
        <v>2556</v>
      </c>
      <c r="B696" s="3">
        <v>43915</v>
      </c>
      <c r="C696" t="s">
        <v>2557</v>
      </c>
      <c r="D696" t="s">
        <v>3475</v>
      </c>
      <c r="E696">
        <v>5</v>
      </c>
      <c r="F696" t="s">
        <v>3526</v>
      </c>
      <c r="G696" t="s">
        <v>3518</v>
      </c>
      <c r="H696">
        <v>0.5</v>
      </c>
      <c r="I696">
        <v>7.3</v>
      </c>
      <c r="J696">
        <v>36.5</v>
      </c>
    </row>
    <row r="697" spans="1:10" x14ac:dyDescent="0.25">
      <c r="A697" t="s">
        <v>2559</v>
      </c>
      <c r="B697" s="3">
        <v>44300</v>
      </c>
      <c r="C697" t="s">
        <v>2560</v>
      </c>
      <c r="D697" t="s">
        <v>3495</v>
      </c>
      <c r="E697">
        <v>5</v>
      </c>
      <c r="F697" t="s">
        <v>3525</v>
      </c>
      <c r="G697" t="s">
        <v>3517</v>
      </c>
      <c r="H697">
        <v>2.5</v>
      </c>
      <c r="I697">
        <v>36.5</v>
      </c>
      <c r="J697">
        <v>182.3</v>
      </c>
    </row>
    <row r="698" spans="1:10" x14ac:dyDescent="0.25">
      <c r="A698" t="s">
        <v>2562</v>
      </c>
      <c r="B698" s="3">
        <v>43693</v>
      </c>
      <c r="C698" t="s">
        <v>2563</v>
      </c>
      <c r="D698" t="s">
        <v>3500</v>
      </c>
      <c r="E698">
        <v>4</v>
      </c>
      <c r="F698" t="s">
        <v>3525</v>
      </c>
      <c r="G698" t="s">
        <v>3518</v>
      </c>
      <c r="H698">
        <v>0.5</v>
      </c>
      <c r="I698">
        <v>7.8</v>
      </c>
      <c r="J698">
        <v>31.1</v>
      </c>
    </row>
    <row r="699" spans="1:10" x14ac:dyDescent="0.25">
      <c r="A699" t="s">
        <v>2565</v>
      </c>
      <c r="B699" s="3">
        <v>44547</v>
      </c>
      <c r="C699" t="s">
        <v>2566</v>
      </c>
      <c r="D699" t="s">
        <v>3488</v>
      </c>
      <c r="E699">
        <v>3</v>
      </c>
      <c r="F699" t="s">
        <v>3523</v>
      </c>
      <c r="G699" t="s">
        <v>3519</v>
      </c>
      <c r="H699">
        <v>0.5</v>
      </c>
      <c r="I699">
        <v>6.8</v>
      </c>
      <c r="J699">
        <v>20.3</v>
      </c>
    </row>
    <row r="700" spans="1:10" x14ac:dyDescent="0.25">
      <c r="A700" t="s">
        <v>2568</v>
      </c>
      <c r="B700" s="3">
        <v>43830</v>
      </c>
      <c r="C700" t="s">
        <v>2569</v>
      </c>
      <c r="D700" t="s">
        <v>3474</v>
      </c>
      <c r="E700">
        <v>2</v>
      </c>
      <c r="F700" t="s">
        <v>3525</v>
      </c>
      <c r="G700" t="s">
        <v>3518</v>
      </c>
      <c r="H700">
        <v>1</v>
      </c>
      <c r="I700">
        <v>13</v>
      </c>
      <c r="J700">
        <v>25.9</v>
      </c>
    </row>
    <row r="701" spans="1:10" x14ac:dyDescent="0.25">
      <c r="A701" t="s">
        <v>2571</v>
      </c>
      <c r="B701" s="3">
        <v>44298</v>
      </c>
      <c r="C701" t="s">
        <v>2572</v>
      </c>
      <c r="D701" t="s">
        <v>3489</v>
      </c>
      <c r="E701">
        <v>4</v>
      </c>
      <c r="F701" t="s">
        <v>3523</v>
      </c>
      <c r="G701" t="s">
        <v>3518</v>
      </c>
      <c r="H701">
        <v>0.5</v>
      </c>
      <c r="I701">
        <v>6</v>
      </c>
      <c r="J701">
        <v>23.9</v>
      </c>
    </row>
    <row r="702" spans="1:10" x14ac:dyDescent="0.25">
      <c r="A702" t="s">
        <v>2574</v>
      </c>
      <c r="B702" s="3">
        <v>43736</v>
      </c>
      <c r="C702" t="s">
        <v>2575</v>
      </c>
      <c r="D702" t="s">
        <v>3492</v>
      </c>
      <c r="E702">
        <v>2</v>
      </c>
      <c r="F702" t="s">
        <v>3525</v>
      </c>
      <c r="G702" t="s">
        <v>3517</v>
      </c>
      <c r="H702">
        <v>0.5</v>
      </c>
      <c r="I702">
        <v>9.5</v>
      </c>
      <c r="J702">
        <v>19</v>
      </c>
    </row>
    <row r="703" spans="1:10" x14ac:dyDescent="0.25">
      <c r="A703" t="s">
        <v>2577</v>
      </c>
      <c r="B703" s="3">
        <v>44727</v>
      </c>
      <c r="C703" t="s">
        <v>2578</v>
      </c>
      <c r="D703" t="s">
        <v>3489</v>
      </c>
      <c r="E703">
        <v>5</v>
      </c>
      <c r="F703" t="s">
        <v>3523</v>
      </c>
      <c r="G703" t="s">
        <v>3518</v>
      </c>
      <c r="H703">
        <v>0.5</v>
      </c>
      <c r="I703">
        <v>6</v>
      </c>
      <c r="J703">
        <v>29.9</v>
      </c>
    </row>
    <row r="704" spans="1:10" x14ac:dyDescent="0.25">
      <c r="A704" t="s">
        <v>2580</v>
      </c>
      <c r="B704" s="3">
        <v>43661</v>
      </c>
      <c r="C704" t="s">
        <v>2581</v>
      </c>
      <c r="D704" t="s">
        <v>3511</v>
      </c>
      <c r="E704">
        <v>1</v>
      </c>
      <c r="F704" t="s">
        <v>3523</v>
      </c>
      <c r="G704" t="s">
        <v>3517</v>
      </c>
      <c r="H704">
        <v>0.5</v>
      </c>
      <c r="I704">
        <v>7.8</v>
      </c>
      <c r="J704">
        <v>7.8</v>
      </c>
    </row>
    <row r="705" spans="1:10" x14ac:dyDescent="0.25">
      <c r="A705" t="s">
        <v>2583</v>
      </c>
      <c r="B705" s="3">
        <v>43506</v>
      </c>
      <c r="C705" t="s">
        <v>2584</v>
      </c>
      <c r="D705" t="s">
        <v>3496</v>
      </c>
      <c r="E705">
        <v>4</v>
      </c>
      <c r="F705" t="s">
        <v>3525</v>
      </c>
      <c r="G705" t="s">
        <v>3518</v>
      </c>
      <c r="H705">
        <v>2.5</v>
      </c>
      <c r="I705">
        <v>29.8</v>
      </c>
      <c r="J705">
        <v>119.1</v>
      </c>
    </row>
    <row r="706" spans="1:10" x14ac:dyDescent="0.25">
      <c r="A706" t="s">
        <v>2586</v>
      </c>
      <c r="B706" s="3">
        <v>44716</v>
      </c>
      <c r="C706" t="s">
        <v>2587</v>
      </c>
      <c r="D706" t="s">
        <v>3484</v>
      </c>
      <c r="E706">
        <v>6</v>
      </c>
      <c r="F706" t="s">
        <v>3526</v>
      </c>
      <c r="G706" t="s">
        <v>3518</v>
      </c>
      <c r="H706">
        <v>0.2</v>
      </c>
      <c r="I706">
        <v>3.6</v>
      </c>
      <c r="J706">
        <v>21.9</v>
      </c>
    </row>
    <row r="707" spans="1:10" x14ac:dyDescent="0.25">
      <c r="A707" t="s">
        <v>2589</v>
      </c>
      <c r="B707" s="3">
        <v>44114</v>
      </c>
      <c r="C707" t="s">
        <v>2590</v>
      </c>
      <c r="D707" t="s">
        <v>3507</v>
      </c>
      <c r="E707">
        <v>2</v>
      </c>
      <c r="F707" t="s">
        <v>3526</v>
      </c>
      <c r="G707" t="s">
        <v>3517</v>
      </c>
      <c r="H707">
        <v>0.5</v>
      </c>
      <c r="I707">
        <v>8.9</v>
      </c>
      <c r="J707">
        <v>17.8</v>
      </c>
    </row>
    <row r="708" spans="1:10" x14ac:dyDescent="0.25">
      <c r="A708" t="s">
        <v>2592</v>
      </c>
      <c r="B708" s="3">
        <v>44353</v>
      </c>
      <c r="C708" t="s">
        <v>2593</v>
      </c>
      <c r="D708" t="s">
        <v>3487</v>
      </c>
      <c r="E708">
        <v>3</v>
      </c>
      <c r="F708" t="s">
        <v>3526</v>
      </c>
      <c r="G708" t="s">
        <v>3519</v>
      </c>
      <c r="H708">
        <v>0.2</v>
      </c>
      <c r="I708">
        <v>4.0999999999999996</v>
      </c>
      <c r="J708">
        <v>12.4</v>
      </c>
    </row>
    <row r="709" spans="1:10" x14ac:dyDescent="0.25">
      <c r="A709" t="s">
        <v>2595</v>
      </c>
      <c r="B709" s="3">
        <v>43540</v>
      </c>
      <c r="C709" t="s">
        <v>2596</v>
      </c>
      <c r="D709" t="s">
        <v>3474</v>
      </c>
      <c r="E709">
        <v>2</v>
      </c>
      <c r="F709" t="s">
        <v>3525</v>
      </c>
      <c r="G709" t="s">
        <v>3518</v>
      </c>
      <c r="H709">
        <v>1</v>
      </c>
      <c r="I709">
        <v>13</v>
      </c>
      <c r="J709">
        <v>25.9</v>
      </c>
    </row>
    <row r="710" spans="1:10" x14ac:dyDescent="0.25">
      <c r="A710" t="s">
        <v>2598</v>
      </c>
      <c r="B710" s="3">
        <v>43804</v>
      </c>
      <c r="C710" t="s">
        <v>2599</v>
      </c>
      <c r="D710" t="s">
        <v>3488</v>
      </c>
      <c r="E710">
        <v>2</v>
      </c>
      <c r="F710" t="s">
        <v>3523</v>
      </c>
      <c r="G710" t="s">
        <v>3519</v>
      </c>
      <c r="H710">
        <v>0.5</v>
      </c>
      <c r="I710">
        <v>6.8</v>
      </c>
      <c r="J710">
        <v>13.5</v>
      </c>
    </row>
    <row r="711" spans="1:10" x14ac:dyDescent="0.25">
      <c r="A711" t="s">
        <v>2601</v>
      </c>
      <c r="B711" s="3">
        <v>43485</v>
      </c>
      <c r="C711" t="s">
        <v>2602</v>
      </c>
      <c r="D711" t="s">
        <v>3507</v>
      </c>
      <c r="E711">
        <v>2</v>
      </c>
      <c r="F711" t="s">
        <v>3526</v>
      </c>
      <c r="G711" t="s">
        <v>3517</v>
      </c>
      <c r="H711">
        <v>0.5</v>
      </c>
      <c r="I711">
        <v>8.9</v>
      </c>
      <c r="J711">
        <v>17.8</v>
      </c>
    </row>
    <row r="712" spans="1:10" x14ac:dyDescent="0.25">
      <c r="A712" t="s">
        <v>2604</v>
      </c>
      <c r="B712" s="3">
        <v>44655</v>
      </c>
      <c r="C712" t="s">
        <v>2605</v>
      </c>
      <c r="D712" t="s">
        <v>3470</v>
      </c>
      <c r="E712">
        <v>3</v>
      </c>
      <c r="F712" t="s">
        <v>3526</v>
      </c>
      <c r="G712" t="s">
        <v>3519</v>
      </c>
      <c r="H712">
        <v>0.5</v>
      </c>
      <c r="I712">
        <v>8.3000000000000007</v>
      </c>
      <c r="J712">
        <v>24.8</v>
      </c>
    </row>
    <row r="713" spans="1:10" x14ac:dyDescent="0.25">
      <c r="A713" t="s">
        <v>2607</v>
      </c>
      <c r="B713" s="3">
        <v>44600</v>
      </c>
      <c r="C713" t="s">
        <v>2608</v>
      </c>
      <c r="D713" t="s">
        <v>3505</v>
      </c>
      <c r="E713">
        <v>6</v>
      </c>
      <c r="F713" t="s">
        <v>3524</v>
      </c>
      <c r="G713" t="s">
        <v>3519</v>
      </c>
      <c r="H713">
        <v>0.2</v>
      </c>
      <c r="I713">
        <v>3</v>
      </c>
      <c r="J713">
        <v>17.899999999999999</v>
      </c>
    </row>
    <row r="714" spans="1:10" x14ac:dyDescent="0.25">
      <c r="A714" t="s">
        <v>2611</v>
      </c>
      <c r="B714" s="3">
        <v>43646</v>
      </c>
      <c r="C714" t="s">
        <v>2612</v>
      </c>
      <c r="D714" t="s">
        <v>3470</v>
      </c>
      <c r="E714">
        <v>2</v>
      </c>
      <c r="F714" t="s">
        <v>3526</v>
      </c>
      <c r="G714" t="s">
        <v>3519</v>
      </c>
      <c r="H714">
        <v>0.5</v>
      </c>
      <c r="I714">
        <v>8.3000000000000007</v>
      </c>
      <c r="J714">
        <v>16.5</v>
      </c>
    </row>
    <row r="715" spans="1:10" x14ac:dyDescent="0.25">
      <c r="A715" t="s">
        <v>2614</v>
      </c>
      <c r="B715" s="3">
        <v>43960</v>
      </c>
      <c r="C715" t="s">
        <v>2615</v>
      </c>
      <c r="D715" t="s">
        <v>3505</v>
      </c>
      <c r="E715">
        <v>1</v>
      </c>
      <c r="F715" t="s">
        <v>3524</v>
      </c>
      <c r="G715" t="s">
        <v>3519</v>
      </c>
      <c r="H715">
        <v>0.2</v>
      </c>
      <c r="I715">
        <v>3</v>
      </c>
      <c r="J715">
        <v>3</v>
      </c>
    </row>
    <row r="716" spans="1:10" x14ac:dyDescent="0.25">
      <c r="A716" t="s">
        <v>2617</v>
      </c>
      <c r="B716" s="3">
        <v>44358</v>
      </c>
      <c r="C716" t="s">
        <v>2618</v>
      </c>
      <c r="D716" t="s">
        <v>3484</v>
      </c>
      <c r="E716">
        <v>4</v>
      </c>
      <c r="F716" t="s">
        <v>3526</v>
      </c>
      <c r="G716" t="s">
        <v>3518</v>
      </c>
      <c r="H716">
        <v>0.2</v>
      </c>
      <c r="I716">
        <v>3.6</v>
      </c>
      <c r="J716">
        <v>14.6</v>
      </c>
    </row>
    <row r="717" spans="1:10" x14ac:dyDescent="0.25">
      <c r="A717" t="s">
        <v>2620</v>
      </c>
      <c r="B717" s="3">
        <v>44504</v>
      </c>
      <c r="C717" t="s">
        <v>2621</v>
      </c>
      <c r="D717" t="s">
        <v>3502</v>
      </c>
      <c r="E717">
        <v>6</v>
      </c>
      <c r="F717" t="s">
        <v>3526</v>
      </c>
      <c r="G717" t="s">
        <v>3517</v>
      </c>
      <c r="H717">
        <v>1</v>
      </c>
      <c r="I717">
        <v>14.9</v>
      </c>
      <c r="J717">
        <v>89.1</v>
      </c>
    </row>
    <row r="718" spans="1:10" x14ac:dyDescent="0.25">
      <c r="A718" t="s">
        <v>2623</v>
      </c>
      <c r="B718" s="3">
        <v>44612</v>
      </c>
      <c r="C718" t="s">
        <v>2569</v>
      </c>
      <c r="D718" t="s">
        <v>3510</v>
      </c>
      <c r="E718">
        <v>3</v>
      </c>
      <c r="F718" t="s">
        <v>3524</v>
      </c>
      <c r="G718" t="s">
        <v>3517</v>
      </c>
      <c r="H718">
        <v>1</v>
      </c>
      <c r="I718">
        <v>12</v>
      </c>
      <c r="J718">
        <v>35.9</v>
      </c>
    </row>
    <row r="719" spans="1:10" x14ac:dyDescent="0.25">
      <c r="A719" t="s">
        <v>2626</v>
      </c>
      <c r="B719" s="3">
        <v>43649</v>
      </c>
      <c r="C719" t="s">
        <v>2627</v>
      </c>
      <c r="D719" t="s">
        <v>3499</v>
      </c>
      <c r="E719">
        <v>3</v>
      </c>
      <c r="F719" t="s">
        <v>3523</v>
      </c>
      <c r="G719" t="s">
        <v>3518</v>
      </c>
      <c r="H719">
        <v>2.5</v>
      </c>
      <c r="I719">
        <v>22.9</v>
      </c>
      <c r="J719">
        <v>68.7</v>
      </c>
    </row>
    <row r="720" spans="1:10" x14ac:dyDescent="0.25">
      <c r="A720" t="s">
        <v>2629</v>
      </c>
      <c r="B720" s="3">
        <v>44348</v>
      </c>
      <c r="C720" t="s">
        <v>2630</v>
      </c>
      <c r="D720" t="s">
        <v>3474</v>
      </c>
      <c r="E720">
        <v>3</v>
      </c>
      <c r="F720" t="s">
        <v>3525</v>
      </c>
      <c r="G720" t="s">
        <v>3518</v>
      </c>
      <c r="H720">
        <v>1</v>
      </c>
      <c r="I720">
        <v>13</v>
      </c>
      <c r="J720">
        <v>38.9</v>
      </c>
    </row>
    <row r="721" spans="1:10" x14ac:dyDescent="0.25">
      <c r="A721" t="s">
        <v>2632</v>
      </c>
      <c r="B721" s="3">
        <v>44150</v>
      </c>
      <c r="C721" t="s">
        <v>2633</v>
      </c>
      <c r="D721" t="s">
        <v>3501</v>
      </c>
      <c r="E721">
        <v>5</v>
      </c>
      <c r="F721" t="s">
        <v>3525</v>
      </c>
      <c r="G721" t="s">
        <v>3517</v>
      </c>
      <c r="H721">
        <v>1</v>
      </c>
      <c r="I721">
        <v>15.9</v>
      </c>
      <c r="J721">
        <v>79.3</v>
      </c>
    </row>
    <row r="722" spans="1:10" x14ac:dyDescent="0.25">
      <c r="A722" t="s">
        <v>2635</v>
      </c>
      <c r="B722" s="3">
        <v>44215</v>
      </c>
      <c r="C722" t="s">
        <v>2636</v>
      </c>
      <c r="D722" t="s">
        <v>3475</v>
      </c>
      <c r="E722">
        <v>5</v>
      </c>
      <c r="F722" t="s">
        <v>3526</v>
      </c>
      <c r="G722" t="s">
        <v>3518</v>
      </c>
      <c r="H722">
        <v>0.5</v>
      </c>
      <c r="I722">
        <v>7.3</v>
      </c>
      <c r="J722">
        <v>36.5</v>
      </c>
    </row>
    <row r="723" spans="1:10" x14ac:dyDescent="0.25">
      <c r="A723" t="s">
        <v>2638</v>
      </c>
      <c r="B723" s="3">
        <v>44479</v>
      </c>
      <c r="C723" t="s">
        <v>2639</v>
      </c>
      <c r="D723" t="s">
        <v>3505</v>
      </c>
      <c r="E723">
        <v>3</v>
      </c>
      <c r="F723" t="s">
        <v>3524</v>
      </c>
      <c r="G723" t="s">
        <v>3519</v>
      </c>
      <c r="H723">
        <v>0.2</v>
      </c>
      <c r="I723">
        <v>3</v>
      </c>
      <c r="J723">
        <v>9</v>
      </c>
    </row>
    <row r="724" spans="1:10" x14ac:dyDescent="0.25">
      <c r="A724" t="s">
        <v>2641</v>
      </c>
      <c r="B724" s="3">
        <v>44620</v>
      </c>
      <c r="C724" t="s">
        <v>2642</v>
      </c>
      <c r="D724" t="s">
        <v>3514</v>
      </c>
      <c r="E724">
        <v>2</v>
      </c>
      <c r="F724" t="s">
        <v>3526</v>
      </c>
      <c r="G724" t="s">
        <v>3518</v>
      </c>
      <c r="H724">
        <v>1</v>
      </c>
      <c r="I724">
        <v>12.2</v>
      </c>
      <c r="J724">
        <v>24.3</v>
      </c>
    </row>
    <row r="725" spans="1:10" x14ac:dyDescent="0.25">
      <c r="A725" t="s">
        <v>2644</v>
      </c>
      <c r="B725" s="3">
        <v>44470</v>
      </c>
      <c r="C725" t="s">
        <v>2645</v>
      </c>
      <c r="D725" t="s">
        <v>3497</v>
      </c>
      <c r="E725">
        <v>2</v>
      </c>
      <c r="F725" t="s">
        <v>3526</v>
      </c>
      <c r="G725" t="s">
        <v>3519</v>
      </c>
      <c r="H725">
        <v>2.5</v>
      </c>
      <c r="I725">
        <v>31.6</v>
      </c>
      <c r="J725">
        <v>63.3</v>
      </c>
    </row>
    <row r="726" spans="1:10" x14ac:dyDescent="0.25">
      <c r="A726" t="s">
        <v>2647</v>
      </c>
      <c r="B726" s="3">
        <v>44076</v>
      </c>
      <c r="C726" t="s">
        <v>2648</v>
      </c>
      <c r="D726" t="s">
        <v>3483</v>
      </c>
      <c r="E726">
        <v>2</v>
      </c>
      <c r="F726" t="s">
        <v>3523</v>
      </c>
      <c r="G726" t="s">
        <v>3519</v>
      </c>
      <c r="H726">
        <v>0.2</v>
      </c>
      <c r="I726">
        <v>3.4</v>
      </c>
      <c r="J726">
        <v>6.8</v>
      </c>
    </row>
    <row r="727" spans="1:10" x14ac:dyDescent="0.25">
      <c r="A727" t="s">
        <v>2650</v>
      </c>
      <c r="B727" s="3">
        <v>44043</v>
      </c>
      <c r="C727" t="s">
        <v>2651</v>
      </c>
      <c r="D727" t="s">
        <v>3498</v>
      </c>
      <c r="E727">
        <v>6</v>
      </c>
      <c r="F727" t="s">
        <v>3523</v>
      </c>
      <c r="G727" t="s">
        <v>3517</v>
      </c>
      <c r="H727">
        <v>0.2</v>
      </c>
      <c r="I727">
        <v>3.9</v>
      </c>
      <c r="J727">
        <v>23.3</v>
      </c>
    </row>
    <row r="728" spans="1:10" x14ac:dyDescent="0.25">
      <c r="A728" t="s">
        <v>2653</v>
      </c>
      <c r="B728" s="3">
        <v>44571</v>
      </c>
      <c r="C728" t="s">
        <v>2654</v>
      </c>
      <c r="D728" t="s">
        <v>3495</v>
      </c>
      <c r="E728">
        <v>4</v>
      </c>
      <c r="F728" t="s">
        <v>3525</v>
      </c>
      <c r="G728" t="s">
        <v>3517</v>
      </c>
      <c r="H728">
        <v>2.5</v>
      </c>
      <c r="I728">
        <v>36.5</v>
      </c>
      <c r="J728">
        <v>145.80000000000001</v>
      </c>
    </row>
    <row r="729" spans="1:10" x14ac:dyDescent="0.25">
      <c r="A729" t="s">
        <v>2656</v>
      </c>
      <c r="B729" s="3">
        <v>44264</v>
      </c>
      <c r="C729" t="s">
        <v>2657</v>
      </c>
      <c r="D729" t="s">
        <v>3477</v>
      </c>
      <c r="E729">
        <v>5</v>
      </c>
      <c r="F729" t="s">
        <v>3524</v>
      </c>
      <c r="G729" t="s">
        <v>3519</v>
      </c>
      <c r="H729">
        <v>0.5</v>
      </c>
      <c r="I729">
        <v>6</v>
      </c>
      <c r="J729">
        <v>29.9</v>
      </c>
    </row>
    <row r="730" spans="1:10" x14ac:dyDescent="0.25">
      <c r="A730" t="s">
        <v>2659</v>
      </c>
      <c r="B730" s="3">
        <v>44155</v>
      </c>
      <c r="C730" t="s">
        <v>2660</v>
      </c>
      <c r="D730" t="s">
        <v>3475</v>
      </c>
      <c r="E730">
        <v>3</v>
      </c>
      <c r="F730" t="s">
        <v>3526</v>
      </c>
      <c r="G730" t="s">
        <v>3518</v>
      </c>
      <c r="H730">
        <v>0.5</v>
      </c>
      <c r="I730">
        <v>7.3</v>
      </c>
      <c r="J730">
        <v>21.9</v>
      </c>
    </row>
    <row r="731" spans="1:10" x14ac:dyDescent="0.25">
      <c r="A731" t="s">
        <v>2662</v>
      </c>
      <c r="B731" s="3">
        <v>44634</v>
      </c>
      <c r="C731" t="s">
        <v>2663</v>
      </c>
      <c r="D731" t="s">
        <v>3490</v>
      </c>
      <c r="E731">
        <v>1</v>
      </c>
      <c r="F731" t="s">
        <v>3525</v>
      </c>
      <c r="G731" t="s">
        <v>3519</v>
      </c>
      <c r="H731">
        <v>0.2</v>
      </c>
      <c r="I731">
        <v>4.4000000000000004</v>
      </c>
      <c r="J731">
        <v>4.4000000000000004</v>
      </c>
    </row>
    <row r="732" spans="1:10" x14ac:dyDescent="0.25">
      <c r="A732" t="s">
        <v>2665</v>
      </c>
      <c r="B732" s="3">
        <v>43475</v>
      </c>
      <c r="C732" t="s">
        <v>2666</v>
      </c>
      <c r="D732" t="s">
        <v>3495</v>
      </c>
      <c r="E732">
        <v>1</v>
      </c>
      <c r="F732" t="s">
        <v>3525</v>
      </c>
      <c r="G732" t="s">
        <v>3517</v>
      </c>
      <c r="H732">
        <v>2.5</v>
      </c>
      <c r="I732">
        <v>36.5</v>
      </c>
      <c r="J732">
        <v>36.5</v>
      </c>
    </row>
    <row r="733" spans="1:10" x14ac:dyDescent="0.25">
      <c r="A733" t="s">
        <v>2668</v>
      </c>
      <c r="B733" s="3">
        <v>44222</v>
      </c>
      <c r="C733" t="s">
        <v>2669</v>
      </c>
      <c r="D733" t="s">
        <v>3481</v>
      </c>
      <c r="E733">
        <v>4</v>
      </c>
      <c r="F733" t="s">
        <v>3525</v>
      </c>
      <c r="G733" t="s">
        <v>3518</v>
      </c>
      <c r="H733">
        <v>0.2</v>
      </c>
      <c r="I733">
        <v>3.9</v>
      </c>
      <c r="J733">
        <v>15.5</v>
      </c>
    </row>
    <row r="734" spans="1:10" x14ac:dyDescent="0.25">
      <c r="A734" t="s">
        <v>2671</v>
      </c>
      <c r="B734" s="3">
        <v>44312</v>
      </c>
      <c r="C734" t="s">
        <v>2672</v>
      </c>
      <c r="D734" t="s">
        <v>3515</v>
      </c>
      <c r="E734">
        <v>2</v>
      </c>
      <c r="F734" t="s">
        <v>3526</v>
      </c>
      <c r="G734" t="s">
        <v>3517</v>
      </c>
      <c r="H734">
        <v>0.2</v>
      </c>
      <c r="I734">
        <v>4.5</v>
      </c>
      <c r="J734">
        <v>8.9</v>
      </c>
    </row>
    <row r="735" spans="1:10" x14ac:dyDescent="0.25">
      <c r="A735" t="s">
        <v>2674</v>
      </c>
      <c r="B735" s="3">
        <v>44565</v>
      </c>
      <c r="C735" t="s">
        <v>2675</v>
      </c>
      <c r="D735" t="s">
        <v>3512</v>
      </c>
      <c r="E735">
        <v>3</v>
      </c>
      <c r="F735" t="s">
        <v>3525</v>
      </c>
      <c r="G735" t="s">
        <v>3519</v>
      </c>
      <c r="H735">
        <v>2.5</v>
      </c>
      <c r="I735">
        <v>33.5</v>
      </c>
      <c r="J735">
        <v>100.4</v>
      </c>
    </row>
    <row r="736" spans="1:10" x14ac:dyDescent="0.25">
      <c r="A736" t="s">
        <v>2677</v>
      </c>
      <c r="B736" s="3">
        <v>43697</v>
      </c>
      <c r="C736" t="s">
        <v>2678</v>
      </c>
      <c r="D736" t="s">
        <v>3494</v>
      </c>
      <c r="E736">
        <v>5</v>
      </c>
      <c r="F736" t="s">
        <v>3524</v>
      </c>
      <c r="G736" t="s">
        <v>3518</v>
      </c>
      <c r="H736">
        <v>0.2</v>
      </c>
      <c r="I736">
        <v>2.7</v>
      </c>
      <c r="J736">
        <v>13.4</v>
      </c>
    </row>
    <row r="737" spans="1:10" x14ac:dyDescent="0.25">
      <c r="A737" t="s">
        <v>2680</v>
      </c>
      <c r="B737" s="3">
        <v>44757</v>
      </c>
      <c r="C737" t="s">
        <v>2681</v>
      </c>
      <c r="D737" t="s">
        <v>3484</v>
      </c>
      <c r="E737">
        <v>6</v>
      </c>
      <c r="F737" t="s">
        <v>3526</v>
      </c>
      <c r="G737" t="s">
        <v>3518</v>
      </c>
      <c r="H737">
        <v>0.2</v>
      </c>
      <c r="I737">
        <v>3.6</v>
      </c>
      <c r="J737">
        <v>21.9</v>
      </c>
    </row>
    <row r="738" spans="1:10" x14ac:dyDescent="0.25">
      <c r="A738" t="s">
        <v>2683</v>
      </c>
      <c r="B738" s="3">
        <v>43508</v>
      </c>
      <c r="C738" t="s">
        <v>2684</v>
      </c>
      <c r="D738" t="s">
        <v>3474</v>
      </c>
      <c r="E738">
        <v>2</v>
      </c>
      <c r="F738" t="s">
        <v>3525</v>
      </c>
      <c r="G738" t="s">
        <v>3518</v>
      </c>
      <c r="H738">
        <v>1</v>
      </c>
      <c r="I738">
        <v>13</v>
      </c>
      <c r="J738">
        <v>25.9</v>
      </c>
    </row>
    <row r="739" spans="1:10" x14ac:dyDescent="0.25">
      <c r="A739" t="s">
        <v>2686</v>
      </c>
      <c r="B739" s="3">
        <v>44447</v>
      </c>
      <c r="C739" t="s">
        <v>2687</v>
      </c>
      <c r="D739" t="s">
        <v>3486</v>
      </c>
      <c r="E739">
        <v>5</v>
      </c>
      <c r="F739" t="s">
        <v>3523</v>
      </c>
      <c r="G739" t="s">
        <v>3519</v>
      </c>
      <c r="H739">
        <v>1</v>
      </c>
      <c r="I739">
        <v>11.3</v>
      </c>
      <c r="J739">
        <v>56.3</v>
      </c>
    </row>
    <row r="740" spans="1:10" x14ac:dyDescent="0.25">
      <c r="A740" t="s">
        <v>2689</v>
      </c>
      <c r="B740" s="3">
        <v>43812</v>
      </c>
      <c r="C740" t="s">
        <v>2690</v>
      </c>
      <c r="D740" t="s">
        <v>3509</v>
      </c>
      <c r="E740">
        <v>3</v>
      </c>
      <c r="F740" t="s">
        <v>3524</v>
      </c>
      <c r="G740" t="s">
        <v>3517</v>
      </c>
      <c r="H740">
        <v>0.2</v>
      </c>
      <c r="I740">
        <v>3.6</v>
      </c>
      <c r="J740">
        <v>10.8</v>
      </c>
    </row>
    <row r="741" spans="1:10" x14ac:dyDescent="0.25">
      <c r="A741" t="s">
        <v>2692</v>
      </c>
      <c r="B741" s="3">
        <v>44433</v>
      </c>
      <c r="C741" t="s">
        <v>2569</v>
      </c>
      <c r="D741" t="s">
        <v>3484</v>
      </c>
      <c r="E741">
        <v>5</v>
      </c>
      <c r="F741" t="s">
        <v>3526</v>
      </c>
      <c r="G741" t="s">
        <v>3518</v>
      </c>
      <c r="H741">
        <v>0.2</v>
      </c>
      <c r="I741">
        <v>3.6</v>
      </c>
      <c r="J741">
        <v>18.2</v>
      </c>
    </row>
    <row r="742" spans="1:10" x14ac:dyDescent="0.25">
      <c r="A742" t="s">
        <v>2695</v>
      </c>
      <c r="B742" s="3">
        <v>44643</v>
      </c>
      <c r="C742" t="s">
        <v>2696</v>
      </c>
      <c r="D742" t="s">
        <v>3504</v>
      </c>
      <c r="E742">
        <v>4</v>
      </c>
      <c r="F742" t="s">
        <v>3524</v>
      </c>
      <c r="G742" t="s">
        <v>3517</v>
      </c>
      <c r="H742">
        <v>0.5</v>
      </c>
      <c r="I742">
        <v>7.2</v>
      </c>
      <c r="J742">
        <v>28.7</v>
      </c>
    </row>
    <row r="743" spans="1:10" x14ac:dyDescent="0.25">
      <c r="A743" t="s">
        <v>2698</v>
      </c>
      <c r="B743" s="3">
        <v>43566</v>
      </c>
      <c r="C743" t="s">
        <v>2699</v>
      </c>
      <c r="D743" t="s">
        <v>3490</v>
      </c>
      <c r="E743">
        <v>2</v>
      </c>
      <c r="F743" t="s">
        <v>3525</v>
      </c>
      <c r="G743" t="s">
        <v>3519</v>
      </c>
      <c r="H743">
        <v>0.2</v>
      </c>
      <c r="I743">
        <v>4.4000000000000004</v>
      </c>
      <c r="J743">
        <v>8.6999999999999993</v>
      </c>
    </row>
    <row r="744" spans="1:10" x14ac:dyDescent="0.25">
      <c r="A744" t="s">
        <v>2701</v>
      </c>
      <c r="B744" s="3">
        <v>44133</v>
      </c>
      <c r="C744" t="s">
        <v>2702</v>
      </c>
      <c r="D744" t="s">
        <v>3493</v>
      </c>
      <c r="E744">
        <v>4</v>
      </c>
      <c r="F744" t="s">
        <v>3525</v>
      </c>
      <c r="G744" t="s">
        <v>3519</v>
      </c>
      <c r="H744">
        <v>1</v>
      </c>
      <c r="I744">
        <v>14.6</v>
      </c>
      <c r="J744">
        <v>58.2</v>
      </c>
    </row>
    <row r="745" spans="1:10" x14ac:dyDescent="0.25">
      <c r="A745" t="s">
        <v>2704</v>
      </c>
      <c r="B745" s="3">
        <v>44042</v>
      </c>
      <c r="C745" t="s">
        <v>2705</v>
      </c>
      <c r="D745" t="s">
        <v>3489</v>
      </c>
      <c r="E745">
        <v>3</v>
      </c>
      <c r="F745" t="s">
        <v>3523</v>
      </c>
      <c r="G745" t="s">
        <v>3518</v>
      </c>
      <c r="H745">
        <v>0.5</v>
      </c>
      <c r="I745">
        <v>6</v>
      </c>
      <c r="J745">
        <v>17.899999999999999</v>
      </c>
    </row>
    <row r="746" spans="1:10" x14ac:dyDescent="0.25">
      <c r="A746" t="s">
        <v>2707</v>
      </c>
      <c r="B746" s="3">
        <v>43539</v>
      </c>
      <c r="C746" t="s">
        <v>2708</v>
      </c>
      <c r="D746" t="s">
        <v>3505</v>
      </c>
      <c r="E746">
        <v>6</v>
      </c>
      <c r="F746" t="s">
        <v>3524</v>
      </c>
      <c r="G746" t="s">
        <v>3519</v>
      </c>
      <c r="H746">
        <v>0.2</v>
      </c>
      <c r="I746">
        <v>3</v>
      </c>
      <c r="J746">
        <v>17.899999999999999</v>
      </c>
    </row>
    <row r="747" spans="1:10" x14ac:dyDescent="0.25">
      <c r="A747" t="s">
        <v>2710</v>
      </c>
      <c r="B747" s="3">
        <v>44557</v>
      </c>
      <c r="C747" t="s">
        <v>2711</v>
      </c>
      <c r="D747" t="s">
        <v>3475</v>
      </c>
      <c r="E747">
        <v>2</v>
      </c>
      <c r="F747" t="s">
        <v>3526</v>
      </c>
      <c r="G747" t="s">
        <v>3518</v>
      </c>
      <c r="H747">
        <v>0.5</v>
      </c>
      <c r="I747">
        <v>7.3</v>
      </c>
      <c r="J747">
        <v>14.6</v>
      </c>
    </row>
    <row r="748" spans="1:10" x14ac:dyDescent="0.25">
      <c r="A748" t="s">
        <v>2713</v>
      </c>
      <c r="B748" s="3">
        <v>43741</v>
      </c>
      <c r="C748" t="s">
        <v>2714</v>
      </c>
      <c r="D748" t="s">
        <v>3486</v>
      </c>
      <c r="E748">
        <v>3</v>
      </c>
      <c r="F748" t="s">
        <v>3523</v>
      </c>
      <c r="G748" t="s">
        <v>3519</v>
      </c>
      <c r="H748">
        <v>1</v>
      </c>
      <c r="I748">
        <v>11.3</v>
      </c>
      <c r="J748">
        <v>33.799999999999997</v>
      </c>
    </row>
    <row r="749" spans="1:10" x14ac:dyDescent="0.25">
      <c r="A749" t="s">
        <v>2716</v>
      </c>
      <c r="B749" s="3">
        <v>43501</v>
      </c>
      <c r="C749" t="s">
        <v>2717</v>
      </c>
      <c r="D749" t="s">
        <v>3491</v>
      </c>
      <c r="E749">
        <v>4</v>
      </c>
      <c r="F749" t="s">
        <v>3525</v>
      </c>
      <c r="G749" t="s">
        <v>3519</v>
      </c>
      <c r="H749">
        <v>0.5</v>
      </c>
      <c r="I749">
        <v>8.6999999999999993</v>
      </c>
      <c r="J749">
        <v>34.9</v>
      </c>
    </row>
    <row r="750" spans="1:10" x14ac:dyDescent="0.25">
      <c r="A750" t="s">
        <v>2719</v>
      </c>
      <c r="B750" s="3">
        <v>44074</v>
      </c>
      <c r="C750" t="s">
        <v>2720</v>
      </c>
      <c r="D750" t="s">
        <v>3475</v>
      </c>
      <c r="E750">
        <v>2</v>
      </c>
      <c r="F750" t="s">
        <v>3526</v>
      </c>
      <c r="G750" t="s">
        <v>3518</v>
      </c>
      <c r="H750">
        <v>0.5</v>
      </c>
      <c r="I750">
        <v>7.3</v>
      </c>
      <c r="J750">
        <v>14.6</v>
      </c>
    </row>
    <row r="751" spans="1:10" x14ac:dyDescent="0.25">
      <c r="A751" t="s">
        <v>2722</v>
      </c>
      <c r="B751" s="3">
        <v>44209</v>
      </c>
      <c r="C751" t="s">
        <v>2723</v>
      </c>
      <c r="D751" t="s">
        <v>3494</v>
      </c>
      <c r="E751">
        <v>2</v>
      </c>
      <c r="F751" t="s">
        <v>3524</v>
      </c>
      <c r="G751" t="s">
        <v>3518</v>
      </c>
      <c r="H751">
        <v>0.2</v>
      </c>
      <c r="I751">
        <v>2.7</v>
      </c>
      <c r="J751">
        <v>5.4</v>
      </c>
    </row>
    <row r="752" spans="1:10" x14ac:dyDescent="0.25">
      <c r="A752" t="s">
        <v>2726</v>
      </c>
      <c r="B752" s="3">
        <v>44277</v>
      </c>
      <c r="C752" t="s">
        <v>2727</v>
      </c>
      <c r="D752" t="s">
        <v>3477</v>
      </c>
      <c r="E752">
        <v>1</v>
      </c>
      <c r="F752" t="s">
        <v>3524</v>
      </c>
      <c r="G752" t="s">
        <v>3519</v>
      </c>
      <c r="H752">
        <v>0.5</v>
      </c>
      <c r="I752">
        <v>6</v>
      </c>
      <c r="J752">
        <v>6</v>
      </c>
    </row>
    <row r="753" spans="1:10" x14ac:dyDescent="0.25">
      <c r="A753" t="s">
        <v>2729</v>
      </c>
      <c r="B753" s="3">
        <v>43847</v>
      </c>
      <c r="C753" t="s">
        <v>2730</v>
      </c>
      <c r="D753" t="s">
        <v>3492</v>
      </c>
      <c r="E753">
        <v>2</v>
      </c>
      <c r="F753" t="s">
        <v>3525</v>
      </c>
      <c r="G753" t="s">
        <v>3517</v>
      </c>
      <c r="H753">
        <v>0.5</v>
      </c>
      <c r="I753">
        <v>9.5</v>
      </c>
      <c r="J753">
        <v>19</v>
      </c>
    </row>
    <row r="754" spans="1:10" x14ac:dyDescent="0.25">
      <c r="A754" t="s">
        <v>2732</v>
      </c>
      <c r="B754" s="3">
        <v>43648</v>
      </c>
      <c r="C754" t="s">
        <v>2733</v>
      </c>
      <c r="D754" t="s">
        <v>3472</v>
      </c>
      <c r="E754">
        <v>2</v>
      </c>
      <c r="F754" t="s">
        <v>3526</v>
      </c>
      <c r="G754" t="s">
        <v>3519</v>
      </c>
      <c r="H754">
        <v>1</v>
      </c>
      <c r="I754">
        <v>13.8</v>
      </c>
      <c r="J754">
        <v>27.5</v>
      </c>
    </row>
    <row r="755" spans="1:10" x14ac:dyDescent="0.25">
      <c r="A755" t="s">
        <v>2735</v>
      </c>
      <c r="B755" s="3">
        <v>44704</v>
      </c>
      <c r="C755" t="s">
        <v>2736</v>
      </c>
      <c r="D755" t="s">
        <v>3489</v>
      </c>
      <c r="E755">
        <v>5</v>
      </c>
      <c r="F755" t="s">
        <v>3523</v>
      </c>
      <c r="G755" t="s">
        <v>3518</v>
      </c>
      <c r="H755">
        <v>0.5</v>
      </c>
      <c r="I755">
        <v>6</v>
      </c>
      <c r="J755">
        <v>29.9</v>
      </c>
    </row>
    <row r="756" spans="1:10" x14ac:dyDescent="0.25">
      <c r="A756" t="s">
        <v>2738</v>
      </c>
      <c r="B756" s="3">
        <v>44726</v>
      </c>
      <c r="C756" t="s">
        <v>2569</v>
      </c>
      <c r="D756" t="s">
        <v>3485</v>
      </c>
      <c r="E756">
        <v>6</v>
      </c>
      <c r="F756" t="s">
        <v>3523</v>
      </c>
      <c r="G756" t="s">
        <v>3518</v>
      </c>
      <c r="H756">
        <v>0.2</v>
      </c>
      <c r="I756">
        <v>3</v>
      </c>
      <c r="J756">
        <v>17.899999999999999</v>
      </c>
    </row>
    <row r="757" spans="1:10" x14ac:dyDescent="0.25">
      <c r="A757" t="s">
        <v>2741</v>
      </c>
      <c r="B757" s="3">
        <v>44397</v>
      </c>
      <c r="C757" t="s">
        <v>2742</v>
      </c>
      <c r="D757" t="s">
        <v>3476</v>
      </c>
      <c r="E757">
        <v>6</v>
      </c>
      <c r="F757" t="s">
        <v>3525</v>
      </c>
      <c r="G757" t="s">
        <v>3517</v>
      </c>
      <c r="H757">
        <v>0.2</v>
      </c>
      <c r="I757">
        <v>4.8</v>
      </c>
      <c r="J757">
        <v>28.5</v>
      </c>
    </row>
    <row r="758" spans="1:10" x14ac:dyDescent="0.25">
      <c r="A758" t="s">
        <v>2744</v>
      </c>
      <c r="B758" s="3">
        <v>44715</v>
      </c>
      <c r="C758" t="s">
        <v>2745</v>
      </c>
      <c r="D758" t="s">
        <v>3508</v>
      </c>
      <c r="E758">
        <v>4</v>
      </c>
      <c r="F758" t="s">
        <v>3524</v>
      </c>
      <c r="G758" t="s">
        <v>3518</v>
      </c>
      <c r="H758">
        <v>1</v>
      </c>
      <c r="I758">
        <v>9</v>
      </c>
      <c r="J758">
        <v>35.799999999999997</v>
      </c>
    </row>
    <row r="759" spans="1:10" x14ac:dyDescent="0.25">
      <c r="A759" t="s">
        <v>2747</v>
      </c>
      <c r="B759" s="3">
        <v>43977</v>
      </c>
      <c r="C759" t="s">
        <v>2748</v>
      </c>
      <c r="D759" t="s">
        <v>3489</v>
      </c>
      <c r="E759">
        <v>3</v>
      </c>
      <c r="F759" t="s">
        <v>3523</v>
      </c>
      <c r="G759" t="s">
        <v>3518</v>
      </c>
      <c r="H759">
        <v>0.5</v>
      </c>
      <c r="I759">
        <v>6</v>
      </c>
      <c r="J759">
        <v>17.899999999999999</v>
      </c>
    </row>
    <row r="760" spans="1:10" x14ac:dyDescent="0.25">
      <c r="A760" t="s">
        <v>2750</v>
      </c>
      <c r="B760" s="3">
        <v>43672</v>
      </c>
      <c r="C760" t="s">
        <v>2751</v>
      </c>
      <c r="D760" t="s">
        <v>3508</v>
      </c>
      <c r="E760">
        <v>1</v>
      </c>
      <c r="F760" t="s">
        <v>3524</v>
      </c>
      <c r="G760" t="s">
        <v>3518</v>
      </c>
      <c r="H760">
        <v>1</v>
      </c>
      <c r="I760">
        <v>9</v>
      </c>
      <c r="J760">
        <v>9</v>
      </c>
    </row>
    <row r="761" spans="1:10" x14ac:dyDescent="0.25">
      <c r="A761" t="s">
        <v>2753</v>
      </c>
      <c r="B761" s="3">
        <v>44126</v>
      </c>
      <c r="C761" t="s">
        <v>2754</v>
      </c>
      <c r="D761" t="s">
        <v>3496</v>
      </c>
      <c r="E761">
        <v>1</v>
      </c>
      <c r="F761" t="s">
        <v>3525</v>
      </c>
      <c r="G761" t="s">
        <v>3518</v>
      </c>
      <c r="H761">
        <v>2.5</v>
      </c>
      <c r="I761">
        <v>29.8</v>
      </c>
      <c r="J761">
        <v>29.8</v>
      </c>
    </row>
    <row r="762" spans="1:10" x14ac:dyDescent="0.25">
      <c r="A762" t="s">
        <v>2756</v>
      </c>
      <c r="B762" s="3">
        <v>44189</v>
      </c>
      <c r="C762" t="s">
        <v>2757</v>
      </c>
      <c r="D762" t="s">
        <v>3507</v>
      </c>
      <c r="E762">
        <v>5</v>
      </c>
      <c r="F762" t="s">
        <v>3526</v>
      </c>
      <c r="G762" t="s">
        <v>3517</v>
      </c>
      <c r="H762">
        <v>0.5</v>
      </c>
      <c r="I762">
        <v>8.9</v>
      </c>
      <c r="J762">
        <v>44.6</v>
      </c>
    </row>
    <row r="763" spans="1:10" x14ac:dyDescent="0.25">
      <c r="A763" t="s">
        <v>2759</v>
      </c>
      <c r="B763" s="3">
        <v>43714</v>
      </c>
      <c r="C763" t="s">
        <v>2760</v>
      </c>
      <c r="D763" t="s">
        <v>3502</v>
      </c>
      <c r="E763">
        <v>6</v>
      </c>
      <c r="F763" t="s">
        <v>3526</v>
      </c>
      <c r="G763" t="s">
        <v>3517</v>
      </c>
      <c r="H763">
        <v>1</v>
      </c>
      <c r="I763">
        <v>14.9</v>
      </c>
      <c r="J763">
        <v>89.1</v>
      </c>
    </row>
    <row r="764" spans="1:10" x14ac:dyDescent="0.25">
      <c r="A764" t="s">
        <v>2762</v>
      </c>
      <c r="B764" s="3">
        <v>43563</v>
      </c>
      <c r="C764" t="s">
        <v>2763</v>
      </c>
      <c r="D764" t="s">
        <v>3491</v>
      </c>
      <c r="E764">
        <v>5</v>
      </c>
      <c r="F764" t="s">
        <v>3525</v>
      </c>
      <c r="G764" t="s">
        <v>3519</v>
      </c>
      <c r="H764">
        <v>0.5</v>
      </c>
      <c r="I764">
        <v>8.6999999999999993</v>
      </c>
      <c r="J764">
        <v>43.7</v>
      </c>
    </row>
    <row r="765" spans="1:10" x14ac:dyDescent="0.25">
      <c r="A765" t="s">
        <v>2765</v>
      </c>
      <c r="B765" s="3">
        <v>44587</v>
      </c>
      <c r="C765" t="s">
        <v>2766</v>
      </c>
      <c r="D765" t="s">
        <v>3511</v>
      </c>
      <c r="E765">
        <v>3</v>
      </c>
      <c r="F765" t="s">
        <v>3523</v>
      </c>
      <c r="G765" t="s">
        <v>3517</v>
      </c>
      <c r="H765">
        <v>0.5</v>
      </c>
      <c r="I765">
        <v>7.8</v>
      </c>
      <c r="J765">
        <v>23.3</v>
      </c>
    </row>
    <row r="766" spans="1:10" x14ac:dyDescent="0.25">
      <c r="A766" t="s">
        <v>2768</v>
      </c>
      <c r="B766" s="3">
        <v>43797</v>
      </c>
      <c r="C766" t="s">
        <v>2769</v>
      </c>
      <c r="D766" t="s">
        <v>3513</v>
      </c>
      <c r="E766">
        <v>6</v>
      </c>
      <c r="F766" t="s">
        <v>3523</v>
      </c>
      <c r="G766" t="s">
        <v>3517</v>
      </c>
      <c r="H766">
        <v>2.5</v>
      </c>
      <c r="I766">
        <v>29.8</v>
      </c>
      <c r="J766">
        <v>178.7</v>
      </c>
    </row>
    <row r="767" spans="1:10" x14ac:dyDescent="0.25">
      <c r="A767" t="s">
        <v>2771</v>
      </c>
      <c r="B767" s="3">
        <v>43667</v>
      </c>
      <c r="C767" t="s">
        <v>2772</v>
      </c>
      <c r="D767" t="s">
        <v>3469</v>
      </c>
      <c r="E767">
        <v>6</v>
      </c>
      <c r="F767" t="s">
        <v>3524</v>
      </c>
      <c r="G767" t="s">
        <v>3519</v>
      </c>
      <c r="H767">
        <v>1</v>
      </c>
      <c r="I767">
        <v>10</v>
      </c>
      <c r="J767">
        <v>59.7</v>
      </c>
    </row>
    <row r="768" spans="1:10" x14ac:dyDescent="0.25">
      <c r="A768" t="s">
        <v>2771</v>
      </c>
      <c r="B768" s="3">
        <v>43667</v>
      </c>
      <c r="C768" t="s">
        <v>2772</v>
      </c>
      <c r="D768" t="s">
        <v>3511</v>
      </c>
      <c r="E768">
        <v>2</v>
      </c>
      <c r="F768" t="s">
        <v>3523</v>
      </c>
      <c r="G768" t="s">
        <v>3517</v>
      </c>
      <c r="H768">
        <v>0.5</v>
      </c>
      <c r="I768">
        <v>7.8</v>
      </c>
      <c r="J768">
        <v>15.5</v>
      </c>
    </row>
    <row r="769" spans="1:10" x14ac:dyDescent="0.25">
      <c r="A769" t="s">
        <v>2776</v>
      </c>
      <c r="B769" s="3">
        <v>44267</v>
      </c>
      <c r="C769" t="s">
        <v>2742</v>
      </c>
      <c r="D769" t="s">
        <v>3513</v>
      </c>
      <c r="E769">
        <v>3</v>
      </c>
      <c r="F769" t="s">
        <v>3523</v>
      </c>
      <c r="G769" t="s">
        <v>3517</v>
      </c>
      <c r="H769">
        <v>2.5</v>
      </c>
      <c r="I769">
        <v>29.8</v>
      </c>
      <c r="J769">
        <v>89.4</v>
      </c>
    </row>
    <row r="770" spans="1:10" x14ac:dyDescent="0.25">
      <c r="A770" t="s">
        <v>2779</v>
      </c>
      <c r="B770" s="3">
        <v>44562</v>
      </c>
      <c r="C770" t="s">
        <v>2742</v>
      </c>
      <c r="D770" t="s">
        <v>3510</v>
      </c>
      <c r="E770">
        <v>2</v>
      </c>
      <c r="F770" t="s">
        <v>3524</v>
      </c>
      <c r="G770" t="s">
        <v>3517</v>
      </c>
      <c r="H770">
        <v>1</v>
      </c>
      <c r="I770">
        <v>12</v>
      </c>
      <c r="J770">
        <v>23.9</v>
      </c>
    </row>
    <row r="771" spans="1:10" x14ac:dyDescent="0.25">
      <c r="A771" t="s">
        <v>2782</v>
      </c>
      <c r="B771" s="3">
        <v>43912</v>
      </c>
      <c r="C771" t="s">
        <v>2783</v>
      </c>
      <c r="D771" t="s">
        <v>3482</v>
      </c>
      <c r="E771">
        <v>6</v>
      </c>
      <c r="F771" t="s">
        <v>3524</v>
      </c>
      <c r="G771" t="s">
        <v>3519</v>
      </c>
      <c r="H771">
        <v>2.5</v>
      </c>
      <c r="I771">
        <v>22.9</v>
      </c>
      <c r="J771">
        <v>137.30000000000001</v>
      </c>
    </row>
    <row r="772" spans="1:10" x14ac:dyDescent="0.25">
      <c r="A772" t="s">
        <v>2785</v>
      </c>
      <c r="B772" s="3">
        <v>44092</v>
      </c>
      <c r="C772" t="s">
        <v>2786</v>
      </c>
      <c r="D772" t="s">
        <v>3478</v>
      </c>
      <c r="E772">
        <v>1</v>
      </c>
      <c r="F772" t="s">
        <v>3523</v>
      </c>
      <c r="G772" t="s">
        <v>3518</v>
      </c>
      <c r="H772">
        <v>1</v>
      </c>
      <c r="I772">
        <v>10</v>
      </c>
      <c r="J772">
        <v>10</v>
      </c>
    </row>
    <row r="773" spans="1:10" x14ac:dyDescent="0.25">
      <c r="A773" t="s">
        <v>2788</v>
      </c>
      <c r="B773" s="3">
        <v>43468</v>
      </c>
      <c r="C773" t="s">
        <v>2789</v>
      </c>
      <c r="D773" t="s">
        <v>3504</v>
      </c>
      <c r="E773">
        <v>3</v>
      </c>
      <c r="F773" t="s">
        <v>3524</v>
      </c>
      <c r="G773" t="s">
        <v>3517</v>
      </c>
      <c r="H773">
        <v>0.5</v>
      </c>
      <c r="I773">
        <v>7.2</v>
      </c>
      <c r="J773">
        <v>21.5</v>
      </c>
    </row>
    <row r="774" spans="1:10" x14ac:dyDescent="0.25">
      <c r="A774" t="s">
        <v>2791</v>
      </c>
      <c r="B774" s="3">
        <v>44468</v>
      </c>
      <c r="C774" t="s">
        <v>2792</v>
      </c>
      <c r="D774" t="s">
        <v>3472</v>
      </c>
      <c r="E774">
        <v>6</v>
      </c>
      <c r="F774" t="s">
        <v>3526</v>
      </c>
      <c r="G774" t="s">
        <v>3519</v>
      </c>
      <c r="H774">
        <v>1</v>
      </c>
      <c r="I774">
        <v>13.8</v>
      </c>
      <c r="J774">
        <v>82.5</v>
      </c>
    </row>
    <row r="775" spans="1:10" x14ac:dyDescent="0.25">
      <c r="A775" t="s">
        <v>2794</v>
      </c>
      <c r="B775" s="3">
        <v>44488</v>
      </c>
      <c r="C775" t="s">
        <v>2795</v>
      </c>
      <c r="D775" t="s">
        <v>3490</v>
      </c>
      <c r="E775">
        <v>2</v>
      </c>
      <c r="F775" t="s">
        <v>3525</v>
      </c>
      <c r="G775" t="s">
        <v>3519</v>
      </c>
      <c r="H775">
        <v>0.2</v>
      </c>
      <c r="I775">
        <v>4.4000000000000004</v>
      </c>
      <c r="J775">
        <v>8.6999999999999993</v>
      </c>
    </row>
    <row r="776" spans="1:10" x14ac:dyDescent="0.25">
      <c r="A776" t="s">
        <v>2797</v>
      </c>
      <c r="B776" s="3">
        <v>44756</v>
      </c>
      <c r="C776" t="s">
        <v>2798</v>
      </c>
      <c r="D776" t="s">
        <v>3469</v>
      </c>
      <c r="E776">
        <v>2</v>
      </c>
      <c r="F776" t="s">
        <v>3524</v>
      </c>
      <c r="G776" t="s">
        <v>3519</v>
      </c>
      <c r="H776">
        <v>1</v>
      </c>
      <c r="I776">
        <v>10</v>
      </c>
      <c r="J776">
        <v>19.899999999999999</v>
      </c>
    </row>
    <row r="777" spans="1:10" x14ac:dyDescent="0.25">
      <c r="A777" t="s">
        <v>2800</v>
      </c>
      <c r="B777" s="3">
        <v>44396</v>
      </c>
      <c r="C777" t="s">
        <v>2801</v>
      </c>
      <c r="D777" t="s">
        <v>3507</v>
      </c>
      <c r="E777">
        <v>2</v>
      </c>
      <c r="F777" t="s">
        <v>3526</v>
      </c>
      <c r="G777" t="s">
        <v>3517</v>
      </c>
      <c r="H777">
        <v>0.5</v>
      </c>
      <c r="I777">
        <v>8.9</v>
      </c>
      <c r="J777">
        <v>17.8</v>
      </c>
    </row>
    <row r="778" spans="1:10" x14ac:dyDescent="0.25">
      <c r="A778" t="s">
        <v>2803</v>
      </c>
      <c r="B778" s="3">
        <v>44540</v>
      </c>
      <c r="C778" t="s">
        <v>2804</v>
      </c>
      <c r="D778" t="s">
        <v>3488</v>
      </c>
      <c r="E778">
        <v>3</v>
      </c>
      <c r="F778" t="s">
        <v>3523</v>
      </c>
      <c r="G778" t="s">
        <v>3519</v>
      </c>
      <c r="H778">
        <v>0.5</v>
      </c>
      <c r="I778">
        <v>6.8</v>
      </c>
      <c r="J778">
        <v>20.3</v>
      </c>
    </row>
    <row r="779" spans="1:10" x14ac:dyDescent="0.25">
      <c r="A779" t="s">
        <v>2806</v>
      </c>
      <c r="B779" s="3">
        <v>43541</v>
      </c>
      <c r="C779" t="s">
        <v>2807</v>
      </c>
      <c r="D779" t="s">
        <v>3513</v>
      </c>
      <c r="E779">
        <v>2</v>
      </c>
      <c r="F779" t="s">
        <v>3523</v>
      </c>
      <c r="G779" t="s">
        <v>3517</v>
      </c>
      <c r="H779">
        <v>2.5</v>
      </c>
      <c r="I779">
        <v>29.8</v>
      </c>
      <c r="J779">
        <v>59.6</v>
      </c>
    </row>
    <row r="780" spans="1:10" x14ac:dyDescent="0.25">
      <c r="A780" t="s">
        <v>2809</v>
      </c>
      <c r="B780" s="3">
        <v>43889</v>
      </c>
      <c r="C780" t="s">
        <v>2834</v>
      </c>
      <c r="D780" t="s">
        <v>3492</v>
      </c>
      <c r="E780">
        <v>2</v>
      </c>
      <c r="F780" t="s">
        <v>3525</v>
      </c>
      <c r="G780" t="s">
        <v>3517</v>
      </c>
      <c r="H780">
        <v>0.5</v>
      </c>
      <c r="I780">
        <v>9.5</v>
      </c>
      <c r="J780">
        <v>19</v>
      </c>
    </row>
    <row r="781" spans="1:10" x14ac:dyDescent="0.25">
      <c r="A781" t="s">
        <v>2812</v>
      </c>
      <c r="B781" s="3">
        <v>43985</v>
      </c>
      <c r="C781" t="s">
        <v>2813</v>
      </c>
      <c r="D781" t="s">
        <v>3474</v>
      </c>
      <c r="E781">
        <v>6</v>
      </c>
      <c r="F781" t="s">
        <v>3525</v>
      </c>
      <c r="G781" t="s">
        <v>3518</v>
      </c>
      <c r="H781">
        <v>1</v>
      </c>
      <c r="I781">
        <v>13</v>
      </c>
      <c r="J781">
        <v>77.7</v>
      </c>
    </row>
    <row r="782" spans="1:10" x14ac:dyDescent="0.25">
      <c r="A782" t="s">
        <v>2815</v>
      </c>
      <c r="B782" s="3">
        <v>43883</v>
      </c>
      <c r="C782" t="s">
        <v>2816</v>
      </c>
      <c r="D782" t="s">
        <v>3472</v>
      </c>
      <c r="E782">
        <v>3</v>
      </c>
      <c r="F782" t="s">
        <v>3526</v>
      </c>
      <c r="G782" t="s">
        <v>3519</v>
      </c>
      <c r="H782">
        <v>1</v>
      </c>
      <c r="I782">
        <v>13.8</v>
      </c>
      <c r="J782">
        <v>41.3</v>
      </c>
    </row>
    <row r="783" spans="1:10" x14ac:dyDescent="0.25">
      <c r="A783" t="s">
        <v>2818</v>
      </c>
      <c r="B783" s="3">
        <v>43778</v>
      </c>
      <c r="C783" t="s">
        <v>2819</v>
      </c>
      <c r="D783" t="s">
        <v>3495</v>
      </c>
      <c r="E783">
        <v>4</v>
      </c>
      <c r="F783" t="s">
        <v>3525</v>
      </c>
      <c r="G783" t="s">
        <v>3517</v>
      </c>
      <c r="H783">
        <v>2.5</v>
      </c>
      <c r="I783">
        <v>36.5</v>
      </c>
      <c r="J783">
        <v>145.80000000000001</v>
      </c>
    </row>
    <row r="784" spans="1:10" x14ac:dyDescent="0.25">
      <c r="A784" t="s">
        <v>2821</v>
      </c>
      <c r="B784" s="3">
        <v>43897</v>
      </c>
      <c r="C784" t="s">
        <v>2822</v>
      </c>
      <c r="D784" t="s">
        <v>3515</v>
      </c>
      <c r="E784">
        <v>6</v>
      </c>
      <c r="F784" t="s">
        <v>3526</v>
      </c>
      <c r="G784" t="s">
        <v>3517</v>
      </c>
      <c r="H784">
        <v>0.2</v>
      </c>
      <c r="I784">
        <v>4.5</v>
      </c>
      <c r="J784">
        <v>26.7</v>
      </c>
    </row>
    <row r="785" spans="1:10" x14ac:dyDescent="0.25">
      <c r="A785" t="s">
        <v>2824</v>
      </c>
      <c r="B785" s="3">
        <v>44312</v>
      </c>
      <c r="C785" t="s">
        <v>2825</v>
      </c>
      <c r="D785" t="s">
        <v>3491</v>
      </c>
      <c r="E785">
        <v>5</v>
      </c>
      <c r="F785" t="s">
        <v>3525</v>
      </c>
      <c r="G785" t="s">
        <v>3519</v>
      </c>
      <c r="H785">
        <v>0.5</v>
      </c>
      <c r="I785">
        <v>8.6999999999999993</v>
      </c>
      <c r="J785">
        <v>43.7</v>
      </c>
    </row>
    <row r="786" spans="1:10" x14ac:dyDescent="0.25">
      <c r="A786" t="s">
        <v>2827</v>
      </c>
      <c r="B786" s="3">
        <v>44511</v>
      </c>
      <c r="C786" t="s">
        <v>2828</v>
      </c>
      <c r="D786" t="s">
        <v>3501</v>
      </c>
      <c r="E786">
        <v>2</v>
      </c>
      <c r="F786" t="s">
        <v>3525</v>
      </c>
      <c r="G786" t="s">
        <v>3517</v>
      </c>
      <c r="H786">
        <v>1</v>
      </c>
      <c r="I786">
        <v>15.9</v>
      </c>
      <c r="J786">
        <v>31.7</v>
      </c>
    </row>
    <row r="787" spans="1:10" x14ac:dyDescent="0.25">
      <c r="A787" t="s">
        <v>2830</v>
      </c>
      <c r="B787" s="3">
        <v>44362</v>
      </c>
      <c r="C787" t="s">
        <v>2831</v>
      </c>
      <c r="D787" t="s">
        <v>3499</v>
      </c>
      <c r="E787">
        <v>1</v>
      </c>
      <c r="F787" t="s">
        <v>3523</v>
      </c>
      <c r="G787" t="s">
        <v>3518</v>
      </c>
      <c r="H787">
        <v>2.5</v>
      </c>
      <c r="I787">
        <v>22.9</v>
      </c>
      <c r="J787">
        <v>22.9</v>
      </c>
    </row>
    <row r="788" spans="1:10" x14ac:dyDescent="0.25">
      <c r="A788" t="s">
        <v>2833</v>
      </c>
      <c r="B788" s="3">
        <v>43888</v>
      </c>
      <c r="C788" t="s">
        <v>2834</v>
      </c>
      <c r="D788" t="s">
        <v>3516</v>
      </c>
      <c r="E788">
        <v>1</v>
      </c>
      <c r="F788" t="s">
        <v>3526</v>
      </c>
      <c r="G788" t="s">
        <v>3518</v>
      </c>
      <c r="H788">
        <v>2.5</v>
      </c>
      <c r="I788">
        <v>27.9</v>
      </c>
      <c r="J788">
        <v>27.9</v>
      </c>
    </row>
    <row r="789" spans="1:10" x14ac:dyDescent="0.25">
      <c r="A789" t="s">
        <v>2836</v>
      </c>
      <c r="B789" s="3">
        <v>44305</v>
      </c>
      <c r="C789" t="s">
        <v>2837</v>
      </c>
      <c r="D789" t="s">
        <v>3472</v>
      </c>
      <c r="E789">
        <v>6</v>
      </c>
      <c r="F789" t="s">
        <v>3526</v>
      </c>
      <c r="G789" t="s">
        <v>3519</v>
      </c>
      <c r="H789">
        <v>1</v>
      </c>
      <c r="I789">
        <v>13.8</v>
      </c>
      <c r="J789">
        <v>82.5</v>
      </c>
    </row>
    <row r="790" spans="1:10" x14ac:dyDescent="0.25">
      <c r="A790" t="s">
        <v>2839</v>
      </c>
      <c r="B790" s="3">
        <v>44771</v>
      </c>
      <c r="C790" t="s">
        <v>2840</v>
      </c>
      <c r="D790" t="s">
        <v>3482</v>
      </c>
      <c r="E790">
        <v>2</v>
      </c>
      <c r="F790" t="s">
        <v>3524</v>
      </c>
      <c r="G790" t="s">
        <v>3519</v>
      </c>
      <c r="H790">
        <v>2.5</v>
      </c>
      <c r="I790">
        <v>22.9</v>
      </c>
      <c r="J790">
        <v>45.8</v>
      </c>
    </row>
    <row r="791" spans="1:10" x14ac:dyDescent="0.25">
      <c r="A791" t="s">
        <v>2842</v>
      </c>
      <c r="B791" s="3">
        <v>43485</v>
      </c>
      <c r="C791" t="s">
        <v>2843</v>
      </c>
      <c r="D791" t="s">
        <v>3471</v>
      </c>
      <c r="E791">
        <v>6</v>
      </c>
      <c r="F791" t="s">
        <v>3523</v>
      </c>
      <c r="G791" t="s">
        <v>3517</v>
      </c>
      <c r="H791">
        <v>1</v>
      </c>
      <c r="I791">
        <v>13</v>
      </c>
      <c r="J791">
        <v>77.7</v>
      </c>
    </row>
    <row r="792" spans="1:10" x14ac:dyDescent="0.25">
      <c r="A792" t="s">
        <v>2845</v>
      </c>
      <c r="B792" s="3">
        <v>44613</v>
      </c>
      <c r="C792" t="s">
        <v>2846</v>
      </c>
      <c r="D792" t="s">
        <v>3511</v>
      </c>
      <c r="E792">
        <v>3</v>
      </c>
      <c r="F792" t="s">
        <v>3523</v>
      </c>
      <c r="G792" t="s">
        <v>3517</v>
      </c>
      <c r="H792">
        <v>0.5</v>
      </c>
      <c r="I792">
        <v>7.8</v>
      </c>
      <c r="J792">
        <v>23.3</v>
      </c>
    </row>
    <row r="793" spans="1:10" x14ac:dyDescent="0.25">
      <c r="A793" t="s">
        <v>2848</v>
      </c>
      <c r="B793" s="3">
        <v>43954</v>
      </c>
      <c r="C793" t="s">
        <v>2849</v>
      </c>
      <c r="D793" t="s">
        <v>3476</v>
      </c>
      <c r="E793">
        <v>5</v>
      </c>
      <c r="F793" t="s">
        <v>3525</v>
      </c>
      <c r="G793" t="s">
        <v>3517</v>
      </c>
      <c r="H793">
        <v>0.2</v>
      </c>
      <c r="I793">
        <v>4.8</v>
      </c>
      <c r="J793">
        <v>23.8</v>
      </c>
    </row>
    <row r="794" spans="1:10" x14ac:dyDescent="0.25">
      <c r="A794" t="s">
        <v>2851</v>
      </c>
      <c r="B794" s="3">
        <v>43545</v>
      </c>
      <c r="C794" t="s">
        <v>2852</v>
      </c>
      <c r="D794" t="s">
        <v>3491</v>
      </c>
      <c r="E794">
        <v>6</v>
      </c>
      <c r="F794" t="s">
        <v>3525</v>
      </c>
      <c r="G794" t="s">
        <v>3519</v>
      </c>
      <c r="H794">
        <v>0.5</v>
      </c>
      <c r="I794">
        <v>8.6999999999999993</v>
      </c>
      <c r="J794">
        <v>52.4</v>
      </c>
    </row>
    <row r="795" spans="1:10" x14ac:dyDescent="0.25">
      <c r="A795" t="s">
        <v>2854</v>
      </c>
      <c r="B795" s="3">
        <v>43629</v>
      </c>
      <c r="C795" t="s">
        <v>2855</v>
      </c>
      <c r="D795" t="s">
        <v>3509</v>
      </c>
      <c r="E795">
        <v>5</v>
      </c>
      <c r="F795" t="s">
        <v>3524</v>
      </c>
      <c r="G795" t="s">
        <v>3517</v>
      </c>
      <c r="H795">
        <v>0.2</v>
      </c>
      <c r="I795">
        <v>3.6</v>
      </c>
      <c r="J795">
        <v>17.899999999999999</v>
      </c>
    </row>
    <row r="796" spans="1:10" x14ac:dyDescent="0.25">
      <c r="A796" t="s">
        <v>2857</v>
      </c>
      <c r="B796" s="3">
        <v>43987</v>
      </c>
      <c r="C796" t="s">
        <v>2858</v>
      </c>
      <c r="D796" t="s">
        <v>3513</v>
      </c>
      <c r="E796">
        <v>5</v>
      </c>
      <c r="F796" t="s">
        <v>3523</v>
      </c>
      <c r="G796" t="s">
        <v>3517</v>
      </c>
      <c r="H796">
        <v>2.5</v>
      </c>
      <c r="I796">
        <v>29.8</v>
      </c>
      <c r="J796">
        <v>148.9</v>
      </c>
    </row>
    <row r="797" spans="1:10" x14ac:dyDescent="0.25">
      <c r="A797" t="s">
        <v>2860</v>
      </c>
      <c r="B797" s="3">
        <v>43540</v>
      </c>
      <c r="C797" t="s">
        <v>2861</v>
      </c>
      <c r="D797" t="s">
        <v>3504</v>
      </c>
      <c r="E797">
        <v>4</v>
      </c>
      <c r="F797" t="s">
        <v>3524</v>
      </c>
      <c r="G797" t="s">
        <v>3517</v>
      </c>
      <c r="H797">
        <v>0.5</v>
      </c>
      <c r="I797">
        <v>7.2</v>
      </c>
      <c r="J797">
        <v>28.7</v>
      </c>
    </row>
    <row r="798" spans="1:10" x14ac:dyDescent="0.25">
      <c r="A798" t="s">
        <v>2863</v>
      </c>
      <c r="B798" s="3">
        <v>44533</v>
      </c>
      <c r="C798" t="s">
        <v>2864</v>
      </c>
      <c r="D798" t="s">
        <v>3492</v>
      </c>
      <c r="E798">
        <v>1</v>
      </c>
      <c r="F798" t="s">
        <v>3525</v>
      </c>
      <c r="G798" t="s">
        <v>3517</v>
      </c>
      <c r="H798">
        <v>0.5</v>
      </c>
      <c r="I798">
        <v>9.5</v>
      </c>
      <c r="J798">
        <v>9.5</v>
      </c>
    </row>
    <row r="799" spans="1:10" x14ac:dyDescent="0.25">
      <c r="A799" t="s">
        <v>2866</v>
      </c>
      <c r="B799" s="3">
        <v>44751</v>
      </c>
      <c r="C799" t="s">
        <v>2867</v>
      </c>
      <c r="D799" t="s">
        <v>3511</v>
      </c>
      <c r="E799">
        <v>4</v>
      </c>
      <c r="F799" t="s">
        <v>3523</v>
      </c>
      <c r="G799" t="s">
        <v>3517</v>
      </c>
      <c r="H799">
        <v>0.5</v>
      </c>
      <c r="I799">
        <v>7.8</v>
      </c>
      <c r="J799">
        <v>31.1</v>
      </c>
    </row>
    <row r="800" spans="1:10" x14ac:dyDescent="0.25">
      <c r="A800" t="s">
        <v>2869</v>
      </c>
      <c r="B800" s="3">
        <v>43950</v>
      </c>
      <c r="C800" t="s">
        <v>2870</v>
      </c>
      <c r="D800" t="s">
        <v>3494</v>
      </c>
      <c r="E800">
        <v>3</v>
      </c>
      <c r="F800" t="s">
        <v>3524</v>
      </c>
      <c r="G800" t="s">
        <v>3518</v>
      </c>
      <c r="H800">
        <v>0.2</v>
      </c>
      <c r="I800">
        <v>2.7</v>
      </c>
      <c r="J800">
        <v>8.1</v>
      </c>
    </row>
    <row r="801" spans="1:10" x14ac:dyDescent="0.25">
      <c r="A801" t="s">
        <v>2872</v>
      </c>
      <c r="B801" s="3">
        <v>44588</v>
      </c>
      <c r="C801" t="s">
        <v>2873</v>
      </c>
      <c r="D801" t="s">
        <v>3514</v>
      </c>
      <c r="E801">
        <v>3</v>
      </c>
      <c r="F801" t="s">
        <v>3526</v>
      </c>
      <c r="G801" t="s">
        <v>3518</v>
      </c>
      <c r="H801">
        <v>1</v>
      </c>
      <c r="I801">
        <v>12.2</v>
      </c>
      <c r="J801">
        <v>36.5</v>
      </c>
    </row>
    <row r="802" spans="1:10" x14ac:dyDescent="0.25">
      <c r="A802" t="s">
        <v>2875</v>
      </c>
      <c r="B802" s="3">
        <v>44240</v>
      </c>
      <c r="C802" t="s">
        <v>2876</v>
      </c>
      <c r="D802" t="s">
        <v>3494</v>
      </c>
      <c r="E802">
        <v>6</v>
      </c>
      <c r="F802" t="s">
        <v>3524</v>
      </c>
      <c r="G802" t="s">
        <v>3518</v>
      </c>
      <c r="H802">
        <v>0.2</v>
      </c>
      <c r="I802">
        <v>2.7</v>
      </c>
      <c r="J802">
        <v>16.100000000000001</v>
      </c>
    </row>
    <row r="803" spans="1:10" x14ac:dyDescent="0.25">
      <c r="A803" t="s">
        <v>2878</v>
      </c>
      <c r="B803" s="3">
        <v>44025</v>
      </c>
      <c r="C803" t="s">
        <v>2879</v>
      </c>
      <c r="D803" t="s">
        <v>3480</v>
      </c>
      <c r="E803">
        <v>2</v>
      </c>
      <c r="F803" t="s">
        <v>3524</v>
      </c>
      <c r="G803" t="s">
        <v>3518</v>
      </c>
      <c r="H803">
        <v>2.5</v>
      </c>
      <c r="I803">
        <v>20.6</v>
      </c>
      <c r="J803">
        <v>41.2</v>
      </c>
    </row>
    <row r="804" spans="1:10" x14ac:dyDescent="0.25">
      <c r="A804" t="s">
        <v>2881</v>
      </c>
      <c r="B804" s="3">
        <v>43902</v>
      </c>
      <c r="C804" t="s">
        <v>2882</v>
      </c>
      <c r="D804" t="s">
        <v>3494</v>
      </c>
      <c r="E804">
        <v>4</v>
      </c>
      <c r="F804" t="s">
        <v>3524</v>
      </c>
      <c r="G804" t="s">
        <v>3518</v>
      </c>
      <c r="H804">
        <v>0.2</v>
      </c>
      <c r="I804">
        <v>2.7</v>
      </c>
      <c r="J804">
        <v>10.7</v>
      </c>
    </row>
    <row r="805" spans="1:10" x14ac:dyDescent="0.25">
      <c r="A805" t="s">
        <v>2884</v>
      </c>
      <c r="B805" s="3">
        <v>43955</v>
      </c>
      <c r="C805" t="s">
        <v>2885</v>
      </c>
      <c r="D805" t="s">
        <v>3497</v>
      </c>
      <c r="E805">
        <v>4</v>
      </c>
      <c r="F805" t="s">
        <v>3526</v>
      </c>
      <c r="G805" t="s">
        <v>3519</v>
      </c>
      <c r="H805">
        <v>2.5</v>
      </c>
      <c r="I805">
        <v>31.6</v>
      </c>
      <c r="J805">
        <v>126.5</v>
      </c>
    </row>
    <row r="806" spans="1:10" x14ac:dyDescent="0.25">
      <c r="A806" t="s">
        <v>2887</v>
      </c>
      <c r="B806" s="3">
        <v>44289</v>
      </c>
      <c r="C806" t="s">
        <v>2888</v>
      </c>
      <c r="D806" t="s">
        <v>3510</v>
      </c>
      <c r="E806">
        <v>2</v>
      </c>
      <c r="F806" t="s">
        <v>3524</v>
      </c>
      <c r="G806" t="s">
        <v>3517</v>
      </c>
      <c r="H806">
        <v>1</v>
      </c>
      <c r="I806">
        <v>12</v>
      </c>
      <c r="J806">
        <v>23.9</v>
      </c>
    </row>
    <row r="807" spans="1:10" x14ac:dyDescent="0.25">
      <c r="A807" t="s">
        <v>2890</v>
      </c>
      <c r="B807" s="3">
        <v>44713</v>
      </c>
      <c r="C807" t="s">
        <v>2891</v>
      </c>
      <c r="D807" t="s">
        <v>3477</v>
      </c>
      <c r="E807">
        <v>1</v>
      </c>
      <c r="F807" t="s">
        <v>3524</v>
      </c>
      <c r="G807" t="s">
        <v>3519</v>
      </c>
      <c r="H807">
        <v>0.5</v>
      </c>
      <c r="I807">
        <v>6</v>
      </c>
      <c r="J807">
        <v>6</v>
      </c>
    </row>
    <row r="808" spans="1:10" x14ac:dyDescent="0.25">
      <c r="A808" t="s">
        <v>2894</v>
      </c>
      <c r="B808" s="3">
        <v>44241</v>
      </c>
      <c r="C808" t="s">
        <v>2895</v>
      </c>
      <c r="D808" t="s">
        <v>3481</v>
      </c>
      <c r="E808">
        <v>2</v>
      </c>
      <c r="F808" t="s">
        <v>3525</v>
      </c>
      <c r="G808" t="s">
        <v>3518</v>
      </c>
      <c r="H808">
        <v>0.2</v>
      </c>
      <c r="I808">
        <v>3.9</v>
      </c>
      <c r="J808">
        <v>7.8</v>
      </c>
    </row>
    <row r="809" spans="1:10" x14ac:dyDescent="0.25">
      <c r="A809" t="s">
        <v>2897</v>
      </c>
      <c r="B809" s="3">
        <v>44543</v>
      </c>
      <c r="C809" t="s">
        <v>2898</v>
      </c>
      <c r="D809" t="s">
        <v>3500</v>
      </c>
      <c r="E809">
        <v>3</v>
      </c>
      <c r="F809" t="s">
        <v>3525</v>
      </c>
      <c r="G809" t="s">
        <v>3518</v>
      </c>
      <c r="H809">
        <v>0.5</v>
      </c>
      <c r="I809">
        <v>7.8</v>
      </c>
      <c r="J809">
        <v>23.3</v>
      </c>
    </row>
    <row r="810" spans="1:10" x14ac:dyDescent="0.25">
      <c r="A810" t="s">
        <v>2900</v>
      </c>
      <c r="B810" s="3">
        <v>43868</v>
      </c>
      <c r="C810" t="s">
        <v>2930</v>
      </c>
      <c r="D810" t="s">
        <v>3473</v>
      </c>
      <c r="E810">
        <v>5</v>
      </c>
      <c r="F810" t="s">
        <v>3524</v>
      </c>
      <c r="G810" t="s">
        <v>3517</v>
      </c>
      <c r="H810">
        <v>2.5</v>
      </c>
      <c r="I810">
        <v>27.5</v>
      </c>
      <c r="J810">
        <v>137.4</v>
      </c>
    </row>
    <row r="811" spans="1:10" x14ac:dyDescent="0.25">
      <c r="A811" t="s">
        <v>2903</v>
      </c>
      <c r="B811" s="3">
        <v>44235</v>
      </c>
      <c r="C811" t="s">
        <v>2904</v>
      </c>
      <c r="D811" t="s">
        <v>3494</v>
      </c>
      <c r="E811">
        <v>3</v>
      </c>
      <c r="F811" t="s">
        <v>3524</v>
      </c>
      <c r="G811" t="s">
        <v>3518</v>
      </c>
      <c r="H811">
        <v>0.2</v>
      </c>
      <c r="I811">
        <v>2.7</v>
      </c>
      <c r="J811">
        <v>8.1</v>
      </c>
    </row>
    <row r="812" spans="1:10" x14ac:dyDescent="0.25">
      <c r="A812" t="s">
        <v>2906</v>
      </c>
      <c r="B812" s="3">
        <v>44054</v>
      </c>
      <c r="C812" t="s">
        <v>2907</v>
      </c>
      <c r="D812" t="s">
        <v>3492</v>
      </c>
      <c r="E812">
        <v>3</v>
      </c>
      <c r="F812" t="s">
        <v>3525</v>
      </c>
      <c r="G812" t="s">
        <v>3517</v>
      </c>
      <c r="H812">
        <v>0.5</v>
      </c>
      <c r="I812">
        <v>9.5</v>
      </c>
      <c r="J812">
        <v>28.5</v>
      </c>
    </row>
    <row r="813" spans="1:10" x14ac:dyDescent="0.25">
      <c r="A813" t="s">
        <v>2909</v>
      </c>
      <c r="B813" s="3">
        <v>44114</v>
      </c>
      <c r="C813" t="s">
        <v>2910</v>
      </c>
      <c r="D813" t="s">
        <v>3486</v>
      </c>
      <c r="E813">
        <v>6</v>
      </c>
      <c r="F813" t="s">
        <v>3523</v>
      </c>
      <c r="G813" t="s">
        <v>3519</v>
      </c>
      <c r="H813">
        <v>1</v>
      </c>
      <c r="I813">
        <v>11.3</v>
      </c>
      <c r="J813">
        <v>67.5</v>
      </c>
    </row>
    <row r="814" spans="1:10" x14ac:dyDescent="0.25">
      <c r="A814" t="s">
        <v>2909</v>
      </c>
      <c r="B814" s="3">
        <v>44114</v>
      </c>
      <c r="C814" t="s">
        <v>2910</v>
      </c>
      <c r="D814" t="s">
        <v>3496</v>
      </c>
      <c r="E814">
        <v>6</v>
      </c>
      <c r="F814" t="s">
        <v>3525</v>
      </c>
      <c r="G814" t="s">
        <v>3518</v>
      </c>
      <c r="H814">
        <v>2.5</v>
      </c>
      <c r="I814">
        <v>29.8</v>
      </c>
      <c r="J814">
        <v>178.7</v>
      </c>
    </row>
    <row r="815" spans="1:10" x14ac:dyDescent="0.25">
      <c r="A815" t="s">
        <v>2914</v>
      </c>
      <c r="B815" s="3">
        <v>44173</v>
      </c>
      <c r="C815" t="s">
        <v>2915</v>
      </c>
      <c r="D815" t="s">
        <v>3497</v>
      </c>
      <c r="E815">
        <v>1</v>
      </c>
      <c r="F815" t="s">
        <v>3526</v>
      </c>
      <c r="G815" t="s">
        <v>3519</v>
      </c>
      <c r="H815">
        <v>2.5</v>
      </c>
      <c r="I815">
        <v>31.6</v>
      </c>
      <c r="J815">
        <v>31.6</v>
      </c>
    </row>
    <row r="816" spans="1:10" x14ac:dyDescent="0.25">
      <c r="A816" t="s">
        <v>2917</v>
      </c>
      <c r="B816" s="3">
        <v>43573</v>
      </c>
      <c r="C816" t="s">
        <v>2918</v>
      </c>
      <c r="D816" t="s">
        <v>3515</v>
      </c>
      <c r="E816">
        <v>2</v>
      </c>
      <c r="F816" t="s">
        <v>3526</v>
      </c>
      <c r="G816" t="s">
        <v>3517</v>
      </c>
      <c r="H816">
        <v>0.2</v>
      </c>
      <c r="I816">
        <v>4.5</v>
      </c>
      <c r="J816">
        <v>8.9</v>
      </c>
    </row>
    <row r="817" spans="1:10" x14ac:dyDescent="0.25">
      <c r="A817" t="s">
        <v>2920</v>
      </c>
      <c r="B817" s="3">
        <v>44200</v>
      </c>
      <c r="C817" t="s">
        <v>2921</v>
      </c>
      <c r="D817" t="s">
        <v>3477</v>
      </c>
      <c r="E817">
        <v>6</v>
      </c>
      <c r="F817" t="s">
        <v>3524</v>
      </c>
      <c r="G817" t="s">
        <v>3519</v>
      </c>
      <c r="H817">
        <v>0.5</v>
      </c>
      <c r="I817">
        <v>6</v>
      </c>
      <c r="J817">
        <v>35.799999999999997</v>
      </c>
    </row>
    <row r="818" spans="1:10" x14ac:dyDescent="0.25">
      <c r="A818" t="s">
        <v>2923</v>
      </c>
      <c r="B818" s="3">
        <v>43534</v>
      </c>
      <c r="C818" t="s">
        <v>2924</v>
      </c>
      <c r="D818" t="s">
        <v>3492</v>
      </c>
      <c r="E818">
        <v>4</v>
      </c>
      <c r="F818" t="s">
        <v>3525</v>
      </c>
      <c r="G818" t="s">
        <v>3517</v>
      </c>
      <c r="H818">
        <v>0.5</v>
      </c>
      <c r="I818">
        <v>9.5</v>
      </c>
      <c r="J818">
        <v>38</v>
      </c>
    </row>
    <row r="819" spans="1:10" x14ac:dyDescent="0.25">
      <c r="A819" t="s">
        <v>2926</v>
      </c>
      <c r="B819" s="3">
        <v>43798</v>
      </c>
      <c r="C819" t="s">
        <v>2927</v>
      </c>
      <c r="D819" t="s">
        <v>3500</v>
      </c>
      <c r="E819">
        <v>2</v>
      </c>
      <c r="F819" t="s">
        <v>3525</v>
      </c>
      <c r="G819" t="s">
        <v>3518</v>
      </c>
      <c r="H819">
        <v>0.5</v>
      </c>
      <c r="I819">
        <v>7.8</v>
      </c>
      <c r="J819">
        <v>15.5</v>
      </c>
    </row>
    <row r="820" spans="1:10" x14ac:dyDescent="0.25">
      <c r="A820" t="s">
        <v>2929</v>
      </c>
      <c r="B820" s="3">
        <v>44761</v>
      </c>
      <c r="C820" t="s">
        <v>2930</v>
      </c>
      <c r="D820" t="s">
        <v>3501</v>
      </c>
      <c r="E820">
        <v>5</v>
      </c>
      <c r="F820" t="s">
        <v>3525</v>
      </c>
      <c r="G820" t="s">
        <v>3517</v>
      </c>
      <c r="H820">
        <v>1</v>
      </c>
      <c r="I820">
        <v>15.9</v>
      </c>
      <c r="J820">
        <v>79.3</v>
      </c>
    </row>
    <row r="821" spans="1:10" x14ac:dyDescent="0.25">
      <c r="A821" t="s">
        <v>2932</v>
      </c>
      <c r="B821" s="3">
        <v>44008</v>
      </c>
      <c r="C821" t="s">
        <v>2933</v>
      </c>
      <c r="D821" t="s">
        <v>3476</v>
      </c>
      <c r="E821">
        <v>1</v>
      </c>
      <c r="F821" t="s">
        <v>3525</v>
      </c>
      <c r="G821" t="s">
        <v>3517</v>
      </c>
      <c r="H821">
        <v>0.2</v>
      </c>
      <c r="I821">
        <v>4.8</v>
      </c>
      <c r="J821">
        <v>4.8</v>
      </c>
    </row>
    <row r="822" spans="1:10" x14ac:dyDescent="0.25">
      <c r="A822" t="s">
        <v>2935</v>
      </c>
      <c r="B822" s="3">
        <v>43510</v>
      </c>
      <c r="C822" t="s">
        <v>2936</v>
      </c>
      <c r="D822" t="s">
        <v>3472</v>
      </c>
      <c r="E822">
        <v>4</v>
      </c>
      <c r="F822" t="s">
        <v>3526</v>
      </c>
      <c r="G822" t="s">
        <v>3519</v>
      </c>
      <c r="H822">
        <v>1</v>
      </c>
      <c r="I822">
        <v>13.8</v>
      </c>
      <c r="J822">
        <v>55</v>
      </c>
    </row>
    <row r="823" spans="1:10" x14ac:dyDescent="0.25">
      <c r="A823" t="s">
        <v>2938</v>
      </c>
      <c r="B823" s="3">
        <v>44144</v>
      </c>
      <c r="C823" t="s">
        <v>2939</v>
      </c>
      <c r="D823" t="s">
        <v>3503</v>
      </c>
      <c r="E823">
        <v>5</v>
      </c>
      <c r="F823" t="s">
        <v>3524</v>
      </c>
      <c r="G823" t="s">
        <v>3518</v>
      </c>
      <c r="H823">
        <v>0.5</v>
      </c>
      <c r="I823">
        <v>5.4</v>
      </c>
      <c r="J823">
        <v>26.9</v>
      </c>
    </row>
    <row r="824" spans="1:10" x14ac:dyDescent="0.25">
      <c r="A824" t="s">
        <v>2941</v>
      </c>
      <c r="B824" s="3">
        <v>43585</v>
      </c>
      <c r="C824" t="s">
        <v>2942</v>
      </c>
      <c r="D824" t="s">
        <v>3479</v>
      </c>
      <c r="E824">
        <v>4</v>
      </c>
      <c r="F824" t="s">
        <v>3526</v>
      </c>
      <c r="G824" t="s">
        <v>3517</v>
      </c>
      <c r="H824">
        <v>2.5</v>
      </c>
      <c r="I824">
        <v>34.200000000000003</v>
      </c>
      <c r="J824">
        <v>136.6</v>
      </c>
    </row>
    <row r="825" spans="1:10" x14ac:dyDescent="0.25">
      <c r="A825" t="s">
        <v>2944</v>
      </c>
      <c r="B825" s="3">
        <v>44134</v>
      </c>
      <c r="C825" t="s">
        <v>2945</v>
      </c>
      <c r="D825" t="s">
        <v>3501</v>
      </c>
      <c r="E825">
        <v>3</v>
      </c>
      <c r="F825" t="s">
        <v>3525</v>
      </c>
      <c r="G825" t="s">
        <v>3517</v>
      </c>
      <c r="H825">
        <v>1</v>
      </c>
      <c r="I825">
        <v>15.9</v>
      </c>
      <c r="J825">
        <v>47.6</v>
      </c>
    </row>
    <row r="826" spans="1:10" x14ac:dyDescent="0.25">
      <c r="A826" t="s">
        <v>2947</v>
      </c>
      <c r="B826" s="3">
        <v>43781</v>
      </c>
      <c r="C826" t="s">
        <v>2948</v>
      </c>
      <c r="D826" t="s">
        <v>3483</v>
      </c>
      <c r="E826">
        <v>5</v>
      </c>
      <c r="F826" t="s">
        <v>3523</v>
      </c>
      <c r="G826" t="s">
        <v>3519</v>
      </c>
      <c r="H826">
        <v>0.2</v>
      </c>
      <c r="I826">
        <v>3.4</v>
      </c>
      <c r="J826">
        <v>16.899999999999999</v>
      </c>
    </row>
    <row r="827" spans="1:10" x14ac:dyDescent="0.25">
      <c r="A827" t="s">
        <v>2950</v>
      </c>
      <c r="B827" s="3">
        <v>44603</v>
      </c>
      <c r="C827" t="s">
        <v>2968</v>
      </c>
      <c r="D827" t="s">
        <v>3478</v>
      </c>
      <c r="E827">
        <v>3</v>
      </c>
      <c r="F827" t="s">
        <v>3523</v>
      </c>
      <c r="G827" t="s">
        <v>3518</v>
      </c>
      <c r="H827">
        <v>1</v>
      </c>
      <c r="I827">
        <v>10</v>
      </c>
      <c r="J827">
        <v>29.9</v>
      </c>
    </row>
    <row r="828" spans="1:10" x14ac:dyDescent="0.25">
      <c r="A828" t="s">
        <v>2953</v>
      </c>
      <c r="B828" s="3">
        <v>44283</v>
      </c>
      <c r="C828" t="s">
        <v>2954</v>
      </c>
      <c r="D828" t="s">
        <v>3470</v>
      </c>
      <c r="E828">
        <v>5</v>
      </c>
      <c r="F828" t="s">
        <v>3526</v>
      </c>
      <c r="G828" t="s">
        <v>3519</v>
      </c>
      <c r="H828">
        <v>0.5</v>
      </c>
      <c r="I828">
        <v>8.3000000000000007</v>
      </c>
      <c r="J828">
        <v>41.3</v>
      </c>
    </row>
    <row r="829" spans="1:10" x14ac:dyDescent="0.25">
      <c r="A829" t="s">
        <v>2956</v>
      </c>
      <c r="B829" s="3">
        <v>44540</v>
      </c>
      <c r="C829" t="s">
        <v>2957</v>
      </c>
      <c r="D829" t="s">
        <v>3487</v>
      </c>
      <c r="E829">
        <v>5</v>
      </c>
      <c r="F829" t="s">
        <v>3526</v>
      </c>
      <c r="G829" t="s">
        <v>3519</v>
      </c>
      <c r="H829">
        <v>0.2</v>
      </c>
      <c r="I829">
        <v>4.0999999999999996</v>
      </c>
      <c r="J829">
        <v>20.6</v>
      </c>
    </row>
    <row r="830" spans="1:10" x14ac:dyDescent="0.25">
      <c r="A830" t="s">
        <v>2959</v>
      </c>
      <c r="B830" s="3">
        <v>44505</v>
      </c>
      <c r="C830" t="s">
        <v>2960</v>
      </c>
      <c r="D830" t="s">
        <v>3499</v>
      </c>
      <c r="E830">
        <v>6</v>
      </c>
      <c r="F830" t="s">
        <v>3523</v>
      </c>
      <c r="G830" t="s">
        <v>3518</v>
      </c>
      <c r="H830">
        <v>2.5</v>
      </c>
      <c r="I830">
        <v>22.9</v>
      </c>
      <c r="J830">
        <v>137.30000000000001</v>
      </c>
    </row>
    <row r="831" spans="1:10" x14ac:dyDescent="0.25">
      <c r="A831" t="s">
        <v>2962</v>
      </c>
      <c r="B831" s="3">
        <v>43890</v>
      </c>
      <c r="C831" t="s">
        <v>2963</v>
      </c>
      <c r="D831" t="s">
        <v>3485</v>
      </c>
      <c r="E831">
        <v>1</v>
      </c>
      <c r="F831" t="s">
        <v>3523</v>
      </c>
      <c r="G831" t="s">
        <v>3518</v>
      </c>
      <c r="H831">
        <v>0.2</v>
      </c>
      <c r="I831">
        <v>3</v>
      </c>
      <c r="J831">
        <v>3</v>
      </c>
    </row>
    <row r="832" spans="1:10" x14ac:dyDescent="0.25">
      <c r="A832" t="s">
        <v>2965</v>
      </c>
      <c r="B832" s="3">
        <v>44414</v>
      </c>
      <c r="C832" t="s">
        <v>2966</v>
      </c>
      <c r="D832" t="s">
        <v>3472</v>
      </c>
      <c r="E832">
        <v>2</v>
      </c>
      <c r="F832" t="s">
        <v>3526</v>
      </c>
      <c r="G832" t="s">
        <v>3519</v>
      </c>
      <c r="H832">
        <v>1</v>
      </c>
      <c r="I832">
        <v>13.8</v>
      </c>
      <c r="J832">
        <v>27.5</v>
      </c>
    </row>
    <row r="833" spans="1:10" x14ac:dyDescent="0.25">
      <c r="A833" t="s">
        <v>2965</v>
      </c>
      <c r="B833" s="3">
        <v>44414</v>
      </c>
      <c r="C833" t="s">
        <v>2966</v>
      </c>
      <c r="D833" t="s">
        <v>3485</v>
      </c>
      <c r="E833">
        <v>2</v>
      </c>
      <c r="F833" t="s">
        <v>3523</v>
      </c>
      <c r="G833" t="s">
        <v>3518</v>
      </c>
      <c r="H833">
        <v>0.2</v>
      </c>
      <c r="I833">
        <v>3</v>
      </c>
      <c r="J833">
        <v>6</v>
      </c>
    </row>
    <row r="834" spans="1:10" x14ac:dyDescent="0.25">
      <c r="A834" t="s">
        <v>2970</v>
      </c>
      <c r="B834" s="3">
        <v>44274</v>
      </c>
      <c r="C834" t="s">
        <v>2971</v>
      </c>
      <c r="D834" t="s">
        <v>3469</v>
      </c>
      <c r="E834">
        <v>6</v>
      </c>
      <c r="F834" t="s">
        <v>3524</v>
      </c>
      <c r="G834" t="s">
        <v>3519</v>
      </c>
      <c r="H834">
        <v>1</v>
      </c>
      <c r="I834">
        <v>10</v>
      </c>
      <c r="J834">
        <v>59.7</v>
      </c>
    </row>
    <row r="835" spans="1:10" x14ac:dyDescent="0.25">
      <c r="A835" t="s">
        <v>2973</v>
      </c>
      <c r="B835" s="3">
        <v>44302</v>
      </c>
      <c r="C835" t="s">
        <v>2974</v>
      </c>
      <c r="D835" t="s">
        <v>3480</v>
      </c>
      <c r="E835">
        <v>4</v>
      </c>
      <c r="F835" t="s">
        <v>3524</v>
      </c>
      <c r="G835" t="s">
        <v>3518</v>
      </c>
      <c r="H835">
        <v>2.5</v>
      </c>
      <c r="I835">
        <v>20.6</v>
      </c>
      <c r="J835">
        <v>82.3</v>
      </c>
    </row>
    <row r="836" spans="1:10" x14ac:dyDescent="0.25">
      <c r="A836" t="s">
        <v>2976</v>
      </c>
      <c r="B836" s="3">
        <v>44141</v>
      </c>
      <c r="C836" t="s">
        <v>2977</v>
      </c>
      <c r="D836" t="s">
        <v>3499</v>
      </c>
      <c r="E836">
        <v>1</v>
      </c>
      <c r="F836" t="s">
        <v>3523</v>
      </c>
      <c r="G836" t="s">
        <v>3518</v>
      </c>
      <c r="H836">
        <v>2.5</v>
      </c>
      <c r="I836">
        <v>22.9</v>
      </c>
      <c r="J836">
        <v>22.9</v>
      </c>
    </row>
    <row r="837" spans="1:10" x14ac:dyDescent="0.25">
      <c r="A837" t="s">
        <v>2979</v>
      </c>
      <c r="B837" s="3">
        <v>44270</v>
      </c>
      <c r="C837" t="s">
        <v>2980</v>
      </c>
      <c r="D837" t="s">
        <v>3507</v>
      </c>
      <c r="E837">
        <v>1</v>
      </c>
      <c r="F837" t="s">
        <v>3526</v>
      </c>
      <c r="G837" t="s">
        <v>3517</v>
      </c>
      <c r="H837">
        <v>0.5</v>
      </c>
      <c r="I837">
        <v>8.9</v>
      </c>
      <c r="J837">
        <v>8.9</v>
      </c>
    </row>
    <row r="838" spans="1:10" x14ac:dyDescent="0.25">
      <c r="A838" t="s">
        <v>2982</v>
      </c>
      <c r="B838" s="3">
        <v>44486</v>
      </c>
      <c r="C838" t="s">
        <v>2983</v>
      </c>
      <c r="D838" t="s">
        <v>3485</v>
      </c>
      <c r="E838">
        <v>4</v>
      </c>
      <c r="F838" t="s">
        <v>3523</v>
      </c>
      <c r="G838" t="s">
        <v>3518</v>
      </c>
      <c r="H838">
        <v>0.2</v>
      </c>
      <c r="I838">
        <v>3</v>
      </c>
      <c r="J838">
        <v>11.9</v>
      </c>
    </row>
    <row r="839" spans="1:10" x14ac:dyDescent="0.25">
      <c r="A839" t="s">
        <v>2985</v>
      </c>
      <c r="B839" s="3">
        <v>43715</v>
      </c>
      <c r="C839" t="s">
        <v>2930</v>
      </c>
      <c r="D839" t="s">
        <v>3512</v>
      </c>
      <c r="E839">
        <v>3</v>
      </c>
      <c r="F839" t="s">
        <v>3525</v>
      </c>
      <c r="G839" t="s">
        <v>3519</v>
      </c>
      <c r="H839">
        <v>2.5</v>
      </c>
      <c r="I839">
        <v>33.5</v>
      </c>
      <c r="J839">
        <v>100.4</v>
      </c>
    </row>
    <row r="840" spans="1:10" x14ac:dyDescent="0.25">
      <c r="A840" t="s">
        <v>2988</v>
      </c>
      <c r="B840" s="3">
        <v>44755</v>
      </c>
      <c r="C840" t="s">
        <v>2989</v>
      </c>
      <c r="D840" t="s">
        <v>3499</v>
      </c>
      <c r="E840">
        <v>5</v>
      </c>
      <c r="F840" t="s">
        <v>3523</v>
      </c>
      <c r="G840" t="s">
        <v>3518</v>
      </c>
      <c r="H840">
        <v>2.5</v>
      </c>
      <c r="I840">
        <v>22.9</v>
      </c>
      <c r="J840">
        <v>114.4</v>
      </c>
    </row>
    <row r="841" spans="1:10" x14ac:dyDescent="0.25">
      <c r="A841" t="s">
        <v>2991</v>
      </c>
      <c r="B841" s="3">
        <v>44521</v>
      </c>
      <c r="C841" t="s">
        <v>2992</v>
      </c>
      <c r="D841" t="s">
        <v>3470</v>
      </c>
      <c r="E841">
        <v>5</v>
      </c>
      <c r="F841" t="s">
        <v>3526</v>
      </c>
      <c r="G841" t="s">
        <v>3519</v>
      </c>
      <c r="H841">
        <v>0.5</v>
      </c>
      <c r="I841">
        <v>8.3000000000000007</v>
      </c>
      <c r="J841">
        <v>41.3</v>
      </c>
    </row>
    <row r="842" spans="1:10" x14ac:dyDescent="0.25">
      <c r="A842" t="s">
        <v>2994</v>
      </c>
      <c r="B842" s="3">
        <v>44574</v>
      </c>
      <c r="C842" t="s">
        <v>2995</v>
      </c>
      <c r="D842" t="s">
        <v>3504</v>
      </c>
      <c r="E842">
        <v>4</v>
      </c>
      <c r="F842" t="s">
        <v>3524</v>
      </c>
      <c r="G842" t="s">
        <v>3517</v>
      </c>
      <c r="H842">
        <v>0.5</v>
      </c>
      <c r="I842">
        <v>7.2</v>
      </c>
      <c r="J842">
        <v>28.7</v>
      </c>
    </row>
    <row r="843" spans="1:10" x14ac:dyDescent="0.25">
      <c r="A843" t="s">
        <v>2997</v>
      </c>
      <c r="B843" s="3">
        <v>44755</v>
      </c>
      <c r="C843" t="s">
        <v>2998</v>
      </c>
      <c r="D843" t="s">
        <v>3490</v>
      </c>
      <c r="E843">
        <v>1</v>
      </c>
      <c r="F843" t="s">
        <v>3525</v>
      </c>
      <c r="G843" t="s">
        <v>3519</v>
      </c>
      <c r="H843">
        <v>0.2</v>
      </c>
      <c r="I843">
        <v>4.4000000000000004</v>
      </c>
      <c r="J843">
        <v>4.4000000000000004</v>
      </c>
    </row>
    <row r="844" spans="1:10" x14ac:dyDescent="0.25">
      <c r="A844" t="s">
        <v>3000</v>
      </c>
      <c r="B844" s="3">
        <v>44502</v>
      </c>
      <c r="C844" t="s">
        <v>2968</v>
      </c>
      <c r="D844" t="s">
        <v>3487</v>
      </c>
      <c r="E844">
        <v>2</v>
      </c>
      <c r="F844" t="s">
        <v>3526</v>
      </c>
      <c r="G844" t="s">
        <v>3519</v>
      </c>
      <c r="H844">
        <v>0.2</v>
      </c>
      <c r="I844">
        <v>4.0999999999999996</v>
      </c>
      <c r="J844">
        <v>8.3000000000000007</v>
      </c>
    </row>
    <row r="845" spans="1:10" x14ac:dyDescent="0.25">
      <c r="A845" t="s">
        <v>3003</v>
      </c>
      <c r="B845" s="3">
        <v>44387</v>
      </c>
      <c r="C845" t="s">
        <v>3004</v>
      </c>
      <c r="D845" t="s">
        <v>3487</v>
      </c>
      <c r="E845">
        <v>2</v>
      </c>
      <c r="F845" t="s">
        <v>3526</v>
      </c>
      <c r="G845" t="s">
        <v>3519</v>
      </c>
      <c r="H845">
        <v>0.2</v>
      </c>
      <c r="I845">
        <v>4.0999999999999996</v>
      </c>
      <c r="J845">
        <v>8.3000000000000007</v>
      </c>
    </row>
    <row r="846" spans="1:10" x14ac:dyDescent="0.25">
      <c r="A846" t="s">
        <v>3006</v>
      </c>
      <c r="B846" s="3">
        <v>44476</v>
      </c>
      <c r="C846" t="s">
        <v>3007</v>
      </c>
      <c r="D846" t="s">
        <v>3489</v>
      </c>
      <c r="E846">
        <v>6</v>
      </c>
      <c r="F846" t="s">
        <v>3523</v>
      </c>
      <c r="G846" t="s">
        <v>3518</v>
      </c>
      <c r="H846">
        <v>0.5</v>
      </c>
      <c r="I846">
        <v>6</v>
      </c>
      <c r="J846">
        <v>35.799999999999997</v>
      </c>
    </row>
    <row r="847" spans="1:10" x14ac:dyDescent="0.25">
      <c r="A847" t="s">
        <v>3009</v>
      </c>
      <c r="B847" s="3">
        <v>43889</v>
      </c>
      <c r="C847" t="s">
        <v>3010</v>
      </c>
      <c r="D847" t="s">
        <v>3516</v>
      </c>
      <c r="E847">
        <v>6</v>
      </c>
      <c r="F847" t="s">
        <v>3526</v>
      </c>
      <c r="G847" t="s">
        <v>3518</v>
      </c>
      <c r="H847">
        <v>2.5</v>
      </c>
      <c r="I847">
        <v>27.9</v>
      </c>
      <c r="J847">
        <v>167.7</v>
      </c>
    </row>
    <row r="848" spans="1:10" x14ac:dyDescent="0.25">
      <c r="A848" t="s">
        <v>3012</v>
      </c>
      <c r="B848" s="3">
        <v>44747</v>
      </c>
      <c r="C848" t="s">
        <v>3013</v>
      </c>
      <c r="D848" t="s">
        <v>3506</v>
      </c>
      <c r="E848">
        <v>2</v>
      </c>
      <c r="F848" t="s">
        <v>3523</v>
      </c>
      <c r="G848" t="s">
        <v>3519</v>
      </c>
      <c r="H848">
        <v>2.5</v>
      </c>
      <c r="I848">
        <v>25.9</v>
      </c>
      <c r="J848">
        <v>51.8</v>
      </c>
    </row>
    <row r="849" spans="1:10" x14ac:dyDescent="0.25">
      <c r="A849" t="s">
        <v>3015</v>
      </c>
      <c r="B849" s="3">
        <v>44460</v>
      </c>
      <c r="C849" t="s">
        <v>3016</v>
      </c>
      <c r="D849" t="s">
        <v>3485</v>
      </c>
      <c r="E849">
        <v>3</v>
      </c>
      <c r="F849" t="s">
        <v>3523</v>
      </c>
      <c r="G849" t="s">
        <v>3518</v>
      </c>
      <c r="H849">
        <v>0.2</v>
      </c>
      <c r="I849">
        <v>3</v>
      </c>
      <c r="J849">
        <v>9</v>
      </c>
    </row>
    <row r="850" spans="1:10" x14ac:dyDescent="0.25">
      <c r="A850" t="s">
        <v>3018</v>
      </c>
      <c r="B850" s="3">
        <v>43468</v>
      </c>
      <c r="C850" t="s">
        <v>3019</v>
      </c>
      <c r="D850" t="s">
        <v>3507</v>
      </c>
      <c r="E850">
        <v>6</v>
      </c>
      <c r="F850" t="s">
        <v>3526</v>
      </c>
      <c r="G850" t="s">
        <v>3517</v>
      </c>
      <c r="H850">
        <v>0.5</v>
      </c>
      <c r="I850">
        <v>8.9</v>
      </c>
      <c r="J850">
        <v>53.5</v>
      </c>
    </row>
    <row r="851" spans="1:10" x14ac:dyDescent="0.25">
      <c r="A851" t="s">
        <v>3021</v>
      </c>
      <c r="B851" s="3">
        <v>44628</v>
      </c>
      <c r="C851" t="s">
        <v>3022</v>
      </c>
      <c r="D851" t="s">
        <v>3498</v>
      </c>
      <c r="E851">
        <v>6</v>
      </c>
      <c r="F851" t="s">
        <v>3523</v>
      </c>
      <c r="G851" t="s">
        <v>3517</v>
      </c>
      <c r="H851">
        <v>0.2</v>
      </c>
      <c r="I851">
        <v>3.9</v>
      </c>
      <c r="J851">
        <v>23.3</v>
      </c>
    </row>
    <row r="852" spans="1:10" x14ac:dyDescent="0.25">
      <c r="A852" t="s">
        <v>3021</v>
      </c>
      <c r="B852" s="3">
        <v>44628</v>
      </c>
      <c r="C852" t="s">
        <v>3022</v>
      </c>
      <c r="D852" t="s">
        <v>3483</v>
      </c>
      <c r="E852">
        <v>2</v>
      </c>
      <c r="F852" t="s">
        <v>3523</v>
      </c>
      <c r="G852" t="s">
        <v>3519</v>
      </c>
      <c r="H852">
        <v>0.2</v>
      </c>
      <c r="I852">
        <v>3.4</v>
      </c>
      <c r="J852">
        <v>6.8</v>
      </c>
    </row>
    <row r="853" spans="1:10" x14ac:dyDescent="0.25">
      <c r="A853" t="s">
        <v>3026</v>
      </c>
      <c r="B853" s="3">
        <v>43900</v>
      </c>
      <c r="C853" t="s">
        <v>3027</v>
      </c>
      <c r="D853" t="s">
        <v>3500</v>
      </c>
      <c r="E853">
        <v>1</v>
      </c>
      <c r="F853" t="s">
        <v>3525</v>
      </c>
      <c r="G853" t="s">
        <v>3518</v>
      </c>
      <c r="H853">
        <v>0.5</v>
      </c>
      <c r="I853">
        <v>7.8</v>
      </c>
      <c r="J853">
        <v>7.8</v>
      </c>
    </row>
    <row r="854" spans="1:10" x14ac:dyDescent="0.25">
      <c r="A854" t="s">
        <v>3029</v>
      </c>
      <c r="B854" s="3">
        <v>44527</v>
      </c>
      <c r="C854" t="s">
        <v>3030</v>
      </c>
      <c r="D854" t="s">
        <v>3496</v>
      </c>
      <c r="E854">
        <v>4</v>
      </c>
      <c r="F854" t="s">
        <v>3525</v>
      </c>
      <c r="G854" t="s">
        <v>3518</v>
      </c>
      <c r="H854">
        <v>2.5</v>
      </c>
      <c r="I854">
        <v>29.8</v>
      </c>
      <c r="J854">
        <v>119.1</v>
      </c>
    </row>
    <row r="855" spans="1:10" x14ac:dyDescent="0.25">
      <c r="A855" t="s">
        <v>3032</v>
      </c>
      <c r="B855" s="3">
        <v>44259</v>
      </c>
      <c r="C855" t="s">
        <v>3033</v>
      </c>
      <c r="D855" t="s">
        <v>3478</v>
      </c>
      <c r="E855">
        <v>2</v>
      </c>
      <c r="F855" t="s">
        <v>3523</v>
      </c>
      <c r="G855" t="s">
        <v>3518</v>
      </c>
      <c r="H855">
        <v>1</v>
      </c>
      <c r="I855">
        <v>10</v>
      </c>
      <c r="J855">
        <v>19.899999999999999</v>
      </c>
    </row>
    <row r="856" spans="1:10" x14ac:dyDescent="0.25">
      <c r="A856" t="s">
        <v>3035</v>
      </c>
      <c r="B856" s="3">
        <v>44516</v>
      </c>
      <c r="C856" t="s">
        <v>3036</v>
      </c>
      <c r="D856" t="s">
        <v>3504</v>
      </c>
      <c r="E856">
        <v>5</v>
      </c>
      <c r="F856" t="s">
        <v>3524</v>
      </c>
      <c r="G856" t="s">
        <v>3517</v>
      </c>
      <c r="H856">
        <v>0.5</v>
      </c>
      <c r="I856">
        <v>7.2</v>
      </c>
      <c r="J856">
        <v>35.9</v>
      </c>
    </row>
    <row r="857" spans="1:10" x14ac:dyDescent="0.25">
      <c r="A857" t="s">
        <v>3038</v>
      </c>
      <c r="B857" s="3">
        <v>43632</v>
      </c>
      <c r="C857" t="s">
        <v>3039</v>
      </c>
      <c r="D857" t="s">
        <v>3496</v>
      </c>
      <c r="E857">
        <v>3</v>
      </c>
      <c r="F857" t="s">
        <v>3525</v>
      </c>
      <c r="G857" t="s">
        <v>3518</v>
      </c>
      <c r="H857">
        <v>2.5</v>
      </c>
      <c r="I857">
        <v>29.8</v>
      </c>
      <c r="J857">
        <v>89.4</v>
      </c>
    </row>
    <row r="858" spans="1:10" x14ac:dyDescent="0.25">
      <c r="A858" t="s">
        <v>3041</v>
      </c>
      <c r="B858" s="3">
        <v>44031</v>
      </c>
      <c r="C858" t="s">
        <v>2968</v>
      </c>
      <c r="D858" t="s">
        <v>3490</v>
      </c>
      <c r="E858">
        <v>2</v>
      </c>
      <c r="F858" t="s">
        <v>3525</v>
      </c>
      <c r="G858" t="s">
        <v>3519</v>
      </c>
      <c r="H858">
        <v>0.2</v>
      </c>
      <c r="I858">
        <v>4.4000000000000004</v>
      </c>
      <c r="J858">
        <v>8.6999999999999993</v>
      </c>
    </row>
    <row r="859" spans="1:10" x14ac:dyDescent="0.25">
      <c r="A859" t="s">
        <v>3044</v>
      </c>
      <c r="B859" s="3">
        <v>43889</v>
      </c>
      <c r="C859" t="s">
        <v>3045</v>
      </c>
      <c r="D859" t="s">
        <v>3473</v>
      </c>
      <c r="E859">
        <v>5</v>
      </c>
      <c r="F859" t="s">
        <v>3524</v>
      </c>
      <c r="G859" t="s">
        <v>3517</v>
      </c>
      <c r="H859">
        <v>2.5</v>
      </c>
      <c r="I859">
        <v>27.5</v>
      </c>
      <c r="J859">
        <v>137.4</v>
      </c>
    </row>
    <row r="860" spans="1:10" x14ac:dyDescent="0.25">
      <c r="A860" t="s">
        <v>3047</v>
      </c>
      <c r="B860" s="3">
        <v>43638</v>
      </c>
      <c r="C860" t="s">
        <v>3048</v>
      </c>
      <c r="D860" t="s">
        <v>3491</v>
      </c>
      <c r="E860">
        <v>4</v>
      </c>
      <c r="F860" t="s">
        <v>3525</v>
      </c>
      <c r="G860" t="s">
        <v>3519</v>
      </c>
      <c r="H860">
        <v>0.5</v>
      </c>
      <c r="I860">
        <v>8.6999999999999993</v>
      </c>
      <c r="J860">
        <v>34.9</v>
      </c>
    </row>
    <row r="861" spans="1:10" x14ac:dyDescent="0.25">
      <c r="A861" t="s">
        <v>3050</v>
      </c>
      <c r="B861" s="3">
        <v>43716</v>
      </c>
      <c r="C861" t="s">
        <v>3051</v>
      </c>
      <c r="D861" t="s">
        <v>3513</v>
      </c>
      <c r="E861">
        <v>6</v>
      </c>
      <c r="F861" t="s">
        <v>3523</v>
      </c>
      <c r="G861" t="s">
        <v>3517</v>
      </c>
      <c r="H861">
        <v>2.5</v>
      </c>
      <c r="I861">
        <v>29.8</v>
      </c>
      <c r="J861">
        <v>178.7</v>
      </c>
    </row>
    <row r="862" spans="1:10" x14ac:dyDescent="0.25">
      <c r="A862" t="s">
        <v>3053</v>
      </c>
      <c r="B862" s="3">
        <v>44707</v>
      </c>
      <c r="C862" t="s">
        <v>3054</v>
      </c>
      <c r="D862" t="s">
        <v>3506</v>
      </c>
      <c r="E862">
        <v>1</v>
      </c>
      <c r="F862" t="s">
        <v>3523</v>
      </c>
      <c r="G862" t="s">
        <v>3519</v>
      </c>
      <c r="H862">
        <v>2.5</v>
      </c>
      <c r="I862">
        <v>25.9</v>
      </c>
      <c r="J862">
        <v>25.9</v>
      </c>
    </row>
    <row r="863" spans="1:10" x14ac:dyDescent="0.25">
      <c r="A863" t="s">
        <v>3056</v>
      </c>
      <c r="B863" s="3">
        <v>43802</v>
      </c>
      <c r="C863" t="s">
        <v>3057</v>
      </c>
      <c r="D863" t="s">
        <v>3474</v>
      </c>
      <c r="E863">
        <v>6</v>
      </c>
      <c r="F863" t="s">
        <v>3525</v>
      </c>
      <c r="G863" t="s">
        <v>3518</v>
      </c>
      <c r="H863">
        <v>1</v>
      </c>
      <c r="I863">
        <v>13</v>
      </c>
      <c r="J863">
        <v>77.7</v>
      </c>
    </row>
    <row r="864" spans="1:10" x14ac:dyDescent="0.25">
      <c r="A864" t="s">
        <v>3059</v>
      </c>
      <c r="B864" s="3">
        <v>43725</v>
      </c>
      <c r="C864" t="s">
        <v>3060</v>
      </c>
      <c r="D864" t="s">
        <v>3469</v>
      </c>
      <c r="E864">
        <v>1</v>
      </c>
      <c r="F864" t="s">
        <v>3524</v>
      </c>
      <c r="G864" t="s">
        <v>3519</v>
      </c>
      <c r="H864">
        <v>1</v>
      </c>
      <c r="I864">
        <v>10</v>
      </c>
      <c r="J864">
        <v>10</v>
      </c>
    </row>
    <row r="865" spans="1:10" x14ac:dyDescent="0.25">
      <c r="A865" t="s">
        <v>3062</v>
      </c>
      <c r="B865" s="3">
        <v>44712</v>
      </c>
      <c r="C865" t="s">
        <v>3063</v>
      </c>
      <c r="D865" t="s">
        <v>3493</v>
      </c>
      <c r="E865">
        <v>2</v>
      </c>
      <c r="F865" t="s">
        <v>3525</v>
      </c>
      <c r="G865" t="s">
        <v>3519</v>
      </c>
      <c r="H865">
        <v>1</v>
      </c>
      <c r="I865">
        <v>14.6</v>
      </c>
      <c r="J865">
        <v>29.1</v>
      </c>
    </row>
    <row r="866" spans="1:10" x14ac:dyDescent="0.25">
      <c r="A866" t="s">
        <v>3065</v>
      </c>
      <c r="B866" s="3">
        <v>43759</v>
      </c>
      <c r="C866" t="s">
        <v>3066</v>
      </c>
      <c r="D866" t="s">
        <v>3509</v>
      </c>
      <c r="E866">
        <v>6</v>
      </c>
      <c r="F866" t="s">
        <v>3524</v>
      </c>
      <c r="G866" t="s">
        <v>3517</v>
      </c>
      <c r="H866">
        <v>0.2</v>
      </c>
      <c r="I866">
        <v>3.6</v>
      </c>
      <c r="J866">
        <v>21.5</v>
      </c>
    </row>
    <row r="867" spans="1:10" x14ac:dyDescent="0.25">
      <c r="A867" t="s">
        <v>3068</v>
      </c>
      <c r="B867" s="3">
        <v>44675</v>
      </c>
      <c r="C867" t="s">
        <v>3095</v>
      </c>
      <c r="D867" t="s">
        <v>3488</v>
      </c>
      <c r="E867">
        <v>1</v>
      </c>
      <c r="F867" t="s">
        <v>3523</v>
      </c>
      <c r="G867" t="s">
        <v>3519</v>
      </c>
      <c r="H867">
        <v>0.5</v>
      </c>
      <c r="I867">
        <v>6.8</v>
      </c>
      <c r="J867">
        <v>6.8</v>
      </c>
    </row>
    <row r="868" spans="1:10" x14ac:dyDescent="0.25">
      <c r="A868" t="s">
        <v>3071</v>
      </c>
      <c r="B868" s="3">
        <v>44209</v>
      </c>
      <c r="C868" t="s">
        <v>3072</v>
      </c>
      <c r="D868" t="s">
        <v>3489</v>
      </c>
      <c r="E868">
        <v>3</v>
      </c>
      <c r="F868" t="s">
        <v>3523</v>
      </c>
      <c r="G868" t="s">
        <v>3518</v>
      </c>
      <c r="H868">
        <v>0.5</v>
      </c>
      <c r="I868">
        <v>6</v>
      </c>
      <c r="J868">
        <v>17.899999999999999</v>
      </c>
    </row>
    <row r="869" spans="1:10" x14ac:dyDescent="0.25">
      <c r="A869" t="s">
        <v>3074</v>
      </c>
      <c r="B869" s="3">
        <v>44792</v>
      </c>
      <c r="C869" t="s">
        <v>3075</v>
      </c>
      <c r="D869" t="s">
        <v>3513</v>
      </c>
      <c r="E869">
        <v>1</v>
      </c>
      <c r="F869" t="s">
        <v>3523</v>
      </c>
      <c r="G869" t="s">
        <v>3517</v>
      </c>
      <c r="H869">
        <v>2.5</v>
      </c>
      <c r="I869">
        <v>29.8</v>
      </c>
      <c r="J869">
        <v>29.8</v>
      </c>
    </row>
    <row r="870" spans="1:10" x14ac:dyDescent="0.25">
      <c r="A870" t="s">
        <v>3077</v>
      </c>
      <c r="B870" s="3">
        <v>43526</v>
      </c>
      <c r="C870" t="s">
        <v>3078</v>
      </c>
      <c r="D870" t="s">
        <v>3470</v>
      </c>
      <c r="E870">
        <v>5</v>
      </c>
      <c r="F870" t="s">
        <v>3526</v>
      </c>
      <c r="G870" t="s">
        <v>3519</v>
      </c>
      <c r="H870">
        <v>0.5</v>
      </c>
      <c r="I870">
        <v>8.3000000000000007</v>
      </c>
      <c r="J870">
        <v>41.3</v>
      </c>
    </row>
    <row r="871" spans="1:10" x14ac:dyDescent="0.25">
      <c r="A871" t="s">
        <v>3080</v>
      </c>
      <c r="B871" s="3">
        <v>43851</v>
      </c>
      <c r="C871" t="s">
        <v>3081</v>
      </c>
      <c r="D871" t="s">
        <v>3477</v>
      </c>
      <c r="E871">
        <v>3</v>
      </c>
      <c r="F871" t="s">
        <v>3524</v>
      </c>
      <c r="G871" t="s">
        <v>3519</v>
      </c>
      <c r="H871">
        <v>0.5</v>
      </c>
      <c r="I871">
        <v>6</v>
      </c>
      <c r="J871">
        <v>17.899999999999999</v>
      </c>
    </row>
    <row r="872" spans="1:10" x14ac:dyDescent="0.25">
      <c r="A872" t="s">
        <v>3083</v>
      </c>
      <c r="B872" s="3">
        <v>44460</v>
      </c>
      <c r="C872" t="s">
        <v>3084</v>
      </c>
      <c r="D872" t="s">
        <v>3475</v>
      </c>
      <c r="E872">
        <v>1</v>
      </c>
      <c r="F872" t="s">
        <v>3526</v>
      </c>
      <c r="G872" t="s">
        <v>3518</v>
      </c>
      <c r="H872">
        <v>0.5</v>
      </c>
      <c r="I872">
        <v>7.3</v>
      </c>
      <c r="J872">
        <v>7.3</v>
      </c>
    </row>
    <row r="873" spans="1:10" x14ac:dyDescent="0.25">
      <c r="A873" t="s">
        <v>3086</v>
      </c>
      <c r="B873" s="3">
        <v>43707</v>
      </c>
      <c r="C873" t="s">
        <v>3087</v>
      </c>
      <c r="D873" t="s">
        <v>3502</v>
      </c>
      <c r="E873">
        <v>2</v>
      </c>
      <c r="F873" t="s">
        <v>3526</v>
      </c>
      <c r="G873" t="s">
        <v>3517</v>
      </c>
      <c r="H873">
        <v>1</v>
      </c>
      <c r="I873">
        <v>14.9</v>
      </c>
      <c r="J873">
        <v>29.7</v>
      </c>
    </row>
    <row r="874" spans="1:10" x14ac:dyDescent="0.25">
      <c r="A874" t="s">
        <v>3091</v>
      </c>
      <c r="B874" s="3">
        <v>43521</v>
      </c>
      <c r="C874" t="s">
        <v>3092</v>
      </c>
      <c r="D874" t="s">
        <v>3486</v>
      </c>
      <c r="E874">
        <v>2</v>
      </c>
      <c r="F874" t="s">
        <v>3523</v>
      </c>
      <c r="G874" t="s">
        <v>3519</v>
      </c>
      <c r="H874">
        <v>1</v>
      </c>
      <c r="I874">
        <v>11.3</v>
      </c>
      <c r="J874">
        <v>22.5</v>
      </c>
    </row>
    <row r="875" spans="1:10" x14ac:dyDescent="0.25">
      <c r="A875" t="s">
        <v>3094</v>
      </c>
      <c r="B875" s="3">
        <v>43725</v>
      </c>
      <c r="C875" t="s">
        <v>3095</v>
      </c>
      <c r="D875" t="s">
        <v>3505</v>
      </c>
      <c r="E875">
        <v>4</v>
      </c>
      <c r="F875" t="s">
        <v>3524</v>
      </c>
      <c r="G875" t="s">
        <v>3519</v>
      </c>
      <c r="H875">
        <v>0.2</v>
      </c>
      <c r="I875">
        <v>3</v>
      </c>
      <c r="J875">
        <v>11.9</v>
      </c>
    </row>
    <row r="876" spans="1:10" x14ac:dyDescent="0.25">
      <c r="A876" t="s">
        <v>3097</v>
      </c>
      <c r="B876" s="3">
        <v>43680</v>
      </c>
      <c r="C876" t="s">
        <v>3098</v>
      </c>
      <c r="D876" t="s">
        <v>3471</v>
      </c>
      <c r="E876">
        <v>2</v>
      </c>
      <c r="F876" t="s">
        <v>3523</v>
      </c>
      <c r="G876" t="s">
        <v>3517</v>
      </c>
      <c r="H876">
        <v>1</v>
      </c>
      <c r="I876">
        <v>13</v>
      </c>
      <c r="J876">
        <v>25.9</v>
      </c>
    </row>
    <row r="877" spans="1:10" x14ac:dyDescent="0.25">
      <c r="A877" t="s">
        <v>3100</v>
      </c>
      <c r="B877" s="3">
        <v>44253</v>
      </c>
      <c r="C877" t="s">
        <v>3101</v>
      </c>
      <c r="D877" t="s">
        <v>3491</v>
      </c>
      <c r="E877">
        <v>5</v>
      </c>
      <c r="F877" t="s">
        <v>3525</v>
      </c>
      <c r="G877" t="s">
        <v>3519</v>
      </c>
      <c r="H877">
        <v>0.5</v>
      </c>
      <c r="I877">
        <v>8.6999999999999993</v>
      </c>
      <c r="J877">
        <v>43.7</v>
      </c>
    </row>
    <row r="878" spans="1:10" x14ac:dyDescent="0.25">
      <c r="A878" t="s">
        <v>3100</v>
      </c>
      <c r="B878" s="3">
        <v>44253</v>
      </c>
      <c r="C878" t="s">
        <v>3101</v>
      </c>
      <c r="D878" t="s">
        <v>3511</v>
      </c>
      <c r="E878">
        <v>6</v>
      </c>
      <c r="F878" t="s">
        <v>3523</v>
      </c>
      <c r="G878" t="s">
        <v>3517</v>
      </c>
      <c r="H878">
        <v>0.5</v>
      </c>
      <c r="I878">
        <v>7.8</v>
      </c>
      <c r="J878">
        <v>46.6</v>
      </c>
    </row>
    <row r="879" spans="1:10" x14ac:dyDescent="0.25">
      <c r="A879" t="s">
        <v>3105</v>
      </c>
      <c r="B879" s="3">
        <v>44411</v>
      </c>
      <c r="C879" t="s">
        <v>3106</v>
      </c>
      <c r="D879" t="s">
        <v>3492</v>
      </c>
      <c r="E879">
        <v>3</v>
      </c>
      <c r="F879" t="s">
        <v>3525</v>
      </c>
      <c r="G879" t="s">
        <v>3517</v>
      </c>
      <c r="H879">
        <v>0.5</v>
      </c>
      <c r="I879">
        <v>9.5</v>
      </c>
      <c r="J879">
        <v>28.5</v>
      </c>
    </row>
    <row r="880" spans="1:10" x14ac:dyDescent="0.25">
      <c r="A880" t="s">
        <v>3108</v>
      </c>
      <c r="B880" s="3">
        <v>44323</v>
      </c>
      <c r="C880" t="s">
        <v>3109</v>
      </c>
      <c r="D880" t="s">
        <v>3473</v>
      </c>
      <c r="E880">
        <v>1</v>
      </c>
      <c r="F880" t="s">
        <v>3524</v>
      </c>
      <c r="G880" t="s">
        <v>3517</v>
      </c>
      <c r="H880">
        <v>2.5</v>
      </c>
      <c r="I880">
        <v>27.5</v>
      </c>
      <c r="J880">
        <v>27.5</v>
      </c>
    </row>
    <row r="881" spans="1:10" x14ac:dyDescent="0.25">
      <c r="A881" t="s">
        <v>3111</v>
      </c>
      <c r="B881" s="3">
        <v>43630</v>
      </c>
      <c r="C881" t="s">
        <v>3112</v>
      </c>
      <c r="D881" t="s">
        <v>3484</v>
      </c>
      <c r="E881">
        <v>3</v>
      </c>
      <c r="F881" t="s">
        <v>3526</v>
      </c>
      <c r="G881" t="s">
        <v>3518</v>
      </c>
      <c r="H881">
        <v>0.2</v>
      </c>
      <c r="I881">
        <v>3.6</v>
      </c>
      <c r="J881">
        <v>10.9</v>
      </c>
    </row>
    <row r="882" spans="1:10" x14ac:dyDescent="0.25">
      <c r="A882" t="s">
        <v>3114</v>
      </c>
      <c r="B882" s="3">
        <v>43790</v>
      </c>
      <c r="C882" t="s">
        <v>3115</v>
      </c>
      <c r="D882" t="s">
        <v>3509</v>
      </c>
      <c r="E882">
        <v>2</v>
      </c>
      <c r="F882" t="s">
        <v>3524</v>
      </c>
      <c r="G882" t="s">
        <v>3517</v>
      </c>
      <c r="H882">
        <v>0.2</v>
      </c>
      <c r="I882">
        <v>3.6</v>
      </c>
      <c r="J882">
        <v>7.2</v>
      </c>
    </row>
    <row r="883" spans="1:10" x14ac:dyDescent="0.25">
      <c r="A883" t="s">
        <v>3117</v>
      </c>
      <c r="B883" s="3">
        <v>44286</v>
      </c>
      <c r="C883" t="s">
        <v>3118</v>
      </c>
      <c r="D883" t="s">
        <v>3498</v>
      </c>
      <c r="E883">
        <v>6</v>
      </c>
      <c r="F883" t="s">
        <v>3523</v>
      </c>
      <c r="G883" t="s">
        <v>3517</v>
      </c>
      <c r="H883">
        <v>0.2</v>
      </c>
      <c r="I883">
        <v>3.9</v>
      </c>
      <c r="J883">
        <v>23.3</v>
      </c>
    </row>
    <row r="884" spans="1:10" x14ac:dyDescent="0.25">
      <c r="A884" t="s">
        <v>3120</v>
      </c>
      <c r="B884" s="3">
        <v>43647</v>
      </c>
      <c r="C884" t="s">
        <v>3145</v>
      </c>
      <c r="D884" t="s">
        <v>3499</v>
      </c>
      <c r="E884">
        <v>5</v>
      </c>
      <c r="F884" t="s">
        <v>3523</v>
      </c>
      <c r="G884" t="s">
        <v>3518</v>
      </c>
      <c r="H884">
        <v>2.5</v>
      </c>
      <c r="I884">
        <v>22.9</v>
      </c>
      <c r="J884">
        <v>114.4</v>
      </c>
    </row>
    <row r="885" spans="1:10" x14ac:dyDescent="0.25">
      <c r="A885" t="s">
        <v>3123</v>
      </c>
      <c r="B885" s="3">
        <v>43956</v>
      </c>
      <c r="C885" t="s">
        <v>3124</v>
      </c>
      <c r="D885" t="s">
        <v>3506</v>
      </c>
      <c r="E885">
        <v>3</v>
      </c>
      <c r="F885" t="s">
        <v>3523</v>
      </c>
      <c r="G885" t="s">
        <v>3519</v>
      </c>
      <c r="H885">
        <v>2.5</v>
      </c>
      <c r="I885">
        <v>25.9</v>
      </c>
      <c r="J885">
        <v>77.599999999999994</v>
      </c>
    </row>
    <row r="886" spans="1:10" x14ac:dyDescent="0.25">
      <c r="A886" t="s">
        <v>3126</v>
      </c>
      <c r="B886" s="3">
        <v>43941</v>
      </c>
      <c r="C886" t="s">
        <v>3127</v>
      </c>
      <c r="D886" t="s">
        <v>3503</v>
      </c>
      <c r="E886">
        <v>1</v>
      </c>
      <c r="F886" t="s">
        <v>3524</v>
      </c>
      <c r="G886" t="s">
        <v>3518</v>
      </c>
      <c r="H886">
        <v>0.5</v>
      </c>
      <c r="I886">
        <v>5.4</v>
      </c>
      <c r="J886">
        <v>5.4</v>
      </c>
    </row>
    <row r="887" spans="1:10" x14ac:dyDescent="0.25">
      <c r="A887" t="s">
        <v>3129</v>
      </c>
      <c r="B887" s="3">
        <v>43664</v>
      </c>
      <c r="C887" t="s">
        <v>3130</v>
      </c>
      <c r="D887" t="s">
        <v>3480</v>
      </c>
      <c r="E887">
        <v>6</v>
      </c>
      <c r="F887" t="s">
        <v>3524</v>
      </c>
      <c r="G887" t="s">
        <v>3518</v>
      </c>
      <c r="H887">
        <v>2.5</v>
      </c>
      <c r="I887">
        <v>20.6</v>
      </c>
      <c r="J887">
        <v>123.5</v>
      </c>
    </row>
    <row r="888" spans="1:10" x14ac:dyDescent="0.25">
      <c r="A888" t="s">
        <v>3132</v>
      </c>
      <c r="B888" s="3">
        <v>44518</v>
      </c>
      <c r="C888" t="s">
        <v>3133</v>
      </c>
      <c r="D888" t="s">
        <v>3491</v>
      </c>
      <c r="E888">
        <v>2</v>
      </c>
      <c r="F888" t="s">
        <v>3525</v>
      </c>
      <c r="G888" t="s">
        <v>3519</v>
      </c>
      <c r="H888">
        <v>0.5</v>
      </c>
      <c r="I888">
        <v>8.6999999999999993</v>
      </c>
      <c r="J888">
        <v>17.5</v>
      </c>
    </row>
    <row r="889" spans="1:10" x14ac:dyDescent="0.25">
      <c r="A889" t="s">
        <v>3135</v>
      </c>
      <c r="B889" s="3">
        <v>44002</v>
      </c>
      <c r="C889" t="s">
        <v>3136</v>
      </c>
      <c r="D889" t="s">
        <v>3515</v>
      </c>
      <c r="E889">
        <v>3</v>
      </c>
      <c r="F889" t="s">
        <v>3526</v>
      </c>
      <c r="G889" t="s">
        <v>3517</v>
      </c>
      <c r="H889">
        <v>0.2</v>
      </c>
      <c r="I889">
        <v>4.5</v>
      </c>
      <c r="J889">
        <v>13.4</v>
      </c>
    </row>
    <row r="890" spans="1:10" x14ac:dyDescent="0.25">
      <c r="A890" t="s">
        <v>3138</v>
      </c>
      <c r="B890" s="3">
        <v>44292</v>
      </c>
      <c r="C890" t="s">
        <v>3139</v>
      </c>
      <c r="D890" t="s">
        <v>3498</v>
      </c>
      <c r="E890">
        <v>2</v>
      </c>
      <c r="F890" t="s">
        <v>3523</v>
      </c>
      <c r="G890" t="s">
        <v>3517</v>
      </c>
      <c r="H890">
        <v>0.2</v>
      </c>
      <c r="I890">
        <v>3.9</v>
      </c>
      <c r="J890">
        <v>7.8</v>
      </c>
    </row>
    <row r="891" spans="1:10" x14ac:dyDescent="0.25">
      <c r="A891" t="s">
        <v>3141</v>
      </c>
      <c r="B891" s="3">
        <v>43633</v>
      </c>
      <c r="C891" t="s">
        <v>3142</v>
      </c>
      <c r="D891" t="s">
        <v>3494</v>
      </c>
      <c r="E891">
        <v>1</v>
      </c>
      <c r="F891" t="s">
        <v>3524</v>
      </c>
      <c r="G891" t="s">
        <v>3518</v>
      </c>
      <c r="H891">
        <v>0.2</v>
      </c>
      <c r="I891">
        <v>2.7</v>
      </c>
      <c r="J891">
        <v>2.7</v>
      </c>
    </row>
    <row r="892" spans="1:10" x14ac:dyDescent="0.25">
      <c r="A892" t="s">
        <v>3144</v>
      </c>
      <c r="B892" s="3">
        <v>44646</v>
      </c>
      <c r="C892" t="s">
        <v>3145</v>
      </c>
      <c r="D892" t="s">
        <v>3480</v>
      </c>
      <c r="E892">
        <v>1</v>
      </c>
      <c r="F892" t="s">
        <v>3524</v>
      </c>
      <c r="G892" t="s">
        <v>3518</v>
      </c>
      <c r="H892">
        <v>2.5</v>
      </c>
      <c r="I892">
        <v>20.6</v>
      </c>
      <c r="J892">
        <v>20.6</v>
      </c>
    </row>
    <row r="893" spans="1:10" x14ac:dyDescent="0.25">
      <c r="A893" t="s">
        <v>3147</v>
      </c>
      <c r="B893" s="3">
        <v>44469</v>
      </c>
      <c r="C893" t="s">
        <v>3148</v>
      </c>
      <c r="D893" t="s">
        <v>3499</v>
      </c>
      <c r="E893">
        <v>5</v>
      </c>
      <c r="F893" t="s">
        <v>3523</v>
      </c>
      <c r="G893" t="s">
        <v>3518</v>
      </c>
      <c r="H893">
        <v>2.5</v>
      </c>
      <c r="I893">
        <v>22.9</v>
      </c>
      <c r="J893">
        <v>114.4</v>
      </c>
    </row>
    <row r="894" spans="1:10" x14ac:dyDescent="0.25">
      <c r="A894" t="s">
        <v>3150</v>
      </c>
      <c r="B894" s="3">
        <v>43635</v>
      </c>
      <c r="C894" t="s">
        <v>3151</v>
      </c>
      <c r="D894" t="s">
        <v>3487</v>
      </c>
      <c r="E894">
        <v>5</v>
      </c>
      <c r="F894" t="s">
        <v>3526</v>
      </c>
      <c r="G894" t="s">
        <v>3519</v>
      </c>
      <c r="H894">
        <v>0.2</v>
      </c>
      <c r="I894">
        <v>4.0999999999999996</v>
      </c>
      <c r="J894">
        <v>20.6</v>
      </c>
    </row>
    <row r="895" spans="1:10" x14ac:dyDescent="0.25">
      <c r="A895" t="s">
        <v>3153</v>
      </c>
      <c r="B895" s="3">
        <v>44651</v>
      </c>
      <c r="C895" t="s">
        <v>3154</v>
      </c>
      <c r="D895" t="s">
        <v>3492</v>
      </c>
      <c r="E895">
        <v>6</v>
      </c>
      <c r="F895" t="s">
        <v>3525</v>
      </c>
      <c r="G895" t="s">
        <v>3517</v>
      </c>
      <c r="H895">
        <v>0.5</v>
      </c>
      <c r="I895">
        <v>9.5</v>
      </c>
      <c r="J895">
        <v>57.1</v>
      </c>
    </row>
    <row r="896" spans="1:10" x14ac:dyDescent="0.25">
      <c r="A896" t="s">
        <v>3156</v>
      </c>
      <c r="B896" s="3">
        <v>44016</v>
      </c>
      <c r="C896" t="s">
        <v>3157</v>
      </c>
      <c r="D896" t="s">
        <v>3480</v>
      </c>
      <c r="E896">
        <v>4</v>
      </c>
      <c r="F896" t="s">
        <v>3524</v>
      </c>
      <c r="G896" t="s">
        <v>3518</v>
      </c>
      <c r="H896">
        <v>2.5</v>
      </c>
      <c r="I896">
        <v>20.6</v>
      </c>
      <c r="J896">
        <v>82.3</v>
      </c>
    </row>
    <row r="897" spans="1:10" x14ac:dyDescent="0.25">
      <c r="A897" t="s">
        <v>3159</v>
      </c>
      <c r="B897" s="3">
        <v>44521</v>
      </c>
      <c r="C897" t="s">
        <v>3160</v>
      </c>
      <c r="D897" t="s">
        <v>3497</v>
      </c>
      <c r="E897">
        <v>5</v>
      </c>
      <c r="F897" t="s">
        <v>3526</v>
      </c>
      <c r="G897" t="s">
        <v>3519</v>
      </c>
      <c r="H897">
        <v>2.5</v>
      </c>
      <c r="I897">
        <v>31.6</v>
      </c>
      <c r="J897">
        <v>158.1</v>
      </c>
    </row>
    <row r="898" spans="1:10" x14ac:dyDescent="0.25">
      <c r="A898" t="s">
        <v>3162</v>
      </c>
      <c r="B898" s="3">
        <v>44347</v>
      </c>
      <c r="C898" t="s">
        <v>3163</v>
      </c>
      <c r="D898" t="s">
        <v>3503</v>
      </c>
      <c r="E898">
        <v>6</v>
      </c>
      <c r="F898" t="s">
        <v>3524</v>
      </c>
      <c r="G898" t="s">
        <v>3518</v>
      </c>
      <c r="H898">
        <v>0.5</v>
      </c>
      <c r="I898">
        <v>5.4</v>
      </c>
      <c r="J898">
        <v>32.200000000000003</v>
      </c>
    </row>
    <row r="899" spans="1:10" x14ac:dyDescent="0.25">
      <c r="A899" t="s">
        <v>3165</v>
      </c>
      <c r="B899" s="3">
        <v>43932</v>
      </c>
      <c r="C899" t="s">
        <v>3166</v>
      </c>
      <c r="D899" t="s">
        <v>3514</v>
      </c>
      <c r="E899">
        <v>2</v>
      </c>
      <c r="F899" t="s">
        <v>3526</v>
      </c>
      <c r="G899" t="s">
        <v>3518</v>
      </c>
      <c r="H899">
        <v>1</v>
      </c>
      <c r="I899">
        <v>12.2</v>
      </c>
      <c r="J899">
        <v>24.3</v>
      </c>
    </row>
    <row r="900" spans="1:10" x14ac:dyDescent="0.25">
      <c r="A900" t="s">
        <v>3168</v>
      </c>
      <c r="B900" s="3">
        <v>44089</v>
      </c>
      <c r="C900" t="s">
        <v>3169</v>
      </c>
      <c r="D900" t="s">
        <v>3504</v>
      </c>
      <c r="E900">
        <v>5</v>
      </c>
      <c r="F900" t="s">
        <v>3524</v>
      </c>
      <c r="G900" t="s">
        <v>3517</v>
      </c>
      <c r="H900">
        <v>0.5</v>
      </c>
      <c r="I900">
        <v>7.2</v>
      </c>
      <c r="J900">
        <v>35.9</v>
      </c>
    </row>
    <row r="901" spans="1:10" x14ac:dyDescent="0.25">
      <c r="A901" t="s">
        <v>3171</v>
      </c>
      <c r="B901" s="3">
        <v>44523</v>
      </c>
      <c r="C901" t="s">
        <v>3160</v>
      </c>
      <c r="D901" t="s">
        <v>3493</v>
      </c>
      <c r="E901">
        <v>5</v>
      </c>
      <c r="F901" t="s">
        <v>3525</v>
      </c>
      <c r="G901" t="s">
        <v>3519</v>
      </c>
      <c r="H901">
        <v>1</v>
      </c>
      <c r="I901">
        <v>14.6</v>
      </c>
      <c r="J901">
        <v>72.8</v>
      </c>
    </row>
    <row r="902" spans="1:10" x14ac:dyDescent="0.25">
      <c r="A902" t="s">
        <v>3174</v>
      </c>
      <c r="B902" s="3">
        <v>44584</v>
      </c>
      <c r="C902" t="s">
        <v>3175</v>
      </c>
      <c r="D902" t="s">
        <v>3501</v>
      </c>
      <c r="E902">
        <v>3</v>
      </c>
      <c r="F902" t="s">
        <v>3525</v>
      </c>
      <c r="G902" t="s">
        <v>3517</v>
      </c>
      <c r="H902">
        <v>1</v>
      </c>
      <c r="I902">
        <v>15.9</v>
      </c>
      <c r="J902">
        <v>47.6</v>
      </c>
    </row>
    <row r="903" spans="1:10" x14ac:dyDescent="0.25">
      <c r="A903" t="s">
        <v>3177</v>
      </c>
      <c r="B903" s="3">
        <v>44223</v>
      </c>
      <c r="C903" t="s">
        <v>3178</v>
      </c>
      <c r="D903" t="s">
        <v>3509</v>
      </c>
      <c r="E903">
        <v>1</v>
      </c>
      <c r="F903" t="s">
        <v>3524</v>
      </c>
      <c r="G903" t="s">
        <v>3517</v>
      </c>
      <c r="H903">
        <v>0.2</v>
      </c>
      <c r="I903">
        <v>3.6</v>
      </c>
      <c r="J903">
        <v>3.6</v>
      </c>
    </row>
    <row r="904" spans="1:10" x14ac:dyDescent="0.25">
      <c r="A904" t="s">
        <v>3180</v>
      </c>
      <c r="B904" s="3">
        <v>43640</v>
      </c>
      <c r="C904" t="s">
        <v>3181</v>
      </c>
      <c r="D904" t="s">
        <v>3497</v>
      </c>
      <c r="E904">
        <v>5</v>
      </c>
      <c r="F904" t="s">
        <v>3526</v>
      </c>
      <c r="G904" t="s">
        <v>3519</v>
      </c>
      <c r="H904">
        <v>2.5</v>
      </c>
      <c r="I904">
        <v>31.6</v>
      </c>
      <c r="J904">
        <v>158.1</v>
      </c>
    </row>
    <row r="905" spans="1:10" x14ac:dyDescent="0.25">
      <c r="A905" t="s">
        <v>3183</v>
      </c>
      <c r="B905" s="3">
        <v>43905</v>
      </c>
      <c r="C905" t="s">
        <v>3184</v>
      </c>
      <c r="D905" t="s">
        <v>3491</v>
      </c>
      <c r="E905">
        <v>2</v>
      </c>
      <c r="F905" t="s">
        <v>3525</v>
      </c>
      <c r="G905" t="s">
        <v>3519</v>
      </c>
      <c r="H905">
        <v>0.5</v>
      </c>
      <c r="I905">
        <v>8.6999999999999993</v>
      </c>
      <c r="J905">
        <v>17.5</v>
      </c>
    </row>
    <row r="906" spans="1:10" x14ac:dyDescent="0.25">
      <c r="A906" t="s">
        <v>3186</v>
      </c>
      <c r="B906" s="3">
        <v>44463</v>
      </c>
      <c r="C906" t="s">
        <v>3187</v>
      </c>
      <c r="D906" t="s">
        <v>3513</v>
      </c>
      <c r="E906">
        <v>5</v>
      </c>
      <c r="F906" t="s">
        <v>3523</v>
      </c>
      <c r="G906" t="s">
        <v>3517</v>
      </c>
      <c r="H906">
        <v>2.5</v>
      </c>
      <c r="I906">
        <v>29.8</v>
      </c>
      <c r="J906">
        <v>148.9</v>
      </c>
    </row>
    <row r="907" spans="1:10" x14ac:dyDescent="0.25">
      <c r="A907" t="s">
        <v>3189</v>
      </c>
      <c r="B907" s="3">
        <v>43560</v>
      </c>
      <c r="C907" t="s">
        <v>3190</v>
      </c>
      <c r="D907" t="s">
        <v>3488</v>
      </c>
      <c r="E907">
        <v>6</v>
      </c>
      <c r="F907" t="s">
        <v>3523</v>
      </c>
      <c r="G907" t="s">
        <v>3519</v>
      </c>
      <c r="H907">
        <v>0.5</v>
      </c>
      <c r="I907">
        <v>6.8</v>
      </c>
      <c r="J907">
        <v>40.5</v>
      </c>
    </row>
    <row r="908" spans="1:10" x14ac:dyDescent="0.25">
      <c r="A908" t="s">
        <v>3192</v>
      </c>
      <c r="B908" s="3">
        <v>44588</v>
      </c>
      <c r="C908" t="s">
        <v>3193</v>
      </c>
      <c r="D908" t="s">
        <v>3488</v>
      </c>
      <c r="E908">
        <v>4</v>
      </c>
      <c r="F908" t="s">
        <v>3523</v>
      </c>
      <c r="G908" t="s">
        <v>3519</v>
      </c>
      <c r="H908">
        <v>0.5</v>
      </c>
      <c r="I908">
        <v>6.8</v>
      </c>
      <c r="J908">
        <v>27</v>
      </c>
    </row>
    <row r="909" spans="1:10" x14ac:dyDescent="0.25">
      <c r="A909" t="s">
        <v>3195</v>
      </c>
      <c r="B909" s="3">
        <v>44449</v>
      </c>
      <c r="C909" t="s">
        <v>3196</v>
      </c>
      <c r="D909" t="s">
        <v>3474</v>
      </c>
      <c r="E909">
        <v>3</v>
      </c>
      <c r="F909" t="s">
        <v>3525</v>
      </c>
      <c r="G909" t="s">
        <v>3518</v>
      </c>
      <c r="H909">
        <v>1</v>
      </c>
      <c r="I909">
        <v>13</v>
      </c>
      <c r="J909">
        <v>38.9</v>
      </c>
    </row>
    <row r="910" spans="1:10" x14ac:dyDescent="0.25">
      <c r="A910" t="s">
        <v>3198</v>
      </c>
      <c r="B910" s="3">
        <v>43836</v>
      </c>
      <c r="C910" t="s">
        <v>3199</v>
      </c>
      <c r="D910" t="s">
        <v>3510</v>
      </c>
      <c r="E910">
        <v>5</v>
      </c>
      <c r="F910" t="s">
        <v>3524</v>
      </c>
      <c r="G910" t="s">
        <v>3517</v>
      </c>
      <c r="H910">
        <v>1</v>
      </c>
      <c r="I910">
        <v>12</v>
      </c>
      <c r="J910">
        <v>59.8</v>
      </c>
    </row>
    <row r="911" spans="1:10" x14ac:dyDescent="0.25">
      <c r="A911" t="s">
        <v>3201</v>
      </c>
      <c r="B911" s="3">
        <v>44635</v>
      </c>
      <c r="C911" t="s">
        <v>3202</v>
      </c>
      <c r="D911" t="s">
        <v>3509</v>
      </c>
      <c r="E911">
        <v>3</v>
      </c>
      <c r="F911" t="s">
        <v>3524</v>
      </c>
      <c r="G911" t="s">
        <v>3517</v>
      </c>
      <c r="H911">
        <v>0.2</v>
      </c>
      <c r="I911">
        <v>3.6</v>
      </c>
      <c r="J911">
        <v>10.8</v>
      </c>
    </row>
    <row r="912" spans="1:10" x14ac:dyDescent="0.25">
      <c r="A912" t="s">
        <v>3204</v>
      </c>
      <c r="B912" s="3">
        <v>44447</v>
      </c>
      <c r="C912" t="s">
        <v>3205</v>
      </c>
      <c r="D912" t="s">
        <v>3499</v>
      </c>
      <c r="E912">
        <v>4</v>
      </c>
      <c r="F912" t="s">
        <v>3523</v>
      </c>
      <c r="G912" t="s">
        <v>3518</v>
      </c>
      <c r="H912">
        <v>2.5</v>
      </c>
      <c r="I912">
        <v>22.9</v>
      </c>
      <c r="J912">
        <v>91.5</v>
      </c>
    </row>
    <row r="913" spans="1:10" x14ac:dyDescent="0.25">
      <c r="A913" t="s">
        <v>3207</v>
      </c>
      <c r="B913" s="3">
        <v>44511</v>
      </c>
      <c r="C913" t="s">
        <v>3208</v>
      </c>
      <c r="D913" t="s">
        <v>3486</v>
      </c>
      <c r="E913">
        <v>4</v>
      </c>
      <c r="F913" t="s">
        <v>3523</v>
      </c>
      <c r="G913" t="s">
        <v>3519</v>
      </c>
      <c r="H913">
        <v>1</v>
      </c>
      <c r="I913">
        <v>11.3</v>
      </c>
      <c r="J913">
        <v>45</v>
      </c>
    </row>
    <row r="914" spans="1:10" x14ac:dyDescent="0.25">
      <c r="A914" t="s">
        <v>3210</v>
      </c>
      <c r="B914" s="3">
        <v>43726</v>
      </c>
      <c r="C914" t="s">
        <v>3211</v>
      </c>
      <c r="D914" t="s">
        <v>3482</v>
      </c>
      <c r="E914">
        <v>6</v>
      </c>
      <c r="F914" t="s">
        <v>3524</v>
      </c>
      <c r="G914" t="s">
        <v>3519</v>
      </c>
      <c r="H914">
        <v>2.5</v>
      </c>
      <c r="I914">
        <v>22.9</v>
      </c>
      <c r="J914">
        <v>137.30000000000001</v>
      </c>
    </row>
    <row r="915" spans="1:10" x14ac:dyDescent="0.25">
      <c r="A915" t="s">
        <v>3213</v>
      </c>
      <c r="B915" s="3">
        <v>44406</v>
      </c>
      <c r="C915" t="s">
        <v>3214</v>
      </c>
      <c r="D915" t="s">
        <v>3488</v>
      </c>
      <c r="E915">
        <v>1</v>
      </c>
      <c r="F915" t="s">
        <v>3523</v>
      </c>
      <c r="G915" t="s">
        <v>3519</v>
      </c>
      <c r="H915">
        <v>0.5</v>
      </c>
      <c r="I915">
        <v>6.8</v>
      </c>
      <c r="J915">
        <v>6.8</v>
      </c>
    </row>
    <row r="916" spans="1:10" x14ac:dyDescent="0.25">
      <c r="A916" t="s">
        <v>3216</v>
      </c>
      <c r="B916" s="3">
        <v>44640</v>
      </c>
      <c r="C916" t="s">
        <v>3217</v>
      </c>
      <c r="D916" t="s">
        <v>3486</v>
      </c>
      <c r="E916">
        <v>4</v>
      </c>
      <c r="F916" t="s">
        <v>3523</v>
      </c>
      <c r="G916" t="s">
        <v>3519</v>
      </c>
      <c r="H916">
        <v>1</v>
      </c>
      <c r="I916">
        <v>11.3</v>
      </c>
      <c r="J916">
        <v>45</v>
      </c>
    </row>
    <row r="917" spans="1:10" x14ac:dyDescent="0.25">
      <c r="A917" t="s">
        <v>3219</v>
      </c>
      <c r="B917" s="3">
        <v>43955</v>
      </c>
      <c r="C917" t="s">
        <v>3220</v>
      </c>
      <c r="D917" t="s">
        <v>3516</v>
      </c>
      <c r="E917">
        <v>3</v>
      </c>
      <c r="F917" t="s">
        <v>3526</v>
      </c>
      <c r="G917" t="s">
        <v>3518</v>
      </c>
      <c r="H917">
        <v>2.5</v>
      </c>
      <c r="I917">
        <v>27.9</v>
      </c>
      <c r="J917">
        <v>83.8</v>
      </c>
    </row>
    <row r="918" spans="1:10" x14ac:dyDescent="0.25">
      <c r="A918" t="s">
        <v>3222</v>
      </c>
      <c r="B918" s="3">
        <v>44291</v>
      </c>
      <c r="C918" t="s">
        <v>3223</v>
      </c>
      <c r="D918" t="s">
        <v>3484</v>
      </c>
      <c r="E918">
        <v>1</v>
      </c>
      <c r="F918" t="s">
        <v>3526</v>
      </c>
      <c r="G918" t="s">
        <v>3518</v>
      </c>
      <c r="H918">
        <v>0.2</v>
      </c>
      <c r="I918">
        <v>3.6</v>
      </c>
      <c r="J918">
        <v>3.6</v>
      </c>
    </row>
    <row r="919" spans="1:10" x14ac:dyDescent="0.25">
      <c r="A919" t="s">
        <v>3225</v>
      </c>
      <c r="B919" s="3">
        <v>44573</v>
      </c>
      <c r="C919" t="s">
        <v>3226</v>
      </c>
      <c r="D919" t="s">
        <v>3488</v>
      </c>
      <c r="E919">
        <v>1</v>
      </c>
      <c r="F919" t="s">
        <v>3523</v>
      </c>
      <c r="G919" t="s">
        <v>3519</v>
      </c>
      <c r="H919">
        <v>0.5</v>
      </c>
      <c r="I919">
        <v>6.8</v>
      </c>
      <c r="J919">
        <v>6.8</v>
      </c>
    </row>
    <row r="920" spans="1:10" x14ac:dyDescent="0.25">
      <c r="A920" t="s">
        <v>3225</v>
      </c>
      <c r="B920" s="3">
        <v>44573</v>
      </c>
      <c r="C920" t="s">
        <v>3226</v>
      </c>
      <c r="D920" t="s">
        <v>3475</v>
      </c>
      <c r="E920">
        <v>3</v>
      </c>
      <c r="F920" t="s">
        <v>3526</v>
      </c>
      <c r="G920" t="s">
        <v>3518</v>
      </c>
      <c r="H920">
        <v>0.5</v>
      </c>
      <c r="I920">
        <v>7.3</v>
      </c>
      <c r="J920">
        <v>21.9</v>
      </c>
    </row>
    <row r="921" spans="1:10" x14ac:dyDescent="0.25">
      <c r="A921" t="s">
        <v>3230</v>
      </c>
      <c r="B921" s="3">
        <v>44181</v>
      </c>
      <c r="C921" t="s">
        <v>3231</v>
      </c>
      <c r="D921" t="s">
        <v>3494</v>
      </c>
      <c r="E921">
        <v>5</v>
      </c>
      <c r="F921" t="s">
        <v>3524</v>
      </c>
      <c r="G921" t="s">
        <v>3518</v>
      </c>
      <c r="H921">
        <v>0.2</v>
      </c>
      <c r="I921">
        <v>2.7</v>
      </c>
      <c r="J921">
        <v>13.4</v>
      </c>
    </row>
    <row r="922" spans="1:10" x14ac:dyDescent="0.25">
      <c r="A922" t="s">
        <v>3233</v>
      </c>
      <c r="B922" s="3">
        <v>44711</v>
      </c>
      <c r="C922" t="s">
        <v>3234</v>
      </c>
      <c r="D922" t="s">
        <v>3480</v>
      </c>
      <c r="E922">
        <v>6</v>
      </c>
      <c r="F922" t="s">
        <v>3524</v>
      </c>
      <c r="G922" t="s">
        <v>3518</v>
      </c>
      <c r="H922">
        <v>2.5</v>
      </c>
      <c r="I922">
        <v>20.6</v>
      </c>
      <c r="J922">
        <v>123.5</v>
      </c>
    </row>
    <row r="923" spans="1:10" x14ac:dyDescent="0.25">
      <c r="A923" t="s">
        <v>3236</v>
      </c>
      <c r="B923" s="3">
        <v>44509</v>
      </c>
      <c r="C923" t="s">
        <v>3237</v>
      </c>
      <c r="D923" t="s">
        <v>3481</v>
      </c>
      <c r="E923">
        <v>2</v>
      </c>
      <c r="F923" t="s">
        <v>3525</v>
      </c>
      <c r="G923" t="s">
        <v>3518</v>
      </c>
      <c r="H923">
        <v>0.2</v>
      </c>
      <c r="I923">
        <v>3.9</v>
      </c>
      <c r="J923">
        <v>7.8</v>
      </c>
    </row>
    <row r="924" spans="1:10" x14ac:dyDescent="0.25">
      <c r="A924" t="s">
        <v>3239</v>
      </c>
      <c r="B924" s="3">
        <v>44659</v>
      </c>
      <c r="C924" t="s">
        <v>3240</v>
      </c>
      <c r="D924" t="s">
        <v>3486</v>
      </c>
      <c r="E924">
        <v>6</v>
      </c>
      <c r="F924" t="s">
        <v>3523</v>
      </c>
      <c r="G924" t="s">
        <v>3519</v>
      </c>
      <c r="H924">
        <v>1</v>
      </c>
      <c r="I924">
        <v>11.3</v>
      </c>
      <c r="J924">
        <v>67.5</v>
      </c>
    </row>
    <row r="925" spans="1:10" x14ac:dyDescent="0.25">
      <c r="A925" t="s">
        <v>3242</v>
      </c>
      <c r="B925" s="3">
        <v>43746</v>
      </c>
      <c r="C925" t="s">
        <v>3243</v>
      </c>
      <c r="D925" t="s">
        <v>3516</v>
      </c>
      <c r="E925">
        <v>1</v>
      </c>
      <c r="F925" t="s">
        <v>3526</v>
      </c>
      <c r="G925" t="s">
        <v>3518</v>
      </c>
      <c r="H925">
        <v>2.5</v>
      </c>
      <c r="I925">
        <v>27.9</v>
      </c>
      <c r="J925">
        <v>27.9</v>
      </c>
    </row>
    <row r="926" spans="1:10" x14ac:dyDescent="0.25">
      <c r="A926" t="s">
        <v>3245</v>
      </c>
      <c r="B926" s="3">
        <v>44451</v>
      </c>
      <c r="C926" t="s">
        <v>3246</v>
      </c>
      <c r="D926" t="s">
        <v>3513</v>
      </c>
      <c r="E926">
        <v>3</v>
      </c>
      <c r="F926" t="s">
        <v>3523</v>
      </c>
      <c r="G926" t="s">
        <v>3517</v>
      </c>
      <c r="H926">
        <v>2.5</v>
      </c>
      <c r="I926">
        <v>29.8</v>
      </c>
      <c r="J926">
        <v>89.4</v>
      </c>
    </row>
    <row r="927" spans="1:10" x14ac:dyDescent="0.25">
      <c r="A927" t="s">
        <v>3248</v>
      </c>
      <c r="B927" s="3">
        <v>44770</v>
      </c>
      <c r="C927" t="s">
        <v>3160</v>
      </c>
      <c r="D927" t="s">
        <v>3488</v>
      </c>
      <c r="E927">
        <v>3</v>
      </c>
      <c r="F927" t="s">
        <v>3523</v>
      </c>
      <c r="G927" t="s">
        <v>3519</v>
      </c>
      <c r="H927">
        <v>0.5</v>
      </c>
      <c r="I927">
        <v>6.8</v>
      </c>
      <c r="J927">
        <v>20.3</v>
      </c>
    </row>
    <row r="928" spans="1:10" x14ac:dyDescent="0.25">
      <c r="A928" t="s">
        <v>3251</v>
      </c>
      <c r="B928" s="3">
        <v>44012</v>
      </c>
      <c r="C928" t="s">
        <v>3252</v>
      </c>
      <c r="D928" t="s">
        <v>3488</v>
      </c>
      <c r="E928">
        <v>5</v>
      </c>
      <c r="F928" t="s">
        <v>3523</v>
      </c>
      <c r="G928" t="s">
        <v>3519</v>
      </c>
      <c r="H928">
        <v>0.5</v>
      </c>
      <c r="I928">
        <v>6.8</v>
      </c>
      <c r="J928">
        <v>33.799999999999997</v>
      </c>
    </row>
    <row r="929" spans="1:10" x14ac:dyDescent="0.25">
      <c r="A929" t="s">
        <v>3254</v>
      </c>
      <c r="B929" s="3">
        <v>43474</v>
      </c>
      <c r="C929" t="s">
        <v>3255</v>
      </c>
      <c r="D929" t="s">
        <v>3516</v>
      </c>
      <c r="E929">
        <v>4</v>
      </c>
      <c r="F929" t="s">
        <v>3526</v>
      </c>
      <c r="G929" t="s">
        <v>3518</v>
      </c>
      <c r="H929">
        <v>2.5</v>
      </c>
      <c r="I929">
        <v>27.9</v>
      </c>
      <c r="J929">
        <v>111.8</v>
      </c>
    </row>
    <row r="930" spans="1:10" x14ac:dyDescent="0.25">
      <c r="A930" t="s">
        <v>3257</v>
      </c>
      <c r="B930" s="3">
        <v>44754</v>
      </c>
      <c r="C930" t="s">
        <v>3258</v>
      </c>
      <c r="D930" t="s">
        <v>3497</v>
      </c>
      <c r="E930">
        <v>2</v>
      </c>
      <c r="F930" t="s">
        <v>3526</v>
      </c>
      <c r="G930" t="s">
        <v>3519</v>
      </c>
      <c r="H930">
        <v>2.5</v>
      </c>
      <c r="I930">
        <v>31.6</v>
      </c>
      <c r="J930">
        <v>63.3</v>
      </c>
    </row>
    <row r="931" spans="1:10" x14ac:dyDescent="0.25">
      <c r="A931" t="s">
        <v>3260</v>
      </c>
      <c r="B931" s="3">
        <v>44165</v>
      </c>
      <c r="C931" t="s">
        <v>3261</v>
      </c>
      <c r="D931" t="s">
        <v>3515</v>
      </c>
      <c r="E931">
        <v>2</v>
      </c>
      <c r="F931" t="s">
        <v>3526</v>
      </c>
      <c r="G931" t="s">
        <v>3517</v>
      </c>
      <c r="H931">
        <v>0.2</v>
      </c>
      <c r="I931">
        <v>4.5</v>
      </c>
      <c r="J931">
        <v>8.9</v>
      </c>
    </row>
    <row r="932" spans="1:10" x14ac:dyDescent="0.25">
      <c r="A932" t="s">
        <v>3263</v>
      </c>
      <c r="B932" s="3">
        <v>43546</v>
      </c>
      <c r="C932" t="s">
        <v>3264</v>
      </c>
      <c r="D932" t="s">
        <v>3514</v>
      </c>
      <c r="E932">
        <v>1</v>
      </c>
      <c r="F932" t="s">
        <v>3526</v>
      </c>
      <c r="G932" t="s">
        <v>3518</v>
      </c>
      <c r="H932">
        <v>1</v>
      </c>
      <c r="I932">
        <v>12.2</v>
      </c>
      <c r="J932">
        <v>12.2</v>
      </c>
    </row>
    <row r="933" spans="1:10" x14ac:dyDescent="0.25">
      <c r="A933" t="s">
        <v>3266</v>
      </c>
      <c r="B933" s="3">
        <v>44607</v>
      </c>
      <c r="C933" t="s">
        <v>3267</v>
      </c>
      <c r="D933" t="s">
        <v>3489</v>
      </c>
      <c r="E933">
        <v>4</v>
      </c>
      <c r="F933" t="s">
        <v>3523</v>
      </c>
      <c r="G933" t="s">
        <v>3518</v>
      </c>
      <c r="H933">
        <v>0.5</v>
      </c>
      <c r="I933">
        <v>6</v>
      </c>
      <c r="J933">
        <v>23.9</v>
      </c>
    </row>
    <row r="934" spans="1:10" x14ac:dyDescent="0.25">
      <c r="A934" t="s">
        <v>3269</v>
      </c>
      <c r="B934" s="3">
        <v>44117</v>
      </c>
      <c r="C934" t="s">
        <v>3270</v>
      </c>
      <c r="D934" t="s">
        <v>3472</v>
      </c>
      <c r="E934">
        <v>4</v>
      </c>
      <c r="F934" t="s">
        <v>3526</v>
      </c>
      <c r="G934" t="s">
        <v>3519</v>
      </c>
      <c r="H934">
        <v>1</v>
      </c>
      <c r="I934">
        <v>13.8</v>
      </c>
      <c r="J934">
        <v>55</v>
      </c>
    </row>
    <row r="935" spans="1:10" x14ac:dyDescent="0.25">
      <c r="A935" t="s">
        <v>3272</v>
      </c>
      <c r="B935" s="3">
        <v>44557</v>
      </c>
      <c r="C935" t="s">
        <v>3273</v>
      </c>
      <c r="D935" t="s">
        <v>3508</v>
      </c>
      <c r="E935">
        <v>3</v>
      </c>
      <c r="F935" t="s">
        <v>3524</v>
      </c>
      <c r="G935" t="s">
        <v>3518</v>
      </c>
      <c r="H935">
        <v>1</v>
      </c>
      <c r="I935">
        <v>9</v>
      </c>
      <c r="J935">
        <v>26.9</v>
      </c>
    </row>
    <row r="936" spans="1:10" x14ac:dyDescent="0.25">
      <c r="A936" t="s">
        <v>3275</v>
      </c>
      <c r="B936" s="3">
        <v>44409</v>
      </c>
      <c r="C936" t="s">
        <v>3276</v>
      </c>
      <c r="D936" t="s">
        <v>3482</v>
      </c>
      <c r="E936">
        <v>5</v>
      </c>
      <c r="F936" t="s">
        <v>3524</v>
      </c>
      <c r="G936" t="s">
        <v>3519</v>
      </c>
      <c r="H936">
        <v>2.5</v>
      </c>
      <c r="I936">
        <v>22.9</v>
      </c>
      <c r="J936">
        <v>114.4</v>
      </c>
    </row>
    <row r="937" spans="1:10" x14ac:dyDescent="0.25">
      <c r="A937" t="s">
        <v>3278</v>
      </c>
      <c r="B937" s="3">
        <v>44153</v>
      </c>
      <c r="C937" t="s">
        <v>3279</v>
      </c>
      <c r="D937" t="s">
        <v>3506</v>
      </c>
      <c r="E937">
        <v>6</v>
      </c>
      <c r="F937" t="s">
        <v>3523</v>
      </c>
      <c r="G937" t="s">
        <v>3519</v>
      </c>
      <c r="H937">
        <v>2.5</v>
      </c>
      <c r="I937">
        <v>25.9</v>
      </c>
      <c r="J937">
        <v>155.30000000000001</v>
      </c>
    </row>
    <row r="938" spans="1:10" x14ac:dyDescent="0.25">
      <c r="A938" t="s">
        <v>3281</v>
      </c>
      <c r="B938" s="3">
        <v>44493</v>
      </c>
      <c r="C938" t="s">
        <v>3282</v>
      </c>
      <c r="D938" t="s">
        <v>3500</v>
      </c>
      <c r="E938">
        <v>3</v>
      </c>
      <c r="F938" t="s">
        <v>3525</v>
      </c>
      <c r="G938" t="s">
        <v>3518</v>
      </c>
      <c r="H938">
        <v>0.5</v>
      </c>
      <c r="I938">
        <v>7.8</v>
      </c>
      <c r="J938">
        <v>23.3</v>
      </c>
    </row>
    <row r="939" spans="1:10" x14ac:dyDescent="0.25">
      <c r="A939" t="s">
        <v>3281</v>
      </c>
      <c r="B939" s="3">
        <v>44493</v>
      </c>
      <c r="C939" t="s">
        <v>3282</v>
      </c>
      <c r="D939" t="s">
        <v>3482</v>
      </c>
      <c r="E939">
        <v>4</v>
      </c>
      <c r="F939" t="s">
        <v>3524</v>
      </c>
      <c r="G939" t="s">
        <v>3519</v>
      </c>
      <c r="H939">
        <v>2.5</v>
      </c>
      <c r="I939">
        <v>22.9</v>
      </c>
      <c r="J939">
        <v>91.5</v>
      </c>
    </row>
    <row r="940" spans="1:10" x14ac:dyDescent="0.25">
      <c r="A940" t="s">
        <v>3286</v>
      </c>
      <c r="B940" s="3">
        <v>43829</v>
      </c>
      <c r="C940" t="s">
        <v>3287</v>
      </c>
      <c r="D940" t="s">
        <v>3502</v>
      </c>
      <c r="E940">
        <v>5</v>
      </c>
      <c r="F940" t="s">
        <v>3526</v>
      </c>
      <c r="G940" t="s">
        <v>3517</v>
      </c>
      <c r="H940">
        <v>1</v>
      </c>
      <c r="I940">
        <v>14.9</v>
      </c>
      <c r="J940">
        <v>74.3</v>
      </c>
    </row>
    <row r="941" spans="1:10" x14ac:dyDescent="0.25">
      <c r="A941" t="s">
        <v>3289</v>
      </c>
      <c r="B941" s="3">
        <v>44229</v>
      </c>
      <c r="C941" t="s">
        <v>3290</v>
      </c>
      <c r="D941" t="s">
        <v>3476</v>
      </c>
      <c r="E941">
        <v>6</v>
      </c>
      <c r="F941" t="s">
        <v>3525</v>
      </c>
      <c r="G941" t="s">
        <v>3517</v>
      </c>
      <c r="H941">
        <v>0.2</v>
      </c>
      <c r="I941">
        <v>4.8</v>
      </c>
      <c r="J941">
        <v>28.5</v>
      </c>
    </row>
    <row r="942" spans="1:10" x14ac:dyDescent="0.25">
      <c r="A942" t="s">
        <v>3292</v>
      </c>
      <c r="B942" s="3">
        <v>44332</v>
      </c>
      <c r="C942" t="s">
        <v>3293</v>
      </c>
      <c r="D942" t="s">
        <v>3504</v>
      </c>
      <c r="E942">
        <v>2</v>
      </c>
      <c r="F942" t="s">
        <v>3524</v>
      </c>
      <c r="G942" t="s">
        <v>3517</v>
      </c>
      <c r="H942">
        <v>0.5</v>
      </c>
      <c r="I942">
        <v>7.2</v>
      </c>
      <c r="J942">
        <v>14.3</v>
      </c>
    </row>
    <row r="943" spans="1:10" x14ac:dyDescent="0.25">
      <c r="A943" t="s">
        <v>3295</v>
      </c>
      <c r="B943" s="3">
        <v>44674</v>
      </c>
      <c r="C943" t="s">
        <v>3296</v>
      </c>
      <c r="D943" t="s">
        <v>3511</v>
      </c>
      <c r="E943">
        <v>2</v>
      </c>
      <c r="F943" t="s">
        <v>3523</v>
      </c>
      <c r="G943" t="s">
        <v>3517</v>
      </c>
      <c r="H943">
        <v>0.5</v>
      </c>
      <c r="I943">
        <v>7.8</v>
      </c>
      <c r="J943">
        <v>15.5</v>
      </c>
    </row>
    <row r="944" spans="1:10" x14ac:dyDescent="0.25">
      <c r="A944" t="s">
        <v>3299</v>
      </c>
      <c r="B944" s="3">
        <v>44464</v>
      </c>
      <c r="C944" t="s">
        <v>3300</v>
      </c>
      <c r="D944" t="s">
        <v>3510</v>
      </c>
      <c r="E944">
        <v>3</v>
      </c>
      <c r="F944" t="s">
        <v>3524</v>
      </c>
      <c r="G944" t="s">
        <v>3517</v>
      </c>
      <c r="H944">
        <v>1</v>
      </c>
      <c r="I944">
        <v>12</v>
      </c>
      <c r="J944">
        <v>35.9</v>
      </c>
    </row>
    <row r="945" spans="1:10" x14ac:dyDescent="0.25">
      <c r="A945" t="s">
        <v>3302</v>
      </c>
      <c r="B945" s="3">
        <v>44719</v>
      </c>
      <c r="C945" t="s">
        <v>3303</v>
      </c>
      <c r="D945" t="s">
        <v>3511</v>
      </c>
      <c r="E945">
        <v>6</v>
      </c>
      <c r="F945" t="s">
        <v>3523</v>
      </c>
      <c r="G945" t="s">
        <v>3517</v>
      </c>
      <c r="H945">
        <v>0.5</v>
      </c>
      <c r="I945">
        <v>7.8</v>
      </c>
      <c r="J945">
        <v>46.6</v>
      </c>
    </row>
    <row r="946" spans="1:10" x14ac:dyDescent="0.25">
      <c r="A946" t="s">
        <v>3305</v>
      </c>
      <c r="B946" s="3">
        <v>44054</v>
      </c>
      <c r="C946" t="s">
        <v>3306</v>
      </c>
      <c r="D946" t="s">
        <v>3504</v>
      </c>
      <c r="E946">
        <v>5</v>
      </c>
      <c r="F946" t="s">
        <v>3524</v>
      </c>
      <c r="G946" t="s">
        <v>3517</v>
      </c>
      <c r="H946">
        <v>0.5</v>
      </c>
      <c r="I946">
        <v>7.2</v>
      </c>
      <c r="J946">
        <v>35.9</v>
      </c>
    </row>
    <row r="947" spans="1:10" x14ac:dyDescent="0.25">
      <c r="A947" t="s">
        <v>3308</v>
      </c>
      <c r="B947" s="3">
        <v>43524</v>
      </c>
      <c r="C947" t="s">
        <v>3309</v>
      </c>
      <c r="D947" t="s">
        <v>3496</v>
      </c>
      <c r="E947">
        <v>4</v>
      </c>
      <c r="F947" t="s">
        <v>3525</v>
      </c>
      <c r="G947" t="s">
        <v>3518</v>
      </c>
      <c r="H947">
        <v>2.5</v>
      </c>
      <c r="I947">
        <v>29.8</v>
      </c>
      <c r="J947">
        <v>119.1</v>
      </c>
    </row>
    <row r="948" spans="1:10" x14ac:dyDescent="0.25">
      <c r="A948" t="s">
        <v>3311</v>
      </c>
      <c r="B948" s="3">
        <v>43719</v>
      </c>
      <c r="C948" t="s">
        <v>3312</v>
      </c>
      <c r="D948" t="s">
        <v>3500</v>
      </c>
      <c r="E948">
        <v>3</v>
      </c>
      <c r="F948" t="s">
        <v>3525</v>
      </c>
      <c r="G948" t="s">
        <v>3518</v>
      </c>
      <c r="H948">
        <v>0.5</v>
      </c>
      <c r="I948">
        <v>7.8</v>
      </c>
      <c r="J948">
        <v>23.3</v>
      </c>
    </row>
    <row r="949" spans="1:10" x14ac:dyDescent="0.25">
      <c r="A949" t="s">
        <v>3314</v>
      </c>
      <c r="B949" s="3">
        <v>44294</v>
      </c>
      <c r="C949" t="s">
        <v>3315</v>
      </c>
      <c r="D949" t="s">
        <v>3486</v>
      </c>
      <c r="E949">
        <v>1</v>
      </c>
      <c r="F949" t="s">
        <v>3523</v>
      </c>
      <c r="G949" t="s">
        <v>3519</v>
      </c>
      <c r="H949">
        <v>1</v>
      </c>
      <c r="I949">
        <v>11.3</v>
      </c>
      <c r="J949">
        <v>11.3</v>
      </c>
    </row>
    <row r="950" spans="1:10" x14ac:dyDescent="0.25">
      <c r="A950" t="s">
        <v>3317</v>
      </c>
      <c r="B950" s="3">
        <v>44445</v>
      </c>
      <c r="C950" t="s">
        <v>3318</v>
      </c>
      <c r="D950" t="s">
        <v>3516</v>
      </c>
      <c r="E950">
        <v>3</v>
      </c>
      <c r="F950" t="s">
        <v>3526</v>
      </c>
      <c r="G950" t="s">
        <v>3518</v>
      </c>
      <c r="H950">
        <v>2.5</v>
      </c>
      <c r="I950">
        <v>27.9</v>
      </c>
      <c r="J950">
        <v>83.8</v>
      </c>
    </row>
    <row r="951" spans="1:10" x14ac:dyDescent="0.25">
      <c r="A951" t="s">
        <v>3320</v>
      </c>
      <c r="B951" s="3">
        <v>44449</v>
      </c>
      <c r="C951" t="s">
        <v>3321</v>
      </c>
      <c r="D951" t="s">
        <v>3473</v>
      </c>
      <c r="E951">
        <v>4</v>
      </c>
      <c r="F951" t="s">
        <v>3524</v>
      </c>
      <c r="G951" t="s">
        <v>3517</v>
      </c>
      <c r="H951">
        <v>2.5</v>
      </c>
      <c r="I951">
        <v>27.5</v>
      </c>
      <c r="J951">
        <v>109.9</v>
      </c>
    </row>
    <row r="952" spans="1:10" x14ac:dyDescent="0.25">
      <c r="A952" t="s">
        <v>3323</v>
      </c>
      <c r="B952" s="3">
        <v>44703</v>
      </c>
      <c r="C952" t="s">
        <v>3324</v>
      </c>
      <c r="D952" t="s">
        <v>3509</v>
      </c>
      <c r="E952">
        <v>4</v>
      </c>
      <c r="F952" t="s">
        <v>3524</v>
      </c>
      <c r="G952" t="s">
        <v>3517</v>
      </c>
      <c r="H952">
        <v>0.2</v>
      </c>
      <c r="I952">
        <v>3.6</v>
      </c>
      <c r="J952">
        <v>14.3</v>
      </c>
    </row>
    <row r="953" spans="1:10" x14ac:dyDescent="0.25">
      <c r="A953" t="s">
        <v>3326</v>
      </c>
      <c r="B953" s="3">
        <v>44092</v>
      </c>
      <c r="C953" t="s">
        <v>3327</v>
      </c>
      <c r="D953" t="s">
        <v>3509</v>
      </c>
      <c r="E953">
        <v>6</v>
      </c>
      <c r="F953" t="s">
        <v>3524</v>
      </c>
      <c r="G953" t="s">
        <v>3517</v>
      </c>
      <c r="H953">
        <v>0.2</v>
      </c>
      <c r="I953">
        <v>3.6</v>
      </c>
      <c r="J953">
        <v>21.5</v>
      </c>
    </row>
    <row r="954" spans="1:10" x14ac:dyDescent="0.25">
      <c r="A954" t="s">
        <v>3329</v>
      </c>
      <c r="B954" s="3">
        <v>44439</v>
      </c>
      <c r="C954" t="s">
        <v>3330</v>
      </c>
      <c r="D954" t="s">
        <v>3486</v>
      </c>
      <c r="E954">
        <v>2</v>
      </c>
      <c r="F954" t="s">
        <v>3523</v>
      </c>
      <c r="G954" t="s">
        <v>3519</v>
      </c>
      <c r="H954">
        <v>1</v>
      </c>
      <c r="I954">
        <v>11.3</v>
      </c>
      <c r="J954">
        <v>22.5</v>
      </c>
    </row>
    <row r="955" spans="1:10" x14ac:dyDescent="0.25">
      <c r="A955" t="s">
        <v>3332</v>
      </c>
      <c r="B955" s="3">
        <v>44582</v>
      </c>
      <c r="C955" t="s">
        <v>3273</v>
      </c>
      <c r="D955" t="s">
        <v>3498</v>
      </c>
      <c r="E955">
        <v>1</v>
      </c>
      <c r="F955" t="s">
        <v>3523</v>
      </c>
      <c r="G955" t="s">
        <v>3517</v>
      </c>
      <c r="H955">
        <v>0.2</v>
      </c>
      <c r="I955">
        <v>3.9</v>
      </c>
      <c r="J955">
        <v>3.9</v>
      </c>
    </row>
    <row r="956" spans="1:10" x14ac:dyDescent="0.25">
      <c r="A956" t="s">
        <v>3335</v>
      </c>
      <c r="B956" s="3">
        <v>44722</v>
      </c>
      <c r="C956" t="s">
        <v>3273</v>
      </c>
      <c r="D956" t="s">
        <v>3516</v>
      </c>
      <c r="E956">
        <v>1</v>
      </c>
      <c r="F956" t="s">
        <v>3526</v>
      </c>
      <c r="G956" t="s">
        <v>3518</v>
      </c>
      <c r="H956">
        <v>2.5</v>
      </c>
      <c r="I956">
        <v>27.9</v>
      </c>
      <c r="J956">
        <v>27.9</v>
      </c>
    </row>
    <row r="957" spans="1:10" x14ac:dyDescent="0.25">
      <c r="A957" t="s">
        <v>3338</v>
      </c>
      <c r="B957" s="3">
        <v>43582</v>
      </c>
      <c r="C957" t="s">
        <v>3273</v>
      </c>
      <c r="D957" t="s">
        <v>3479</v>
      </c>
      <c r="E957">
        <v>5</v>
      </c>
      <c r="F957" t="s">
        <v>3526</v>
      </c>
      <c r="G957" t="s">
        <v>3517</v>
      </c>
      <c r="H957">
        <v>2.5</v>
      </c>
      <c r="I957">
        <v>34.200000000000003</v>
      </c>
      <c r="J957">
        <v>170.8</v>
      </c>
    </row>
    <row r="958" spans="1:10" x14ac:dyDescent="0.25">
      <c r="A958" t="s">
        <v>3338</v>
      </c>
      <c r="B958" s="3">
        <v>43582</v>
      </c>
      <c r="C958" t="s">
        <v>3273</v>
      </c>
      <c r="D958" t="s">
        <v>3473</v>
      </c>
      <c r="E958">
        <v>2</v>
      </c>
      <c r="F958" t="s">
        <v>3524</v>
      </c>
      <c r="G958" t="s">
        <v>3517</v>
      </c>
      <c r="H958">
        <v>2.5</v>
      </c>
      <c r="I958">
        <v>27.5</v>
      </c>
      <c r="J958">
        <v>55</v>
      </c>
    </row>
    <row r="959" spans="1:10" x14ac:dyDescent="0.25">
      <c r="A959" t="s">
        <v>3338</v>
      </c>
      <c r="B959" s="3">
        <v>43582</v>
      </c>
      <c r="C959" t="s">
        <v>3273</v>
      </c>
      <c r="D959" t="s">
        <v>3502</v>
      </c>
      <c r="E959">
        <v>1</v>
      </c>
      <c r="F959" t="s">
        <v>3526</v>
      </c>
      <c r="G959" t="s">
        <v>3517</v>
      </c>
      <c r="H959">
        <v>1</v>
      </c>
      <c r="I959">
        <v>14.9</v>
      </c>
      <c r="J959">
        <v>14.9</v>
      </c>
    </row>
    <row r="960" spans="1:10" x14ac:dyDescent="0.25">
      <c r="A960" t="s">
        <v>3338</v>
      </c>
      <c r="B960" s="3">
        <v>43582</v>
      </c>
      <c r="C960" t="s">
        <v>3273</v>
      </c>
      <c r="D960" t="s">
        <v>3498</v>
      </c>
      <c r="E960">
        <v>2</v>
      </c>
      <c r="F960" t="s">
        <v>3523</v>
      </c>
      <c r="G960" t="s">
        <v>3517</v>
      </c>
      <c r="H960">
        <v>0.2</v>
      </c>
      <c r="I960">
        <v>3.9</v>
      </c>
      <c r="J960">
        <v>7.8</v>
      </c>
    </row>
    <row r="961" spans="1:10" x14ac:dyDescent="0.25">
      <c r="A961" t="s">
        <v>3347</v>
      </c>
      <c r="B961" s="3">
        <v>44598</v>
      </c>
      <c r="C961" t="s">
        <v>3348</v>
      </c>
      <c r="D961" t="s">
        <v>3476</v>
      </c>
      <c r="E961">
        <v>5</v>
      </c>
      <c r="F961" t="s">
        <v>3525</v>
      </c>
      <c r="G961" t="s">
        <v>3517</v>
      </c>
      <c r="H961">
        <v>0.2</v>
      </c>
      <c r="I961">
        <v>4.8</v>
      </c>
      <c r="J961">
        <v>23.8</v>
      </c>
    </row>
    <row r="962" spans="1:10" x14ac:dyDescent="0.25">
      <c r="A962" t="s">
        <v>3350</v>
      </c>
      <c r="B962" s="3">
        <v>44591</v>
      </c>
      <c r="C962" t="s">
        <v>3351</v>
      </c>
      <c r="D962" t="s">
        <v>3501</v>
      </c>
      <c r="E962">
        <v>5</v>
      </c>
      <c r="F962" t="s">
        <v>3525</v>
      </c>
      <c r="G962" t="s">
        <v>3517</v>
      </c>
      <c r="H962">
        <v>1</v>
      </c>
      <c r="I962">
        <v>15.9</v>
      </c>
      <c r="J962">
        <v>79.3</v>
      </c>
    </row>
    <row r="963" spans="1:10" x14ac:dyDescent="0.25">
      <c r="A963" t="s">
        <v>3353</v>
      </c>
      <c r="B963" s="3">
        <v>44158</v>
      </c>
      <c r="C963" t="s">
        <v>3354</v>
      </c>
      <c r="D963" t="s">
        <v>3499</v>
      </c>
      <c r="E963">
        <v>2</v>
      </c>
      <c r="F963" t="s">
        <v>3523</v>
      </c>
      <c r="G963" t="s">
        <v>3518</v>
      </c>
      <c r="H963">
        <v>2.5</v>
      </c>
      <c r="I963">
        <v>22.9</v>
      </c>
      <c r="J963">
        <v>45.8</v>
      </c>
    </row>
    <row r="964" spans="1:10" x14ac:dyDescent="0.25">
      <c r="A964" t="s">
        <v>3356</v>
      </c>
      <c r="B964" s="3">
        <v>44664</v>
      </c>
      <c r="C964" t="s">
        <v>3357</v>
      </c>
      <c r="D964" t="s">
        <v>3508</v>
      </c>
      <c r="E964">
        <v>1</v>
      </c>
      <c r="F964" t="s">
        <v>3524</v>
      </c>
      <c r="G964" t="s">
        <v>3518</v>
      </c>
      <c r="H964">
        <v>1</v>
      </c>
      <c r="I964">
        <v>9</v>
      </c>
      <c r="J964">
        <v>9</v>
      </c>
    </row>
    <row r="965" spans="1:10" x14ac:dyDescent="0.25">
      <c r="A965" t="s">
        <v>3359</v>
      </c>
      <c r="B965" s="3">
        <v>44203</v>
      </c>
      <c r="C965" t="s">
        <v>3360</v>
      </c>
      <c r="D965" t="s">
        <v>3477</v>
      </c>
      <c r="E965">
        <v>4</v>
      </c>
      <c r="F965" t="s">
        <v>3524</v>
      </c>
      <c r="G965" t="s">
        <v>3519</v>
      </c>
      <c r="H965">
        <v>0.5</v>
      </c>
      <c r="I965">
        <v>6</v>
      </c>
      <c r="J965">
        <v>23.9</v>
      </c>
    </row>
    <row r="966" spans="1:10" x14ac:dyDescent="0.25">
      <c r="A966" t="s">
        <v>3362</v>
      </c>
      <c r="B966" s="3">
        <v>43865</v>
      </c>
      <c r="C966" t="s">
        <v>3363</v>
      </c>
      <c r="D966" t="s">
        <v>3515</v>
      </c>
      <c r="E966">
        <v>5</v>
      </c>
      <c r="F966" t="s">
        <v>3526</v>
      </c>
      <c r="G966" t="s">
        <v>3517</v>
      </c>
      <c r="H966">
        <v>0.2</v>
      </c>
      <c r="I966">
        <v>4.5</v>
      </c>
      <c r="J966">
        <v>22.3</v>
      </c>
    </row>
    <row r="967" spans="1:10" x14ac:dyDescent="0.25">
      <c r="A967" t="s">
        <v>3365</v>
      </c>
      <c r="B967" s="3">
        <v>43724</v>
      </c>
      <c r="C967" t="s">
        <v>3366</v>
      </c>
      <c r="D967" t="s">
        <v>3469</v>
      </c>
      <c r="E967">
        <v>3</v>
      </c>
      <c r="F967" t="s">
        <v>3524</v>
      </c>
      <c r="G967" t="s">
        <v>3519</v>
      </c>
      <c r="H967">
        <v>1</v>
      </c>
      <c r="I967">
        <v>10</v>
      </c>
      <c r="J967">
        <v>29.9</v>
      </c>
    </row>
    <row r="968" spans="1:10" x14ac:dyDescent="0.25">
      <c r="A968" t="s">
        <v>3368</v>
      </c>
      <c r="B968" s="3">
        <v>43491</v>
      </c>
      <c r="C968" t="s">
        <v>3369</v>
      </c>
      <c r="D968" t="s">
        <v>3507</v>
      </c>
      <c r="E968">
        <v>6</v>
      </c>
      <c r="F968" t="s">
        <v>3526</v>
      </c>
      <c r="G968" t="s">
        <v>3517</v>
      </c>
      <c r="H968">
        <v>0.5</v>
      </c>
      <c r="I968">
        <v>8.9</v>
      </c>
      <c r="J968">
        <v>53.5</v>
      </c>
    </row>
    <row r="969" spans="1:10" x14ac:dyDescent="0.25">
      <c r="A969" t="s">
        <v>3371</v>
      </c>
      <c r="B969" s="3">
        <v>44246</v>
      </c>
      <c r="C969" t="s">
        <v>3372</v>
      </c>
      <c r="D969" t="s">
        <v>3494</v>
      </c>
      <c r="E969">
        <v>1</v>
      </c>
      <c r="F969" t="s">
        <v>3524</v>
      </c>
      <c r="G969" t="s">
        <v>3518</v>
      </c>
      <c r="H969">
        <v>0.2</v>
      </c>
      <c r="I969">
        <v>2.7</v>
      </c>
      <c r="J969">
        <v>2.7</v>
      </c>
    </row>
    <row r="970" spans="1:10" x14ac:dyDescent="0.25">
      <c r="A970" t="s">
        <v>3374</v>
      </c>
      <c r="B970" s="3">
        <v>44642</v>
      </c>
      <c r="C970" t="s">
        <v>3375</v>
      </c>
      <c r="D970" t="s">
        <v>3505</v>
      </c>
      <c r="E970">
        <v>2</v>
      </c>
      <c r="F970" t="s">
        <v>3524</v>
      </c>
      <c r="G970" t="s">
        <v>3519</v>
      </c>
      <c r="H970">
        <v>0.2</v>
      </c>
      <c r="I970">
        <v>3</v>
      </c>
      <c r="J970">
        <v>6</v>
      </c>
    </row>
    <row r="971" spans="1:10" x14ac:dyDescent="0.25">
      <c r="A971" t="s">
        <v>3377</v>
      </c>
      <c r="B971" s="3">
        <v>43649</v>
      </c>
      <c r="C971" t="s">
        <v>3378</v>
      </c>
      <c r="D971" t="s">
        <v>3474</v>
      </c>
      <c r="E971">
        <v>1</v>
      </c>
      <c r="F971" t="s">
        <v>3525</v>
      </c>
      <c r="G971" t="s">
        <v>3518</v>
      </c>
      <c r="H971">
        <v>1</v>
      </c>
      <c r="I971">
        <v>13</v>
      </c>
      <c r="J971">
        <v>13</v>
      </c>
    </row>
    <row r="972" spans="1:10" x14ac:dyDescent="0.25">
      <c r="A972" t="s">
        <v>3380</v>
      </c>
      <c r="B972" s="3">
        <v>43729</v>
      </c>
      <c r="C972" t="s">
        <v>3381</v>
      </c>
      <c r="D972" t="s">
        <v>3470</v>
      </c>
      <c r="E972">
        <v>1</v>
      </c>
      <c r="F972" t="s">
        <v>3526</v>
      </c>
      <c r="G972" t="s">
        <v>3519</v>
      </c>
      <c r="H972">
        <v>0.5</v>
      </c>
      <c r="I972">
        <v>8.3000000000000007</v>
      </c>
      <c r="J972">
        <v>8.3000000000000007</v>
      </c>
    </row>
    <row r="973" spans="1:10" x14ac:dyDescent="0.25">
      <c r="A973" t="s">
        <v>3383</v>
      </c>
      <c r="B973" s="3">
        <v>43703</v>
      </c>
      <c r="C973" t="s">
        <v>3384</v>
      </c>
      <c r="D973" t="s">
        <v>3513</v>
      </c>
      <c r="E973">
        <v>5</v>
      </c>
      <c r="F973" t="s">
        <v>3523</v>
      </c>
      <c r="G973" t="s">
        <v>3517</v>
      </c>
      <c r="H973">
        <v>2.5</v>
      </c>
      <c r="I973">
        <v>29.8</v>
      </c>
      <c r="J973">
        <v>148.9</v>
      </c>
    </row>
    <row r="974" spans="1:10" x14ac:dyDescent="0.25">
      <c r="A974" t="s">
        <v>3386</v>
      </c>
      <c r="B974" s="3">
        <v>44411</v>
      </c>
      <c r="C974" t="s">
        <v>3387</v>
      </c>
      <c r="D974" t="s">
        <v>3513</v>
      </c>
      <c r="E974">
        <v>3</v>
      </c>
      <c r="F974" t="s">
        <v>3523</v>
      </c>
      <c r="G974" t="s">
        <v>3517</v>
      </c>
      <c r="H974">
        <v>2.5</v>
      </c>
      <c r="I974">
        <v>29.8</v>
      </c>
      <c r="J974">
        <v>89.4</v>
      </c>
    </row>
    <row r="975" spans="1:10" x14ac:dyDescent="0.25">
      <c r="A975" t="s">
        <v>3389</v>
      </c>
      <c r="B975" s="3">
        <v>44493</v>
      </c>
      <c r="C975" t="s">
        <v>3390</v>
      </c>
      <c r="D975" t="s">
        <v>3493</v>
      </c>
      <c r="E975">
        <v>6</v>
      </c>
      <c r="F975" t="s">
        <v>3525</v>
      </c>
      <c r="G975" t="s">
        <v>3519</v>
      </c>
      <c r="H975">
        <v>1</v>
      </c>
      <c r="I975">
        <v>14.6</v>
      </c>
      <c r="J975">
        <v>87.3</v>
      </c>
    </row>
    <row r="976" spans="1:10" x14ac:dyDescent="0.25">
      <c r="A976" t="s">
        <v>3392</v>
      </c>
      <c r="B976" s="3">
        <v>43556</v>
      </c>
      <c r="C976" t="s">
        <v>3393</v>
      </c>
      <c r="D976" t="s">
        <v>3503</v>
      </c>
      <c r="E976">
        <v>1</v>
      </c>
      <c r="F976" t="s">
        <v>3524</v>
      </c>
      <c r="G976" t="s">
        <v>3518</v>
      </c>
      <c r="H976">
        <v>0.5</v>
      </c>
      <c r="I976">
        <v>5.4</v>
      </c>
      <c r="J976">
        <v>5.4</v>
      </c>
    </row>
    <row r="977" spans="1:10" x14ac:dyDescent="0.25">
      <c r="A977" t="s">
        <v>3395</v>
      </c>
      <c r="B977" s="3">
        <v>44538</v>
      </c>
      <c r="C977" t="s">
        <v>3396</v>
      </c>
      <c r="D977" t="s">
        <v>3485</v>
      </c>
      <c r="E977">
        <v>3</v>
      </c>
      <c r="F977" t="s">
        <v>3523</v>
      </c>
      <c r="G977" t="s">
        <v>3518</v>
      </c>
      <c r="H977">
        <v>0.2</v>
      </c>
      <c r="I977">
        <v>3</v>
      </c>
      <c r="J977">
        <v>9</v>
      </c>
    </row>
    <row r="978" spans="1:10" x14ac:dyDescent="0.25">
      <c r="A978" t="s">
        <v>3398</v>
      </c>
      <c r="B978" s="3">
        <v>43643</v>
      </c>
      <c r="C978" t="s">
        <v>3399</v>
      </c>
      <c r="D978" t="s">
        <v>3473</v>
      </c>
      <c r="E978">
        <v>5</v>
      </c>
      <c r="F978" t="s">
        <v>3524</v>
      </c>
      <c r="G978" t="s">
        <v>3517</v>
      </c>
      <c r="H978">
        <v>2.5</v>
      </c>
      <c r="I978">
        <v>27.5</v>
      </c>
      <c r="J978">
        <v>137.4</v>
      </c>
    </row>
    <row r="979" spans="1:10" x14ac:dyDescent="0.25">
      <c r="A979" t="s">
        <v>3401</v>
      </c>
      <c r="B979" s="3">
        <v>44026</v>
      </c>
      <c r="C979" t="s">
        <v>3402</v>
      </c>
      <c r="D979" t="s">
        <v>3510</v>
      </c>
      <c r="E979">
        <v>5</v>
      </c>
      <c r="F979" t="s">
        <v>3524</v>
      </c>
      <c r="G979" t="s">
        <v>3517</v>
      </c>
      <c r="H979">
        <v>1</v>
      </c>
      <c r="I979">
        <v>12</v>
      </c>
      <c r="J979">
        <v>59.8</v>
      </c>
    </row>
    <row r="980" spans="1:10" x14ac:dyDescent="0.25">
      <c r="A980" t="s">
        <v>3404</v>
      </c>
      <c r="B980" s="3">
        <v>43913</v>
      </c>
      <c r="C980" t="s">
        <v>3390</v>
      </c>
      <c r="D980" t="s">
        <v>3511</v>
      </c>
      <c r="E980">
        <v>3</v>
      </c>
      <c r="F980" t="s">
        <v>3523</v>
      </c>
      <c r="G980" t="s">
        <v>3517</v>
      </c>
      <c r="H980">
        <v>0.5</v>
      </c>
      <c r="I980">
        <v>7.8</v>
      </c>
      <c r="J980">
        <v>23.3</v>
      </c>
    </row>
    <row r="981" spans="1:10" x14ac:dyDescent="0.25">
      <c r="A981" t="s">
        <v>3407</v>
      </c>
      <c r="B981" s="3">
        <v>43856</v>
      </c>
      <c r="C981" t="s">
        <v>3408</v>
      </c>
      <c r="D981" t="s">
        <v>3503</v>
      </c>
      <c r="E981">
        <v>2</v>
      </c>
      <c r="F981" t="s">
        <v>3524</v>
      </c>
      <c r="G981" t="s">
        <v>3518</v>
      </c>
      <c r="H981">
        <v>0.5</v>
      </c>
      <c r="I981">
        <v>5.4</v>
      </c>
      <c r="J981">
        <v>10.7</v>
      </c>
    </row>
    <row r="982" spans="1:10" x14ac:dyDescent="0.25">
      <c r="A982" t="s">
        <v>3410</v>
      </c>
      <c r="B982" s="3">
        <v>43982</v>
      </c>
      <c r="C982" t="s">
        <v>3411</v>
      </c>
      <c r="D982" t="s">
        <v>3516</v>
      </c>
      <c r="E982">
        <v>6</v>
      </c>
      <c r="F982" t="s">
        <v>3526</v>
      </c>
      <c r="G982" t="s">
        <v>3518</v>
      </c>
      <c r="H982">
        <v>2.5</v>
      </c>
      <c r="I982">
        <v>27.9</v>
      </c>
      <c r="J982">
        <v>167.7</v>
      </c>
    </row>
    <row r="983" spans="1:10" x14ac:dyDescent="0.25">
      <c r="A983" t="s">
        <v>3413</v>
      </c>
      <c r="B983" s="3">
        <v>44397</v>
      </c>
      <c r="C983" t="s">
        <v>3414</v>
      </c>
      <c r="D983" t="s">
        <v>3484</v>
      </c>
      <c r="E983">
        <v>6</v>
      </c>
      <c r="F983" t="s">
        <v>3526</v>
      </c>
      <c r="G983" t="s">
        <v>3518</v>
      </c>
      <c r="H983">
        <v>0.2</v>
      </c>
      <c r="I983">
        <v>3.6</v>
      </c>
      <c r="J983">
        <v>21.9</v>
      </c>
    </row>
    <row r="984" spans="1:10" x14ac:dyDescent="0.25">
      <c r="A984" t="s">
        <v>3416</v>
      </c>
      <c r="B984" s="3">
        <v>44785</v>
      </c>
      <c r="C984" t="s">
        <v>3417</v>
      </c>
      <c r="D984" t="s">
        <v>3510</v>
      </c>
      <c r="E984">
        <v>2</v>
      </c>
      <c r="F984" t="s">
        <v>3524</v>
      </c>
      <c r="G984" t="s">
        <v>3517</v>
      </c>
      <c r="H984">
        <v>1</v>
      </c>
      <c r="I984">
        <v>12</v>
      </c>
      <c r="J984">
        <v>23.9</v>
      </c>
    </row>
    <row r="985" spans="1:10" x14ac:dyDescent="0.25">
      <c r="A985" t="s">
        <v>3419</v>
      </c>
      <c r="B985" s="3">
        <v>43831</v>
      </c>
      <c r="C985" t="s">
        <v>3420</v>
      </c>
      <c r="D985" t="s">
        <v>3483</v>
      </c>
      <c r="E985">
        <v>2</v>
      </c>
      <c r="F985" t="s">
        <v>3523</v>
      </c>
      <c r="G985" t="s">
        <v>3519</v>
      </c>
      <c r="H985">
        <v>0.2</v>
      </c>
      <c r="I985">
        <v>3.4</v>
      </c>
      <c r="J985">
        <v>6.8</v>
      </c>
    </row>
    <row r="986" spans="1:10" x14ac:dyDescent="0.25">
      <c r="A986" t="s">
        <v>3422</v>
      </c>
      <c r="B986" s="3">
        <v>44214</v>
      </c>
      <c r="C986" t="s">
        <v>3423</v>
      </c>
      <c r="D986" t="s">
        <v>3497</v>
      </c>
      <c r="E986">
        <v>1</v>
      </c>
      <c r="F986" t="s">
        <v>3526</v>
      </c>
      <c r="G986" t="s">
        <v>3519</v>
      </c>
      <c r="H986">
        <v>2.5</v>
      </c>
      <c r="I986">
        <v>31.6</v>
      </c>
      <c r="J986">
        <v>31.6</v>
      </c>
    </row>
    <row r="987" spans="1:10" x14ac:dyDescent="0.25">
      <c r="A987" t="s">
        <v>3425</v>
      </c>
      <c r="B987" s="3">
        <v>44561</v>
      </c>
      <c r="C987" t="s">
        <v>3426</v>
      </c>
      <c r="D987" t="s">
        <v>3510</v>
      </c>
      <c r="E987">
        <v>4</v>
      </c>
      <c r="F987" t="s">
        <v>3524</v>
      </c>
      <c r="G987" t="s">
        <v>3517</v>
      </c>
      <c r="H987">
        <v>1</v>
      </c>
      <c r="I987">
        <v>12</v>
      </c>
      <c r="J987">
        <v>47.8</v>
      </c>
    </row>
    <row r="988" spans="1:10" x14ac:dyDescent="0.25">
      <c r="A988" t="s">
        <v>3428</v>
      </c>
      <c r="B988" s="3">
        <v>43955</v>
      </c>
      <c r="C988" t="s">
        <v>3429</v>
      </c>
      <c r="D988" t="s">
        <v>3512</v>
      </c>
      <c r="E988">
        <v>1</v>
      </c>
      <c r="F988" t="s">
        <v>3525</v>
      </c>
      <c r="G988" t="s">
        <v>3519</v>
      </c>
      <c r="H988">
        <v>2.5</v>
      </c>
      <c r="I988">
        <v>33.5</v>
      </c>
      <c r="J988">
        <v>33.5</v>
      </c>
    </row>
    <row r="989" spans="1:10" x14ac:dyDescent="0.25">
      <c r="A989" t="s">
        <v>3431</v>
      </c>
      <c r="B989" s="3">
        <v>44247</v>
      </c>
      <c r="C989" t="s">
        <v>3432</v>
      </c>
      <c r="D989" t="s">
        <v>3489</v>
      </c>
      <c r="E989">
        <v>5</v>
      </c>
      <c r="F989" t="s">
        <v>3523</v>
      </c>
      <c r="G989" t="s">
        <v>3518</v>
      </c>
      <c r="H989">
        <v>0.5</v>
      </c>
      <c r="I989">
        <v>6</v>
      </c>
      <c r="J989">
        <v>29.9</v>
      </c>
    </row>
    <row r="990" spans="1:10" x14ac:dyDescent="0.25">
      <c r="A990" t="s">
        <v>3434</v>
      </c>
      <c r="B990" s="3">
        <v>43897</v>
      </c>
      <c r="C990" t="s">
        <v>3435</v>
      </c>
      <c r="D990" t="s">
        <v>3469</v>
      </c>
      <c r="E990">
        <v>3</v>
      </c>
      <c r="F990" t="s">
        <v>3524</v>
      </c>
      <c r="G990" t="s">
        <v>3519</v>
      </c>
      <c r="H990">
        <v>1</v>
      </c>
      <c r="I990">
        <v>10</v>
      </c>
      <c r="J990">
        <v>29.9</v>
      </c>
    </row>
    <row r="991" spans="1:10" x14ac:dyDescent="0.25">
      <c r="A991" t="s">
        <v>3437</v>
      </c>
      <c r="B991" s="3">
        <v>43560</v>
      </c>
      <c r="C991" t="s">
        <v>3438</v>
      </c>
      <c r="D991" t="s">
        <v>3506</v>
      </c>
      <c r="E991">
        <v>6</v>
      </c>
      <c r="F991" t="s">
        <v>3523</v>
      </c>
      <c r="G991" t="s">
        <v>3519</v>
      </c>
      <c r="H991">
        <v>2.5</v>
      </c>
      <c r="I991">
        <v>25.9</v>
      </c>
      <c r="J991">
        <v>155.30000000000001</v>
      </c>
    </row>
    <row r="992" spans="1:10" x14ac:dyDescent="0.25">
      <c r="A992" t="s">
        <v>3440</v>
      </c>
      <c r="B992" s="3">
        <v>44718</v>
      </c>
      <c r="C992" t="s">
        <v>3458</v>
      </c>
      <c r="D992" t="s">
        <v>3484</v>
      </c>
      <c r="E992">
        <v>5</v>
      </c>
      <c r="F992" t="s">
        <v>3526</v>
      </c>
      <c r="G992" t="s">
        <v>3518</v>
      </c>
      <c r="H992">
        <v>0.2</v>
      </c>
      <c r="I992">
        <v>3.6</v>
      </c>
      <c r="J992">
        <v>18.2</v>
      </c>
    </row>
    <row r="993" spans="1:10" x14ac:dyDescent="0.25">
      <c r="A993" t="s">
        <v>3440</v>
      </c>
      <c r="B993" s="3">
        <v>44718</v>
      </c>
      <c r="C993" t="s">
        <v>3458</v>
      </c>
      <c r="D993" t="s">
        <v>3500</v>
      </c>
      <c r="E993">
        <v>2</v>
      </c>
      <c r="F993" t="s">
        <v>3525</v>
      </c>
      <c r="G993" t="s">
        <v>3518</v>
      </c>
      <c r="H993">
        <v>0.5</v>
      </c>
      <c r="I993">
        <v>7.8</v>
      </c>
      <c r="J993">
        <v>15.5</v>
      </c>
    </row>
    <row r="994" spans="1:10" x14ac:dyDescent="0.25">
      <c r="A994" t="s">
        <v>3445</v>
      </c>
      <c r="B994" s="3">
        <v>44276</v>
      </c>
      <c r="C994" t="s">
        <v>3446</v>
      </c>
      <c r="D994" t="s">
        <v>3495</v>
      </c>
      <c r="E994">
        <v>3</v>
      </c>
      <c r="F994" t="s">
        <v>3525</v>
      </c>
      <c r="G994" t="s">
        <v>3517</v>
      </c>
      <c r="H994">
        <v>2.5</v>
      </c>
      <c r="I994">
        <v>36.5</v>
      </c>
      <c r="J994">
        <v>109.4</v>
      </c>
    </row>
    <row r="995" spans="1:10" x14ac:dyDescent="0.25">
      <c r="A995" t="s">
        <v>3448</v>
      </c>
      <c r="B995" s="3">
        <v>44549</v>
      </c>
      <c r="C995" t="s">
        <v>3449</v>
      </c>
      <c r="D995" t="s">
        <v>3471</v>
      </c>
      <c r="E995">
        <v>6</v>
      </c>
      <c r="F995" t="s">
        <v>3523</v>
      </c>
      <c r="G995" t="s">
        <v>3517</v>
      </c>
      <c r="H995">
        <v>1</v>
      </c>
      <c r="I995">
        <v>13</v>
      </c>
      <c r="J995">
        <v>77.7</v>
      </c>
    </row>
    <row r="996" spans="1:10" x14ac:dyDescent="0.25">
      <c r="A996" t="s">
        <v>3451</v>
      </c>
      <c r="B996" s="3">
        <v>44244</v>
      </c>
      <c r="C996" t="s">
        <v>3452</v>
      </c>
      <c r="D996" t="s">
        <v>3485</v>
      </c>
      <c r="E996">
        <v>3</v>
      </c>
      <c r="F996" t="s">
        <v>3523</v>
      </c>
      <c r="G996" t="s">
        <v>3518</v>
      </c>
      <c r="H996">
        <v>0.2</v>
      </c>
      <c r="I996">
        <v>3</v>
      </c>
      <c r="J996">
        <v>9</v>
      </c>
    </row>
    <row r="997" spans="1:10" x14ac:dyDescent="0.25">
      <c r="A997" t="s">
        <v>3454</v>
      </c>
      <c r="B997" s="3">
        <v>43836</v>
      </c>
      <c r="C997" t="s">
        <v>3455</v>
      </c>
      <c r="D997" t="s">
        <v>3473</v>
      </c>
      <c r="E997">
        <v>1</v>
      </c>
      <c r="F997" t="s">
        <v>3524</v>
      </c>
      <c r="G997" t="s">
        <v>3517</v>
      </c>
      <c r="H997">
        <v>2.5</v>
      </c>
      <c r="I997">
        <v>27.5</v>
      </c>
      <c r="J997">
        <v>27.5</v>
      </c>
    </row>
    <row r="998" spans="1:10" x14ac:dyDescent="0.25">
      <c r="A998" t="s">
        <v>3457</v>
      </c>
      <c r="B998" s="3">
        <v>44685</v>
      </c>
      <c r="C998" t="s">
        <v>3458</v>
      </c>
      <c r="D998" t="s">
        <v>3477</v>
      </c>
      <c r="E998">
        <v>5</v>
      </c>
      <c r="F998" t="s">
        <v>3524</v>
      </c>
      <c r="G998" t="s">
        <v>3519</v>
      </c>
      <c r="H998">
        <v>0.5</v>
      </c>
      <c r="I998">
        <v>6</v>
      </c>
      <c r="J998">
        <v>29.9</v>
      </c>
    </row>
    <row r="999" spans="1:10" x14ac:dyDescent="0.25">
      <c r="A999" t="s">
        <v>3460</v>
      </c>
      <c r="B999" s="3">
        <v>43749</v>
      </c>
      <c r="C999" t="s">
        <v>3458</v>
      </c>
      <c r="D999" t="s">
        <v>3488</v>
      </c>
      <c r="E999">
        <v>4</v>
      </c>
      <c r="F999" t="s">
        <v>3523</v>
      </c>
      <c r="G999" t="s">
        <v>3519</v>
      </c>
      <c r="H999">
        <v>0.5</v>
      </c>
      <c r="I999">
        <v>6.8</v>
      </c>
      <c r="J999">
        <v>27</v>
      </c>
    </row>
    <row r="1000" spans="1:10" x14ac:dyDescent="0.25">
      <c r="A1000" t="s">
        <v>3463</v>
      </c>
      <c r="B1000" s="3">
        <v>44411</v>
      </c>
      <c r="C1000" t="s">
        <v>3464</v>
      </c>
      <c r="D1000" t="s">
        <v>3478</v>
      </c>
      <c r="E1000">
        <v>1</v>
      </c>
      <c r="F1000" t="s">
        <v>3523</v>
      </c>
      <c r="G1000" t="s">
        <v>3518</v>
      </c>
      <c r="H1000">
        <v>1</v>
      </c>
      <c r="I1000">
        <v>10</v>
      </c>
      <c r="J1000">
        <v>10</v>
      </c>
    </row>
    <row r="1001" spans="1:10" x14ac:dyDescent="0.25">
      <c r="A1001" t="s">
        <v>3466</v>
      </c>
      <c r="B1001" s="3">
        <v>44119</v>
      </c>
      <c r="C1001" t="s">
        <v>3467</v>
      </c>
      <c r="D1001" t="s">
        <v>3487</v>
      </c>
      <c r="E1001">
        <v>3</v>
      </c>
      <c r="F1001" t="s">
        <v>3526</v>
      </c>
      <c r="G1001" t="s">
        <v>3519</v>
      </c>
      <c r="H1001">
        <v>0.2</v>
      </c>
      <c r="I1001">
        <v>4.0999999999999996</v>
      </c>
      <c r="J1001">
        <v>12.4</v>
      </c>
    </row>
    <row r="1002" spans="1:10" x14ac:dyDescent="0.25">
      <c r="A1002" t="s">
        <v>3527</v>
      </c>
      <c r="B1002" s="3">
        <v>45088</v>
      </c>
      <c r="C1002" t="s">
        <v>1991</v>
      </c>
      <c r="D1002" t="s">
        <v>3501</v>
      </c>
      <c r="E1002">
        <v>6</v>
      </c>
      <c r="F1002" t="s">
        <v>3525</v>
      </c>
      <c r="G1002" t="s">
        <v>3517</v>
      </c>
      <c r="H1002">
        <v>1</v>
      </c>
      <c r="I1002">
        <v>15.9</v>
      </c>
      <c r="J1002">
        <v>95.4</v>
      </c>
    </row>
    <row r="1003" spans="1:10" x14ac:dyDescent="0.25">
      <c r="A1003" t="s">
        <v>3528</v>
      </c>
      <c r="B1003" s="3">
        <v>44731</v>
      </c>
      <c r="C1003" t="s">
        <v>1345</v>
      </c>
      <c r="D1003" t="s">
        <v>3516</v>
      </c>
      <c r="E1003">
        <v>2</v>
      </c>
      <c r="F1003" t="s">
        <v>3526</v>
      </c>
      <c r="G1003" t="s">
        <v>3518</v>
      </c>
      <c r="H1003">
        <v>2.5</v>
      </c>
      <c r="I1003">
        <v>27.9</v>
      </c>
      <c r="J1003">
        <v>55.8</v>
      </c>
    </row>
    <row r="1004" spans="1:10" x14ac:dyDescent="0.25">
      <c r="A1004" t="s">
        <v>3529</v>
      </c>
      <c r="B1004" s="3">
        <v>45132</v>
      </c>
      <c r="C1004" t="s">
        <v>1905</v>
      </c>
      <c r="D1004" t="s">
        <v>3472</v>
      </c>
      <c r="E1004">
        <v>6</v>
      </c>
      <c r="F1004" t="s">
        <v>3526</v>
      </c>
      <c r="G1004" t="s">
        <v>3519</v>
      </c>
      <c r="H1004">
        <v>1</v>
      </c>
      <c r="I1004">
        <v>13.8</v>
      </c>
      <c r="J1004">
        <v>82.8</v>
      </c>
    </row>
    <row r="1005" spans="1:10" x14ac:dyDescent="0.25">
      <c r="A1005" t="s">
        <v>3530</v>
      </c>
      <c r="B1005" s="3">
        <v>43711</v>
      </c>
      <c r="C1005" t="s">
        <v>2381</v>
      </c>
      <c r="D1005" t="s">
        <v>3495</v>
      </c>
      <c r="E1005">
        <v>1</v>
      </c>
      <c r="F1005" t="s">
        <v>3525</v>
      </c>
      <c r="G1005" t="s">
        <v>3517</v>
      </c>
      <c r="H1005">
        <v>2.5</v>
      </c>
      <c r="I1005">
        <v>36.5</v>
      </c>
      <c r="J1005">
        <v>36.5</v>
      </c>
    </row>
    <row r="1006" spans="1:10" x14ac:dyDescent="0.25">
      <c r="A1006" t="s">
        <v>3531</v>
      </c>
      <c r="B1006" s="3">
        <v>43661</v>
      </c>
      <c r="C1006" t="s">
        <v>751</v>
      </c>
      <c r="D1006" t="s">
        <v>3473</v>
      </c>
      <c r="E1006">
        <v>3</v>
      </c>
      <c r="F1006" t="s">
        <v>3524</v>
      </c>
      <c r="G1006" t="s">
        <v>3517</v>
      </c>
      <c r="H1006">
        <v>2.5</v>
      </c>
      <c r="I1006">
        <v>27.5</v>
      </c>
      <c r="J1006">
        <v>82.5</v>
      </c>
    </row>
    <row r="1007" spans="1:10" x14ac:dyDescent="0.25">
      <c r="A1007" t="s">
        <v>3532</v>
      </c>
      <c r="B1007" s="3">
        <v>45623</v>
      </c>
      <c r="C1007" t="s">
        <v>2554</v>
      </c>
      <c r="D1007" t="s">
        <v>3475</v>
      </c>
      <c r="E1007">
        <v>3</v>
      </c>
      <c r="F1007" t="s">
        <v>3526</v>
      </c>
      <c r="G1007" t="s">
        <v>3518</v>
      </c>
      <c r="H1007">
        <v>0.5</v>
      </c>
      <c r="I1007">
        <v>7.3</v>
      </c>
      <c r="J1007">
        <v>21.9</v>
      </c>
    </row>
    <row r="1008" spans="1:10" x14ac:dyDescent="0.25">
      <c r="A1008" t="s">
        <v>3533</v>
      </c>
      <c r="B1008" s="3">
        <v>43809</v>
      </c>
      <c r="C1008" t="s">
        <v>2593</v>
      </c>
      <c r="D1008" t="s">
        <v>3502</v>
      </c>
      <c r="E1008">
        <v>3</v>
      </c>
      <c r="F1008" t="s">
        <v>3526</v>
      </c>
      <c r="G1008" t="s">
        <v>3517</v>
      </c>
      <c r="H1008">
        <v>1</v>
      </c>
      <c r="I1008">
        <v>14.9</v>
      </c>
      <c r="J1008">
        <v>44.7</v>
      </c>
    </row>
    <row r="1009" spans="1:10" x14ac:dyDescent="0.25">
      <c r="A1009" t="s">
        <v>3534</v>
      </c>
      <c r="B1009" s="3">
        <v>45477</v>
      </c>
      <c r="C1009" t="s">
        <v>1966</v>
      </c>
      <c r="D1009" t="s">
        <v>3482</v>
      </c>
      <c r="E1009">
        <v>1</v>
      </c>
      <c r="F1009" t="s">
        <v>3524</v>
      </c>
      <c r="G1009" t="s">
        <v>3519</v>
      </c>
      <c r="H1009">
        <v>2.5</v>
      </c>
      <c r="I1009">
        <v>22.9</v>
      </c>
      <c r="J1009">
        <v>22.9</v>
      </c>
    </row>
    <row r="1010" spans="1:10" x14ac:dyDescent="0.25">
      <c r="A1010" t="s">
        <v>3535</v>
      </c>
      <c r="B1010" s="3">
        <v>44286</v>
      </c>
      <c r="C1010" t="s">
        <v>1582</v>
      </c>
      <c r="D1010" t="s">
        <v>3510</v>
      </c>
      <c r="E1010">
        <v>4</v>
      </c>
      <c r="F1010" t="s">
        <v>3524</v>
      </c>
      <c r="G1010" t="s">
        <v>3517</v>
      </c>
      <c r="H1010">
        <v>1</v>
      </c>
      <c r="I1010">
        <v>12</v>
      </c>
      <c r="J1010">
        <v>48</v>
      </c>
    </row>
    <row r="1011" spans="1:10" x14ac:dyDescent="0.25">
      <c r="A1011" t="s">
        <v>3536</v>
      </c>
      <c r="B1011" s="3">
        <v>45285</v>
      </c>
      <c r="C1011" t="s">
        <v>1351</v>
      </c>
      <c r="D1011" t="s">
        <v>3489</v>
      </c>
      <c r="E1011">
        <v>2</v>
      </c>
      <c r="F1011" t="s">
        <v>3523</v>
      </c>
      <c r="G1011" t="s">
        <v>3518</v>
      </c>
      <c r="H1011">
        <v>0.5</v>
      </c>
      <c r="I1011">
        <v>6</v>
      </c>
      <c r="J1011">
        <v>12</v>
      </c>
    </row>
    <row r="1012" spans="1:10" x14ac:dyDescent="0.25">
      <c r="A1012" t="s">
        <v>3537</v>
      </c>
      <c r="B1012" s="3">
        <v>44720</v>
      </c>
      <c r="C1012" t="s">
        <v>1473</v>
      </c>
      <c r="D1012" t="s">
        <v>3497</v>
      </c>
      <c r="E1012">
        <v>6</v>
      </c>
      <c r="F1012" t="s">
        <v>3526</v>
      </c>
      <c r="G1012" t="s">
        <v>3519</v>
      </c>
      <c r="H1012">
        <v>2.5</v>
      </c>
      <c r="I1012">
        <v>31.6</v>
      </c>
      <c r="J1012">
        <v>189.6</v>
      </c>
    </row>
    <row r="1013" spans="1:10" x14ac:dyDescent="0.25">
      <c r="A1013" t="s">
        <v>3538</v>
      </c>
      <c r="B1013" s="3">
        <v>45318</v>
      </c>
      <c r="C1013" t="s">
        <v>2723</v>
      </c>
      <c r="D1013" t="s">
        <v>3495</v>
      </c>
      <c r="E1013">
        <v>3</v>
      </c>
      <c r="F1013" t="s">
        <v>3525</v>
      </c>
      <c r="G1013" t="s">
        <v>3517</v>
      </c>
      <c r="H1013">
        <v>2.5</v>
      </c>
      <c r="I1013">
        <v>36.5</v>
      </c>
      <c r="J1013">
        <v>109.5</v>
      </c>
    </row>
    <row r="1014" spans="1:10" x14ac:dyDescent="0.25">
      <c r="A1014" t="s">
        <v>3539</v>
      </c>
      <c r="B1014" s="3">
        <v>43553</v>
      </c>
      <c r="C1014" t="s">
        <v>3166</v>
      </c>
      <c r="D1014" t="s">
        <v>3489</v>
      </c>
      <c r="E1014">
        <v>2</v>
      </c>
      <c r="F1014" t="s">
        <v>3523</v>
      </c>
      <c r="G1014" t="s">
        <v>3518</v>
      </c>
      <c r="H1014">
        <v>0.5</v>
      </c>
      <c r="I1014">
        <v>6</v>
      </c>
      <c r="J1014">
        <v>12</v>
      </c>
    </row>
    <row r="1015" spans="1:10" x14ac:dyDescent="0.25">
      <c r="A1015" t="s">
        <v>3540</v>
      </c>
      <c r="B1015" s="3">
        <v>43482</v>
      </c>
      <c r="C1015" t="s">
        <v>1223</v>
      </c>
      <c r="D1015" t="s">
        <v>3478</v>
      </c>
      <c r="E1015">
        <v>4</v>
      </c>
      <c r="F1015" t="s">
        <v>3523</v>
      </c>
      <c r="G1015" t="s">
        <v>3518</v>
      </c>
      <c r="H1015">
        <v>1</v>
      </c>
      <c r="I1015">
        <v>10</v>
      </c>
      <c r="J1015">
        <v>40</v>
      </c>
    </row>
    <row r="1016" spans="1:10" x14ac:dyDescent="0.25">
      <c r="A1016" t="s">
        <v>3541</v>
      </c>
      <c r="B1016" s="3">
        <v>45070</v>
      </c>
      <c r="C1016" t="s">
        <v>1930</v>
      </c>
      <c r="D1016" t="s">
        <v>3488</v>
      </c>
      <c r="E1016">
        <v>6</v>
      </c>
      <c r="F1016" t="s">
        <v>3523</v>
      </c>
      <c r="G1016" t="s">
        <v>3519</v>
      </c>
      <c r="H1016">
        <v>0.5</v>
      </c>
      <c r="I1016">
        <v>6.8</v>
      </c>
      <c r="J1016">
        <v>40.799999999999997</v>
      </c>
    </row>
    <row r="1017" spans="1:10" x14ac:dyDescent="0.25">
      <c r="A1017" t="s">
        <v>3542</v>
      </c>
      <c r="B1017" s="3">
        <v>44449</v>
      </c>
      <c r="C1017" t="s">
        <v>2065</v>
      </c>
      <c r="D1017" t="s">
        <v>3495</v>
      </c>
      <c r="E1017">
        <v>5</v>
      </c>
      <c r="F1017" t="s">
        <v>3525</v>
      </c>
      <c r="G1017" t="s">
        <v>3517</v>
      </c>
      <c r="H1017">
        <v>2.5</v>
      </c>
      <c r="I1017">
        <v>36.5</v>
      </c>
      <c r="J1017">
        <v>182.5</v>
      </c>
    </row>
    <row r="1018" spans="1:10" x14ac:dyDescent="0.25">
      <c r="A1018" t="s">
        <v>3543</v>
      </c>
      <c r="B1018" s="3">
        <v>44058</v>
      </c>
      <c r="C1018" t="s">
        <v>754</v>
      </c>
      <c r="D1018" t="s">
        <v>3516</v>
      </c>
      <c r="E1018">
        <v>4</v>
      </c>
      <c r="F1018" t="s">
        <v>3526</v>
      </c>
      <c r="G1018" t="s">
        <v>3518</v>
      </c>
      <c r="H1018">
        <v>2.5</v>
      </c>
      <c r="I1018">
        <v>27.9</v>
      </c>
      <c r="J1018">
        <v>111.6</v>
      </c>
    </row>
    <row r="1019" spans="1:10" x14ac:dyDescent="0.25">
      <c r="A1019" t="s">
        <v>3544</v>
      </c>
      <c r="B1019" s="3">
        <v>45328</v>
      </c>
      <c r="C1019" t="s">
        <v>1275</v>
      </c>
      <c r="D1019" t="s">
        <v>3475</v>
      </c>
      <c r="E1019">
        <v>3</v>
      </c>
      <c r="F1019" t="s">
        <v>3526</v>
      </c>
      <c r="G1019" t="s">
        <v>3518</v>
      </c>
      <c r="H1019">
        <v>0.5</v>
      </c>
      <c r="I1019">
        <v>7.3</v>
      </c>
      <c r="J1019">
        <v>21.9</v>
      </c>
    </row>
    <row r="1020" spans="1:10" x14ac:dyDescent="0.25">
      <c r="A1020" t="s">
        <v>3545</v>
      </c>
      <c r="B1020" s="3">
        <v>44882</v>
      </c>
      <c r="C1020" t="s">
        <v>1205</v>
      </c>
      <c r="D1020" t="s">
        <v>3509</v>
      </c>
      <c r="E1020">
        <v>6</v>
      </c>
      <c r="F1020" t="s">
        <v>3524</v>
      </c>
      <c r="G1020" t="s">
        <v>3517</v>
      </c>
      <c r="H1020">
        <v>0.2</v>
      </c>
      <c r="I1020">
        <v>3.6</v>
      </c>
      <c r="J1020">
        <v>21.6</v>
      </c>
    </row>
    <row r="1021" spans="1:10" x14ac:dyDescent="0.25">
      <c r="A1021" t="s">
        <v>3546</v>
      </c>
      <c r="B1021" s="3">
        <v>45415</v>
      </c>
      <c r="C1021" t="s">
        <v>965</v>
      </c>
      <c r="D1021" t="s">
        <v>3480</v>
      </c>
      <c r="E1021">
        <v>1</v>
      </c>
      <c r="F1021" t="s">
        <v>3524</v>
      </c>
      <c r="G1021" t="s">
        <v>3518</v>
      </c>
      <c r="H1021">
        <v>2.5</v>
      </c>
      <c r="I1021">
        <v>20.6</v>
      </c>
      <c r="J1021">
        <v>20.6</v>
      </c>
    </row>
    <row r="1022" spans="1:10" x14ac:dyDescent="0.25">
      <c r="A1022" t="s">
        <v>3547</v>
      </c>
      <c r="B1022" s="3">
        <v>43611</v>
      </c>
      <c r="C1022" t="s">
        <v>1372</v>
      </c>
      <c r="D1022" t="s">
        <v>3496</v>
      </c>
      <c r="E1022">
        <v>3</v>
      </c>
      <c r="F1022" t="s">
        <v>3525</v>
      </c>
      <c r="G1022" t="s">
        <v>3518</v>
      </c>
      <c r="H1022">
        <v>2.5</v>
      </c>
      <c r="I1022">
        <v>29.8</v>
      </c>
      <c r="J1022">
        <v>89.4</v>
      </c>
    </row>
    <row r="1023" spans="1:10" x14ac:dyDescent="0.25">
      <c r="A1023" t="s">
        <v>3548</v>
      </c>
      <c r="B1023" s="3">
        <v>44341</v>
      </c>
      <c r="C1023" t="s">
        <v>1854</v>
      </c>
      <c r="D1023" t="s">
        <v>3477</v>
      </c>
      <c r="E1023">
        <v>4</v>
      </c>
      <c r="F1023" t="s">
        <v>3524</v>
      </c>
      <c r="G1023" t="s">
        <v>3519</v>
      </c>
      <c r="H1023">
        <v>0.5</v>
      </c>
      <c r="I1023">
        <v>6</v>
      </c>
      <c r="J1023">
        <v>24</v>
      </c>
    </row>
    <row r="1024" spans="1:10" x14ac:dyDescent="0.25">
      <c r="A1024" t="s">
        <v>3549</v>
      </c>
      <c r="B1024" s="3">
        <v>45421</v>
      </c>
      <c r="C1024" t="s">
        <v>1223</v>
      </c>
      <c r="D1024" t="s">
        <v>3477</v>
      </c>
      <c r="E1024">
        <v>1</v>
      </c>
      <c r="F1024" t="s">
        <v>3524</v>
      </c>
      <c r="G1024" t="s">
        <v>3519</v>
      </c>
      <c r="H1024">
        <v>0.5</v>
      </c>
      <c r="I1024">
        <v>6</v>
      </c>
      <c r="J1024">
        <v>6</v>
      </c>
    </row>
    <row r="1025" spans="1:10" x14ac:dyDescent="0.25">
      <c r="A1025" t="s">
        <v>3550</v>
      </c>
      <c r="B1025" s="3">
        <v>44747</v>
      </c>
      <c r="C1025" t="s">
        <v>1991</v>
      </c>
      <c r="D1025" t="s">
        <v>3508</v>
      </c>
      <c r="E1025">
        <v>4</v>
      </c>
      <c r="F1025" t="s">
        <v>3524</v>
      </c>
      <c r="G1025" t="s">
        <v>3518</v>
      </c>
      <c r="H1025">
        <v>1</v>
      </c>
      <c r="I1025">
        <v>9</v>
      </c>
      <c r="J1025">
        <v>36</v>
      </c>
    </row>
    <row r="1026" spans="1:10" x14ac:dyDescent="0.25">
      <c r="A1026" t="s">
        <v>3551</v>
      </c>
      <c r="B1026" s="3">
        <v>44045</v>
      </c>
      <c r="C1026" t="s">
        <v>1681</v>
      </c>
      <c r="D1026" t="s">
        <v>3469</v>
      </c>
      <c r="E1026">
        <v>1</v>
      </c>
      <c r="F1026" t="s">
        <v>3524</v>
      </c>
      <c r="G1026" t="s">
        <v>3519</v>
      </c>
      <c r="H1026">
        <v>1</v>
      </c>
      <c r="I1026">
        <v>10</v>
      </c>
      <c r="J1026">
        <v>10</v>
      </c>
    </row>
    <row r="1027" spans="1:10" x14ac:dyDescent="0.25">
      <c r="A1027" t="s">
        <v>3552</v>
      </c>
      <c r="B1027" s="3">
        <v>45063</v>
      </c>
      <c r="C1027" t="s">
        <v>1354</v>
      </c>
      <c r="D1027" t="s">
        <v>3514</v>
      </c>
      <c r="E1027">
        <v>1</v>
      </c>
      <c r="F1027" t="s">
        <v>3526</v>
      </c>
      <c r="G1027" t="s">
        <v>3518</v>
      </c>
      <c r="H1027">
        <v>1</v>
      </c>
      <c r="I1027">
        <v>12.2</v>
      </c>
      <c r="J1027">
        <v>12.2</v>
      </c>
    </row>
    <row r="1028" spans="1:10" x14ac:dyDescent="0.25">
      <c r="A1028" t="s">
        <v>3553</v>
      </c>
      <c r="B1028" s="3">
        <v>45403</v>
      </c>
      <c r="C1028" t="s">
        <v>965</v>
      </c>
      <c r="D1028" t="s">
        <v>3509</v>
      </c>
      <c r="E1028">
        <v>5</v>
      </c>
      <c r="F1028" t="s">
        <v>3524</v>
      </c>
      <c r="G1028" t="s">
        <v>3517</v>
      </c>
      <c r="H1028">
        <v>0.2</v>
      </c>
      <c r="I1028">
        <v>3.6</v>
      </c>
      <c r="J1028">
        <v>18</v>
      </c>
    </row>
    <row r="1029" spans="1:10" x14ac:dyDescent="0.25">
      <c r="A1029" t="s">
        <v>3554</v>
      </c>
      <c r="B1029" s="3">
        <v>44782</v>
      </c>
      <c r="C1029" t="s">
        <v>1511</v>
      </c>
      <c r="D1029" t="s">
        <v>3479</v>
      </c>
      <c r="E1029">
        <v>5</v>
      </c>
      <c r="F1029" t="s">
        <v>3526</v>
      </c>
      <c r="G1029" t="s">
        <v>3517</v>
      </c>
      <c r="H1029">
        <v>2.5</v>
      </c>
      <c r="I1029">
        <v>34.200000000000003</v>
      </c>
      <c r="J1029">
        <v>171</v>
      </c>
    </row>
    <row r="1030" spans="1:10" x14ac:dyDescent="0.25">
      <c r="A1030" t="s">
        <v>3555</v>
      </c>
      <c r="B1030" s="3">
        <v>44851</v>
      </c>
      <c r="C1030" t="s">
        <v>811</v>
      </c>
      <c r="D1030" t="s">
        <v>3470</v>
      </c>
      <c r="E1030">
        <v>1</v>
      </c>
      <c r="F1030" t="s">
        <v>3526</v>
      </c>
      <c r="G1030" t="s">
        <v>3519</v>
      </c>
      <c r="H1030">
        <v>0.5</v>
      </c>
      <c r="I1030">
        <v>8.3000000000000007</v>
      </c>
      <c r="J1030">
        <v>8.3000000000000007</v>
      </c>
    </row>
    <row r="1031" spans="1:10" x14ac:dyDescent="0.25">
      <c r="A1031" t="s">
        <v>3556</v>
      </c>
      <c r="B1031" s="3">
        <v>43548</v>
      </c>
      <c r="C1031" t="s">
        <v>2542</v>
      </c>
      <c r="D1031" t="s">
        <v>3473</v>
      </c>
      <c r="E1031">
        <v>6</v>
      </c>
      <c r="F1031" t="s">
        <v>3524</v>
      </c>
      <c r="G1031" t="s">
        <v>3517</v>
      </c>
      <c r="H1031">
        <v>2.5</v>
      </c>
      <c r="I1031">
        <v>27.5</v>
      </c>
      <c r="J1031">
        <v>165</v>
      </c>
    </row>
    <row r="1032" spans="1:10" x14ac:dyDescent="0.25">
      <c r="A1032" t="s">
        <v>3557</v>
      </c>
      <c r="B1032" s="3">
        <v>44596</v>
      </c>
      <c r="C1032" t="s">
        <v>1250</v>
      </c>
      <c r="D1032" t="s">
        <v>3484</v>
      </c>
      <c r="E1032">
        <v>1</v>
      </c>
      <c r="F1032" t="s">
        <v>3526</v>
      </c>
      <c r="G1032" t="s">
        <v>3518</v>
      </c>
      <c r="H1032">
        <v>0.2</v>
      </c>
      <c r="I1032">
        <v>3.6</v>
      </c>
      <c r="J1032">
        <v>3.6</v>
      </c>
    </row>
    <row r="1033" spans="1:10" x14ac:dyDescent="0.25">
      <c r="A1033" t="s">
        <v>3558</v>
      </c>
      <c r="B1033" s="3">
        <v>45635</v>
      </c>
      <c r="C1033" t="s">
        <v>2152</v>
      </c>
      <c r="D1033" t="s">
        <v>3498</v>
      </c>
      <c r="E1033">
        <v>1</v>
      </c>
      <c r="F1033" t="s">
        <v>3523</v>
      </c>
      <c r="G1033" t="s">
        <v>3517</v>
      </c>
      <c r="H1033">
        <v>0.2</v>
      </c>
      <c r="I1033">
        <v>3.9</v>
      </c>
      <c r="J1033">
        <v>3.9</v>
      </c>
    </row>
    <row r="1034" spans="1:10" x14ac:dyDescent="0.25">
      <c r="A1034" t="s">
        <v>3559</v>
      </c>
      <c r="B1034" s="3">
        <v>45151</v>
      </c>
      <c r="C1034" t="s">
        <v>3438</v>
      </c>
      <c r="D1034" t="s">
        <v>3489</v>
      </c>
      <c r="E1034">
        <v>3</v>
      </c>
      <c r="F1034" t="s">
        <v>3523</v>
      </c>
      <c r="G1034" t="s">
        <v>3518</v>
      </c>
      <c r="H1034">
        <v>0.5</v>
      </c>
      <c r="I1034">
        <v>6</v>
      </c>
      <c r="J1034">
        <v>18</v>
      </c>
    </row>
    <row r="1035" spans="1:10" x14ac:dyDescent="0.25">
      <c r="A1035" t="s">
        <v>3560</v>
      </c>
      <c r="B1035" s="3">
        <v>45389</v>
      </c>
      <c r="C1035" t="s">
        <v>860</v>
      </c>
      <c r="D1035" t="s">
        <v>3476</v>
      </c>
      <c r="E1035">
        <v>4</v>
      </c>
      <c r="F1035" t="s">
        <v>3525</v>
      </c>
      <c r="G1035" t="s">
        <v>3517</v>
      </c>
      <c r="H1035">
        <v>0.2</v>
      </c>
      <c r="I1035">
        <v>4.8</v>
      </c>
      <c r="J1035">
        <v>19.2</v>
      </c>
    </row>
    <row r="1036" spans="1:10" x14ac:dyDescent="0.25">
      <c r="A1036" t="s">
        <v>3561</v>
      </c>
      <c r="B1036" s="3">
        <v>44584</v>
      </c>
      <c r="C1036" t="s">
        <v>2563</v>
      </c>
      <c r="D1036" t="s">
        <v>3469</v>
      </c>
      <c r="E1036">
        <v>3</v>
      </c>
      <c r="F1036" t="s">
        <v>3524</v>
      </c>
      <c r="G1036" t="s">
        <v>3519</v>
      </c>
      <c r="H1036">
        <v>1</v>
      </c>
      <c r="I1036">
        <v>10</v>
      </c>
      <c r="J1036">
        <v>30</v>
      </c>
    </row>
    <row r="1037" spans="1:10" x14ac:dyDescent="0.25">
      <c r="A1037" t="s">
        <v>3562</v>
      </c>
      <c r="B1037" s="3">
        <v>43907</v>
      </c>
      <c r="C1037" t="s">
        <v>2018</v>
      </c>
      <c r="D1037" t="s">
        <v>3511</v>
      </c>
      <c r="E1037">
        <v>2</v>
      </c>
      <c r="F1037" t="s">
        <v>3523</v>
      </c>
      <c r="G1037" t="s">
        <v>3517</v>
      </c>
      <c r="H1037">
        <v>0.5</v>
      </c>
      <c r="I1037">
        <v>7.8</v>
      </c>
      <c r="J1037">
        <v>15.6</v>
      </c>
    </row>
    <row r="1038" spans="1:10" x14ac:dyDescent="0.25">
      <c r="A1038" t="s">
        <v>3563</v>
      </c>
      <c r="B1038" s="3">
        <v>44994</v>
      </c>
      <c r="C1038" t="s">
        <v>1803</v>
      </c>
      <c r="D1038" t="s">
        <v>3492</v>
      </c>
      <c r="E1038">
        <v>3</v>
      </c>
      <c r="F1038" t="s">
        <v>3525</v>
      </c>
      <c r="G1038" t="s">
        <v>3517</v>
      </c>
      <c r="H1038">
        <v>0.5</v>
      </c>
      <c r="I1038">
        <v>9.5</v>
      </c>
      <c r="J1038">
        <v>28.5</v>
      </c>
    </row>
    <row r="1039" spans="1:10" x14ac:dyDescent="0.25">
      <c r="A1039" t="s">
        <v>3564</v>
      </c>
      <c r="B1039" s="3">
        <v>45554</v>
      </c>
      <c r="C1039" t="s">
        <v>1106</v>
      </c>
      <c r="D1039" t="s">
        <v>3501</v>
      </c>
      <c r="E1039">
        <v>1</v>
      </c>
      <c r="F1039" t="s">
        <v>3525</v>
      </c>
      <c r="G1039" t="s">
        <v>3517</v>
      </c>
      <c r="H1039">
        <v>1</v>
      </c>
      <c r="I1039">
        <v>15.9</v>
      </c>
      <c r="J1039">
        <v>15.9</v>
      </c>
    </row>
    <row r="1040" spans="1:10" x14ac:dyDescent="0.25">
      <c r="A1040" t="s">
        <v>3565</v>
      </c>
      <c r="B1040" s="3">
        <v>43700</v>
      </c>
      <c r="C1040" t="s">
        <v>3072</v>
      </c>
      <c r="D1040" t="s">
        <v>3497</v>
      </c>
      <c r="E1040">
        <v>5</v>
      </c>
      <c r="F1040" t="s">
        <v>3526</v>
      </c>
      <c r="G1040" t="s">
        <v>3519</v>
      </c>
      <c r="H1040">
        <v>2.5</v>
      </c>
      <c r="I1040">
        <v>31.6</v>
      </c>
      <c r="J1040">
        <v>158</v>
      </c>
    </row>
    <row r="1041" spans="1:10" x14ac:dyDescent="0.25">
      <c r="A1041" t="s">
        <v>3566</v>
      </c>
      <c r="B1041" s="3">
        <v>44731</v>
      </c>
      <c r="C1041" t="s">
        <v>1957</v>
      </c>
      <c r="D1041" t="s">
        <v>3494</v>
      </c>
      <c r="E1041">
        <v>2</v>
      </c>
      <c r="F1041" t="s">
        <v>3524</v>
      </c>
      <c r="G1041" t="s">
        <v>3518</v>
      </c>
      <c r="H1041">
        <v>0.2</v>
      </c>
      <c r="I1041">
        <v>2.7</v>
      </c>
      <c r="J1041">
        <v>5.4</v>
      </c>
    </row>
    <row r="1042" spans="1:10" x14ac:dyDescent="0.25">
      <c r="A1042" t="s">
        <v>3567</v>
      </c>
      <c r="B1042" s="3">
        <v>45252</v>
      </c>
      <c r="C1042" t="s">
        <v>1202</v>
      </c>
      <c r="D1042" t="s">
        <v>3479</v>
      </c>
      <c r="E1042">
        <v>3</v>
      </c>
      <c r="F1042" t="s">
        <v>3526</v>
      </c>
      <c r="G1042" t="s">
        <v>3517</v>
      </c>
      <c r="H1042">
        <v>2.5</v>
      </c>
      <c r="I1042">
        <v>34.200000000000003</v>
      </c>
      <c r="J1042">
        <v>102.6</v>
      </c>
    </row>
    <row r="1043" spans="1:10" x14ac:dyDescent="0.25">
      <c r="A1043" t="s">
        <v>3568</v>
      </c>
      <c r="B1043" s="3">
        <v>44694</v>
      </c>
      <c r="C1043" t="s">
        <v>2807</v>
      </c>
      <c r="D1043" t="s">
        <v>3482</v>
      </c>
      <c r="E1043">
        <v>3</v>
      </c>
      <c r="F1043" t="s">
        <v>3524</v>
      </c>
      <c r="G1043" t="s">
        <v>3519</v>
      </c>
      <c r="H1043">
        <v>2.5</v>
      </c>
      <c r="I1043">
        <v>22.9</v>
      </c>
      <c r="J1043">
        <v>68.7</v>
      </c>
    </row>
    <row r="1044" spans="1:10" x14ac:dyDescent="0.25">
      <c r="A1044" t="s">
        <v>3569</v>
      </c>
      <c r="B1044" s="3">
        <v>45607</v>
      </c>
      <c r="C1044" t="s">
        <v>617</v>
      </c>
      <c r="D1044" t="s">
        <v>3499</v>
      </c>
      <c r="E1044">
        <v>6</v>
      </c>
      <c r="F1044" t="s">
        <v>3523</v>
      </c>
      <c r="G1044" t="s">
        <v>3518</v>
      </c>
      <c r="H1044">
        <v>2.5</v>
      </c>
      <c r="I1044">
        <v>22.9</v>
      </c>
      <c r="J1044">
        <v>137.4</v>
      </c>
    </row>
    <row r="1045" spans="1:10" x14ac:dyDescent="0.25">
      <c r="A1045" t="s">
        <v>3570</v>
      </c>
      <c r="B1045" s="3">
        <v>45352</v>
      </c>
      <c r="C1045" t="s">
        <v>2092</v>
      </c>
      <c r="D1045" t="s">
        <v>3495</v>
      </c>
      <c r="E1045">
        <v>6</v>
      </c>
      <c r="F1045" t="s">
        <v>3525</v>
      </c>
      <c r="G1045" t="s">
        <v>3517</v>
      </c>
      <c r="H1045">
        <v>2.5</v>
      </c>
      <c r="I1045">
        <v>36.5</v>
      </c>
      <c r="J1045">
        <v>219</v>
      </c>
    </row>
    <row r="1046" spans="1:10" x14ac:dyDescent="0.25">
      <c r="A1046" t="s">
        <v>3571</v>
      </c>
      <c r="B1046" s="3">
        <v>44876</v>
      </c>
      <c r="C1046" t="s">
        <v>1059</v>
      </c>
      <c r="D1046" t="s">
        <v>3470</v>
      </c>
      <c r="E1046">
        <v>5</v>
      </c>
      <c r="F1046" t="s">
        <v>3526</v>
      </c>
      <c r="G1046" t="s">
        <v>3519</v>
      </c>
      <c r="H1046">
        <v>0.5</v>
      </c>
      <c r="I1046">
        <v>8.3000000000000007</v>
      </c>
      <c r="J1046">
        <v>41.5</v>
      </c>
    </row>
    <row r="1047" spans="1:10" x14ac:dyDescent="0.25">
      <c r="A1047" t="s">
        <v>3572</v>
      </c>
      <c r="B1047" s="3">
        <v>45138</v>
      </c>
      <c r="C1047" t="s">
        <v>676</v>
      </c>
      <c r="D1047" t="s">
        <v>3500</v>
      </c>
      <c r="E1047">
        <v>5</v>
      </c>
      <c r="F1047" t="s">
        <v>3525</v>
      </c>
      <c r="G1047" t="s">
        <v>3518</v>
      </c>
      <c r="H1047">
        <v>0.5</v>
      </c>
      <c r="I1047">
        <v>7.8</v>
      </c>
      <c r="J1047">
        <v>39</v>
      </c>
    </row>
    <row r="1048" spans="1:10" x14ac:dyDescent="0.25">
      <c r="A1048" t="s">
        <v>3573</v>
      </c>
      <c r="B1048" s="3">
        <v>45578</v>
      </c>
      <c r="C1048" t="s">
        <v>1893</v>
      </c>
      <c r="D1048" t="s">
        <v>3484</v>
      </c>
      <c r="E1048">
        <v>4</v>
      </c>
      <c r="F1048" t="s">
        <v>3526</v>
      </c>
      <c r="G1048" t="s">
        <v>3518</v>
      </c>
      <c r="H1048">
        <v>0.2</v>
      </c>
      <c r="I1048">
        <v>3.6</v>
      </c>
      <c r="J1048">
        <v>14.4</v>
      </c>
    </row>
    <row r="1049" spans="1:10" x14ac:dyDescent="0.25">
      <c r="A1049" t="s">
        <v>3574</v>
      </c>
      <c r="B1049" s="3">
        <v>45270</v>
      </c>
      <c r="C1049" t="s">
        <v>1154</v>
      </c>
      <c r="D1049" t="s">
        <v>3494</v>
      </c>
      <c r="E1049">
        <v>6</v>
      </c>
      <c r="F1049" t="s">
        <v>3524</v>
      </c>
      <c r="G1049" t="s">
        <v>3518</v>
      </c>
      <c r="H1049">
        <v>0.2</v>
      </c>
      <c r="I1049">
        <v>2.7</v>
      </c>
      <c r="J1049">
        <v>16.2</v>
      </c>
    </row>
    <row r="1050" spans="1:10" x14ac:dyDescent="0.25">
      <c r="A1050" t="s">
        <v>3575</v>
      </c>
      <c r="B1050" s="3">
        <v>44590</v>
      </c>
      <c r="C1050" t="s">
        <v>1387</v>
      </c>
      <c r="D1050" t="s">
        <v>3476</v>
      </c>
      <c r="E1050">
        <v>6</v>
      </c>
      <c r="F1050" t="s">
        <v>3525</v>
      </c>
      <c r="G1050" t="s">
        <v>3517</v>
      </c>
      <c r="H1050">
        <v>0.2</v>
      </c>
      <c r="I1050">
        <v>4.8</v>
      </c>
      <c r="J1050">
        <v>28.8</v>
      </c>
    </row>
    <row r="1051" spans="1:10" x14ac:dyDescent="0.25">
      <c r="A1051" t="s">
        <v>3576</v>
      </c>
      <c r="B1051" s="3">
        <v>45498</v>
      </c>
      <c r="C1051" t="s">
        <v>2687</v>
      </c>
      <c r="D1051" t="s">
        <v>3507</v>
      </c>
      <c r="E1051">
        <v>5</v>
      </c>
      <c r="F1051" t="s">
        <v>3526</v>
      </c>
      <c r="G1051" t="s">
        <v>3517</v>
      </c>
      <c r="H1051">
        <v>0.5</v>
      </c>
      <c r="I1051">
        <v>8.9</v>
      </c>
      <c r="J1051">
        <v>44.5</v>
      </c>
    </row>
    <row r="1052" spans="1:10" x14ac:dyDescent="0.25">
      <c r="A1052" t="s">
        <v>3577</v>
      </c>
      <c r="B1052" s="3">
        <v>45499</v>
      </c>
      <c r="C1052" t="s">
        <v>1396</v>
      </c>
      <c r="D1052" t="s">
        <v>3475</v>
      </c>
      <c r="E1052">
        <v>4</v>
      </c>
      <c r="F1052" t="s">
        <v>3526</v>
      </c>
      <c r="G1052" t="s">
        <v>3518</v>
      </c>
      <c r="H1052">
        <v>0.5</v>
      </c>
      <c r="I1052">
        <v>7.3</v>
      </c>
      <c r="J1052">
        <v>29.2</v>
      </c>
    </row>
    <row r="1053" spans="1:10" x14ac:dyDescent="0.25">
      <c r="A1053" t="s">
        <v>3578</v>
      </c>
      <c r="B1053" s="3">
        <v>45185</v>
      </c>
      <c r="C1053" t="s">
        <v>2957</v>
      </c>
      <c r="D1053" t="s">
        <v>3501</v>
      </c>
      <c r="E1053">
        <v>1</v>
      </c>
      <c r="F1053" t="s">
        <v>3525</v>
      </c>
      <c r="G1053" t="s">
        <v>3517</v>
      </c>
      <c r="H1053">
        <v>1</v>
      </c>
      <c r="I1053">
        <v>15.9</v>
      </c>
      <c r="J1053">
        <v>15.9</v>
      </c>
    </row>
    <row r="1054" spans="1:10" x14ac:dyDescent="0.25">
      <c r="A1054" t="s">
        <v>3579</v>
      </c>
      <c r="B1054" s="3">
        <v>44806</v>
      </c>
      <c r="C1054" t="s">
        <v>3312</v>
      </c>
      <c r="D1054" t="s">
        <v>3516</v>
      </c>
      <c r="E1054">
        <v>5</v>
      </c>
      <c r="F1054" t="s">
        <v>3526</v>
      </c>
      <c r="G1054" t="s">
        <v>3518</v>
      </c>
      <c r="H1054">
        <v>2.5</v>
      </c>
      <c r="I1054">
        <v>27.9</v>
      </c>
      <c r="J1054">
        <v>139.5</v>
      </c>
    </row>
    <row r="1055" spans="1:10" x14ac:dyDescent="0.25">
      <c r="A1055" t="s">
        <v>3580</v>
      </c>
      <c r="B1055" s="3">
        <v>43911</v>
      </c>
      <c r="C1055" t="s">
        <v>2503</v>
      </c>
      <c r="D1055" t="s">
        <v>3494</v>
      </c>
      <c r="E1055">
        <v>5</v>
      </c>
      <c r="F1055" t="s">
        <v>3524</v>
      </c>
      <c r="G1055" t="s">
        <v>3518</v>
      </c>
      <c r="H1055">
        <v>0.2</v>
      </c>
      <c r="I1055">
        <v>2.7</v>
      </c>
      <c r="J1055">
        <v>13.5</v>
      </c>
    </row>
    <row r="1056" spans="1:10" x14ac:dyDescent="0.25">
      <c r="A1056" t="s">
        <v>3581</v>
      </c>
      <c r="B1056" s="3">
        <v>44767</v>
      </c>
      <c r="C1056" t="s">
        <v>2717</v>
      </c>
      <c r="D1056" t="s">
        <v>3505</v>
      </c>
      <c r="E1056">
        <v>3</v>
      </c>
      <c r="F1056" t="s">
        <v>3524</v>
      </c>
      <c r="G1056" t="s">
        <v>3519</v>
      </c>
      <c r="H1056">
        <v>0.2</v>
      </c>
      <c r="I1056">
        <v>3</v>
      </c>
      <c r="J1056">
        <v>9</v>
      </c>
    </row>
    <row r="1057" spans="1:10" x14ac:dyDescent="0.25">
      <c r="A1057" t="s">
        <v>3582</v>
      </c>
      <c r="B1057" s="3">
        <v>44931</v>
      </c>
      <c r="C1057" t="s">
        <v>2134</v>
      </c>
      <c r="D1057" t="s">
        <v>3494</v>
      </c>
      <c r="E1057">
        <v>3</v>
      </c>
      <c r="F1057" t="s">
        <v>3524</v>
      </c>
      <c r="G1057" t="s">
        <v>3518</v>
      </c>
      <c r="H1057">
        <v>0.2</v>
      </c>
      <c r="I1057">
        <v>2.7</v>
      </c>
      <c r="J1057">
        <v>8.1</v>
      </c>
    </row>
    <row r="1058" spans="1:10" x14ac:dyDescent="0.25">
      <c r="A1058" t="s">
        <v>3583</v>
      </c>
      <c r="B1058" s="3">
        <v>45150</v>
      </c>
      <c r="C1058" t="s">
        <v>2311</v>
      </c>
      <c r="D1058" t="s">
        <v>3500</v>
      </c>
      <c r="E1058">
        <v>6</v>
      </c>
      <c r="F1058" t="s">
        <v>3525</v>
      </c>
      <c r="G1058" t="s">
        <v>3518</v>
      </c>
      <c r="H1058">
        <v>0.5</v>
      </c>
      <c r="I1058">
        <v>7.8</v>
      </c>
      <c r="J1058">
        <v>46.8</v>
      </c>
    </row>
    <row r="1059" spans="1:10" x14ac:dyDescent="0.25">
      <c r="A1059" t="s">
        <v>3584</v>
      </c>
      <c r="B1059" s="3">
        <v>44256</v>
      </c>
      <c r="C1059" t="s">
        <v>2062</v>
      </c>
      <c r="D1059" t="s">
        <v>3512</v>
      </c>
      <c r="E1059">
        <v>3</v>
      </c>
      <c r="F1059" t="s">
        <v>3525</v>
      </c>
      <c r="G1059" t="s">
        <v>3519</v>
      </c>
      <c r="H1059">
        <v>2.5</v>
      </c>
      <c r="I1059">
        <v>33.5</v>
      </c>
      <c r="J1059">
        <v>100.5</v>
      </c>
    </row>
    <row r="1060" spans="1:10" x14ac:dyDescent="0.25">
      <c r="A1060" t="s">
        <v>3585</v>
      </c>
      <c r="B1060" s="3">
        <v>44621</v>
      </c>
      <c r="C1060" t="s">
        <v>598</v>
      </c>
      <c r="D1060" t="s">
        <v>3496</v>
      </c>
      <c r="E1060">
        <v>4</v>
      </c>
      <c r="F1060" t="s">
        <v>3525</v>
      </c>
      <c r="G1060" t="s">
        <v>3518</v>
      </c>
      <c r="H1060">
        <v>2.5</v>
      </c>
      <c r="I1060">
        <v>29.8</v>
      </c>
      <c r="J1060">
        <v>119.2</v>
      </c>
    </row>
    <row r="1061" spans="1:10" x14ac:dyDescent="0.25">
      <c r="A1061" t="s">
        <v>3586</v>
      </c>
      <c r="B1061" s="3">
        <v>45322</v>
      </c>
      <c r="C1061" t="s">
        <v>3202</v>
      </c>
      <c r="D1061" t="s">
        <v>3477</v>
      </c>
      <c r="E1061">
        <v>2</v>
      </c>
      <c r="F1061" t="s">
        <v>3524</v>
      </c>
      <c r="G1061" t="s">
        <v>3519</v>
      </c>
      <c r="H1061">
        <v>0.5</v>
      </c>
      <c r="I1061">
        <v>6</v>
      </c>
      <c r="J1061">
        <v>12</v>
      </c>
    </row>
    <row r="1062" spans="1:10" x14ac:dyDescent="0.25">
      <c r="A1062" t="s">
        <v>3587</v>
      </c>
      <c r="B1062" s="3">
        <v>45163</v>
      </c>
      <c r="C1062" t="s">
        <v>3258</v>
      </c>
      <c r="D1062" t="s">
        <v>3478</v>
      </c>
      <c r="E1062">
        <v>4</v>
      </c>
      <c r="F1062" t="s">
        <v>3523</v>
      </c>
      <c r="G1062" t="s">
        <v>3518</v>
      </c>
      <c r="H1062">
        <v>1</v>
      </c>
      <c r="I1062">
        <v>10</v>
      </c>
      <c r="J1062">
        <v>40</v>
      </c>
    </row>
    <row r="1063" spans="1:10" x14ac:dyDescent="0.25">
      <c r="A1063" t="s">
        <v>3588</v>
      </c>
      <c r="B1063" s="3">
        <v>43825</v>
      </c>
      <c r="C1063" t="s">
        <v>1088</v>
      </c>
      <c r="D1063" t="s">
        <v>3473</v>
      </c>
      <c r="E1063">
        <v>6</v>
      </c>
      <c r="F1063" t="s">
        <v>3524</v>
      </c>
      <c r="G1063" t="s">
        <v>3517</v>
      </c>
      <c r="H1063">
        <v>2.5</v>
      </c>
      <c r="I1063">
        <v>27.5</v>
      </c>
      <c r="J1063">
        <v>165</v>
      </c>
    </row>
    <row r="1064" spans="1:10" x14ac:dyDescent="0.25">
      <c r="A1064" t="s">
        <v>3589</v>
      </c>
      <c r="B1064" s="3">
        <v>45450</v>
      </c>
      <c r="C1064" t="s">
        <v>3267</v>
      </c>
      <c r="D1064" t="s">
        <v>3482</v>
      </c>
      <c r="E1064">
        <v>5</v>
      </c>
      <c r="F1064" t="s">
        <v>3524</v>
      </c>
      <c r="G1064" t="s">
        <v>3519</v>
      </c>
      <c r="H1064">
        <v>2.5</v>
      </c>
      <c r="I1064">
        <v>22.9</v>
      </c>
      <c r="J1064">
        <v>114.5</v>
      </c>
    </row>
    <row r="1065" spans="1:10" x14ac:dyDescent="0.25">
      <c r="A1065" t="s">
        <v>3590</v>
      </c>
      <c r="B1065" s="3">
        <v>45179</v>
      </c>
      <c r="C1065" t="s">
        <v>1666</v>
      </c>
      <c r="D1065" t="s">
        <v>3489</v>
      </c>
      <c r="E1065">
        <v>5</v>
      </c>
      <c r="F1065" t="s">
        <v>3523</v>
      </c>
      <c r="G1065" t="s">
        <v>3518</v>
      </c>
      <c r="H1065">
        <v>0.5</v>
      </c>
      <c r="I1065">
        <v>6</v>
      </c>
      <c r="J1065">
        <v>30</v>
      </c>
    </row>
    <row r="1066" spans="1:10" x14ac:dyDescent="0.25">
      <c r="A1066" t="s">
        <v>3591</v>
      </c>
      <c r="B1066" s="3">
        <v>45458</v>
      </c>
      <c r="C1066" t="s">
        <v>2503</v>
      </c>
      <c r="D1066" t="s">
        <v>3489</v>
      </c>
      <c r="E1066">
        <v>2</v>
      </c>
      <c r="F1066" t="s">
        <v>3523</v>
      </c>
      <c r="G1066" t="s">
        <v>3518</v>
      </c>
      <c r="H1066">
        <v>0.5</v>
      </c>
      <c r="I1066">
        <v>6</v>
      </c>
      <c r="J1066">
        <v>12</v>
      </c>
    </row>
    <row r="1067" spans="1:10" x14ac:dyDescent="0.25">
      <c r="A1067" t="s">
        <v>3592</v>
      </c>
      <c r="B1067" s="3">
        <v>44124</v>
      </c>
      <c r="C1067" t="s">
        <v>740</v>
      </c>
      <c r="D1067" t="s">
        <v>3469</v>
      </c>
      <c r="E1067">
        <v>3</v>
      </c>
      <c r="F1067" t="s">
        <v>3524</v>
      </c>
      <c r="G1067" t="s">
        <v>3519</v>
      </c>
      <c r="H1067">
        <v>1</v>
      </c>
      <c r="I1067">
        <v>10</v>
      </c>
      <c r="J1067">
        <v>30</v>
      </c>
    </row>
    <row r="1068" spans="1:10" x14ac:dyDescent="0.25">
      <c r="A1068" t="s">
        <v>3593</v>
      </c>
      <c r="B1068" s="3">
        <v>45073</v>
      </c>
      <c r="C1068" t="s">
        <v>2485</v>
      </c>
      <c r="D1068" t="s">
        <v>3513</v>
      </c>
      <c r="E1068">
        <v>1</v>
      </c>
      <c r="F1068" t="s">
        <v>3523</v>
      </c>
      <c r="G1068" t="s">
        <v>3517</v>
      </c>
      <c r="H1068">
        <v>2.5</v>
      </c>
      <c r="I1068">
        <v>29.8</v>
      </c>
      <c r="J1068">
        <v>29.8</v>
      </c>
    </row>
    <row r="1069" spans="1:10" x14ac:dyDescent="0.25">
      <c r="A1069" t="s">
        <v>3594</v>
      </c>
      <c r="B1069" s="3">
        <v>43649</v>
      </c>
      <c r="C1069" t="s">
        <v>652</v>
      </c>
      <c r="D1069" t="s">
        <v>3501</v>
      </c>
      <c r="E1069">
        <v>4</v>
      </c>
      <c r="F1069" t="s">
        <v>3525</v>
      </c>
      <c r="G1069" t="s">
        <v>3517</v>
      </c>
      <c r="H1069">
        <v>1</v>
      </c>
      <c r="I1069">
        <v>15.9</v>
      </c>
      <c r="J1069">
        <v>63.6</v>
      </c>
    </row>
    <row r="1070" spans="1:10" x14ac:dyDescent="0.25">
      <c r="A1070" t="s">
        <v>3595</v>
      </c>
      <c r="B1070" s="3">
        <v>44587</v>
      </c>
      <c r="C1070" t="s">
        <v>1021</v>
      </c>
      <c r="D1070" t="s">
        <v>3502</v>
      </c>
      <c r="E1070">
        <v>4</v>
      </c>
      <c r="F1070" t="s">
        <v>3526</v>
      </c>
      <c r="G1070" t="s">
        <v>3517</v>
      </c>
      <c r="H1070">
        <v>1</v>
      </c>
      <c r="I1070">
        <v>14.9</v>
      </c>
      <c r="J1070">
        <v>59.6</v>
      </c>
    </row>
    <row r="1071" spans="1:10" x14ac:dyDescent="0.25">
      <c r="A1071" t="s">
        <v>3596</v>
      </c>
      <c r="B1071" s="3">
        <v>45154</v>
      </c>
      <c r="C1071" t="s">
        <v>1532</v>
      </c>
      <c r="D1071" t="s">
        <v>3489</v>
      </c>
      <c r="E1071">
        <v>2</v>
      </c>
      <c r="F1071" t="s">
        <v>3523</v>
      </c>
      <c r="G1071" t="s">
        <v>3518</v>
      </c>
      <c r="H1071">
        <v>0.5</v>
      </c>
      <c r="I1071">
        <v>6</v>
      </c>
      <c r="J1071">
        <v>12</v>
      </c>
    </row>
    <row r="1072" spans="1:10" x14ac:dyDescent="0.25">
      <c r="A1072" t="s">
        <v>3597</v>
      </c>
      <c r="B1072" s="3">
        <v>43625</v>
      </c>
      <c r="C1072" t="s">
        <v>1021</v>
      </c>
      <c r="D1072" t="s">
        <v>3497</v>
      </c>
      <c r="E1072">
        <v>2</v>
      </c>
      <c r="F1072" t="s">
        <v>3526</v>
      </c>
      <c r="G1072" t="s">
        <v>3519</v>
      </c>
      <c r="H1072">
        <v>2.5</v>
      </c>
      <c r="I1072">
        <v>31.6</v>
      </c>
      <c r="J1072">
        <v>63.2</v>
      </c>
    </row>
    <row r="1073" spans="1:10" x14ac:dyDescent="0.25">
      <c r="A1073" t="s">
        <v>3598</v>
      </c>
      <c r="B1073" s="3">
        <v>45028</v>
      </c>
      <c r="C1073" t="s">
        <v>583</v>
      </c>
      <c r="D1073" t="s">
        <v>3504</v>
      </c>
      <c r="E1073">
        <v>1</v>
      </c>
      <c r="F1073" t="s">
        <v>3524</v>
      </c>
      <c r="G1073" t="s">
        <v>3517</v>
      </c>
      <c r="H1073">
        <v>0.5</v>
      </c>
      <c r="I1073">
        <v>7.2</v>
      </c>
      <c r="J1073">
        <v>7.2</v>
      </c>
    </row>
    <row r="1074" spans="1:10" x14ac:dyDescent="0.25">
      <c r="A1074" t="s">
        <v>3599</v>
      </c>
      <c r="B1074" s="3">
        <v>44508</v>
      </c>
      <c r="C1074" t="s">
        <v>2050</v>
      </c>
      <c r="D1074" t="s">
        <v>3480</v>
      </c>
      <c r="E1074">
        <v>3</v>
      </c>
      <c r="F1074" t="s">
        <v>3524</v>
      </c>
      <c r="G1074" t="s">
        <v>3518</v>
      </c>
      <c r="H1074">
        <v>2.5</v>
      </c>
      <c r="I1074">
        <v>20.6</v>
      </c>
      <c r="J1074">
        <v>61.8</v>
      </c>
    </row>
    <row r="1075" spans="1:10" x14ac:dyDescent="0.25">
      <c r="A1075" t="s">
        <v>3600</v>
      </c>
      <c r="B1075" s="3">
        <v>44881</v>
      </c>
      <c r="C1075" t="s">
        <v>2672</v>
      </c>
      <c r="D1075" t="s">
        <v>3478</v>
      </c>
      <c r="E1075">
        <v>5</v>
      </c>
      <c r="F1075" t="s">
        <v>3523</v>
      </c>
      <c r="G1075" t="s">
        <v>3518</v>
      </c>
      <c r="H1075">
        <v>1</v>
      </c>
      <c r="I1075">
        <v>10</v>
      </c>
      <c r="J1075">
        <v>50</v>
      </c>
    </row>
    <row r="1076" spans="1:10" x14ac:dyDescent="0.25">
      <c r="A1076" t="s">
        <v>3601</v>
      </c>
      <c r="B1076" s="3">
        <v>45405</v>
      </c>
      <c r="C1076" t="s">
        <v>3252</v>
      </c>
      <c r="D1076" t="s">
        <v>3498</v>
      </c>
      <c r="E1076">
        <v>6</v>
      </c>
      <c r="F1076" t="s">
        <v>3523</v>
      </c>
      <c r="G1076" t="s">
        <v>3517</v>
      </c>
      <c r="H1076">
        <v>0.2</v>
      </c>
      <c r="I1076">
        <v>3.9</v>
      </c>
      <c r="J1076">
        <v>23.4</v>
      </c>
    </row>
    <row r="1077" spans="1:10" x14ac:dyDescent="0.25">
      <c r="A1077" t="s">
        <v>3602</v>
      </c>
      <c r="B1077" s="3">
        <v>44991</v>
      </c>
      <c r="C1077" t="s">
        <v>932</v>
      </c>
      <c r="D1077" t="s">
        <v>3471</v>
      </c>
      <c r="E1077">
        <v>4</v>
      </c>
      <c r="F1077" t="s">
        <v>3523</v>
      </c>
      <c r="G1077" t="s">
        <v>3517</v>
      </c>
      <c r="H1077">
        <v>1</v>
      </c>
      <c r="I1077">
        <v>13</v>
      </c>
      <c r="J1077">
        <v>52</v>
      </c>
    </row>
    <row r="1078" spans="1:10" x14ac:dyDescent="0.25">
      <c r="A1078" t="s">
        <v>3603</v>
      </c>
      <c r="B1078" s="3">
        <v>45547</v>
      </c>
      <c r="C1078" t="s">
        <v>3030</v>
      </c>
      <c r="D1078" t="s">
        <v>3504</v>
      </c>
      <c r="E1078">
        <v>2</v>
      </c>
      <c r="F1078" t="s">
        <v>3524</v>
      </c>
      <c r="G1078" t="s">
        <v>3517</v>
      </c>
      <c r="H1078">
        <v>0.5</v>
      </c>
      <c r="I1078">
        <v>7.2</v>
      </c>
      <c r="J1078">
        <v>14.4</v>
      </c>
    </row>
    <row r="1079" spans="1:10" x14ac:dyDescent="0.25">
      <c r="A1079" t="s">
        <v>3604</v>
      </c>
      <c r="B1079" s="3">
        <v>44864</v>
      </c>
      <c r="C1079" t="s">
        <v>638</v>
      </c>
      <c r="D1079" t="s">
        <v>3472</v>
      </c>
      <c r="E1079">
        <v>4</v>
      </c>
      <c r="F1079" t="s">
        <v>3526</v>
      </c>
      <c r="G1079" t="s">
        <v>3519</v>
      </c>
      <c r="H1079">
        <v>1</v>
      </c>
      <c r="I1079">
        <v>13.8</v>
      </c>
      <c r="J1079">
        <v>55.2</v>
      </c>
    </row>
    <row r="1080" spans="1:10" x14ac:dyDescent="0.25">
      <c r="A1080" t="s">
        <v>3605</v>
      </c>
      <c r="B1080" s="3">
        <v>44308</v>
      </c>
      <c r="C1080" t="s">
        <v>497</v>
      </c>
      <c r="D1080" t="s">
        <v>3486</v>
      </c>
      <c r="E1080">
        <v>2</v>
      </c>
      <c r="F1080" t="s">
        <v>3523</v>
      </c>
      <c r="G1080" t="s">
        <v>3519</v>
      </c>
      <c r="H1080">
        <v>1</v>
      </c>
      <c r="I1080">
        <v>11.3</v>
      </c>
      <c r="J1080">
        <v>22.6</v>
      </c>
    </row>
    <row r="1081" spans="1:10" x14ac:dyDescent="0.25">
      <c r="A1081" t="s">
        <v>3606</v>
      </c>
      <c r="B1081" s="3">
        <v>45084</v>
      </c>
      <c r="C1081" t="s">
        <v>3327</v>
      </c>
      <c r="D1081" t="s">
        <v>3495</v>
      </c>
      <c r="E1081">
        <v>4</v>
      </c>
      <c r="F1081" t="s">
        <v>3525</v>
      </c>
      <c r="G1081" t="s">
        <v>3517</v>
      </c>
      <c r="H1081">
        <v>2.5</v>
      </c>
      <c r="I1081">
        <v>36.5</v>
      </c>
      <c r="J1081">
        <v>146</v>
      </c>
    </row>
    <row r="1082" spans="1:10" x14ac:dyDescent="0.25">
      <c r="A1082" t="s">
        <v>3607</v>
      </c>
      <c r="B1082" s="3">
        <v>44693</v>
      </c>
      <c r="C1082" t="s">
        <v>2411</v>
      </c>
      <c r="D1082" t="s">
        <v>3509</v>
      </c>
      <c r="E1082">
        <v>4</v>
      </c>
      <c r="F1082" t="s">
        <v>3524</v>
      </c>
      <c r="G1082" t="s">
        <v>3517</v>
      </c>
      <c r="H1082">
        <v>0.2</v>
      </c>
      <c r="I1082">
        <v>3.6</v>
      </c>
      <c r="J1082">
        <v>14.4</v>
      </c>
    </row>
    <row r="1083" spans="1:10" x14ac:dyDescent="0.25">
      <c r="A1083" t="s">
        <v>3608</v>
      </c>
      <c r="B1083" s="3">
        <v>44541</v>
      </c>
      <c r="C1083" t="s">
        <v>2930</v>
      </c>
      <c r="D1083" t="s">
        <v>3490</v>
      </c>
      <c r="E1083">
        <v>4</v>
      </c>
      <c r="F1083" t="s">
        <v>3525</v>
      </c>
      <c r="G1083" t="s">
        <v>3519</v>
      </c>
      <c r="H1083">
        <v>0.2</v>
      </c>
      <c r="I1083">
        <v>4.4000000000000004</v>
      </c>
      <c r="J1083">
        <v>17.600000000000001</v>
      </c>
    </row>
    <row r="1084" spans="1:10" x14ac:dyDescent="0.25">
      <c r="A1084" t="s">
        <v>3609</v>
      </c>
      <c r="B1084" s="3">
        <v>45048</v>
      </c>
      <c r="C1084" t="s">
        <v>1819</v>
      </c>
      <c r="D1084" t="s">
        <v>3479</v>
      </c>
      <c r="E1084">
        <v>5</v>
      </c>
      <c r="F1084" t="s">
        <v>3526</v>
      </c>
      <c r="G1084" t="s">
        <v>3517</v>
      </c>
      <c r="H1084">
        <v>2.5</v>
      </c>
      <c r="I1084">
        <v>34.200000000000003</v>
      </c>
      <c r="J1084">
        <v>171</v>
      </c>
    </row>
    <row r="1085" spans="1:10" x14ac:dyDescent="0.25">
      <c r="A1085" t="s">
        <v>3610</v>
      </c>
      <c r="B1085" s="3">
        <v>44789</v>
      </c>
      <c r="C1085" t="s">
        <v>1660</v>
      </c>
      <c r="D1085" t="s">
        <v>3516</v>
      </c>
      <c r="E1085">
        <v>1</v>
      </c>
      <c r="F1085" t="s">
        <v>3526</v>
      </c>
      <c r="G1085" t="s">
        <v>3518</v>
      </c>
      <c r="H1085">
        <v>2.5</v>
      </c>
      <c r="I1085">
        <v>27.9</v>
      </c>
      <c r="J1085">
        <v>27.9</v>
      </c>
    </row>
    <row r="1086" spans="1:10" x14ac:dyDescent="0.25">
      <c r="A1086" t="s">
        <v>3611</v>
      </c>
      <c r="B1086" s="3">
        <v>43784</v>
      </c>
      <c r="C1086" t="s">
        <v>3366</v>
      </c>
      <c r="D1086" t="s">
        <v>3484</v>
      </c>
      <c r="E1086">
        <v>3</v>
      </c>
      <c r="F1086" t="s">
        <v>3526</v>
      </c>
      <c r="G1086" t="s">
        <v>3518</v>
      </c>
      <c r="H1086">
        <v>0.2</v>
      </c>
      <c r="I1086">
        <v>3.6</v>
      </c>
      <c r="J1086">
        <v>10.8</v>
      </c>
    </row>
    <row r="1087" spans="1:10" x14ac:dyDescent="0.25">
      <c r="A1087" t="s">
        <v>3612</v>
      </c>
      <c r="B1087" s="3">
        <v>45265</v>
      </c>
      <c r="C1087" t="s">
        <v>2708</v>
      </c>
      <c r="D1087" t="s">
        <v>3507</v>
      </c>
      <c r="E1087">
        <v>5</v>
      </c>
      <c r="F1087" t="s">
        <v>3526</v>
      </c>
      <c r="G1087" t="s">
        <v>3517</v>
      </c>
      <c r="H1087">
        <v>0.5</v>
      </c>
      <c r="I1087">
        <v>8.9</v>
      </c>
      <c r="J1087">
        <v>44.5</v>
      </c>
    </row>
    <row r="1088" spans="1:10" x14ac:dyDescent="0.25">
      <c r="A1088" t="s">
        <v>3613</v>
      </c>
      <c r="B1088" s="3">
        <v>45456</v>
      </c>
      <c r="C1088" t="s">
        <v>2044</v>
      </c>
      <c r="D1088" t="s">
        <v>3515</v>
      </c>
      <c r="E1088">
        <v>4</v>
      </c>
      <c r="F1088" t="s">
        <v>3526</v>
      </c>
      <c r="G1088" t="s">
        <v>3517</v>
      </c>
      <c r="H1088">
        <v>0.2</v>
      </c>
      <c r="I1088">
        <v>4.5</v>
      </c>
      <c r="J1088">
        <v>18</v>
      </c>
    </row>
    <row r="1089" spans="1:10" x14ac:dyDescent="0.25">
      <c r="A1089" t="s">
        <v>3614</v>
      </c>
      <c r="B1089" s="3">
        <v>45127</v>
      </c>
      <c r="C1089" t="s">
        <v>1330</v>
      </c>
      <c r="D1089" t="s">
        <v>3504</v>
      </c>
      <c r="E1089">
        <v>5</v>
      </c>
      <c r="F1089" t="s">
        <v>3524</v>
      </c>
      <c r="G1089" t="s">
        <v>3517</v>
      </c>
      <c r="H1089">
        <v>0.5</v>
      </c>
      <c r="I1089">
        <v>7.2</v>
      </c>
      <c r="J1089">
        <v>36</v>
      </c>
    </row>
    <row r="1090" spans="1:10" x14ac:dyDescent="0.25">
      <c r="A1090" t="s">
        <v>3615</v>
      </c>
      <c r="B1090" s="3">
        <v>45202</v>
      </c>
      <c r="C1090" t="s">
        <v>2654</v>
      </c>
      <c r="D1090" t="s">
        <v>3510</v>
      </c>
      <c r="E1090">
        <v>4</v>
      </c>
      <c r="F1090" t="s">
        <v>3524</v>
      </c>
      <c r="G1090" t="s">
        <v>3517</v>
      </c>
      <c r="H1090">
        <v>1</v>
      </c>
      <c r="I1090">
        <v>12</v>
      </c>
      <c r="J1090">
        <v>48</v>
      </c>
    </row>
    <row r="1091" spans="1:10" x14ac:dyDescent="0.25">
      <c r="A1091" t="s">
        <v>3616</v>
      </c>
      <c r="B1091" s="3">
        <v>43633</v>
      </c>
      <c r="C1091" t="s">
        <v>3220</v>
      </c>
      <c r="D1091" t="s">
        <v>3502</v>
      </c>
      <c r="E1091">
        <v>1</v>
      </c>
      <c r="F1091" t="s">
        <v>3526</v>
      </c>
      <c r="G1091" t="s">
        <v>3517</v>
      </c>
      <c r="H1091">
        <v>1</v>
      </c>
      <c r="I1091">
        <v>14.9</v>
      </c>
      <c r="J1091">
        <v>14.9</v>
      </c>
    </row>
    <row r="1092" spans="1:10" x14ac:dyDescent="0.25">
      <c r="A1092" t="s">
        <v>3617</v>
      </c>
      <c r="B1092" s="3">
        <v>45071</v>
      </c>
      <c r="C1092" t="s">
        <v>1601</v>
      </c>
      <c r="D1092" t="s">
        <v>3501</v>
      </c>
      <c r="E1092">
        <v>6</v>
      </c>
      <c r="F1092" t="s">
        <v>3525</v>
      </c>
      <c r="G1092" t="s">
        <v>3517</v>
      </c>
      <c r="H1092">
        <v>1</v>
      </c>
      <c r="I1092">
        <v>15.9</v>
      </c>
      <c r="J1092">
        <v>95.4</v>
      </c>
    </row>
    <row r="1093" spans="1:10" x14ac:dyDescent="0.25">
      <c r="A1093" t="s">
        <v>3618</v>
      </c>
      <c r="B1093" s="3">
        <v>44625</v>
      </c>
      <c r="C1093" t="s">
        <v>2783</v>
      </c>
      <c r="D1093" t="s">
        <v>3486</v>
      </c>
      <c r="E1093">
        <v>1</v>
      </c>
      <c r="F1093" t="s">
        <v>3523</v>
      </c>
      <c r="G1093" t="s">
        <v>3519</v>
      </c>
      <c r="H1093">
        <v>1</v>
      </c>
      <c r="I1093">
        <v>11.3</v>
      </c>
      <c r="J1093">
        <v>11.3</v>
      </c>
    </row>
    <row r="1094" spans="1:10" x14ac:dyDescent="0.25">
      <c r="A1094" t="s">
        <v>3619</v>
      </c>
      <c r="B1094" s="3">
        <v>44860</v>
      </c>
      <c r="C1094" t="s">
        <v>2690</v>
      </c>
      <c r="D1094" t="s">
        <v>3477</v>
      </c>
      <c r="E1094">
        <v>6</v>
      </c>
      <c r="F1094" t="s">
        <v>3524</v>
      </c>
      <c r="G1094" t="s">
        <v>3519</v>
      </c>
      <c r="H1094">
        <v>0.5</v>
      </c>
      <c r="I1094">
        <v>6</v>
      </c>
      <c r="J1094">
        <v>36</v>
      </c>
    </row>
    <row r="1095" spans="1:10" x14ac:dyDescent="0.25">
      <c r="A1095" t="s">
        <v>3620</v>
      </c>
      <c r="B1095" s="3">
        <v>45204</v>
      </c>
      <c r="C1095" t="s">
        <v>667</v>
      </c>
      <c r="D1095" t="s">
        <v>3483</v>
      </c>
      <c r="E1095">
        <v>1</v>
      </c>
      <c r="F1095" t="s">
        <v>3523</v>
      </c>
      <c r="G1095" t="s">
        <v>3519</v>
      </c>
      <c r="H1095">
        <v>0.2</v>
      </c>
      <c r="I1095">
        <v>3.4</v>
      </c>
      <c r="J1095">
        <v>3.4</v>
      </c>
    </row>
    <row r="1096" spans="1:10" x14ac:dyDescent="0.25">
      <c r="A1096" t="s">
        <v>3621</v>
      </c>
      <c r="B1096" s="3">
        <v>44767</v>
      </c>
      <c r="C1096" t="s">
        <v>938</v>
      </c>
      <c r="D1096" t="s">
        <v>3501</v>
      </c>
      <c r="E1096">
        <v>4</v>
      </c>
      <c r="F1096" t="s">
        <v>3525</v>
      </c>
      <c r="G1096" t="s">
        <v>3517</v>
      </c>
      <c r="H1096">
        <v>1</v>
      </c>
      <c r="I1096">
        <v>15.9</v>
      </c>
      <c r="J1096">
        <v>63.6</v>
      </c>
    </row>
    <row r="1097" spans="1:10" x14ac:dyDescent="0.25">
      <c r="A1097" t="s">
        <v>3622</v>
      </c>
      <c r="B1097" s="3">
        <v>44744</v>
      </c>
      <c r="C1097" t="s">
        <v>3420</v>
      </c>
      <c r="D1097" t="s">
        <v>3474</v>
      </c>
      <c r="E1097">
        <v>3</v>
      </c>
      <c r="F1097" t="s">
        <v>3525</v>
      </c>
      <c r="G1097" t="s">
        <v>3518</v>
      </c>
      <c r="H1097">
        <v>1</v>
      </c>
      <c r="I1097">
        <v>13</v>
      </c>
      <c r="J1097">
        <v>39</v>
      </c>
    </row>
    <row r="1098" spans="1:10" x14ac:dyDescent="0.25">
      <c r="A1098" t="s">
        <v>3623</v>
      </c>
      <c r="B1098" s="3">
        <v>45295</v>
      </c>
      <c r="C1098" t="s">
        <v>1435</v>
      </c>
      <c r="D1098" t="s">
        <v>3470</v>
      </c>
      <c r="E1098">
        <v>3</v>
      </c>
      <c r="F1098" t="s">
        <v>3526</v>
      </c>
      <c r="G1098" t="s">
        <v>3519</v>
      </c>
      <c r="H1098">
        <v>0.5</v>
      </c>
      <c r="I1098">
        <v>8.3000000000000007</v>
      </c>
      <c r="J1098">
        <v>24.9</v>
      </c>
    </row>
    <row r="1099" spans="1:10" x14ac:dyDescent="0.25">
      <c r="A1099" t="s">
        <v>3624</v>
      </c>
      <c r="B1099" s="3">
        <v>45592</v>
      </c>
      <c r="C1099" t="s">
        <v>3130</v>
      </c>
      <c r="D1099" t="s">
        <v>3471</v>
      </c>
      <c r="E1099">
        <v>3</v>
      </c>
      <c r="F1099" t="s">
        <v>3523</v>
      </c>
      <c r="G1099" t="s">
        <v>3517</v>
      </c>
      <c r="H1099">
        <v>1</v>
      </c>
      <c r="I1099">
        <v>13</v>
      </c>
      <c r="J1099">
        <v>39</v>
      </c>
    </row>
    <row r="1100" spans="1:10" x14ac:dyDescent="0.25">
      <c r="A1100" t="s">
        <v>3625</v>
      </c>
      <c r="B1100" s="3">
        <v>45078</v>
      </c>
      <c r="C1100" t="s">
        <v>2681</v>
      </c>
      <c r="D1100" t="s">
        <v>3514</v>
      </c>
      <c r="E1100">
        <v>3</v>
      </c>
      <c r="F1100" t="s">
        <v>3526</v>
      </c>
      <c r="G1100" t="s">
        <v>3518</v>
      </c>
      <c r="H1100">
        <v>1</v>
      </c>
      <c r="I1100">
        <v>12.2</v>
      </c>
      <c r="J1100">
        <v>36.6</v>
      </c>
    </row>
    <row r="1101" spans="1:10" x14ac:dyDescent="0.25">
      <c r="A1101" t="s">
        <v>3626</v>
      </c>
      <c r="B1101" s="3">
        <v>45579</v>
      </c>
      <c r="C1101" t="s">
        <v>2155</v>
      </c>
      <c r="D1101" t="s">
        <v>3516</v>
      </c>
      <c r="E1101">
        <v>4</v>
      </c>
      <c r="F1101" t="s">
        <v>3526</v>
      </c>
      <c r="G1101" t="s">
        <v>3518</v>
      </c>
      <c r="H1101">
        <v>2.5</v>
      </c>
      <c r="I1101">
        <v>27.9</v>
      </c>
      <c r="J1101">
        <v>111.6</v>
      </c>
    </row>
    <row r="1102" spans="1:10" x14ac:dyDescent="0.25">
      <c r="A1102" t="s">
        <v>3627</v>
      </c>
      <c r="B1102" s="3">
        <v>45337</v>
      </c>
      <c r="C1102" t="s">
        <v>1594</v>
      </c>
      <c r="D1102" t="s">
        <v>3478</v>
      </c>
      <c r="E1102">
        <v>6</v>
      </c>
      <c r="F1102" t="s">
        <v>3523</v>
      </c>
      <c r="G1102" t="s">
        <v>3518</v>
      </c>
      <c r="H1102">
        <v>1</v>
      </c>
      <c r="I1102">
        <v>10</v>
      </c>
      <c r="J1102">
        <v>60</v>
      </c>
    </row>
    <row r="1103" spans="1:10" x14ac:dyDescent="0.25">
      <c r="A1103" t="s">
        <v>3628</v>
      </c>
      <c r="B1103" s="3">
        <v>45631</v>
      </c>
      <c r="C1103" t="s">
        <v>915</v>
      </c>
      <c r="D1103" t="s">
        <v>3499</v>
      </c>
      <c r="E1103">
        <v>6</v>
      </c>
      <c r="F1103" t="s">
        <v>3523</v>
      </c>
      <c r="G1103" t="s">
        <v>3518</v>
      </c>
      <c r="H1103">
        <v>2.5</v>
      </c>
      <c r="I1103">
        <v>22.9</v>
      </c>
      <c r="J1103">
        <v>137.4</v>
      </c>
    </row>
    <row r="1104" spans="1:10" x14ac:dyDescent="0.25">
      <c r="A1104" t="s">
        <v>3629</v>
      </c>
      <c r="B1104" s="3">
        <v>43471</v>
      </c>
      <c r="C1104" t="s">
        <v>2500</v>
      </c>
      <c r="D1104" t="s">
        <v>3495</v>
      </c>
      <c r="E1104">
        <v>6</v>
      </c>
      <c r="F1104" t="s">
        <v>3525</v>
      </c>
      <c r="G1104" t="s">
        <v>3517</v>
      </c>
      <c r="H1104">
        <v>2.5</v>
      </c>
      <c r="I1104">
        <v>36.5</v>
      </c>
      <c r="J1104">
        <v>219</v>
      </c>
    </row>
    <row r="1105" spans="1:10" x14ac:dyDescent="0.25">
      <c r="A1105" t="s">
        <v>3630</v>
      </c>
      <c r="B1105" s="3">
        <v>45349</v>
      </c>
      <c r="C1105" t="s">
        <v>1800</v>
      </c>
      <c r="D1105" t="s">
        <v>3498</v>
      </c>
      <c r="E1105">
        <v>6</v>
      </c>
      <c r="F1105" t="s">
        <v>3523</v>
      </c>
      <c r="G1105" t="s">
        <v>3517</v>
      </c>
      <c r="H1105">
        <v>0.2</v>
      </c>
      <c r="I1105">
        <v>3.9</v>
      </c>
      <c r="J1105">
        <v>23.4</v>
      </c>
    </row>
    <row r="1106" spans="1:10" x14ac:dyDescent="0.25">
      <c r="A1106" t="s">
        <v>3631</v>
      </c>
      <c r="B1106" s="3">
        <v>45572</v>
      </c>
      <c r="C1106" t="s">
        <v>1806</v>
      </c>
      <c r="D1106" t="s">
        <v>3491</v>
      </c>
      <c r="E1106">
        <v>6</v>
      </c>
      <c r="F1106" t="s">
        <v>3525</v>
      </c>
      <c r="G1106" t="s">
        <v>3519</v>
      </c>
      <c r="H1106">
        <v>0.5</v>
      </c>
      <c r="I1106">
        <v>8.6999999999999993</v>
      </c>
      <c r="J1106">
        <v>52.2</v>
      </c>
    </row>
    <row r="1107" spans="1:10" x14ac:dyDescent="0.25">
      <c r="A1107" t="s">
        <v>3632</v>
      </c>
      <c r="B1107" s="3">
        <v>45489</v>
      </c>
      <c r="C1107" t="s">
        <v>1538</v>
      </c>
      <c r="D1107" t="s">
        <v>3514</v>
      </c>
      <c r="E1107">
        <v>5</v>
      </c>
      <c r="F1107" t="s">
        <v>3526</v>
      </c>
      <c r="G1107" t="s">
        <v>3518</v>
      </c>
      <c r="H1107">
        <v>1</v>
      </c>
      <c r="I1107">
        <v>12.2</v>
      </c>
      <c r="J1107">
        <v>61</v>
      </c>
    </row>
    <row r="1108" spans="1:10" x14ac:dyDescent="0.25">
      <c r="A1108" t="s">
        <v>3633</v>
      </c>
      <c r="B1108" s="3">
        <v>45586</v>
      </c>
      <c r="C1108" t="s">
        <v>2459</v>
      </c>
      <c r="D1108" t="s">
        <v>3483</v>
      </c>
      <c r="E1108">
        <v>1</v>
      </c>
      <c r="F1108" t="s">
        <v>3523</v>
      </c>
      <c r="G1108" t="s">
        <v>3519</v>
      </c>
      <c r="H1108">
        <v>0.2</v>
      </c>
      <c r="I1108">
        <v>3.4</v>
      </c>
      <c r="J1108">
        <v>3.4</v>
      </c>
    </row>
    <row r="1109" spans="1:10" x14ac:dyDescent="0.25">
      <c r="A1109" t="s">
        <v>3634</v>
      </c>
      <c r="B1109" s="3">
        <v>44981</v>
      </c>
      <c r="C1109" t="s">
        <v>1275</v>
      </c>
      <c r="D1109" t="s">
        <v>3505</v>
      </c>
      <c r="E1109">
        <v>3</v>
      </c>
      <c r="F1109" t="s">
        <v>3524</v>
      </c>
      <c r="G1109" t="s">
        <v>3519</v>
      </c>
      <c r="H1109">
        <v>0.2</v>
      </c>
      <c r="I1109">
        <v>3</v>
      </c>
      <c r="J1109">
        <v>9</v>
      </c>
    </row>
    <row r="1110" spans="1:10" x14ac:dyDescent="0.25">
      <c r="A1110" t="s">
        <v>3635</v>
      </c>
      <c r="B1110" s="3">
        <v>43556</v>
      </c>
      <c r="C1110" t="s">
        <v>1085</v>
      </c>
      <c r="D1110" t="s">
        <v>3478</v>
      </c>
      <c r="E1110">
        <v>4</v>
      </c>
      <c r="F1110" t="s">
        <v>3523</v>
      </c>
      <c r="G1110" t="s">
        <v>3518</v>
      </c>
      <c r="H1110">
        <v>1</v>
      </c>
      <c r="I1110">
        <v>10</v>
      </c>
      <c r="J1110">
        <v>40</v>
      </c>
    </row>
    <row r="1111" spans="1:10" x14ac:dyDescent="0.25">
      <c r="A1111" t="s">
        <v>3636</v>
      </c>
      <c r="B1111" s="3">
        <v>45056</v>
      </c>
      <c r="C1111" t="s">
        <v>1982</v>
      </c>
      <c r="D1111" t="s">
        <v>3501</v>
      </c>
      <c r="E1111">
        <v>1</v>
      </c>
      <c r="F1111" t="s">
        <v>3525</v>
      </c>
      <c r="G1111" t="s">
        <v>3517</v>
      </c>
      <c r="H1111">
        <v>1</v>
      </c>
      <c r="I1111">
        <v>15.9</v>
      </c>
      <c r="J1111">
        <v>15.9</v>
      </c>
    </row>
    <row r="1112" spans="1:10" x14ac:dyDescent="0.25">
      <c r="A1112" t="s">
        <v>3637</v>
      </c>
      <c r="B1112" s="3">
        <v>45591</v>
      </c>
      <c r="C1112" t="s">
        <v>2485</v>
      </c>
      <c r="D1112" t="s">
        <v>3495</v>
      </c>
      <c r="E1112">
        <v>2</v>
      </c>
      <c r="F1112" t="s">
        <v>3525</v>
      </c>
      <c r="G1112" t="s">
        <v>3517</v>
      </c>
      <c r="H1112">
        <v>2.5</v>
      </c>
      <c r="I1112">
        <v>36.5</v>
      </c>
      <c r="J1112">
        <v>73</v>
      </c>
    </row>
    <row r="1113" spans="1:10" x14ac:dyDescent="0.25">
      <c r="A1113" t="s">
        <v>3638</v>
      </c>
      <c r="B1113" s="3">
        <v>45609</v>
      </c>
      <c r="C1113" t="s">
        <v>535</v>
      </c>
      <c r="D1113" t="s">
        <v>3516</v>
      </c>
      <c r="E1113">
        <v>3</v>
      </c>
      <c r="F1113" t="s">
        <v>3526</v>
      </c>
      <c r="G1113" t="s">
        <v>3518</v>
      </c>
      <c r="H1113">
        <v>2.5</v>
      </c>
      <c r="I1113">
        <v>27.9</v>
      </c>
      <c r="J1113">
        <v>83.7</v>
      </c>
    </row>
    <row r="1114" spans="1:10" x14ac:dyDescent="0.25">
      <c r="A1114" t="s">
        <v>3639</v>
      </c>
      <c r="B1114" s="3">
        <v>44814</v>
      </c>
      <c r="C1114" t="s">
        <v>1446</v>
      </c>
      <c r="D1114" t="s">
        <v>3477</v>
      </c>
      <c r="E1114">
        <v>3</v>
      </c>
      <c r="F1114" t="s">
        <v>3524</v>
      </c>
      <c r="G1114" t="s">
        <v>3519</v>
      </c>
      <c r="H1114">
        <v>0.5</v>
      </c>
      <c r="I1114">
        <v>6</v>
      </c>
      <c r="J1114">
        <v>18</v>
      </c>
    </row>
    <row r="1115" spans="1:10" x14ac:dyDescent="0.25">
      <c r="A1115" t="s">
        <v>3640</v>
      </c>
      <c r="B1115" s="3">
        <v>43865</v>
      </c>
      <c r="C1115" t="s">
        <v>2736</v>
      </c>
      <c r="D1115" t="s">
        <v>3511</v>
      </c>
      <c r="E1115">
        <v>5</v>
      </c>
      <c r="F1115" t="s">
        <v>3523</v>
      </c>
      <c r="G1115" t="s">
        <v>3517</v>
      </c>
      <c r="H1115">
        <v>0.5</v>
      </c>
      <c r="I1115">
        <v>7.8</v>
      </c>
      <c r="J1115">
        <v>39</v>
      </c>
    </row>
    <row r="1116" spans="1:10" x14ac:dyDescent="0.25">
      <c r="A1116" t="s">
        <v>3641</v>
      </c>
      <c r="B1116" s="3">
        <v>44912</v>
      </c>
      <c r="C1116" t="s">
        <v>2870</v>
      </c>
      <c r="D1116" t="s">
        <v>3469</v>
      </c>
      <c r="E1116">
        <v>6</v>
      </c>
      <c r="F1116" t="s">
        <v>3524</v>
      </c>
      <c r="G1116" t="s">
        <v>3519</v>
      </c>
      <c r="H1116">
        <v>1</v>
      </c>
      <c r="I1116">
        <v>10</v>
      </c>
      <c r="J1116">
        <v>60</v>
      </c>
    </row>
    <row r="1117" spans="1:10" x14ac:dyDescent="0.25">
      <c r="A1117" t="s">
        <v>3642</v>
      </c>
      <c r="B1117" s="3">
        <v>43914</v>
      </c>
      <c r="C1117" t="s">
        <v>3303</v>
      </c>
      <c r="D1117" t="s">
        <v>3502</v>
      </c>
      <c r="E1117">
        <v>3</v>
      </c>
      <c r="F1117" t="s">
        <v>3526</v>
      </c>
      <c r="G1117" t="s">
        <v>3517</v>
      </c>
      <c r="H1117">
        <v>1</v>
      </c>
      <c r="I1117">
        <v>14.9</v>
      </c>
      <c r="J1117">
        <v>44.7</v>
      </c>
    </row>
    <row r="1118" spans="1:10" x14ac:dyDescent="0.25">
      <c r="A1118" t="s">
        <v>3643</v>
      </c>
      <c r="B1118" s="3">
        <v>44018</v>
      </c>
      <c r="C1118" t="s">
        <v>1723</v>
      </c>
      <c r="D1118" t="s">
        <v>3515</v>
      </c>
      <c r="E1118">
        <v>4</v>
      </c>
      <c r="F1118" t="s">
        <v>3526</v>
      </c>
      <c r="G1118" t="s">
        <v>3517</v>
      </c>
      <c r="H1118">
        <v>0.2</v>
      </c>
      <c r="I1118">
        <v>4.5</v>
      </c>
      <c r="J1118">
        <v>18</v>
      </c>
    </row>
    <row r="1119" spans="1:10" x14ac:dyDescent="0.25">
      <c r="A1119" t="s">
        <v>3644</v>
      </c>
      <c r="B1119" s="3">
        <v>44380</v>
      </c>
      <c r="C1119" t="s">
        <v>526</v>
      </c>
      <c r="D1119" t="s">
        <v>3479</v>
      </c>
      <c r="E1119">
        <v>5</v>
      </c>
      <c r="F1119" t="s">
        <v>3526</v>
      </c>
      <c r="G1119" t="s">
        <v>3517</v>
      </c>
      <c r="H1119">
        <v>2.5</v>
      </c>
      <c r="I1119">
        <v>34.200000000000003</v>
      </c>
      <c r="J1119">
        <v>171</v>
      </c>
    </row>
    <row r="1120" spans="1:10" x14ac:dyDescent="0.25">
      <c r="A1120" t="s">
        <v>3645</v>
      </c>
      <c r="B1120" s="3">
        <v>45183</v>
      </c>
      <c r="C1120" t="s">
        <v>688</v>
      </c>
      <c r="D1120" t="s">
        <v>3487</v>
      </c>
      <c r="E1120">
        <v>1</v>
      </c>
      <c r="F1120" t="s">
        <v>3526</v>
      </c>
      <c r="G1120" t="s">
        <v>3519</v>
      </c>
      <c r="H1120">
        <v>0.2</v>
      </c>
      <c r="I1120">
        <v>4.0999999999999996</v>
      </c>
      <c r="J1120">
        <v>4.0999999999999996</v>
      </c>
    </row>
    <row r="1121" spans="1:10" x14ac:dyDescent="0.25">
      <c r="A1121" t="s">
        <v>3646</v>
      </c>
      <c r="B1121" s="3">
        <v>44329</v>
      </c>
      <c r="C1121" t="s">
        <v>2311</v>
      </c>
      <c r="D1121" t="s">
        <v>3510</v>
      </c>
      <c r="E1121">
        <v>6</v>
      </c>
      <c r="F1121" t="s">
        <v>3524</v>
      </c>
      <c r="G1121" t="s">
        <v>3517</v>
      </c>
      <c r="H1121">
        <v>1</v>
      </c>
      <c r="I1121">
        <v>12</v>
      </c>
      <c r="J1121">
        <v>72</v>
      </c>
    </row>
    <row r="1122" spans="1:10" x14ac:dyDescent="0.25">
      <c r="A1122" t="s">
        <v>3647</v>
      </c>
      <c r="B1122" s="3">
        <v>44890</v>
      </c>
      <c r="C1122" t="s">
        <v>2730</v>
      </c>
      <c r="D1122" t="s">
        <v>3498</v>
      </c>
      <c r="E1122">
        <v>3</v>
      </c>
      <c r="F1122" t="s">
        <v>3523</v>
      </c>
      <c r="G1122" t="s">
        <v>3517</v>
      </c>
      <c r="H1122">
        <v>0.2</v>
      </c>
      <c r="I1122">
        <v>3.9</v>
      </c>
      <c r="J1122">
        <v>11.7</v>
      </c>
    </row>
    <row r="1123" spans="1:10" x14ac:dyDescent="0.25">
      <c r="A1123" t="s">
        <v>3648</v>
      </c>
      <c r="B1123" s="3">
        <v>45080</v>
      </c>
      <c r="C1123" t="s">
        <v>1822</v>
      </c>
      <c r="D1123" t="s">
        <v>3496</v>
      </c>
      <c r="E1123">
        <v>6</v>
      </c>
      <c r="F1123" t="s">
        <v>3525</v>
      </c>
      <c r="G1123" t="s">
        <v>3518</v>
      </c>
      <c r="H1123">
        <v>2.5</v>
      </c>
      <c r="I1123">
        <v>29.8</v>
      </c>
      <c r="J1123">
        <v>178.8</v>
      </c>
    </row>
    <row r="1124" spans="1:10" x14ac:dyDescent="0.25">
      <c r="A1124" t="s">
        <v>3649</v>
      </c>
      <c r="B1124" s="3">
        <v>45476</v>
      </c>
      <c r="C1124" t="s">
        <v>3234</v>
      </c>
      <c r="D1124" t="s">
        <v>3475</v>
      </c>
      <c r="E1124">
        <v>3</v>
      </c>
      <c r="F1124" t="s">
        <v>3526</v>
      </c>
      <c r="G1124" t="s">
        <v>3518</v>
      </c>
      <c r="H1124">
        <v>0.5</v>
      </c>
      <c r="I1124">
        <v>7.3</v>
      </c>
      <c r="J1124">
        <v>21.9</v>
      </c>
    </row>
    <row r="1125" spans="1:10" x14ac:dyDescent="0.25">
      <c r="A1125" t="s">
        <v>3650</v>
      </c>
      <c r="B1125" s="3">
        <v>45531</v>
      </c>
      <c r="C1125" t="s">
        <v>1455</v>
      </c>
      <c r="D1125" t="s">
        <v>3489</v>
      </c>
      <c r="E1125">
        <v>2</v>
      </c>
      <c r="F1125" t="s">
        <v>3523</v>
      </c>
      <c r="G1125" t="s">
        <v>3518</v>
      </c>
      <c r="H1125">
        <v>0.5</v>
      </c>
      <c r="I1125">
        <v>6</v>
      </c>
      <c r="J1125">
        <v>12</v>
      </c>
    </row>
    <row r="1126" spans="1:10" x14ac:dyDescent="0.25">
      <c r="A1126" t="s">
        <v>3651</v>
      </c>
      <c r="B1126" s="3">
        <v>44067</v>
      </c>
      <c r="C1126" t="s">
        <v>1902</v>
      </c>
      <c r="D1126" t="s">
        <v>3486</v>
      </c>
      <c r="E1126">
        <v>4</v>
      </c>
      <c r="F1126" t="s">
        <v>3523</v>
      </c>
      <c r="G1126" t="s">
        <v>3519</v>
      </c>
      <c r="H1126">
        <v>1</v>
      </c>
      <c r="I1126">
        <v>11.3</v>
      </c>
      <c r="J1126">
        <v>45.2</v>
      </c>
    </row>
    <row r="1127" spans="1:10" x14ac:dyDescent="0.25">
      <c r="A1127" t="s">
        <v>3652</v>
      </c>
      <c r="B1127" s="3">
        <v>44942</v>
      </c>
      <c r="C1127" t="s">
        <v>2353</v>
      </c>
      <c r="D1127" t="s">
        <v>3508</v>
      </c>
      <c r="E1127">
        <v>1</v>
      </c>
      <c r="F1127" t="s">
        <v>3524</v>
      </c>
      <c r="G1127" t="s">
        <v>3518</v>
      </c>
      <c r="H1127">
        <v>1</v>
      </c>
      <c r="I1127">
        <v>9</v>
      </c>
      <c r="J1127">
        <v>9</v>
      </c>
    </row>
    <row r="1128" spans="1:10" x14ac:dyDescent="0.25">
      <c r="A1128" t="s">
        <v>3653</v>
      </c>
      <c r="B1128" s="3">
        <v>44645</v>
      </c>
      <c r="C1128" t="s">
        <v>1732</v>
      </c>
      <c r="D1128" t="s">
        <v>3495</v>
      </c>
      <c r="E1128">
        <v>3</v>
      </c>
      <c r="F1128" t="s">
        <v>3525</v>
      </c>
      <c r="G1128" t="s">
        <v>3517</v>
      </c>
      <c r="H1128">
        <v>2.5</v>
      </c>
      <c r="I1128">
        <v>36.5</v>
      </c>
      <c r="J1128">
        <v>109.5</v>
      </c>
    </row>
    <row r="1129" spans="1:10" x14ac:dyDescent="0.25">
      <c r="A1129" t="s">
        <v>3654</v>
      </c>
      <c r="B1129" s="3">
        <v>44854</v>
      </c>
      <c r="C1129" t="s">
        <v>1520</v>
      </c>
      <c r="D1129" t="s">
        <v>3509</v>
      </c>
      <c r="E1129">
        <v>5</v>
      </c>
      <c r="F1129" t="s">
        <v>3524</v>
      </c>
      <c r="G1129" t="s">
        <v>3517</v>
      </c>
      <c r="H1129">
        <v>0.2</v>
      </c>
      <c r="I1129">
        <v>3.6</v>
      </c>
      <c r="J1129">
        <v>18</v>
      </c>
    </row>
    <row r="1130" spans="1:10" x14ac:dyDescent="0.25">
      <c r="A1130" t="s">
        <v>3655</v>
      </c>
      <c r="B1130" s="3">
        <v>45565</v>
      </c>
      <c r="C1130" t="s">
        <v>722</v>
      </c>
      <c r="D1130" t="s">
        <v>3501</v>
      </c>
      <c r="E1130">
        <v>5</v>
      </c>
      <c r="F1130" t="s">
        <v>3525</v>
      </c>
      <c r="G1130" t="s">
        <v>3517</v>
      </c>
      <c r="H1130">
        <v>1</v>
      </c>
      <c r="I1130">
        <v>15.9</v>
      </c>
      <c r="J1130">
        <v>79.5</v>
      </c>
    </row>
    <row r="1131" spans="1:10" x14ac:dyDescent="0.25">
      <c r="A1131" t="s">
        <v>3656</v>
      </c>
      <c r="B1131" s="3">
        <v>45204</v>
      </c>
      <c r="C1131" t="s">
        <v>1131</v>
      </c>
      <c r="D1131" t="s">
        <v>3510</v>
      </c>
      <c r="E1131">
        <v>2</v>
      </c>
      <c r="F1131" t="s">
        <v>3524</v>
      </c>
      <c r="G1131" t="s">
        <v>3517</v>
      </c>
      <c r="H1131">
        <v>1</v>
      </c>
      <c r="I1131">
        <v>12</v>
      </c>
      <c r="J1131">
        <v>24</v>
      </c>
    </row>
    <row r="1132" spans="1:10" x14ac:dyDescent="0.25">
      <c r="A1132" t="s">
        <v>3657</v>
      </c>
      <c r="B1132" s="3">
        <v>44932</v>
      </c>
      <c r="C1132" t="s">
        <v>1324</v>
      </c>
      <c r="D1132" t="s">
        <v>3516</v>
      </c>
      <c r="E1132">
        <v>2</v>
      </c>
      <c r="F1132" t="s">
        <v>3526</v>
      </c>
      <c r="G1132" t="s">
        <v>3518</v>
      </c>
      <c r="H1132">
        <v>2.5</v>
      </c>
      <c r="I1132">
        <v>27.9</v>
      </c>
      <c r="J1132">
        <v>55.8</v>
      </c>
    </row>
    <row r="1133" spans="1:10" x14ac:dyDescent="0.25">
      <c r="A1133" t="s">
        <v>3658</v>
      </c>
      <c r="B1133" s="3">
        <v>45593</v>
      </c>
      <c r="C1133" t="s">
        <v>2221</v>
      </c>
      <c r="D1133" t="s">
        <v>3480</v>
      </c>
      <c r="E1133">
        <v>6</v>
      </c>
      <c r="F1133" t="s">
        <v>3524</v>
      </c>
      <c r="G1133" t="s">
        <v>3518</v>
      </c>
      <c r="H1133">
        <v>2.5</v>
      </c>
      <c r="I1133">
        <v>20.6</v>
      </c>
      <c r="J1133">
        <v>123.6</v>
      </c>
    </row>
    <row r="1134" spans="1:10" x14ac:dyDescent="0.25">
      <c r="A1134" t="s">
        <v>3659</v>
      </c>
      <c r="B1134" s="3">
        <v>45522</v>
      </c>
      <c r="C1134" t="s">
        <v>3264</v>
      </c>
      <c r="D1134" t="s">
        <v>3505</v>
      </c>
      <c r="E1134">
        <v>4</v>
      </c>
      <c r="F1134" t="s">
        <v>3524</v>
      </c>
      <c r="G1134" t="s">
        <v>3519</v>
      </c>
      <c r="H1134">
        <v>0.2</v>
      </c>
      <c r="I1134">
        <v>3</v>
      </c>
      <c r="J1134">
        <v>12</v>
      </c>
    </row>
    <row r="1135" spans="1:10" x14ac:dyDescent="0.25">
      <c r="A1135" t="s">
        <v>3660</v>
      </c>
      <c r="B1135" s="3">
        <v>44778</v>
      </c>
      <c r="C1135" t="s">
        <v>1597</v>
      </c>
      <c r="D1135" t="s">
        <v>3496</v>
      </c>
      <c r="E1135">
        <v>5</v>
      </c>
      <c r="F1135" t="s">
        <v>3525</v>
      </c>
      <c r="G1135" t="s">
        <v>3518</v>
      </c>
      <c r="H1135">
        <v>2.5</v>
      </c>
      <c r="I1135">
        <v>29.8</v>
      </c>
      <c r="J1135">
        <v>149</v>
      </c>
    </row>
    <row r="1136" spans="1:10" x14ac:dyDescent="0.25">
      <c r="A1136" t="s">
        <v>3661</v>
      </c>
      <c r="B1136" s="3">
        <v>45360</v>
      </c>
      <c r="C1136" t="s">
        <v>1966</v>
      </c>
      <c r="D1136" t="s">
        <v>3472</v>
      </c>
      <c r="E1136">
        <v>4</v>
      </c>
      <c r="F1136" t="s">
        <v>3526</v>
      </c>
      <c r="G1136" t="s">
        <v>3519</v>
      </c>
      <c r="H1136">
        <v>1</v>
      </c>
      <c r="I1136">
        <v>13.8</v>
      </c>
      <c r="J1136">
        <v>55.2</v>
      </c>
    </row>
    <row r="1137" spans="1:10" x14ac:dyDescent="0.25">
      <c r="A1137" t="s">
        <v>3662</v>
      </c>
      <c r="B1137" s="3">
        <v>44936</v>
      </c>
      <c r="C1137" t="s">
        <v>3321</v>
      </c>
      <c r="D1137" t="s">
        <v>3504</v>
      </c>
      <c r="E1137">
        <v>5</v>
      </c>
      <c r="F1137" t="s">
        <v>3524</v>
      </c>
      <c r="G1137" t="s">
        <v>3517</v>
      </c>
      <c r="H1137">
        <v>0.5</v>
      </c>
      <c r="I1137">
        <v>7.2</v>
      </c>
      <c r="J1137">
        <v>36</v>
      </c>
    </row>
    <row r="1138" spans="1:10" x14ac:dyDescent="0.25">
      <c r="A1138" t="s">
        <v>3663</v>
      </c>
      <c r="B1138" s="3">
        <v>45129</v>
      </c>
      <c r="C1138" t="s">
        <v>929</v>
      </c>
      <c r="D1138" t="s">
        <v>3472</v>
      </c>
      <c r="E1138">
        <v>2</v>
      </c>
      <c r="F1138" t="s">
        <v>3526</v>
      </c>
      <c r="G1138" t="s">
        <v>3519</v>
      </c>
      <c r="H1138">
        <v>1</v>
      </c>
      <c r="I1138">
        <v>13.8</v>
      </c>
      <c r="J1138">
        <v>27.6</v>
      </c>
    </row>
    <row r="1139" spans="1:10" x14ac:dyDescent="0.25">
      <c r="A1139" t="s">
        <v>3664</v>
      </c>
      <c r="B1139" s="3">
        <v>45581</v>
      </c>
      <c r="C1139" t="s">
        <v>2639</v>
      </c>
      <c r="D1139" t="s">
        <v>3479</v>
      </c>
      <c r="E1139">
        <v>3</v>
      </c>
      <c r="F1139" t="s">
        <v>3526</v>
      </c>
      <c r="G1139" t="s">
        <v>3517</v>
      </c>
      <c r="H1139">
        <v>2.5</v>
      </c>
      <c r="I1139">
        <v>34.200000000000003</v>
      </c>
      <c r="J1139">
        <v>102.6</v>
      </c>
    </row>
    <row r="1140" spans="1:10" x14ac:dyDescent="0.25">
      <c r="A1140" t="s">
        <v>3665</v>
      </c>
      <c r="B1140" s="3">
        <v>44413</v>
      </c>
      <c r="C1140" t="s">
        <v>646</v>
      </c>
      <c r="D1140" t="s">
        <v>3497</v>
      </c>
      <c r="E1140">
        <v>5</v>
      </c>
      <c r="F1140" t="s">
        <v>3526</v>
      </c>
      <c r="G1140" t="s">
        <v>3519</v>
      </c>
      <c r="H1140">
        <v>2.5</v>
      </c>
      <c r="I1140">
        <v>31.6</v>
      </c>
      <c r="J1140">
        <v>158</v>
      </c>
    </row>
    <row r="1141" spans="1:10" x14ac:dyDescent="0.25">
      <c r="A1141" t="s">
        <v>3666</v>
      </c>
      <c r="B1141" s="3">
        <v>44668</v>
      </c>
      <c r="C1141" t="s">
        <v>2158</v>
      </c>
      <c r="D1141" t="s">
        <v>3508</v>
      </c>
      <c r="E1141">
        <v>2</v>
      </c>
      <c r="F1141" t="s">
        <v>3524</v>
      </c>
      <c r="G1141" t="s">
        <v>3518</v>
      </c>
      <c r="H1141">
        <v>1</v>
      </c>
      <c r="I1141">
        <v>9</v>
      </c>
      <c r="J1141">
        <v>18</v>
      </c>
    </row>
    <row r="1142" spans="1:10" x14ac:dyDescent="0.25">
      <c r="A1142" t="s">
        <v>3667</v>
      </c>
      <c r="B1142" s="3">
        <v>44255</v>
      </c>
      <c r="C1142" t="s">
        <v>2727</v>
      </c>
      <c r="D1142" t="s">
        <v>3492</v>
      </c>
      <c r="E1142">
        <v>5</v>
      </c>
      <c r="F1142" t="s">
        <v>3525</v>
      </c>
      <c r="G1142" t="s">
        <v>3517</v>
      </c>
      <c r="H1142">
        <v>0.5</v>
      </c>
      <c r="I1142">
        <v>9.5</v>
      </c>
      <c r="J1142">
        <v>47.5</v>
      </c>
    </row>
    <row r="1143" spans="1:10" x14ac:dyDescent="0.25">
      <c r="A1143" t="s">
        <v>3668</v>
      </c>
      <c r="B1143" s="3">
        <v>44909</v>
      </c>
      <c r="C1143" t="s">
        <v>1262</v>
      </c>
      <c r="D1143" t="s">
        <v>3472</v>
      </c>
      <c r="E1143">
        <v>6</v>
      </c>
      <c r="F1143" t="s">
        <v>3526</v>
      </c>
      <c r="G1143" t="s">
        <v>3519</v>
      </c>
      <c r="H1143">
        <v>1</v>
      </c>
      <c r="I1143">
        <v>13.8</v>
      </c>
      <c r="J1143">
        <v>82.8</v>
      </c>
    </row>
    <row r="1144" spans="1:10" x14ac:dyDescent="0.25">
      <c r="A1144" t="s">
        <v>3669</v>
      </c>
      <c r="B1144" s="3">
        <v>45242</v>
      </c>
      <c r="C1144" t="s">
        <v>731</v>
      </c>
      <c r="D1144" t="s">
        <v>3469</v>
      </c>
      <c r="E1144">
        <v>3</v>
      </c>
      <c r="F1144" t="s">
        <v>3524</v>
      </c>
      <c r="G1144" t="s">
        <v>3519</v>
      </c>
      <c r="H1144">
        <v>1</v>
      </c>
      <c r="I1144">
        <v>10</v>
      </c>
      <c r="J1144">
        <v>30</v>
      </c>
    </row>
    <row r="1145" spans="1:10" x14ac:dyDescent="0.25">
      <c r="A1145" t="s">
        <v>3670</v>
      </c>
      <c r="B1145" s="3">
        <v>45346</v>
      </c>
      <c r="C1145" t="s">
        <v>1582</v>
      </c>
      <c r="D1145" t="s">
        <v>3475</v>
      </c>
      <c r="E1145">
        <v>5</v>
      </c>
      <c r="F1145" t="s">
        <v>3526</v>
      </c>
      <c r="G1145" t="s">
        <v>3518</v>
      </c>
      <c r="H1145">
        <v>0.5</v>
      </c>
      <c r="I1145">
        <v>7.3</v>
      </c>
      <c r="J1145">
        <v>36.5</v>
      </c>
    </row>
    <row r="1146" spans="1:10" x14ac:dyDescent="0.25">
      <c r="A1146" t="s">
        <v>3671</v>
      </c>
      <c r="B1146" s="3">
        <v>43803</v>
      </c>
      <c r="C1146" t="s">
        <v>505</v>
      </c>
      <c r="D1146" t="s">
        <v>3489</v>
      </c>
      <c r="E1146">
        <v>2</v>
      </c>
      <c r="F1146" t="s">
        <v>3523</v>
      </c>
      <c r="G1146" t="s">
        <v>3518</v>
      </c>
      <c r="H1146">
        <v>0.5</v>
      </c>
      <c r="I1146">
        <v>6</v>
      </c>
      <c r="J1146">
        <v>12</v>
      </c>
    </row>
    <row r="1147" spans="1:10" x14ac:dyDescent="0.25">
      <c r="A1147" t="s">
        <v>3672</v>
      </c>
      <c r="B1147" s="3">
        <v>45121</v>
      </c>
      <c r="C1147" t="s">
        <v>3112</v>
      </c>
      <c r="D1147" t="s">
        <v>3482</v>
      </c>
      <c r="E1147">
        <v>4</v>
      </c>
      <c r="F1147" t="s">
        <v>3524</v>
      </c>
      <c r="G1147" t="s">
        <v>3519</v>
      </c>
      <c r="H1147">
        <v>2.5</v>
      </c>
      <c r="I1147">
        <v>22.9</v>
      </c>
      <c r="J1147">
        <v>91.6</v>
      </c>
    </row>
    <row r="1148" spans="1:10" x14ac:dyDescent="0.25">
      <c r="A1148" t="s">
        <v>3673</v>
      </c>
      <c r="B1148" s="3">
        <v>45436</v>
      </c>
      <c r="C1148" t="s">
        <v>1720</v>
      </c>
      <c r="D1148" t="s">
        <v>3492</v>
      </c>
      <c r="E1148">
        <v>1</v>
      </c>
      <c r="F1148" t="s">
        <v>3525</v>
      </c>
      <c r="G1148" t="s">
        <v>3517</v>
      </c>
      <c r="H1148">
        <v>0.5</v>
      </c>
      <c r="I1148">
        <v>9.5</v>
      </c>
      <c r="J1148">
        <v>9.5</v>
      </c>
    </row>
    <row r="1149" spans="1:10" x14ac:dyDescent="0.25">
      <c r="A1149" t="s">
        <v>3674</v>
      </c>
      <c r="B1149" s="3">
        <v>44020</v>
      </c>
      <c r="C1149" t="s">
        <v>3208</v>
      </c>
      <c r="D1149" t="s">
        <v>3512</v>
      </c>
      <c r="E1149">
        <v>2</v>
      </c>
      <c r="F1149" t="s">
        <v>3525</v>
      </c>
      <c r="G1149" t="s">
        <v>3519</v>
      </c>
      <c r="H1149">
        <v>2.5</v>
      </c>
      <c r="I1149">
        <v>33.5</v>
      </c>
      <c r="J1149">
        <v>67</v>
      </c>
    </row>
    <row r="1150" spans="1:10" x14ac:dyDescent="0.25">
      <c r="A1150" t="s">
        <v>3675</v>
      </c>
      <c r="B1150" s="3">
        <v>44683</v>
      </c>
      <c r="C1150" t="s">
        <v>1857</v>
      </c>
      <c r="D1150" t="s">
        <v>3475</v>
      </c>
      <c r="E1150">
        <v>3</v>
      </c>
      <c r="F1150" t="s">
        <v>3526</v>
      </c>
      <c r="G1150" t="s">
        <v>3518</v>
      </c>
      <c r="H1150">
        <v>0.5</v>
      </c>
      <c r="I1150">
        <v>7.3</v>
      </c>
      <c r="J1150">
        <v>21.9</v>
      </c>
    </row>
    <row r="1151" spans="1:10" x14ac:dyDescent="0.25">
      <c r="A1151" t="s">
        <v>3676</v>
      </c>
      <c r="B1151" s="3">
        <v>45444</v>
      </c>
      <c r="C1151" t="s">
        <v>2149</v>
      </c>
      <c r="D1151" t="s">
        <v>3498</v>
      </c>
      <c r="E1151">
        <v>2</v>
      </c>
      <c r="F1151" t="s">
        <v>3523</v>
      </c>
      <c r="G1151" t="s">
        <v>3517</v>
      </c>
      <c r="H1151">
        <v>0.2</v>
      </c>
      <c r="I1151">
        <v>3.9</v>
      </c>
      <c r="J1151">
        <v>7.8</v>
      </c>
    </row>
    <row r="1152" spans="1:10" x14ac:dyDescent="0.25">
      <c r="A1152" t="s">
        <v>3677</v>
      </c>
      <c r="B1152" s="3">
        <v>45369</v>
      </c>
      <c r="C1152" t="s">
        <v>832</v>
      </c>
      <c r="D1152" t="s">
        <v>3485</v>
      </c>
      <c r="E1152">
        <v>5</v>
      </c>
      <c r="F1152" t="s">
        <v>3523</v>
      </c>
      <c r="G1152" t="s">
        <v>3518</v>
      </c>
      <c r="H1152">
        <v>0.2</v>
      </c>
      <c r="I1152">
        <v>3</v>
      </c>
      <c r="J1152">
        <v>15</v>
      </c>
    </row>
    <row r="1153" spans="1:10" x14ac:dyDescent="0.25">
      <c r="A1153" t="s">
        <v>3678</v>
      </c>
      <c r="B1153" s="3">
        <v>43615</v>
      </c>
      <c r="C1153" t="s">
        <v>2275</v>
      </c>
      <c r="D1153" t="s">
        <v>3470</v>
      </c>
      <c r="E1153">
        <v>1</v>
      </c>
      <c r="F1153" t="s">
        <v>3526</v>
      </c>
      <c r="G1153" t="s">
        <v>3519</v>
      </c>
      <c r="H1153">
        <v>0.5</v>
      </c>
      <c r="I1153">
        <v>8.3000000000000007</v>
      </c>
      <c r="J1153">
        <v>8.3000000000000007</v>
      </c>
    </row>
    <row r="1154" spans="1:10" x14ac:dyDescent="0.25">
      <c r="A1154" t="s">
        <v>3679</v>
      </c>
      <c r="B1154" s="3">
        <v>44994</v>
      </c>
      <c r="C1154" t="s">
        <v>2134</v>
      </c>
      <c r="D1154" t="s">
        <v>3500</v>
      </c>
      <c r="E1154">
        <v>4</v>
      </c>
      <c r="F1154" t="s">
        <v>3525</v>
      </c>
      <c r="G1154" t="s">
        <v>3518</v>
      </c>
      <c r="H1154">
        <v>0.5</v>
      </c>
      <c r="I1154">
        <v>7.8</v>
      </c>
      <c r="J1154">
        <v>31.2</v>
      </c>
    </row>
    <row r="1155" spans="1:10" x14ac:dyDescent="0.25">
      <c r="A1155" t="s">
        <v>3680</v>
      </c>
      <c r="B1155" s="3">
        <v>45607</v>
      </c>
      <c r="C1155" t="s">
        <v>1779</v>
      </c>
      <c r="D1155" t="s">
        <v>3499</v>
      </c>
      <c r="E1155">
        <v>1</v>
      </c>
      <c r="F1155" t="s">
        <v>3523</v>
      </c>
      <c r="G1155" t="s">
        <v>3518</v>
      </c>
      <c r="H1155">
        <v>2.5</v>
      </c>
      <c r="I1155">
        <v>22.9</v>
      </c>
      <c r="J1155">
        <v>22.9</v>
      </c>
    </row>
    <row r="1156" spans="1:10" x14ac:dyDescent="0.25">
      <c r="A1156" t="s">
        <v>3681</v>
      </c>
      <c r="B1156" s="3">
        <v>45654</v>
      </c>
      <c r="C1156" t="s">
        <v>2003</v>
      </c>
      <c r="D1156" t="s">
        <v>3487</v>
      </c>
      <c r="E1156">
        <v>6</v>
      </c>
      <c r="F1156" t="s">
        <v>3526</v>
      </c>
      <c r="G1156" t="s">
        <v>3519</v>
      </c>
      <c r="H1156">
        <v>0.2</v>
      </c>
      <c r="I1156">
        <v>4.0999999999999996</v>
      </c>
      <c r="J1156">
        <v>24.6</v>
      </c>
    </row>
    <row r="1157" spans="1:10" x14ac:dyDescent="0.25">
      <c r="A1157" t="s">
        <v>3682</v>
      </c>
      <c r="B1157" s="3">
        <v>44570</v>
      </c>
      <c r="C1157" t="s">
        <v>511</v>
      </c>
      <c r="D1157" t="s">
        <v>3489</v>
      </c>
      <c r="E1157">
        <v>4</v>
      </c>
      <c r="F1157" t="s">
        <v>3523</v>
      </c>
      <c r="G1157" t="s">
        <v>3518</v>
      </c>
      <c r="H1157">
        <v>0.5</v>
      </c>
      <c r="I1157">
        <v>6</v>
      </c>
      <c r="J1157">
        <v>24</v>
      </c>
    </row>
    <row r="1158" spans="1:10" x14ac:dyDescent="0.25">
      <c r="A1158" t="s">
        <v>3683</v>
      </c>
      <c r="B1158" s="3">
        <v>45533</v>
      </c>
      <c r="C1158" t="s">
        <v>1402</v>
      </c>
      <c r="D1158" t="s">
        <v>3513</v>
      </c>
      <c r="E1158">
        <v>5</v>
      </c>
      <c r="F1158" t="s">
        <v>3523</v>
      </c>
      <c r="G1158" t="s">
        <v>3517</v>
      </c>
      <c r="H1158">
        <v>2.5</v>
      </c>
      <c r="I1158">
        <v>29.8</v>
      </c>
      <c r="J1158">
        <v>149</v>
      </c>
    </row>
    <row r="1159" spans="1:10" x14ac:dyDescent="0.25">
      <c r="A1159" t="s">
        <v>3684</v>
      </c>
      <c r="B1159" s="3">
        <v>44360</v>
      </c>
      <c r="C1159" t="s">
        <v>1842</v>
      </c>
      <c r="D1159" t="s">
        <v>3472</v>
      </c>
      <c r="E1159">
        <v>4</v>
      </c>
      <c r="F1159" t="s">
        <v>3526</v>
      </c>
      <c r="G1159" t="s">
        <v>3519</v>
      </c>
      <c r="H1159">
        <v>1</v>
      </c>
      <c r="I1159">
        <v>13.8</v>
      </c>
      <c r="J1159">
        <v>55.2</v>
      </c>
    </row>
    <row r="1160" spans="1:10" x14ac:dyDescent="0.25">
      <c r="A1160" t="s">
        <v>3685</v>
      </c>
      <c r="B1160" s="3">
        <v>44609</v>
      </c>
      <c r="C1160" t="s">
        <v>1473</v>
      </c>
      <c r="D1160" t="s">
        <v>3475</v>
      </c>
      <c r="E1160">
        <v>2</v>
      </c>
      <c r="F1160" t="s">
        <v>3526</v>
      </c>
      <c r="G1160" t="s">
        <v>3518</v>
      </c>
      <c r="H1160">
        <v>0.5</v>
      </c>
      <c r="I1160">
        <v>7.3</v>
      </c>
      <c r="J1160">
        <v>14.6</v>
      </c>
    </row>
    <row r="1161" spans="1:10" x14ac:dyDescent="0.25">
      <c r="A1161" t="s">
        <v>3686</v>
      </c>
      <c r="B1161" s="3">
        <v>43539</v>
      </c>
      <c r="C1161" t="s">
        <v>1936</v>
      </c>
      <c r="D1161" t="s">
        <v>3502</v>
      </c>
      <c r="E1161">
        <v>2</v>
      </c>
      <c r="F1161" t="s">
        <v>3526</v>
      </c>
      <c r="G1161" t="s">
        <v>3517</v>
      </c>
      <c r="H1161">
        <v>1</v>
      </c>
      <c r="I1161">
        <v>14.9</v>
      </c>
      <c r="J1161">
        <v>29.8</v>
      </c>
    </row>
    <row r="1162" spans="1:10" x14ac:dyDescent="0.25">
      <c r="A1162" t="s">
        <v>3687</v>
      </c>
      <c r="B1162" s="3">
        <v>43916</v>
      </c>
      <c r="C1162" t="s">
        <v>1223</v>
      </c>
      <c r="D1162" t="s">
        <v>3469</v>
      </c>
      <c r="E1162">
        <v>4</v>
      </c>
      <c r="F1162" t="s">
        <v>3524</v>
      </c>
      <c r="G1162" t="s">
        <v>3519</v>
      </c>
      <c r="H1162">
        <v>1</v>
      </c>
      <c r="I1162">
        <v>10</v>
      </c>
      <c r="J1162">
        <v>40</v>
      </c>
    </row>
    <row r="1163" spans="1:10" x14ac:dyDescent="0.25">
      <c r="A1163" t="s">
        <v>3688</v>
      </c>
      <c r="B1163" s="3">
        <v>44391</v>
      </c>
      <c r="C1163" t="s">
        <v>1813</v>
      </c>
      <c r="D1163" t="s">
        <v>3486</v>
      </c>
      <c r="E1163">
        <v>5</v>
      </c>
      <c r="F1163" t="s">
        <v>3523</v>
      </c>
      <c r="G1163" t="s">
        <v>3519</v>
      </c>
      <c r="H1163">
        <v>1</v>
      </c>
      <c r="I1163">
        <v>11.3</v>
      </c>
      <c r="J1163">
        <v>56.5</v>
      </c>
    </row>
    <row r="1164" spans="1:10" x14ac:dyDescent="0.25">
      <c r="A1164" t="s">
        <v>3689</v>
      </c>
      <c r="B1164" s="3">
        <v>45454</v>
      </c>
      <c r="C1164" t="s">
        <v>808</v>
      </c>
      <c r="D1164" t="s">
        <v>3487</v>
      </c>
      <c r="E1164">
        <v>1</v>
      </c>
      <c r="F1164" t="s">
        <v>3526</v>
      </c>
      <c r="G1164" t="s">
        <v>3519</v>
      </c>
      <c r="H1164">
        <v>0.2</v>
      </c>
      <c r="I1164">
        <v>4.0999999999999996</v>
      </c>
      <c r="J1164">
        <v>4.0999999999999996</v>
      </c>
    </row>
    <row r="1165" spans="1:10" x14ac:dyDescent="0.25">
      <c r="A1165" t="s">
        <v>3690</v>
      </c>
      <c r="B1165" s="3">
        <v>45222</v>
      </c>
      <c r="C1165" t="s">
        <v>626</v>
      </c>
      <c r="D1165" t="s">
        <v>3497</v>
      </c>
      <c r="E1165">
        <v>1</v>
      </c>
      <c r="F1165" t="s">
        <v>3526</v>
      </c>
      <c r="G1165" t="s">
        <v>3519</v>
      </c>
      <c r="H1165">
        <v>2.5</v>
      </c>
      <c r="I1165">
        <v>31.6</v>
      </c>
      <c r="J1165">
        <v>31.6</v>
      </c>
    </row>
    <row r="1166" spans="1:10" x14ac:dyDescent="0.25">
      <c r="A1166" t="s">
        <v>3691</v>
      </c>
      <c r="B1166" s="3">
        <v>45321</v>
      </c>
      <c r="C1166" t="s">
        <v>1151</v>
      </c>
      <c r="D1166" t="s">
        <v>3505</v>
      </c>
      <c r="E1166">
        <v>5</v>
      </c>
      <c r="F1166" t="s">
        <v>3524</v>
      </c>
      <c r="G1166" t="s">
        <v>3519</v>
      </c>
      <c r="H1166">
        <v>0.2</v>
      </c>
      <c r="I1166">
        <v>3</v>
      </c>
      <c r="J1166">
        <v>15</v>
      </c>
    </row>
    <row r="1167" spans="1:10" x14ac:dyDescent="0.25">
      <c r="A1167" t="s">
        <v>3692</v>
      </c>
      <c r="B1167" s="3">
        <v>45394</v>
      </c>
      <c r="C1167" t="s">
        <v>2596</v>
      </c>
      <c r="D1167" t="s">
        <v>3514</v>
      </c>
      <c r="E1167">
        <v>1</v>
      </c>
      <c r="F1167" t="s">
        <v>3526</v>
      </c>
      <c r="G1167" t="s">
        <v>3518</v>
      </c>
      <c r="H1167">
        <v>1</v>
      </c>
      <c r="I1167">
        <v>12.2</v>
      </c>
      <c r="J1167">
        <v>12.2</v>
      </c>
    </row>
    <row r="1168" spans="1:10" x14ac:dyDescent="0.25">
      <c r="A1168" t="s">
        <v>3693</v>
      </c>
      <c r="B1168" s="3">
        <v>45056</v>
      </c>
      <c r="C1168" t="s">
        <v>2745</v>
      </c>
      <c r="D1168" t="s">
        <v>3471</v>
      </c>
      <c r="E1168">
        <v>1</v>
      </c>
      <c r="F1168" t="s">
        <v>3523</v>
      </c>
      <c r="G1168" t="s">
        <v>3517</v>
      </c>
      <c r="H1168">
        <v>1</v>
      </c>
      <c r="I1168">
        <v>13</v>
      </c>
      <c r="J1168">
        <v>13</v>
      </c>
    </row>
    <row r="1169" spans="1:10" x14ac:dyDescent="0.25">
      <c r="A1169" t="s">
        <v>3694</v>
      </c>
      <c r="B1169" s="3">
        <v>43704</v>
      </c>
      <c r="C1169" t="s">
        <v>2639</v>
      </c>
      <c r="D1169" t="s">
        <v>3475</v>
      </c>
      <c r="E1169">
        <v>4</v>
      </c>
      <c r="F1169" t="s">
        <v>3526</v>
      </c>
      <c r="G1169" t="s">
        <v>3518</v>
      </c>
      <c r="H1169">
        <v>0.5</v>
      </c>
      <c r="I1169">
        <v>7.3</v>
      </c>
      <c r="J1169">
        <v>29.2</v>
      </c>
    </row>
    <row r="1170" spans="1:10" x14ac:dyDescent="0.25">
      <c r="A1170" t="s">
        <v>3695</v>
      </c>
      <c r="B1170" s="3">
        <v>45083</v>
      </c>
      <c r="C1170" t="s">
        <v>2915</v>
      </c>
      <c r="D1170" t="s">
        <v>3516</v>
      </c>
      <c r="E1170">
        <v>2</v>
      </c>
      <c r="F1170" t="s">
        <v>3526</v>
      </c>
      <c r="G1170" t="s">
        <v>3518</v>
      </c>
      <c r="H1170">
        <v>2.5</v>
      </c>
      <c r="I1170">
        <v>27.9</v>
      </c>
      <c r="J1170">
        <v>55.8</v>
      </c>
    </row>
    <row r="1171" spans="1:10" x14ac:dyDescent="0.25">
      <c r="A1171" t="s">
        <v>3696</v>
      </c>
      <c r="B1171" s="3">
        <v>44002</v>
      </c>
      <c r="C1171" t="s">
        <v>1538</v>
      </c>
      <c r="D1171" t="s">
        <v>3491</v>
      </c>
      <c r="E1171">
        <v>4</v>
      </c>
      <c r="F1171" t="s">
        <v>3525</v>
      </c>
      <c r="G1171" t="s">
        <v>3519</v>
      </c>
      <c r="H1171">
        <v>0.5</v>
      </c>
      <c r="I1171">
        <v>8.6999999999999993</v>
      </c>
      <c r="J1171">
        <v>34.799999999999997</v>
      </c>
    </row>
    <row r="1172" spans="1:10" x14ac:dyDescent="0.25">
      <c r="A1172" t="s">
        <v>3697</v>
      </c>
      <c r="B1172" s="3">
        <v>44850</v>
      </c>
      <c r="C1172" t="s">
        <v>1893</v>
      </c>
      <c r="D1172" t="s">
        <v>3492</v>
      </c>
      <c r="E1172">
        <v>3</v>
      </c>
      <c r="F1172" t="s">
        <v>3525</v>
      </c>
      <c r="G1172" t="s">
        <v>3517</v>
      </c>
      <c r="H1172">
        <v>0.5</v>
      </c>
      <c r="I1172">
        <v>9.5</v>
      </c>
      <c r="J1172">
        <v>28.5</v>
      </c>
    </row>
    <row r="1173" spans="1:10" x14ac:dyDescent="0.25">
      <c r="A1173" t="s">
        <v>3698</v>
      </c>
      <c r="B1173" s="3">
        <v>45410</v>
      </c>
      <c r="C1173" t="s">
        <v>1112</v>
      </c>
      <c r="D1173" t="s">
        <v>3487</v>
      </c>
      <c r="E1173">
        <v>2</v>
      </c>
      <c r="F1173" t="s">
        <v>3526</v>
      </c>
      <c r="G1173" t="s">
        <v>3519</v>
      </c>
      <c r="H1173">
        <v>0.2</v>
      </c>
      <c r="I1173">
        <v>4.0999999999999996</v>
      </c>
      <c r="J1173">
        <v>8.1999999999999993</v>
      </c>
    </row>
    <row r="1174" spans="1:10" x14ac:dyDescent="0.25">
      <c r="A1174" t="s">
        <v>3699</v>
      </c>
      <c r="B1174" s="3">
        <v>44226</v>
      </c>
      <c r="C1174" t="s">
        <v>990</v>
      </c>
      <c r="D1174" t="s">
        <v>3486</v>
      </c>
      <c r="E1174">
        <v>2</v>
      </c>
      <c r="F1174" t="s">
        <v>3523</v>
      </c>
      <c r="G1174" t="s">
        <v>3519</v>
      </c>
      <c r="H1174">
        <v>1</v>
      </c>
      <c r="I1174">
        <v>11.3</v>
      </c>
      <c r="J1174">
        <v>22.6</v>
      </c>
    </row>
    <row r="1175" spans="1:10" x14ac:dyDescent="0.25">
      <c r="A1175" t="s">
        <v>3700</v>
      </c>
      <c r="B1175" s="3">
        <v>44926</v>
      </c>
      <c r="C1175" t="s">
        <v>893</v>
      </c>
      <c r="D1175" t="s">
        <v>3479</v>
      </c>
      <c r="E1175">
        <v>4</v>
      </c>
      <c r="F1175" t="s">
        <v>3526</v>
      </c>
      <c r="G1175" t="s">
        <v>3517</v>
      </c>
      <c r="H1175">
        <v>2.5</v>
      </c>
      <c r="I1175">
        <v>34.200000000000003</v>
      </c>
      <c r="J1175">
        <v>136.80000000000001</v>
      </c>
    </row>
    <row r="1176" spans="1:10" x14ac:dyDescent="0.25">
      <c r="A1176" t="s">
        <v>3701</v>
      </c>
      <c r="B1176" s="3">
        <v>44584</v>
      </c>
      <c r="C1176" t="s">
        <v>2816</v>
      </c>
      <c r="D1176" t="s">
        <v>3507</v>
      </c>
      <c r="E1176">
        <v>1</v>
      </c>
      <c r="F1176" t="s">
        <v>3526</v>
      </c>
      <c r="G1176" t="s">
        <v>3517</v>
      </c>
      <c r="H1176">
        <v>0.5</v>
      </c>
      <c r="I1176">
        <v>8.9</v>
      </c>
      <c r="J1176">
        <v>8.9</v>
      </c>
    </row>
    <row r="1177" spans="1:10" x14ac:dyDescent="0.25">
      <c r="A1177" t="s">
        <v>3702</v>
      </c>
      <c r="B1177" s="3">
        <v>44922</v>
      </c>
      <c r="C1177" t="s">
        <v>1461</v>
      </c>
      <c r="D1177" t="s">
        <v>3489</v>
      </c>
      <c r="E1177">
        <v>1</v>
      </c>
      <c r="F1177" t="s">
        <v>3523</v>
      </c>
      <c r="G1177" t="s">
        <v>3518</v>
      </c>
      <c r="H1177">
        <v>0.5</v>
      </c>
      <c r="I1177">
        <v>6</v>
      </c>
      <c r="J1177">
        <v>6</v>
      </c>
    </row>
    <row r="1178" spans="1:10" x14ac:dyDescent="0.25">
      <c r="A1178" t="s">
        <v>3703</v>
      </c>
      <c r="B1178" s="3">
        <v>45142</v>
      </c>
      <c r="C1178" t="s">
        <v>909</v>
      </c>
      <c r="D1178" t="s">
        <v>3502</v>
      </c>
      <c r="E1178">
        <v>2</v>
      </c>
      <c r="F1178" t="s">
        <v>3526</v>
      </c>
      <c r="G1178" t="s">
        <v>3517</v>
      </c>
      <c r="H1178">
        <v>1</v>
      </c>
      <c r="I1178">
        <v>14.9</v>
      </c>
      <c r="J1178">
        <v>29.8</v>
      </c>
    </row>
    <row r="1179" spans="1:10" x14ac:dyDescent="0.25">
      <c r="A1179" t="s">
        <v>3704</v>
      </c>
      <c r="B1179" s="3">
        <v>45186</v>
      </c>
      <c r="C1179" t="s">
        <v>1939</v>
      </c>
      <c r="D1179" t="s">
        <v>3503</v>
      </c>
      <c r="E1179">
        <v>5</v>
      </c>
      <c r="F1179" t="s">
        <v>3524</v>
      </c>
      <c r="G1179" t="s">
        <v>3518</v>
      </c>
      <c r="H1179">
        <v>0.5</v>
      </c>
      <c r="I1179">
        <v>5.4</v>
      </c>
      <c r="J1179">
        <v>27</v>
      </c>
    </row>
    <row r="1180" spans="1:10" x14ac:dyDescent="0.25">
      <c r="A1180" t="s">
        <v>3705</v>
      </c>
      <c r="B1180" s="3">
        <v>45563</v>
      </c>
      <c r="C1180" t="s">
        <v>841</v>
      </c>
      <c r="D1180" t="s">
        <v>3476</v>
      </c>
      <c r="E1180">
        <v>4</v>
      </c>
      <c r="F1180" t="s">
        <v>3525</v>
      </c>
      <c r="G1180" t="s">
        <v>3517</v>
      </c>
      <c r="H1180">
        <v>0.2</v>
      </c>
      <c r="I1180">
        <v>4.8</v>
      </c>
      <c r="J1180">
        <v>19.2</v>
      </c>
    </row>
    <row r="1181" spans="1:10" x14ac:dyDescent="0.25">
      <c r="A1181" t="s">
        <v>3706</v>
      </c>
      <c r="B1181" s="3">
        <v>44145</v>
      </c>
      <c r="C1181" t="s">
        <v>1881</v>
      </c>
      <c r="D1181" t="s">
        <v>3472</v>
      </c>
      <c r="E1181">
        <v>6</v>
      </c>
      <c r="F1181" t="s">
        <v>3526</v>
      </c>
      <c r="G1181" t="s">
        <v>3519</v>
      </c>
      <c r="H1181">
        <v>1</v>
      </c>
      <c r="I1181">
        <v>13.8</v>
      </c>
      <c r="J1181">
        <v>82.8</v>
      </c>
    </row>
    <row r="1182" spans="1:10" x14ac:dyDescent="0.25">
      <c r="A1182" t="s">
        <v>3707</v>
      </c>
      <c r="B1182" s="3">
        <v>43686</v>
      </c>
      <c r="C1182" t="s">
        <v>1666</v>
      </c>
      <c r="D1182" t="s">
        <v>3510</v>
      </c>
      <c r="E1182">
        <v>4</v>
      </c>
      <c r="F1182" t="s">
        <v>3524</v>
      </c>
      <c r="G1182" t="s">
        <v>3517</v>
      </c>
      <c r="H1182">
        <v>1</v>
      </c>
      <c r="I1182">
        <v>12</v>
      </c>
      <c r="J1182">
        <v>48</v>
      </c>
    </row>
    <row r="1183" spans="1:10" x14ac:dyDescent="0.25">
      <c r="A1183" t="s">
        <v>3708</v>
      </c>
      <c r="B1183" s="3">
        <v>45028</v>
      </c>
      <c r="C1183" t="s">
        <v>1564</v>
      </c>
      <c r="D1183" t="s">
        <v>3507</v>
      </c>
      <c r="E1183">
        <v>3</v>
      </c>
      <c r="F1183" t="s">
        <v>3526</v>
      </c>
      <c r="G1183" t="s">
        <v>3517</v>
      </c>
      <c r="H1183">
        <v>0.5</v>
      </c>
      <c r="I1183">
        <v>8.9</v>
      </c>
      <c r="J1183">
        <v>26.7</v>
      </c>
    </row>
    <row r="1184" spans="1:10" x14ac:dyDescent="0.25">
      <c r="A1184" t="s">
        <v>3709</v>
      </c>
      <c r="B1184" s="3">
        <v>43700</v>
      </c>
      <c r="C1184" t="s">
        <v>2215</v>
      </c>
      <c r="D1184" t="s">
        <v>3476</v>
      </c>
      <c r="E1184">
        <v>3</v>
      </c>
      <c r="F1184" t="s">
        <v>3525</v>
      </c>
      <c r="G1184" t="s">
        <v>3517</v>
      </c>
      <c r="H1184">
        <v>0.2</v>
      </c>
      <c r="I1184">
        <v>4.8</v>
      </c>
      <c r="J1184">
        <v>14.4</v>
      </c>
    </row>
    <row r="1185" spans="1:10" x14ac:dyDescent="0.25">
      <c r="A1185" t="s">
        <v>3710</v>
      </c>
      <c r="B1185" s="3">
        <v>45479</v>
      </c>
      <c r="C1185" t="s">
        <v>1479</v>
      </c>
      <c r="D1185" t="s">
        <v>3505</v>
      </c>
      <c r="E1185">
        <v>3</v>
      </c>
      <c r="F1185" t="s">
        <v>3524</v>
      </c>
      <c r="G1185" t="s">
        <v>3519</v>
      </c>
      <c r="H1185">
        <v>0.2</v>
      </c>
      <c r="I1185">
        <v>3</v>
      </c>
      <c r="J1185">
        <v>9</v>
      </c>
    </row>
    <row r="1186" spans="1:10" x14ac:dyDescent="0.25">
      <c r="A1186" t="s">
        <v>3711</v>
      </c>
      <c r="B1186" s="3">
        <v>45637</v>
      </c>
      <c r="C1186" t="s">
        <v>2062</v>
      </c>
      <c r="D1186" t="s">
        <v>3495</v>
      </c>
      <c r="E1186">
        <v>5</v>
      </c>
      <c r="F1186" t="s">
        <v>3525</v>
      </c>
      <c r="G1186" t="s">
        <v>3517</v>
      </c>
      <c r="H1186">
        <v>2.5</v>
      </c>
      <c r="I1186">
        <v>36.5</v>
      </c>
      <c r="J1186">
        <v>182.5</v>
      </c>
    </row>
    <row r="1187" spans="1:10" x14ac:dyDescent="0.25">
      <c r="A1187" t="s">
        <v>3712</v>
      </c>
      <c r="B1187" s="3">
        <v>43620</v>
      </c>
      <c r="C1187" t="s">
        <v>555</v>
      </c>
      <c r="D1187" t="s">
        <v>3501</v>
      </c>
      <c r="E1187">
        <v>2</v>
      </c>
      <c r="F1187" t="s">
        <v>3525</v>
      </c>
      <c r="G1187" t="s">
        <v>3517</v>
      </c>
      <c r="H1187">
        <v>1</v>
      </c>
      <c r="I1187">
        <v>15.9</v>
      </c>
      <c r="J1187">
        <v>31.8</v>
      </c>
    </row>
    <row r="1188" spans="1:10" x14ac:dyDescent="0.25">
      <c r="A1188" t="s">
        <v>3713</v>
      </c>
      <c r="B1188" s="3">
        <v>44010</v>
      </c>
      <c r="C1188" t="s">
        <v>2473</v>
      </c>
      <c r="D1188" t="s">
        <v>3474</v>
      </c>
      <c r="E1188">
        <v>3</v>
      </c>
      <c r="F1188" t="s">
        <v>3525</v>
      </c>
      <c r="G1188" t="s">
        <v>3518</v>
      </c>
      <c r="H1188">
        <v>1</v>
      </c>
      <c r="I1188">
        <v>13</v>
      </c>
      <c r="J1188">
        <v>39</v>
      </c>
    </row>
    <row r="1189" spans="1:10" x14ac:dyDescent="0.25">
      <c r="A1189" t="s">
        <v>3714</v>
      </c>
      <c r="B1189" s="3">
        <v>45159</v>
      </c>
      <c r="C1189" t="s">
        <v>2128</v>
      </c>
      <c r="D1189" t="s">
        <v>3474</v>
      </c>
      <c r="E1189">
        <v>6</v>
      </c>
      <c r="F1189" t="s">
        <v>3525</v>
      </c>
      <c r="G1189" t="s">
        <v>3518</v>
      </c>
      <c r="H1189">
        <v>1</v>
      </c>
      <c r="I1189">
        <v>13</v>
      </c>
      <c r="J1189">
        <v>78</v>
      </c>
    </row>
    <row r="1190" spans="1:10" x14ac:dyDescent="0.25">
      <c r="A1190" t="s">
        <v>3715</v>
      </c>
      <c r="B1190" s="3">
        <v>43702</v>
      </c>
      <c r="C1190" t="s">
        <v>561</v>
      </c>
      <c r="D1190" t="s">
        <v>3495</v>
      </c>
      <c r="E1190">
        <v>6</v>
      </c>
      <c r="F1190" t="s">
        <v>3525</v>
      </c>
      <c r="G1190" t="s">
        <v>3517</v>
      </c>
      <c r="H1190">
        <v>2.5</v>
      </c>
      <c r="I1190">
        <v>36.5</v>
      </c>
      <c r="J1190">
        <v>219</v>
      </c>
    </row>
    <row r="1191" spans="1:10" x14ac:dyDescent="0.25">
      <c r="A1191" t="s">
        <v>3716</v>
      </c>
      <c r="B1191" s="3">
        <v>45352</v>
      </c>
      <c r="C1191" t="s">
        <v>1921</v>
      </c>
      <c r="D1191" t="s">
        <v>3482</v>
      </c>
      <c r="E1191">
        <v>6</v>
      </c>
      <c r="F1191" t="s">
        <v>3524</v>
      </c>
      <c r="G1191" t="s">
        <v>3519</v>
      </c>
      <c r="H1191">
        <v>2.5</v>
      </c>
      <c r="I1191">
        <v>22.9</v>
      </c>
      <c r="J1191">
        <v>137.4</v>
      </c>
    </row>
    <row r="1192" spans="1:10" x14ac:dyDescent="0.25">
      <c r="A1192" t="s">
        <v>3717</v>
      </c>
      <c r="B1192" s="3">
        <v>44063</v>
      </c>
      <c r="C1192" t="s">
        <v>3010</v>
      </c>
      <c r="D1192" t="s">
        <v>3499</v>
      </c>
      <c r="E1192">
        <v>1</v>
      </c>
      <c r="F1192" t="s">
        <v>3523</v>
      </c>
      <c r="G1192" t="s">
        <v>3518</v>
      </c>
      <c r="H1192">
        <v>2.5</v>
      </c>
      <c r="I1192">
        <v>22.9</v>
      </c>
      <c r="J1192">
        <v>22.9</v>
      </c>
    </row>
    <row r="1193" spans="1:10" x14ac:dyDescent="0.25">
      <c r="A1193" t="s">
        <v>3718</v>
      </c>
      <c r="B1193" s="3">
        <v>45016</v>
      </c>
      <c r="C1193" t="s">
        <v>1134</v>
      </c>
      <c r="D1193" t="s">
        <v>3487</v>
      </c>
      <c r="E1193">
        <v>6</v>
      </c>
      <c r="F1193" t="s">
        <v>3526</v>
      </c>
      <c r="G1193" t="s">
        <v>3519</v>
      </c>
      <c r="H1193">
        <v>0.2</v>
      </c>
      <c r="I1193">
        <v>4.0999999999999996</v>
      </c>
      <c r="J1193">
        <v>24.6</v>
      </c>
    </row>
    <row r="1194" spans="1:10" x14ac:dyDescent="0.25">
      <c r="A1194" t="s">
        <v>3719</v>
      </c>
      <c r="B1194" s="3">
        <v>45276</v>
      </c>
      <c r="C1194" t="s">
        <v>1214</v>
      </c>
      <c r="D1194" t="s">
        <v>3514</v>
      </c>
      <c r="E1194">
        <v>1</v>
      </c>
      <c r="F1194" t="s">
        <v>3526</v>
      </c>
      <c r="G1194" t="s">
        <v>3518</v>
      </c>
      <c r="H1194">
        <v>1</v>
      </c>
      <c r="I1194">
        <v>12.2</v>
      </c>
      <c r="J1194">
        <v>12.2</v>
      </c>
    </row>
    <row r="1195" spans="1:10" x14ac:dyDescent="0.25">
      <c r="A1195" t="s">
        <v>3720</v>
      </c>
      <c r="B1195" s="3">
        <v>44713</v>
      </c>
      <c r="C1195" t="s">
        <v>1318</v>
      </c>
      <c r="D1195" t="s">
        <v>3478</v>
      </c>
      <c r="E1195">
        <v>1</v>
      </c>
      <c r="F1195" t="s">
        <v>3523</v>
      </c>
      <c r="G1195" t="s">
        <v>3518</v>
      </c>
      <c r="H1195">
        <v>1</v>
      </c>
      <c r="I1195">
        <v>10</v>
      </c>
      <c r="J1195">
        <v>10</v>
      </c>
    </row>
    <row r="1196" spans="1:10" x14ac:dyDescent="0.25">
      <c r="A1196" t="s">
        <v>3721</v>
      </c>
      <c r="B1196" s="3">
        <v>45122</v>
      </c>
      <c r="C1196" t="s">
        <v>2128</v>
      </c>
      <c r="D1196" t="s">
        <v>3476</v>
      </c>
      <c r="E1196">
        <v>3</v>
      </c>
      <c r="F1196" t="s">
        <v>3525</v>
      </c>
      <c r="G1196" t="s">
        <v>3517</v>
      </c>
      <c r="H1196">
        <v>0.2</v>
      </c>
      <c r="I1196">
        <v>4.8</v>
      </c>
      <c r="J1196">
        <v>14.4</v>
      </c>
    </row>
    <row r="1197" spans="1:10" x14ac:dyDescent="0.25">
      <c r="A1197" t="s">
        <v>3722</v>
      </c>
      <c r="B1197" s="3">
        <v>44646</v>
      </c>
      <c r="C1197" t="s">
        <v>1103</v>
      </c>
      <c r="D1197" t="s">
        <v>3496</v>
      </c>
      <c r="E1197">
        <v>4</v>
      </c>
      <c r="F1197" t="s">
        <v>3525</v>
      </c>
      <c r="G1197" t="s">
        <v>3518</v>
      </c>
      <c r="H1197">
        <v>2.5</v>
      </c>
      <c r="I1197">
        <v>29.8</v>
      </c>
      <c r="J1197">
        <v>119.2</v>
      </c>
    </row>
    <row r="1198" spans="1:10" x14ac:dyDescent="0.25">
      <c r="A1198" t="s">
        <v>3723</v>
      </c>
      <c r="B1198" s="3">
        <v>45019</v>
      </c>
      <c r="C1198" t="s">
        <v>2621</v>
      </c>
      <c r="D1198" t="s">
        <v>3479</v>
      </c>
      <c r="E1198">
        <v>3</v>
      </c>
      <c r="F1198" t="s">
        <v>3526</v>
      </c>
      <c r="G1198" t="s">
        <v>3517</v>
      </c>
      <c r="H1198">
        <v>2.5</v>
      </c>
      <c r="I1198">
        <v>34.200000000000003</v>
      </c>
      <c r="J1198">
        <v>102.6</v>
      </c>
    </row>
    <row r="1199" spans="1:10" x14ac:dyDescent="0.25">
      <c r="A1199" t="s">
        <v>3724</v>
      </c>
      <c r="B1199" s="3">
        <v>44222</v>
      </c>
      <c r="C1199" t="s">
        <v>3309</v>
      </c>
      <c r="D1199" t="s">
        <v>3502</v>
      </c>
      <c r="E1199">
        <v>2</v>
      </c>
      <c r="F1199" t="s">
        <v>3526</v>
      </c>
      <c r="G1199" t="s">
        <v>3517</v>
      </c>
      <c r="H1199">
        <v>1</v>
      </c>
      <c r="I1199">
        <v>14.9</v>
      </c>
      <c r="J1199">
        <v>29.8</v>
      </c>
    </row>
    <row r="1200" spans="1:10" x14ac:dyDescent="0.25">
      <c r="A1200" t="s">
        <v>3725</v>
      </c>
      <c r="B1200" s="3">
        <v>45214</v>
      </c>
      <c r="C1200" t="s">
        <v>2287</v>
      </c>
      <c r="D1200" t="s">
        <v>3469</v>
      </c>
      <c r="E1200">
        <v>5</v>
      </c>
      <c r="F1200" t="s">
        <v>3524</v>
      </c>
      <c r="G1200" t="s">
        <v>3519</v>
      </c>
      <c r="H1200">
        <v>1</v>
      </c>
      <c r="I1200">
        <v>10</v>
      </c>
      <c r="J1200">
        <v>50</v>
      </c>
    </row>
    <row r="1201" spans="1:10" x14ac:dyDescent="0.25">
      <c r="A1201" t="s">
        <v>3726</v>
      </c>
      <c r="B1201" s="3">
        <v>44181</v>
      </c>
      <c r="C1201" t="s">
        <v>1293</v>
      </c>
      <c r="D1201" t="s">
        <v>3486</v>
      </c>
      <c r="E1201">
        <v>2</v>
      </c>
      <c r="F1201" t="s">
        <v>3523</v>
      </c>
      <c r="G1201" t="s">
        <v>3519</v>
      </c>
      <c r="H1201">
        <v>1</v>
      </c>
      <c r="I1201">
        <v>11.3</v>
      </c>
      <c r="J1201">
        <v>22.6</v>
      </c>
    </row>
    <row r="1202" spans="1:10" x14ac:dyDescent="0.25">
      <c r="A1202" t="s">
        <v>3727</v>
      </c>
      <c r="B1202" s="3">
        <v>45005</v>
      </c>
      <c r="C1202" t="s">
        <v>2435</v>
      </c>
      <c r="D1202" t="s">
        <v>3474</v>
      </c>
      <c r="E1202">
        <v>4</v>
      </c>
      <c r="F1202" t="s">
        <v>3525</v>
      </c>
      <c r="G1202" t="s">
        <v>3518</v>
      </c>
      <c r="H1202">
        <v>1</v>
      </c>
      <c r="I1202">
        <v>13</v>
      </c>
      <c r="J1202">
        <v>52</v>
      </c>
    </row>
    <row r="1203" spans="1:10" x14ac:dyDescent="0.25">
      <c r="A1203" t="s">
        <v>3728</v>
      </c>
      <c r="B1203" s="3">
        <v>45483</v>
      </c>
      <c r="C1203" t="s">
        <v>1476</v>
      </c>
      <c r="D1203" t="s">
        <v>3510</v>
      </c>
      <c r="E1203">
        <v>4</v>
      </c>
      <c r="F1203" t="s">
        <v>3524</v>
      </c>
      <c r="G1203" t="s">
        <v>3517</v>
      </c>
      <c r="H1203">
        <v>1</v>
      </c>
      <c r="I1203">
        <v>12</v>
      </c>
      <c r="J1203">
        <v>48</v>
      </c>
    </row>
    <row r="1204" spans="1:10" x14ac:dyDescent="0.25">
      <c r="A1204" t="s">
        <v>3729</v>
      </c>
      <c r="B1204" s="3">
        <v>43623</v>
      </c>
      <c r="C1204" t="s">
        <v>1945</v>
      </c>
      <c r="D1204" t="s">
        <v>3486</v>
      </c>
      <c r="E1204">
        <v>6</v>
      </c>
      <c r="F1204" t="s">
        <v>3523</v>
      </c>
      <c r="G1204" t="s">
        <v>3519</v>
      </c>
      <c r="H1204">
        <v>1</v>
      </c>
      <c r="I1204">
        <v>11.3</v>
      </c>
      <c r="J1204">
        <v>67.8</v>
      </c>
    </row>
    <row r="1205" spans="1:10" x14ac:dyDescent="0.25">
      <c r="A1205" t="s">
        <v>3730</v>
      </c>
      <c r="B1205" s="3">
        <v>43661</v>
      </c>
      <c r="C1205" t="s">
        <v>2888</v>
      </c>
      <c r="D1205" t="s">
        <v>3492</v>
      </c>
      <c r="E1205">
        <v>2</v>
      </c>
      <c r="F1205" t="s">
        <v>3525</v>
      </c>
      <c r="G1205" t="s">
        <v>3517</v>
      </c>
      <c r="H1205">
        <v>0.5</v>
      </c>
      <c r="I1205">
        <v>9.5</v>
      </c>
      <c r="J1205">
        <v>19</v>
      </c>
    </row>
    <row r="1206" spans="1:10" x14ac:dyDescent="0.25">
      <c r="A1206" t="s">
        <v>3731</v>
      </c>
      <c r="B1206" s="3">
        <v>44879</v>
      </c>
      <c r="C1206" t="s">
        <v>2904</v>
      </c>
      <c r="D1206" t="s">
        <v>3484</v>
      </c>
      <c r="E1206">
        <v>3</v>
      </c>
      <c r="F1206" t="s">
        <v>3526</v>
      </c>
      <c r="G1206" t="s">
        <v>3518</v>
      </c>
      <c r="H1206">
        <v>0.2</v>
      </c>
      <c r="I1206">
        <v>3.6</v>
      </c>
      <c r="J1206">
        <v>10.8</v>
      </c>
    </row>
    <row r="1207" spans="1:10" x14ac:dyDescent="0.25">
      <c r="A1207" t="s">
        <v>3732</v>
      </c>
      <c r="B1207" s="3">
        <v>44714</v>
      </c>
      <c r="C1207" t="s">
        <v>881</v>
      </c>
      <c r="D1207" t="s">
        <v>3497</v>
      </c>
      <c r="E1207">
        <v>6</v>
      </c>
      <c r="F1207" t="s">
        <v>3526</v>
      </c>
      <c r="G1207" t="s">
        <v>3519</v>
      </c>
      <c r="H1207">
        <v>2.5</v>
      </c>
      <c r="I1207">
        <v>31.6</v>
      </c>
      <c r="J1207">
        <v>189.6</v>
      </c>
    </row>
    <row r="1208" spans="1:10" x14ac:dyDescent="0.25">
      <c r="A1208" t="s">
        <v>3733</v>
      </c>
      <c r="B1208" s="3">
        <v>44723</v>
      </c>
      <c r="C1208" t="s">
        <v>2904</v>
      </c>
      <c r="D1208" t="s">
        <v>3484</v>
      </c>
      <c r="E1208">
        <v>6</v>
      </c>
      <c r="F1208" t="s">
        <v>3526</v>
      </c>
      <c r="G1208" t="s">
        <v>3518</v>
      </c>
      <c r="H1208">
        <v>0.2</v>
      </c>
      <c r="I1208">
        <v>3.6</v>
      </c>
      <c r="J1208">
        <v>21.6</v>
      </c>
    </row>
    <row r="1209" spans="1:10" x14ac:dyDescent="0.25">
      <c r="A1209" t="s">
        <v>3734</v>
      </c>
      <c r="B1209" s="3">
        <v>44709</v>
      </c>
      <c r="C1209" t="s">
        <v>1131</v>
      </c>
      <c r="D1209" t="s">
        <v>3511</v>
      </c>
      <c r="E1209">
        <v>6</v>
      </c>
      <c r="F1209" t="s">
        <v>3523</v>
      </c>
      <c r="G1209" t="s">
        <v>3517</v>
      </c>
      <c r="H1209">
        <v>0.5</v>
      </c>
      <c r="I1209">
        <v>7.8</v>
      </c>
      <c r="J1209">
        <v>46.8</v>
      </c>
    </row>
    <row r="1210" spans="1:10" x14ac:dyDescent="0.25">
      <c r="A1210" t="s">
        <v>3735</v>
      </c>
      <c r="B1210" s="3">
        <v>45389</v>
      </c>
      <c r="C1210" t="s">
        <v>884</v>
      </c>
      <c r="D1210" t="s">
        <v>3477</v>
      </c>
      <c r="E1210">
        <v>6</v>
      </c>
      <c r="F1210" t="s">
        <v>3524</v>
      </c>
      <c r="G1210" t="s">
        <v>3519</v>
      </c>
      <c r="H1210">
        <v>0.5</v>
      </c>
      <c r="I1210">
        <v>6</v>
      </c>
      <c r="J1210">
        <v>36</v>
      </c>
    </row>
    <row r="1211" spans="1:10" x14ac:dyDescent="0.25">
      <c r="A1211" t="s">
        <v>3736</v>
      </c>
      <c r="B1211" s="3">
        <v>45068</v>
      </c>
      <c r="C1211" t="s">
        <v>2218</v>
      </c>
      <c r="D1211" t="s">
        <v>3516</v>
      </c>
      <c r="E1211">
        <v>4</v>
      </c>
      <c r="F1211" t="s">
        <v>3526</v>
      </c>
      <c r="G1211" t="s">
        <v>3518</v>
      </c>
      <c r="H1211">
        <v>2.5</v>
      </c>
      <c r="I1211">
        <v>27.9</v>
      </c>
      <c r="J1211">
        <v>111.6</v>
      </c>
    </row>
    <row r="1212" spans="1:10" x14ac:dyDescent="0.25">
      <c r="A1212" t="s">
        <v>3737</v>
      </c>
      <c r="B1212" s="3">
        <v>43587</v>
      </c>
      <c r="C1212" t="s">
        <v>1514</v>
      </c>
      <c r="D1212" t="s">
        <v>3502</v>
      </c>
      <c r="E1212">
        <v>3</v>
      </c>
      <c r="F1212" t="s">
        <v>3526</v>
      </c>
      <c r="G1212" t="s">
        <v>3517</v>
      </c>
      <c r="H1212">
        <v>1</v>
      </c>
      <c r="I1212">
        <v>14.9</v>
      </c>
      <c r="J1212">
        <v>44.7</v>
      </c>
    </row>
    <row r="1213" spans="1:10" x14ac:dyDescent="0.25">
      <c r="A1213" t="s">
        <v>3738</v>
      </c>
      <c r="B1213" s="3">
        <v>45183</v>
      </c>
      <c r="C1213" t="s">
        <v>1145</v>
      </c>
      <c r="D1213" t="s">
        <v>3504</v>
      </c>
      <c r="E1213">
        <v>3</v>
      </c>
      <c r="F1213" t="s">
        <v>3524</v>
      </c>
      <c r="G1213" t="s">
        <v>3517</v>
      </c>
      <c r="H1213">
        <v>0.5</v>
      </c>
      <c r="I1213">
        <v>7.2</v>
      </c>
      <c r="J1213">
        <v>21.6</v>
      </c>
    </row>
    <row r="1214" spans="1:10" x14ac:dyDescent="0.25">
      <c r="A1214" t="s">
        <v>3739</v>
      </c>
      <c r="B1214" s="3">
        <v>44739</v>
      </c>
      <c r="C1214" t="s">
        <v>3243</v>
      </c>
      <c r="D1214" t="s">
        <v>3485</v>
      </c>
      <c r="E1214">
        <v>3</v>
      </c>
      <c r="F1214" t="s">
        <v>3523</v>
      </c>
      <c r="G1214" t="s">
        <v>3518</v>
      </c>
      <c r="H1214">
        <v>0.2</v>
      </c>
      <c r="I1214">
        <v>3</v>
      </c>
      <c r="J1214">
        <v>9</v>
      </c>
    </row>
    <row r="1215" spans="1:10" x14ac:dyDescent="0.25">
      <c r="A1215" t="s">
        <v>3740</v>
      </c>
      <c r="B1215" s="3">
        <v>44775</v>
      </c>
      <c r="C1215" t="s">
        <v>1579</v>
      </c>
      <c r="D1215" t="s">
        <v>3472</v>
      </c>
      <c r="E1215">
        <v>6</v>
      </c>
      <c r="F1215" t="s">
        <v>3526</v>
      </c>
      <c r="G1215" t="s">
        <v>3519</v>
      </c>
      <c r="H1215">
        <v>1</v>
      </c>
      <c r="I1215">
        <v>13.8</v>
      </c>
      <c r="J1215">
        <v>82.8</v>
      </c>
    </row>
    <row r="1216" spans="1:10" x14ac:dyDescent="0.25">
      <c r="A1216" t="s">
        <v>3741</v>
      </c>
      <c r="B1216" s="3">
        <v>43549</v>
      </c>
      <c r="C1216" t="s">
        <v>538</v>
      </c>
      <c r="D1216" t="s">
        <v>3510</v>
      </c>
      <c r="E1216">
        <v>1</v>
      </c>
      <c r="F1216" t="s">
        <v>3524</v>
      </c>
      <c r="G1216" t="s">
        <v>3517</v>
      </c>
      <c r="H1216">
        <v>1</v>
      </c>
      <c r="I1216">
        <v>12</v>
      </c>
      <c r="J1216">
        <v>12</v>
      </c>
    </row>
    <row r="1217" spans="1:10" x14ac:dyDescent="0.25">
      <c r="A1217" t="s">
        <v>3742</v>
      </c>
      <c r="B1217" s="3">
        <v>45351</v>
      </c>
      <c r="C1217" t="s">
        <v>1259</v>
      </c>
      <c r="D1217" t="s">
        <v>3475</v>
      </c>
      <c r="E1217">
        <v>3</v>
      </c>
      <c r="F1217" t="s">
        <v>3526</v>
      </c>
      <c r="G1217" t="s">
        <v>3518</v>
      </c>
      <c r="H1217">
        <v>0.5</v>
      </c>
      <c r="I1217">
        <v>7.3</v>
      </c>
      <c r="J1217">
        <v>21.9</v>
      </c>
    </row>
    <row r="1218" spans="1:10" x14ac:dyDescent="0.25">
      <c r="A1218" t="s">
        <v>3743</v>
      </c>
      <c r="B1218" s="3">
        <v>45135</v>
      </c>
      <c r="C1218" t="s">
        <v>737</v>
      </c>
      <c r="D1218" t="s">
        <v>3500</v>
      </c>
      <c r="E1218">
        <v>1</v>
      </c>
      <c r="F1218" t="s">
        <v>3525</v>
      </c>
      <c r="G1218" t="s">
        <v>3518</v>
      </c>
      <c r="H1218">
        <v>0.5</v>
      </c>
      <c r="I1218">
        <v>7.8</v>
      </c>
      <c r="J1218">
        <v>7.8</v>
      </c>
    </row>
    <row r="1219" spans="1:10" x14ac:dyDescent="0.25">
      <c r="A1219" t="s">
        <v>3744</v>
      </c>
      <c r="B1219" s="3">
        <v>45534</v>
      </c>
      <c r="C1219" t="s">
        <v>2751</v>
      </c>
      <c r="D1219" t="s">
        <v>3472</v>
      </c>
      <c r="E1219">
        <v>3</v>
      </c>
      <c r="F1219" t="s">
        <v>3526</v>
      </c>
      <c r="G1219" t="s">
        <v>3519</v>
      </c>
      <c r="H1219">
        <v>1</v>
      </c>
      <c r="I1219">
        <v>13.8</v>
      </c>
      <c r="J1219">
        <v>41.4</v>
      </c>
    </row>
    <row r="1220" spans="1:10" x14ac:dyDescent="0.25">
      <c r="A1220" t="s">
        <v>3745</v>
      </c>
      <c r="B1220" s="3">
        <v>45146</v>
      </c>
      <c r="C1220" t="s">
        <v>3205</v>
      </c>
      <c r="D1220" t="s">
        <v>3471</v>
      </c>
      <c r="E1220">
        <v>6</v>
      </c>
      <c r="F1220" t="s">
        <v>3523</v>
      </c>
      <c r="G1220" t="s">
        <v>3517</v>
      </c>
      <c r="H1220">
        <v>1</v>
      </c>
      <c r="I1220">
        <v>13</v>
      </c>
      <c r="J1220">
        <v>78</v>
      </c>
    </row>
    <row r="1221" spans="1:10" x14ac:dyDescent="0.25">
      <c r="A1221" t="s">
        <v>3746</v>
      </c>
      <c r="B1221" s="3">
        <v>45647</v>
      </c>
      <c r="C1221" t="s">
        <v>3007</v>
      </c>
      <c r="D1221" t="s">
        <v>3503</v>
      </c>
      <c r="E1221">
        <v>1</v>
      </c>
      <c r="F1221" t="s">
        <v>3524</v>
      </c>
      <c r="G1221" t="s">
        <v>3518</v>
      </c>
      <c r="H1221">
        <v>0.5</v>
      </c>
      <c r="I1221">
        <v>5.4</v>
      </c>
      <c r="J1221">
        <v>5.4</v>
      </c>
    </row>
    <row r="1222" spans="1:10" x14ac:dyDescent="0.25">
      <c r="A1222" t="s">
        <v>3747</v>
      </c>
      <c r="B1222" s="3">
        <v>44962</v>
      </c>
      <c r="C1222" t="s">
        <v>2675</v>
      </c>
      <c r="D1222" t="s">
        <v>3510</v>
      </c>
      <c r="E1222">
        <v>3</v>
      </c>
      <c r="F1222" t="s">
        <v>3524</v>
      </c>
      <c r="G1222" t="s">
        <v>3517</v>
      </c>
      <c r="H1222">
        <v>1</v>
      </c>
      <c r="I1222">
        <v>12</v>
      </c>
      <c r="J1222">
        <v>36</v>
      </c>
    </row>
    <row r="1223" spans="1:10" x14ac:dyDescent="0.25">
      <c r="A1223" t="s">
        <v>3748</v>
      </c>
      <c r="B1223" s="3">
        <v>45035</v>
      </c>
      <c r="C1223" t="s">
        <v>1281</v>
      </c>
      <c r="D1223" t="s">
        <v>3473</v>
      </c>
      <c r="E1223">
        <v>4</v>
      </c>
      <c r="F1223" t="s">
        <v>3524</v>
      </c>
      <c r="G1223" t="s">
        <v>3517</v>
      </c>
      <c r="H1223">
        <v>2.5</v>
      </c>
      <c r="I1223">
        <v>27.5</v>
      </c>
      <c r="J1223">
        <v>110</v>
      </c>
    </row>
    <row r="1224" spans="1:10" x14ac:dyDescent="0.25">
      <c r="A1224" t="s">
        <v>3749</v>
      </c>
      <c r="B1224" s="3">
        <v>44810</v>
      </c>
      <c r="C1224" t="s">
        <v>2727</v>
      </c>
      <c r="D1224" t="s">
        <v>3489</v>
      </c>
      <c r="E1224">
        <v>3</v>
      </c>
      <c r="F1224" t="s">
        <v>3523</v>
      </c>
      <c r="G1224" t="s">
        <v>3518</v>
      </c>
      <c r="H1224">
        <v>0.5</v>
      </c>
      <c r="I1224">
        <v>6</v>
      </c>
      <c r="J1224">
        <v>18</v>
      </c>
    </row>
    <row r="1225" spans="1:10" x14ac:dyDescent="0.25">
      <c r="A1225" t="s">
        <v>3750</v>
      </c>
      <c r="B1225" s="3">
        <v>44993</v>
      </c>
      <c r="C1225" t="s">
        <v>3175</v>
      </c>
      <c r="D1225" t="s">
        <v>3495</v>
      </c>
      <c r="E1225">
        <v>3</v>
      </c>
      <c r="F1225" t="s">
        <v>3525</v>
      </c>
      <c r="G1225" t="s">
        <v>3517</v>
      </c>
      <c r="H1225">
        <v>2.5</v>
      </c>
      <c r="I1225">
        <v>36.5</v>
      </c>
      <c r="J1225">
        <v>109.5</v>
      </c>
    </row>
    <row r="1226" spans="1:10" x14ac:dyDescent="0.25">
      <c r="A1226" t="s">
        <v>3751</v>
      </c>
      <c r="B1226" s="3">
        <v>44027</v>
      </c>
      <c r="C1226" t="s">
        <v>2180</v>
      </c>
      <c r="D1226" t="s">
        <v>3485</v>
      </c>
      <c r="E1226">
        <v>1</v>
      </c>
      <c r="F1226" t="s">
        <v>3523</v>
      </c>
      <c r="G1226" t="s">
        <v>3518</v>
      </c>
      <c r="H1226">
        <v>0.2</v>
      </c>
      <c r="I1226">
        <v>3</v>
      </c>
      <c r="J1226">
        <v>3</v>
      </c>
    </row>
    <row r="1227" spans="1:10" x14ac:dyDescent="0.25">
      <c r="A1227" t="s">
        <v>3752</v>
      </c>
      <c r="B1227" s="3">
        <v>45132</v>
      </c>
      <c r="C1227" t="s">
        <v>802</v>
      </c>
      <c r="D1227" t="s">
        <v>3499</v>
      </c>
      <c r="E1227">
        <v>2</v>
      </c>
      <c r="F1227" t="s">
        <v>3523</v>
      </c>
      <c r="G1227" t="s">
        <v>3518</v>
      </c>
      <c r="H1227">
        <v>2.5</v>
      </c>
      <c r="I1227">
        <v>22.9</v>
      </c>
      <c r="J1227">
        <v>45.8</v>
      </c>
    </row>
    <row r="1228" spans="1:10" x14ac:dyDescent="0.25">
      <c r="A1228" t="s">
        <v>3753</v>
      </c>
      <c r="B1228" s="3">
        <v>45527</v>
      </c>
      <c r="C1228" t="s">
        <v>3098</v>
      </c>
      <c r="D1228" t="s">
        <v>3475</v>
      </c>
      <c r="E1228">
        <v>2</v>
      </c>
      <c r="F1228" t="s">
        <v>3526</v>
      </c>
      <c r="G1228" t="s">
        <v>3518</v>
      </c>
      <c r="H1228">
        <v>0.5</v>
      </c>
      <c r="I1228">
        <v>7.3</v>
      </c>
      <c r="J1228">
        <v>14.6</v>
      </c>
    </row>
    <row r="1229" spans="1:10" x14ac:dyDescent="0.25">
      <c r="A1229" t="s">
        <v>3754</v>
      </c>
      <c r="B1229" s="3">
        <v>43805</v>
      </c>
      <c r="C1229" t="s">
        <v>2411</v>
      </c>
      <c r="D1229" t="s">
        <v>3475</v>
      </c>
      <c r="E1229">
        <v>1</v>
      </c>
      <c r="F1229" t="s">
        <v>3526</v>
      </c>
      <c r="G1229" t="s">
        <v>3518</v>
      </c>
      <c r="H1229">
        <v>0.5</v>
      </c>
      <c r="I1229">
        <v>7.3</v>
      </c>
      <c r="J1229">
        <v>7.3</v>
      </c>
    </row>
    <row r="1230" spans="1:10" x14ac:dyDescent="0.25">
      <c r="A1230" t="s">
        <v>3755</v>
      </c>
      <c r="B1230" s="3">
        <v>43489</v>
      </c>
      <c r="C1230" t="s">
        <v>3054</v>
      </c>
      <c r="D1230" t="s">
        <v>3504</v>
      </c>
      <c r="E1230">
        <v>6</v>
      </c>
      <c r="F1230" t="s">
        <v>3524</v>
      </c>
      <c r="G1230" t="s">
        <v>3517</v>
      </c>
      <c r="H1230">
        <v>0.5</v>
      </c>
      <c r="I1230">
        <v>7.2</v>
      </c>
      <c r="J1230">
        <v>43.2</v>
      </c>
    </row>
    <row r="1231" spans="1:10" x14ac:dyDescent="0.25">
      <c r="A1231" t="s">
        <v>3756</v>
      </c>
      <c r="B1231" s="3">
        <v>45108</v>
      </c>
      <c r="C1231" t="s">
        <v>3411</v>
      </c>
      <c r="D1231" t="s">
        <v>3483</v>
      </c>
      <c r="E1231">
        <v>2</v>
      </c>
      <c r="F1231" t="s">
        <v>3523</v>
      </c>
      <c r="G1231" t="s">
        <v>3519</v>
      </c>
      <c r="H1231">
        <v>0.2</v>
      </c>
      <c r="I1231">
        <v>3.4</v>
      </c>
      <c r="J1231">
        <v>6.8</v>
      </c>
    </row>
    <row r="1232" spans="1:10" x14ac:dyDescent="0.25">
      <c r="A1232" t="s">
        <v>3757</v>
      </c>
      <c r="B1232" s="3">
        <v>45649</v>
      </c>
      <c r="C1232" t="s">
        <v>1256</v>
      </c>
      <c r="D1232" t="s">
        <v>3473</v>
      </c>
      <c r="E1232">
        <v>3</v>
      </c>
      <c r="F1232" t="s">
        <v>3524</v>
      </c>
      <c r="G1232" t="s">
        <v>3517</v>
      </c>
      <c r="H1232">
        <v>2.5</v>
      </c>
      <c r="I1232">
        <v>27.5</v>
      </c>
      <c r="J1232">
        <v>82.5</v>
      </c>
    </row>
    <row r="1233" spans="1:10" x14ac:dyDescent="0.25">
      <c r="A1233" t="s">
        <v>3758</v>
      </c>
      <c r="B1233" s="3">
        <v>44992</v>
      </c>
      <c r="C1233" t="s">
        <v>1954</v>
      </c>
      <c r="D1233" t="s">
        <v>3483</v>
      </c>
      <c r="E1233">
        <v>6</v>
      </c>
      <c r="F1233" t="s">
        <v>3523</v>
      </c>
      <c r="G1233" t="s">
        <v>3519</v>
      </c>
      <c r="H1233">
        <v>0.2</v>
      </c>
      <c r="I1233">
        <v>3.4</v>
      </c>
      <c r="J1233">
        <v>20.399999999999999</v>
      </c>
    </row>
    <row r="1234" spans="1:10" x14ac:dyDescent="0.25">
      <c r="A1234" t="s">
        <v>3759</v>
      </c>
      <c r="B1234" s="3">
        <v>45375</v>
      </c>
      <c r="C1234" t="s">
        <v>2714</v>
      </c>
      <c r="D1234" t="s">
        <v>3508</v>
      </c>
      <c r="E1234">
        <v>1</v>
      </c>
      <c r="F1234" t="s">
        <v>3524</v>
      </c>
      <c r="G1234" t="s">
        <v>3518</v>
      </c>
      <c r="H1234">
        <v>1</v>
      </c>
      <c r="I1234">
        <v>9</v>
      </c>
      <c r="J1234">
        <v>9</v>
      </c>
    </row>
    <row r="1235" spans="1:10" x14ac:dyDescent="0.25">
      <c r="A1235" t="s">
        <v>3760</v>
      </c>
      <c r="B1235" s="3">
        <v>44928</v>
      </c>
      <c r="C1235" t="s">
        <v>2405</v>
      </c>
      <c r="D1235" t="s">
        <v>3477</v>
      </c>
      <c r="E1235">
        <v>5</v>
      </c>
      <c r="F1235" t="s">
        <v>3524</v>
      </c>
      <c r="G1235" t="s">
        <v>3519</v>
      </c>
      <c r="H1235">
        <v>0.5</v>
      </c>
      <c r="I1235">
        <v>6</v>
      </c>
      <c r="J1235">
        <v>30</v>
      </c>
    </row>
    <row r="1236" spans="1:10" x14ac:dyDescent="0.25">
      <c r="A1236" t="s">
        <v>3761</v>
      </c>
      <c r="B1236" s="3">
        <v>44599</v>
      </c>
      <c r="C1236" t="s">
        <v>558</v>
      </c>
      <c r="D1236" t="s">
        <v>3486</v>
      </c>
      <c r="E1236">
        <v>4</v>
      </c>
      <c r="F1236" t="s">
        <v>3523</v>
      </c>
      <c r="G1236" t="s">
        <v>3519</v>
      </c>
      <c r="H1236">
        <v>1</v>
      </c>
      <c r="I1236">
        <v>11.3</v>
      </c>
      <c r="J1236">
        <v>45.2</v>
      </c>
    </row>
    <row r="1237" spans="1:10" x14ac:dyDescent="0.25">
      <c r="A1237" t="s">
        <v>3762</v>
      </c>
      <c r="B1237" s="3">
        <v>44585</v>
      </c>
      <c r="C1237" t="s">
        <v>2669</v>
      </c>
      <c r="D1237" t="s">
        <v>3492</v>
      </c>
      <c r="E1237">
        <v>2</v>
      </c>
      <c r="F1237" t="s">
        <v>3525</v>
      </c>
      <c r="G1237" t="s">
        <v>3517</v>
      </c>
      <c r="H1237">
        <v>0.5</v>
      </c>
      <c r="I1237">
        <v>9.5</v>
      </c>
      <c r="J1237">
        <v>19</v>
      </c>
    </row>
    <row r="1238" spans="1:10" x14ac:dyDescent="0.25">
      <c r="A1238" t="s">
        <v>3763</v>
      </c>
      <c r="B1238" s="3">
        <v>44947</v>
      </c>
      <c r="C1238" t="s">
        <v>1538</v>
      </c>
      <c r="D1238" t="s">
        <v>3490</v>
      </c>
      <c r="E1238">
        <v>5</v>
      </c>
      <c r="F1238" t="s">
        <v>3525</v>
      </c>
      <c r="G1238" t="s">
        <v>3519</v>
      </c>
      <c r="H1238">
        <v>0.2</v>
      </c>
      <c r="I1238">
        <v>4.4000000000000004</v>
      </c>
      <c r="J1238">
        <v>22</v>
      </c>
    </row>
    <row r="1239" spans="1:10" x14ac:dyDescent="0.25">
      <c r="A1239" t="s">
        <v>3764</v>
      </c>
      <c r="B1239" s="3">
        <v>43714</v>
      </c>
      <c r="C1239" t="s">
        <v>1845</v>
      </c>
      <c r="D1239" t="s">
        <v>3493</v>
      </c>
      <c r="E1239">
        <v>5</v>
      </c>
      <c r="F1239" t="s">
        <v>3525</v>
      </c>
      <c r="G1239" t="s">
        <v>3519</v>
      </c>
      <c r="H1239">
        <v>1</v>
      </c>
      <c r="I1239">
        <v>14.6</v>
      </c>
      <c r="J1239">
        <v>73</v>
      </c>
    </row>
    <row r="1240" spans="1:10" x14ac:dyDescent="0.25">
      <c r="A1240" t="s">
        <v>3765</v>
      </c>
      <c r="B1240" s="3">
        <v>44680</v>
      </c>
      <c r="C1240" t="s">
        <v>1357</v>
      </c>
      <c r="D1240" t="s">
        <v>3485</v>
      </c>
      <c r="E1240">
        <v>2</v>
      </c>
      <c r="F1240" t="s">
        <v>3523</v>
      </c>
      <c r="G1240" t="s">
        <v>3518</v>
      </c>
      <c r="H1240">
        <v>0.2</v>
      </c>
      <c r="I1240">
        <v>3</v>
      </c>
      <c r="J1240">
        <v>6</v>
      </c>
    </row>
    <row r="1241" spans="1:10" x14ac:dyDescent="0.25">
      <c r="A1241" t="s">
        <v>3766</v>
      </c>
      <c r="B1241" s="3">
        <v>45338</v>
      </c>
      <c r="C1241" t="s">
        <v>538</v>
      </c>
      <c r="D1241" t="s">
        <v>3476</v>
      </c>
      <c r="E1241">
        <v>5</v>
      </c>
      <c r="F1241" t="s">
        <v>3525</v>
      </c>
      <c r="G1241" t="s">
        <v>3517</v>
      </c>
      <c r="H1241">
        <v>0.2</v>
      </c>
      <c r="I1241">
        <v>4.8</v>
      </c>
      <c r="J1241">
        <v>24</v>
      </c>
    </row>
    <row r="1242" spans="1:10" x14ac:dyDescent="0.25">
      <c r="A1242" t="s">
        <v>3767</v>
      </c>
      <c r="B1242" s="3">
        <v>43715</v>
      </c>
      <c r="C1242" t="s">
        <v>2509</v>
      </c>
      <c r="D1242" t="s">
        <v>3494</v>
      </c>
      <c r="E1242">
        <v>5</v>
      </c>
      <c r="F1242" t="s">
        <v>3524</v>
      </c>
      <c r="G1242" t="s">
        <v>3518</v>
      </c>
      <c r="H1242">
        <v>0.2</v>
      </c>
      <c r="I1242">
        <v>2.7</v>
      </c>
      <c r="J1242">
        <v>13.5</v>
      </c>
    </row>
    <row r="1243" spans="1:10" x14ac:dyDescent="0.25">
      <c r="A1243" t="s">
        <v>3768</v>
      </c>
      <c r="B1243" s="3">
        <v>45241</v>
      </c>
      <c r="C1243" t="s">
        <v>1128</v>
      </c>
      <c r="D1243" t="s">
        <v>3485</v>
      </c>
      <c r="E1243">
        <v>2</v>
      </c>
      <c r="F1243" t="s">
        <v>3523</v>
      </c>
      <c r="G1243" t="s">
        <v>3518</v>
      </c>
      <c r="H1243">
        <v>0.2</v>
      </c>
      <c r="I1243">
        <v>3</v>
      </c>
      <c r="J1243">
        <v>6</v>
      </c>
    </row>
    <row r="1244" spans="1:10" x14ac:dyDescent="0.25">
      <c r="A1244" t="s">
        <v>3769</v>
      </c>
      <c r="B1244" s="3">
        <v>45166</v>
      </c>
      <c r="C1244" t="s">
        <v>1452</v>
      </c>
      <c r="D1244" t="s">
        <v>3506</v>
      </c>
      <c r="E1244">
        <v>2</v>
      </c>
      <c r="F1244" t="s">
        <v>3523</v>
      </c>
      <c r="G1244" t="s">
        <v>3519</v>
      </c>
      <c r="H1244">
        <v>2.5</v>
      </c>
      <c r="I1244">
        <v>25.9</v>
      </c>
      <c r="J1244">
        <v>51.8</v>
      </c>
    </row>
    <row r="1245" spans="1:10" x14ac:dyDescent="0.25">
      <c r="A1245" t="s">
        <v>3770</v>
      </c>
      <c r="B1245" s="3">
        <v>44714</v>
      </c>
      <c r="C1245" t="s">
        <v>2456</v>
      </c>
      <c r="D1245" t="s">
        <v>3475</v>
      </c>
      <c r="E1245">
        <v>3</v>
      </c>
      <c r="F1245" t="s">
        <v>3526</v>
      </c>
      <c r="G1245" t="s">
        <v>3518</v>
      </c>
      <c r="H1245">
        <v>0.5</v>
      </c>
      <c r="I1245">
        <v>7.3</v>
      </c>
      <c r="J1245">
        <v>21.9</v>
      </c>
    </row>
    <row r="1246" spans="1:10" x14ac:dyDescent="0.25">
      <c r="A1246" t="s">
        <v>3771</v>
      </c>
      <c r="B1246" s="3">
        <v>43680</v>
      </c>
      <c r="C1246" t="s">
        <v>1705</v>
      </c>
      <c r="D1246" t="s">
        <v>3479</v>
      </c>
      <c r="E1246">
        <v>3</v>
      </c>
      <c r="F1246" t="s">
        <v>3526</v>
      </c>
      <c r="G1246" t="s">
        <v>3517</v>
      </c>
      <c r="H1246">
        <v>2.5</v>
      </c>
      <c r="I1246">
        <v>34.200000000000003</v>
      </c>
      <c r="J1246">
        <v>102.6</v>
      </c>
    </row>
    <row r="1247" spans="1:10" x14ac:dyDescent="0.25">
      <c r="A1247" t="s">
        <v>3772</v>
      </c>
      <c r="B1247" s="3">
        <v>44101</v>
      </c>
      <c r="C1247" t="s">
        <v>915</v>
      </c>
      <c r="D1247" t="s">
        <v>3480</v>
      </c>
      <c r="E1247">
        <v>4</v>
      </c>
      <c r="F1247" t="s">
        <v>3524</v>
      </c>
      <c r="G1247" t="s">
        <v>3518</v>
      </c>
      <c r="H1247">
        <v>2.5</v>
      </c>
      <c r="I1247">
        <v>20.6</v>
      </c>
      <c r="J1247">
        <v>82.4</v>
      </c>
    </row>
    <row r="1248" spans="1:10" x14ac:dyDescent="0.25">
      <c r="A1248" t="s">
        <v>3773</v>
      </c>
      <c r="B1248" s="3">
        <v>45166</v>
      </c>
      <c r="C1248" t="s">
        <v>1717</v>
      </c>
      <c r="D1248" t="s">
        <v>3512</v>
      </c>
      <c r="E1248">
        <v>2</v>
      </c>
      <c r="F1248" t="s">
        <v>3525</v>
      </c>
      <c r="G1248" t="s">
        <v>3519</v>
      </c>
      <c r="H1248">
        <v>2.5</v>
      </c>
      <c r="I1248">
        <v>33.5</v>
      </c>
      <c r="J1248">
        <v>67</v>
      </c>
    </row>
    <row r="1249" spans="1:10" x14ac:dyDescent="0.25">
      <c r="A1249" t="s">
        <v>3774</v>
      </c>
      <c r="B1249" s="3">
        <v>45253</v>
      </c>
      <c r="C1249" t="s">
        <v>695</v>
      </c>
      <c r="D1249" t="s">
        <v>3496</v>
      </c>
      <c r="E1249">
        <v>5</v>
      </c>
      <c r="F1249" t="s">
        <v>3525</v>
      </c>
      <c r="G1249" t="s">
        <v>3518</v>
      </c>
      <c r="H1249">
        <v>2.5</v>
      </c>
      <c r="I1249">
        <v>29.8</v>
      </c>
      <c r="J1249">
        <v>149</v>
      </c>
    </row>
    <row r="1250" spans="1:10" x14ac:dyDescent="0.25">
      <c r="A1250" t="s">
        <v>3775</v>
      </c>
      <c r="B1250" s="3">
        <v>45273</v>
      </c>
      <c r="C1250" t="s">
        <v>1839</v>
      </c>
      <c r="D1250" t="s">
        <v>3511</v>
      </c>
      <c r="E1250">
        <v>2</v>
      </c>
      <c r="F1250" t="s">
        <v>3523</v>
      </c>
      <c r="G1250" t="s">
        <v>3517</v>
      </c>
      <c r="H1250">
        <v>0.5</v>
      </c>
      <c r="I1250">
        <v>7.8</v>
      </c>
      <c r="J1250">
        <v>15.6</v>
      </c>
    </row>
    <row r="1251" spans="1:10" x14ac:dyDescent="0.25">
      <c r="A1251" t="s">
        <v>3776</v>
      </c>
      <c r="B1251" s="3">
        <v>44880</v>
      </c>
      <c r="C1251" t="s">
        <v>1432</v>
      </c>
      <c r="D1251" t="s">
        <v>3508</v>
      </c>
      <c r="E1251">
        <v>6</v>
      </c>
      <c r="F1251" t="s">
        <v>3524</v>
      </c>
      <c r="G1251" t="s">
        <v>3518</v>
      </c>
      <c r="H1251">
        <v>1</v>
      </c>
      <c r="I1251">
        <v>9</v>
      </c>
      <c r="J1251">
        <v>54</v>
      </c>
    </row>
    <row r="1252" spans="1:10" x14ac:dyDescent="0.25">
      <c r="A1252" t="s">
        <v>3777</v>
      </c>
      <c r="B1252" s="3">
        <v>43741</v>
      </c>
      <c r="C1252" t="s">
        <v>2554</v>
      </c>
      <c r="D1252" t="s">
        <v>3476</v>
      </c>
      <c r="E1252">
        <v>4</v>
      </c>
      <c r="F1252" t="s">
        <v>3525</v>
      </c>
      <c r="G1252" t="s">
        <v>3517</v>
      </c>
      <c r="H1252">
        <v>0.2</v>
      </c>
      <c r="I1252">
        <v>4.8</v>
      </c>
      <c r="J1252">
        <v>19.2</v>
      </c>
    </row>
    <row r="1253" spans="1:10" x14ac:dyDescent="0.25">
      <c r="A1253" t="s">
        <v>3778</v>
      </c>
      <c r="B1253" s="3">
        <v>44846</v>
      </c>
      <c r="C1253" t="s">
        <v>1767</v>
      </c>
      <c r="D1253" t="s">
        <v>3487</v>
      </c>
      <c r="E1253">
        <v>3</v>
      </c>
      <c r="F1253" t="s">
        <v>3526</v>
      </c>
      <c r="G1253" t="s">
        <v>3519</v>
      </c>
      <c r="H1253">
        <v>0.2</v>
      </c>
      <c r="I1253">
        <v>4.0999999999999996</v>
      </c>
      <c r="J1253">
        <v>12.3</v>
      </c>
    </row>
    <row r="1254" spans="1:10" x14ac:dyDescent="0.25">
      <c r="A1254" t="s">
        <v>3779</v>
      </c>
      <c r="B1254" s="3">
        <v>45344</v>
      </c>
      <c r="C1254" t="s">
        <v>2557</v>
      </c>
      <c r="D1254" t="s">
        <v>3513</v>
      </c>
      <c r="E1254">
        <v>6</v>
      </c>
      <c r="F1254" t="s">
        <v>3523</v>
      </c>
      <c r="G1254" t="s">
        <v>3517</v>
      </c>
      <c r="H1254">
        <v>2.5</v>
      </c>
      <c r="I1254">
        <v>29.8</v>
      </c>
      <c r="J1254">
        <v>178.8</v>
      </c>
    </row>
    <row r="1255" spans="1:10" x14ac:dyDescent="0.25">
      <c r="A1255" t="s">
        <v>3780</v>
      </c>
      <c r="B1255" s="3">
        <v>44908</v>
      </c>
      <c r="C1255" t="s">
        <v>1488</v>
      </c>
      <c r="D1255" t="s">
        <v>3482</v>
      </c>
      <c r="E1255">
        <v>1</v>
      </c>
      <c r="F1255" t="s">
        <v>3524</v>
      </c>
      <c r="G1255" t="s">
        <v>3519</v>
      </c>
      <c r="H1255">
        <v>2.5</v>
      </c>
      <c r="I1255">
        <v>22.9</v>
      </c>
      <c r="J1255">
        <v>22.9</v>
      </c>
    </row>
    <row r="1256" spans="1:10" x14ac:dyDescent="0.25">
      <c r="A1256" t="s">
        <v>3781</v>
      </c>
      <c r="B1256" s="3">
        <v>43688</v>
      </c>
      <c r="C1256" t="s">
        <v>1229</v>
      </c>
      <c r="D1256" t="s">
        <v>3474</v>
      </c>
      <c r="E1256">
        <v>1</v>
      </c>
      <c r="F1256" t="s">
        <v>3525</v>
      </c>
      <c r="G1256" t="s">
        <v>3518</v>
      </c>
      <c r="H1256">
        <v>1</v>
      </c>
      <c r="I1256">
        <v>13</v>
      </c>
      <c r="J1256">
        <v>13</v>
      </c>
    </row>
    <row r="1257" spans="1:10" x14ac:dyDescent="0.25">
      <c r="A1257" t="s">
        <v>3782</v>
      </c>
      <c r="B1257" s="3">
        <v>44797</v>
      </c>
      <c r="C1257" t="s">
        <v>2690</v>
      </c>
      <c r="D1257" t="s">
        <v>3491</v>
      </c>
      <c r="E1257">
        <v>6</v>
      </c>
      <c r="F1257" t="s">
        <v>3525</v>
      </c>
      <c r="G1257" t="s">
        <v>3519</v>
      </c>
      <c r="H1257">
        <v>0.5</v>
      </c>
      <c r="I1257">
        <v>8.6999999999999993</v>
      </c>
      <c r="J1257">
        <v>52.2</v>
      </c>
    </row>
    <row r="1258" spans="1:10" x14ac:dyDescent="0.25">
      <c r="A1258" t="s">
        <v>3783</v>
      </c>
      <c r="B1258" s="3">
        <v>45501</v>
      </c>
      <c r="C1258" t="s">
        <v>2575</v>
      </c>
      <c r="D1258" t="s">
        <v>3494</v>
      </c>
      <c r="E1258">
        <v>3</v>
      </c>
      <c r="F1258" t="s">
        <v>3524</v>
      </c>
      <c r="G1258" t="s">
        <v>3518</v>
      </c>
      <c r="H1258">
        <v>0.2</v>
      </c>
      <c r="I1258">
        <v>2.7</v>
      </c>
      <c r="J1258">
        <v>8.1</v>
      </c>
    </row>
    <row r="1259" spans="1:10" x14ac:dyDescent="0.25">
      <c r="A1259" t="s">
        <v>3784</v>
      </c>
      <c r="B1259" s="3">
        <v>45077</v>
      </c>
      <c r="C1259" t="s">
        <v>2566</v>
      </c>
      <c r="D1259" t="s">
        <v>3503</v>
      </c>
      <c r="E1259">
        <v>6</v>
      </c>
      <c r="F1259" t="s">
        <v>3524</v>
      </c>
      <c r="G1259" t="s">
        <v>3518</v>
      </c>
      <c r="H1259">
        <v>0.5</v>
      </c>
      <c r="I1259">
        <v>5.4</v>
      </c>
      <c r="J1259">
        <v>32.4</v>
      </c>
    </row>
    <row r="1260" spans="1:10" x14ac:dyDescent="0.25">
      <c r="A1260" t="s">
        <v>3785</v>
      </c>
      <c r="B1260" s="3">
        <v>44409</v>
      </c>
      <c r="C1260" t="s">
        <v>3187</v>
      </c>
      <c r="D1260" t="s">
        <v>3503</v>
      </c>
      <c r="E1260">
        <v>4</v>
      </c>
      <c r="F1260" t="s">
        <v>3524</v>
      </c>
      <c r="G1260" t="s">
        <v>3518</v>
      </c>
      <c r="H1260">
        <v>0.5</v>
      </c>
      <c r="I1260">
        <v>5.4</v>
      </c>
      <c r="J1260">
        <v>21.6</v>
      </c>
    </row>
    <row r="1261" spans="1:10" x14ac:dyDescent="0.25">
      <c r="A1261" t="s">
        <v>3786</v>
      </c>
      <c r="B1261" s="3">
        <v>45037</v>
      </c>
      <c r="C1261" t="s">
        <v>820</v>
      </c>
      <c r="D1261" t="s">
        <v>3512</v>
      </c>
      <c r="E1261">
        <v>4</v>
      </c>
      <c r="F1261" t="s">
        <v>3525</v>
      </c>
      <c r="G1261" t="s">
        <v>3519</v>
      </c>
      <c r="H1261">
        <v>2.5</v>
      </c>
      <c r="I1261">
        <v>33.5</v>
      </c>
      <c r="J1261">
        <v>134</v>
      </c>
    </row>
    <row r="1262" spans="1:10" x14ac:dyDescent="0.25">
      <c r="A1262" t="s">
        <v>3787</v>
      </c>
      <c r="B1262" s="3">
        <v>44742</v>
      </c>
      <c r="C1262" t="s">
        <v>2757</v>
      </c>
      <c r="D1262" t="s">
        <v>3481</v>
      </c>
      <c r="E1262">
        <v>6</v>
      </c>
      <c r="F1262" t="s">
        <v>3525</v>
      </c>
      <c r="G1262" t="s">
        <v>3518</v>
      </c>
      <c r="H1262">
        <v>0.2</v>
      </c>
      <c r="I1262">
        <v>3.9</v>
      </c>
      <c r="J1262">
        <v>23.4</v>
      </c>
    </row>
    <row r="1263" spans="1:10" x14ac:dyDescent="0.25">
      <c r="A1263" t="s">
        <v>3788</v>
      </c>
      <c r="B1263" s="3">
        <v>45552</v>
      </c>
      <c r="C1263" t="s">
        <v>549</v>
      </c>
      <c r="D1263" t="s">
        <v>3504</v>
      </c>
      <c r="E1263">
        <v>6</v>
      </c>
      <c r="F1263" t="s">
        <v>3524</v>
      </c>
      <c r="G1263" t="s">
        <v>3517</v>
      </c>
      <c r="H1263">
        <v>0.5</v>
      </c>
      <c r="I1263">
        <v>7.2</v>
      </c>
      <c r="J1263">
        <v>43.2</v>
      </c>
    </row>
    <row r="1264" spans="1:10" x14ac:dyDescent="0.25">
      <c r="A1264" t="s">
        <v>3789</v>
      </c>
      <c r="B1264" s="3">
        <v>45463</v>
      </c>
      <c r="C1264" t="s">
        <v>1669</v>
      </c>
      <c r="D1264" t="s">
        <v>3476</v>
      </c>
      <c r="E1264">
        <v>4</v>
      </c>
      <c r="F1264" t="s">
        <v>3525</v>
      </c>
      <c r="G1264" t="s">
        <v>3517</v>
      </c>
      <c r="H1264">
        <v>0.2</v>
      </c>
      <c r="I1264">
        <v>4.8</v>
      </c>
      <c r="J1264">
        <v>19.2</v>
      </c>
    </row>
    <row r="1265" spans="1:10" x14ac:dyDescent="0.25">
      <c r="A1265" t="s">
        <v>3790</v>
      </c>
      <c r="B1265" s="3">
        <v>45496</v>
      </c>
      <c r="C1265" t="s">
        <v>3078</v>
      </c>
      <c r="D1265" t="s">
        <v>3508</v>
      </c>
      <c r="E1265">
        <v>1</v>
      </c>
      <c r="F1265" t="s">
        <v>3524</v>
      </c>
      <c r="G1265" t="s">
        <v>3518</v>
      </c>
      <c r="H1265">
        <v>1</v>
      </c>
      <c r="I1265">
        <v>9</v>
      </c>
      <c r="J1265">
        <v>9</v>
      </c>
    </row>
    <row r="1266" spans="1:10" x14ac:dyDescent="0.25">
      <c r="A1266" t="s">
        <v>3791</v>
      </c>
      <c r="B1266" s="3">
        <v>45601</v>
      </c>
      <c r="C1266" t="s">
        <v>2080</v>
      </c>
      <c r="D1266" t="s">
        <v>3488</v>
      </c>
      <c r="E1266">
        <v>6</v>
      </c>
      <c r="F1266" t="s">
        <v>3523</v>
      </c>
      <c r="G1266" t="s">
        <v>3519</v>
      </c>
      <c r="H1266">
        <v>0.5</v>
      </c>
      <c r="I1266">
        <v>6.8</v>
      </c>
      <c r="J1266">
        <v>40.799999999999997</v>
      </c>
    </row>
    <row r="1267" spans="1:10" x14ac:dyDescent="0.25">
      <c r="A1267" t="s">
        <v>3792</v>
      </c>
      <c r="B1267" s="3">
        <v>44672</v>
      </c>
      <c r="C1267" t="s">
        <v>2506</v>
      </c>
      <c r="D1267" t="s">
        <v>3491</v>
      </c>
      <c r="E1267">
        <v>2</v>
      </c>
      <c r="F1267" t="s">
        <v>3525</v>
      </c>
      <c r="G1267" t="s">
        <v>3519</v>
      </c>
      <c r="H1267">
        <v>0.5</v>
      </c>
      <c r="I1267">
        <v>8.6999999999999993</v>
      </c>
      <c r="J1267">
        <v>17.399999999999999</v>
      </c>
    </row>
    <row r="1268" spans="1:10" x14ac:dyDescent="0.25">
      <c r="A1268" t="s">
        <v>3793</v>
      </c>
      <c r="B1268" s="3">
        <v>44913</v>
      </c>
      <c r="C1268" t="s">
        <v>3098</v>
      </c>
      <c r="D1268" t="s">
        <v>3489</v>
      </c>
      <c r="E1268">
        <v>2</v>
      </c>
      <c r="F1268" t="s">
        <v>3523</v>
      </c>
      <c r="G1268" t="s">
        <v>3518</v>
      </c>
      <c r="H1268">
        <v>0.5</v>
      </c>
      <c r="I1268">
        <v>6</v>
      </c>
      <c r="J1268">
        <v>12</v>
      </c>
    </row>
    <row r="1269" spans="1:10" x14ac:dyDescent="0.25">
      <c r="A1269" t="s">
        <v>3794</v>
      </c>
      <c r="B1269" s="3">
        <v>44175</v>
      </c>
      <c r="C1269" t="s">
        <v>3381</v>
      </c>
      <c r="D1269" t="s">
        <v>3496</v>
      </c>
      <c r="E1269">
        <v>4</v>
      </c>
      <c r="F1269" t="s">
        <v>3525</v>
      </c>
      <c r="G1269" t="s">
        <v>3518</v>
      </c>
      <c r="H1269">
        <v>2.5</v>
      </c>
      <c r="I1269">
        <v>29.8</v>
      </c>
      <c r="J1269">
        <v>119.2</v>
      </c>
    </row>
    <row r="1270" spans="1:10" x14ac:dyDescent="0.25">
      <c r="A1270" t="s">
        <v>3795</v>
      </c>
      <c r="B1270" s="3">
        <v>43932</v>
      </c>
      <c r="C1270" t="s">
        <v>2730</v>
      </c>
      <c r="D1270" t="s">
        <v>3507</v>
      </c>
      <c r="E1270">
        <v>4</v>
      </c>
      <c r="F1270" t="s">
        <v>3526</v>
      </c>
      <c r="G1270" t="s">
        <v>3517</v>
      </c>
      <c r="H1270">
        <v>0.5</v>
      </c>
      <c r="I1270">
        <v>8.9</v>
      </c>
      <c r="J1270">
        <v>35.6</v>
      </c>
    </row>
    <row r="1271" spans="1:10" x14ac:dyDescent="0.25">
      <c r="A1271" t="s">
        <v>3796</v>
      </c>
      <c r="B1271" s="3">
        <v>45313</v>
      </c>
      <c r="C1271" t="s">
        <v>1699</v>
      </c>
      <c r="D1271" t="s">
        <v>3485</v>
      </c>
      <c r="E1271">
        <v>6</v>
      </c>
      <c r="F1271" t="s">
        <v>3523</v>
      </c>
      <c r="G1271" t="s">
        <v>3518</v>
      </c>
      <c r="H1271">
        <v>0.2</v>
      </c>
      <c r="I1271">
        <v>3</v>
      </c>
      <c r="J1271">
        <v>18</v>
      </c>
    </row>
    <row r="1272" spans="1:10" x14ac:dyDescent="0.25">
      <c r="A1272" t="s">
        <v>3797</v>
      </c>
      <c r="B1272" s="3">
        <v>44800</v>
      </c>
      <c r="C1272" t="s">
        <v>1068</v>
      </c>
      <c r="D1272" t="s">
        <v>3486</v>
      </c>
      <c r="E1272">
        <v>6</v>
      </c>
      <c r="F1272" t="s">
        <v>3523</v>
      </c>
      <c r="G1272" t="s">
        <v>3519</v>
      </c>
      <c r="H1272">
        <v>1</v>
      </c>
      <c r="I1272">
        <v>11.3</v>
      </c>
      <c r="J1272">
        <v>67.8</v>
      </c>
    </row>
    <row r="1273" spans="1:10" x14ac:dyDescent="0.25">
      <c r="A1273" t="s">
        <v>3798</v>
      </c>
      <c r="B1273" s="3">
        <v>45091</v>
      </c>
      <c r="C1273" t="s">
        <v>1056</v>
      </c>
      <c r="D1273" t="s">
        <v>3483</v>
      </c>
      <c r="E1273">
        <v>5</v>
      </c>
      <c r="F1273" t="s">
        <v>3523</v>
      </c>
      <c r="G1273" t="s">
        <v>3519</v>
      </c>
      <c r="H1273">
        <v>0.2</v>
      </c>
      <c r="I1273">
        <v>3.4</v>
      </c>
      <c r="J1273">
        <v>17</v>
      </c>
    </row>
    <row r="1274" spans="1:10" x14ac:dyDescent="0.25">
      <c r="A1274" t="s">
        <v>3799</v>
      </c>
      <c r="B1274" s="3">
        <v>44928</v>
      </c>
      <c r="C1274" t="s">
        <v>1178</v>
      </c>
      <c r="D1274" t="s">
        <v>3508</v>
      </c>
      <c r="E1274">
        <v>2</v>
      </c>
      <c r="F1274" t="s">
        <v>3524</v>
      </c>
      <c r="G1274" t="s">
        <v>3518</v>
      </c>
      <c r="H1274">
        <v>1</v>
      </c>
      <c r="I1274">
        <v>9</v>
      </c>
      <c r="J1274">
        <v>18</v>
      </c>
    </row>
    <row r="1275" spans="1:10" x14ac:dyDescent="0.25">
      <c r="A1275" t="s">
        <v>3800</v>
      </c>
      <c r="B1275" s="3">
        <v>45556</v>
      </c>
      <c r="C1275" t="s">
        <v>670</v>
      </c>
      <c r="D1275" t="s">
        <v>3496</v>
      </c>
      <c r="E1275">
        <v>6</v>
      </c>
      <c r="F1275" t="s">
        <v>3525</v>
      </c>
      <c r="G1275" t="s">
        <v>3518</v>
      </c>
      <c r="H1275">
        <v>2.5</v>
      </c>
      <c r="I1275">
        <v>29.8</v>
      </c>
      <c r="J1275">
        <v>178.8</v>
      </c>
    </row>
    <row r="1276" spans="1:10" x14ac:dyDescent="0.25">
      <c r="A1276" t="s">
        <v>3801</v>
      </c>
      <c r="B1276" s="3">
        <v>44567</v>
      </c>
      <c r="C1276" t="s">
        <v>2473</v>
      </c>
      <c r="D1276" t="s">
        <v>3477</v>
      </c>
      <c r="E1276">
        <v>5</v>
      </c>
      <c r="F1276" t="s">
        <v>3524</v>
      </c>
      <c r="G1276" t="s">
        <v>3519</v>
      </c>
      <c r="H1276">
        <v>0.5</v>
      </c>
      <c r="I1276">
        <v>6</v>
      </c>
      <c r="J1276">
        <v>30</v>
      </c>
    </row>
    <row r="1277" spans="1:10" x14ac:dyDescent="0.25">
      <c r="A1277" t="s">
        <v>3802</v>
      </c>
      <c r="B1277" s="3">
        <v>45621</v>
      </c>
      <c r="C1277" t="s">
        <v>1982</v>
      </c>
      <c r="D1277" t="s">
        <v>3505</v>
      </c>
      <c r="E1277">
        <v>3</v>
      </c>
      <c r="F1277" t="s">
        <v>3524</v>
      </c>
      <c r="G1277" t="s">
        <v>3519</v>
      </c>
      <c r="H1277">
        <v>0.2</v>
      </c>
      <c r="I1277">
        <v>3</v>
      </c>
      <c r="J1277">
        <v>9</v>
      </c>
    </row>
    <row r="1278" spans="1:10" x14ac:dyDescent="0.25">
      <c r="A1278" t="s">
        <v>3803</v>
      </c>
      <c r="B1278" s="3">
        <v>45300</v>
      </c>
      <c r="C1278" t="s">
        <v>2948</v>
      </c>
      <c r="D1278" t="s">
        <v>3500</v>
      </c>
      <c r="E1278">
        <v>3</v>
      </c>
      <c r="F1278" t="s">
        <v>3525</v>
      </c>
      <c r="G1278" t="s">
        <v>3518</v>
      </c>
      <c r="H1278">
        <v>0.5</v>
      </c>
      <c r="I1278">
        <v>7.8</v>
      </c>
      <c r="J1278">
        <v>23.4</v>
      </c>
    </row>
    <row r="1279" spans="1:10" x14ac:dyDescent="0.25">
      <c r="A1279" t="s">
        <v>3804</v>
      </c>
      <c r="B1279" s="3">
        <v>45367</v>
      </c>
      <c r="C1279" t="s">
        <v>2527</v>
      </c>
      <c r="D1279" t="s">
        <v>3480</v>
      </c>
      <c r="E1279">
        <v>2</v>
      </c>
      <c r="F1279" t="s">
        <v>3524</v>
      </c>
      <c r="G1279" t="s">
        <v>3518</v>
      </c>
      <c r="H1279">
        <v>2.5</v>
      </c>
      <c r="I1279">
        <v>20.6</v>
      </c>
      <c r="J1279">
        <v>41.2</v>
      </c>
    </row>
    <row r="1280" spans="1:10" x14ac:dyDescent="0.25">
      <c r="A1280" t="s">
        <v>3805</v>
      </c>
      <c r="B1280" s="3">
        <v>45348</v>
      </c>
      <c r="C1280" t="s">
        <v>526</v>
      </c>
      <c r="D1280" t="s">
        <v>3512</v>
      </c>
      <c r="E1280">
        <v>5</v>
      </c>
      <c r="F1280" t="s">
        <v>3525</v>
      </c>
      <c r="G1280" t="s">
        <v>3519</v>
      </c>
      <c r="H1280">
        <v>2.5</v>
      </c>
      <c r="I1280">
        <v>33.5</v>
      </c>
      <c r="J1280">
        <v>167.5</v>
      </c>
    </row>
    <row r="1281" spans="1:10" x14ac:dyDescent="0.25">
      <c r="A1281" t="s">
        <v>3806</v>
      </c>
      <c r="B1281" s="3">
        <v>45124</v>
      </c>
      <c r="C1281" t="s">
        <v>655</v>
      </c>
      <c r="D1281" t="s">
        <v>3474</v>
      </c>
      <c r="E1281">
        <v>3</v>
      </c>
      <c r="F1281" t="s">
        <v>3525</v>
      </c>
      <c r="G1281" t="s">
        <v>3518</v>
      </c>
      <c r="H1281">
        <v>1</v>
      </c>
      <c r="I1281">
        <v>13</v>
      </c>
      <c r="J1281">
        <v>39</v>
      </c>
    </row>
    <row r="1282" spans="1:10" x14ac:dyDescent="0.25">
      <c r="A1282" t="s">
        <v>3807</v>
      </c>
      <c r="B1282" s="3">
        <v>45233</v>
      </c>
      <c r="C1282" t="s">
        <v>2521</v>
      </c>
      <c r="D1282" t="s">
        <v>3504</v>
      </c>
      <c r="E1282">
        <v>4</v>
      </c>
      <c r="F1282" t="s">
        <v>3524</v>
      </c>
      <c r="G1282" t="s">
        <v>3517</v>
      </c>
      <c r="H1282">
        <v>0.5</v>
      </c>
      <c r="I1282">
        <v>7.2</v>
      </c>
      <c r="J1282">
        <v>28.8</v>
      </c>
    </row>
    <row r="1283" spans="1:10" x14ac:dyDescent="0.25">
      <c r="A1283" t="s">
        <v>3808</v>
      </c>
      <c r="B1283" s="3">
        <v>44699</v>
      </c>
      <c r="C1283" t="s">
        <v>3417</v>
      </c>
      <c r="D1283" t="s">
        <v>3489</v>
      </c>
      <c r="E1283">
        <v>2</v>
      </c>
      <c r="F1283" t="s">
        <v>3523</v>
      </c>
      <c r="G1283" t="s">
        <v>3518</v>
      </c>
      <c r="H1283">
        <v>0.5</v>
      </c>
      <c r="I1283">
        <v>6</v>
      </c>
      <c r="J1283">
        <v>12</v>
      </c>
    </row>
    <row r="1284" spans="1:10" x14ac:dyDescent="0.25">
      <c r="A1284" t="s">
        <v>3809</v>
      </c>
      <c r="B1284" s="3">
        <v>44664</v>
      </c>
      <c r="C1284" t="s">
        <v>872</v>
      </c>
      <c r="D1284" t="s">
        <v>3498</v>
      </c>
      <c r="E1284">
        <v>6</v>
      </c>
      <c r="F1284" t="s">
        <v>3523</v>
      </c>
      <c r="G1284" t="s">
        <v>3517</v>
      </c>
      <c r="H1284">
        <v>0.2</v>
      </c>
      <c r="I1284">
        <v>3.9</v>
      </c>
      <c r="J1284">
        <v>23.4</v>
      </c>
    </row>
    <row r="1285" spans="1:10" x14ac:dyDescent="0.25">
      <c r="A1285" t="s">
        <v>3810</v>
      </c>
      <c r="B1285" s="3">
        <v>45322</v>
      </c>
      <c r="C1285" t="s">
        <v>2341</v>
      </c>
      <c r="D1285" t="s">
        <v>3483</v>
      </c>
      <c r="E1285">
        <v>5</v>
      </c>
      <c r="F1285" t="s">
        <v>3523</v>
      </c>
      <c r="G1285" t="s">
        <v>3519</v>
      </c>
      <c r="H1285">
        <v>0.2</v>
      </c>
      <c r="I1285">
        <v>3.4</v>
      </c>
      <c r="J1285">
        <v>17</v>
      </c>
    </row>
    <row r="1286" spans="1:10" x14ac:dyDescent="0.25">
      <c r="A1286" t="s">
        <v>3811</v>
      </c>
      <c r="B1286" s="3">
        <v>45195</v>
      </c>
      <c r="C1286" t="s">
        <v>3378</v>
      </c>
      <c r="D1286" t="s">
        <v>3482</v>
      </c>
      <c r="E1286">
        <v>3</v>
      </c>
      <c r="F1286" t="s">
        <v>3524</v>
      </c>
      <c r="G1286" t="s">
        <v>3519</v>
      </c>
      <c r="H1286">
        <v>2.5</v>
      </c>
      <c r="I1286">
        <v>22.9</v>
      </c>
      <c r="J1286">
        <v>68.7</v>
      </c>
    </row>
    <row r="1287" spans="1:10" x14ac:dyDescent="0.25">
      <c r="A1287" t="s">
        <v>3812</v>
      </c>
      <c r="B1287" s="3">
        <v>45406</v>
      </c>
      <c r="C1287" t="s">
        <v>1696</v>
      </c>
      <c r="D1287" t="s">
        <v>3484</v>
      </c>
      <c r="E1287">
        <v>3</v>
      </c>
      <c r="F1287" t="s">
        <v>3526</v>
      </c>
      <c r="G1287" t="s">
        <v>3518</v>
      </c>
      <c r="H1287">
        <v>0.2</v>
      </c>
      <c r="I1287">
        <v>3.6</v>
      </c>
      <c r="J1287">
        <v>10.8</v>
      </c>
    </row>
    <row r="1288" spans="1:10" x14ac:dyDescent="0.25">
      <c r="A1288" t="s">
        <v>3813</v>
      </c>
      <c r="B1288" s="3">
        <v>45493</v>
      </c>
      <c r="C1288" t="s">
        <v>2251</v>
      </c>
      <c r="D1288" t="s">
        <v>3516</v>
      </c>
      <c r="E1288">
        <v>5</v>
      </c>
      <c r="F1288" t="s">
        <v>3526</v>
      </c>
      <c r="G1288" t="s">
        <v>3518</v>
      </c>
      <c r="H1288">
        <v>2.5</v>
      </c>
      <c r="I1288">
        <v>27.9</v>
      </c>
      <c r="J1288">
        <v>139.5</v>
      </c>
    </row>
    <row r="1289" spans="1:10" x14ac:dyDescent="0.25">
      <c r="A1289" t="s">
        <v>3814</v>
      </c>
      <c r="B1289" s="3">
        <v>44737</v>
      </c>
      <c r="C1289" t="s">
        <v>953</v>
      </c>
      <c r="D1289" t="s">
        <v>3488</v>
      </c>
      <c r="E1289">
        <v>5</v>
      </c>
      <c r="F1289" t="s">
        <v>3523</v>
      </c>
      <c r="G1289" t="s">
        <v>3519</v>
      </c>
      <c r="H1289">
        <v>0.5</v>
      </c>
      <c r="I1289">
        <v>6.8</v>
      </c>
      <c r="J1289">
        <v>34</v>
      </c>
    </row>
    <row r="1290" spans="1:10" x14ac:dyDescent="0.25">
      <c r="A1290" t="s">
        <v>3815</v>
      </c>
      <c r="B1290" s="3">
        <v>44296</v>
      </c>
      <c r="C1290" t="s">
        <v>3399</v>
      </c>
      <c r="D1290" t="s">
        <v>3479</v>
      </c>
      <c r="E1290">
        <v>2</v>
      </c>
      <c r="F1290" t="s">
        <v>3526</v>
      </c>
      <c r="G1290" t="s">
        <v>3517</v>
      </c>
      <c r="H1290">
        <v>2.5</v>
      </c>
      <c r="I1290">
        <v>34.200000000000003</v>
      </c>
      <c r="J1290">
        <v>68.400000000000006</v>
      </c>
    </row>
    <row r="1291" spans="1:10" x14ac:dyDescent="0.25">
      <c r="A1291" t="s">
        <v>3816</v>
      </c>
      <c r="B1291" s="3">
        <v>44359</v>
      </c>
      <c r="C1291" t="s">
        <v>1287</v>
      </c>
      <c r="D1291" t="s">
        <v>3504</v>
      </c>
      <c r="E1291">
        <v>4</v>
      </c>
      <c r="F1291" t="s">
        <v>3524</v>
      </c>
      <c r="G1291" t="s">
        <v>3517</v>
      </c>
      <c r="H1291">
        <v>0.5</v>
      </c>
      <c r="I1291">
        <v>7.2</v>
      </c>
      <c r="J1291">
        <v>28.8</v>
      </c>
    </row>
    <row r="1292" spans="1:10" x14ac:dyDescent="0.25">
      <c r="A1292" t="s">
        <v>3817</v>
      </c>
      <c r="B1292" s="3">
        <v>45202</v>
      </c>
      <c r="C1292" t="s">
        <v>2521</v>
      </c>
      <c r="D1292" t="s">
        <v>3480</v>
      </c>
      <c r="E1292">
        <v>4</v>
      </c>
      <c r="F1292" t="s">
        <v>3524</v>
      </c>
      <c r="G1292" t="s">
        <v>3518</v>
      </c>
      <c r="H1292">
        <v>2.5</v>
      </c>
      <c r="I1292">
        <v>20.6</v>
      </c>
      <c r="J1292">
        <v>82.4</v>
      </c>
    </row>
    <row r="1293" spans="1:10" x14ac:dyDescent="0.25">
      <c r="A1293" t="s">
        <v>3818</v>
      </c>
      <c r="B1293" s="3">
        <v>45637</v>
      </c>
      <c r="C1293" t="s">
        <v>1553</v>
      </c>
      <c r="D1293" t="s">
        <v>3504</v>
      </c>
      <c r="E1293">
        <v>6</v>
      </c>
      <c r="F1293" t="s">
        <v>3524</v>
      </c>
      <c r="G1293" t="s">
        <v>3517</v>
      </c>
      <c r="H1293">
        <v>0.5</v>
      </c>
      <c r="I1293">
        <v>7.2</v>
      </c>
      <c r="J1293">
        <v>43.2</v>
      </c>
    </row>
    <row r="1294" spans="1:10" x14ac:dyDescent="0.25">
      <c r="A1294" t="s">
        <v>3819</v>
      </c>
      <c r="B1294" s="3">
        <v>44732</v>
      </c>
      <c r="C1294" t="s">
        <v>2174</v>
      </c>
      <c r="D1294" t="s">
        <v>3508</v>
      </c>
      <c r="E1294">
        <v>3</v>
      </c>
      <c r="F1294" t="s">
        <v>3524</v>
      </c>
      <c r="G1294" t="s">
        <v>3518</v>
      </c>
      <c r="H1294">
        <v>1</v>
      </c>
      <c r="I1294">
        <v>9</v>
      </c>
      <c r="J1294">
        <v>27</v>
      </c>
    </row>
    <row r="1295" spans="1:10" x14ac:dyDescent="0.25">
      <c r="A1295" t="s">
        <v>3820</v>
      </c>
      <c r="B1295" s="3">
        <v>44587</v>
      </c>
      <c r="C1295" t="s">
        <v>775</v>
      </c>
      <c r="D1295" t="s">
        <v>3488</v>
      </c>
      <c r="E1295">
        <v>2</v>
      </c>
      <c r="F1295" t="s">
        <v>3523</v>
      </c>
      <c r="G1295" t="s">
        <v>3519</v>
      </c>
      <c r="H1295">
        <v>0.5</v>
      </c>
      <c r="I1295">
        <v>6.8</v>
      </c>
      <c r="J1295">
        <v>13.6</v>
      </c>
    </row>
    <row r="1296" spans="1:10" x14ac:dyDescent="0.25">
      <c r="A1296" t="s">
        <v>3821</v>
      </c>
      <c r="B1296" s="3">
        <v>44762</v>
      </c>
      <c r="C1296" t="s">
        <v>3296</v>
      </c>
      <c r="D1296" t="s">
        <v>3473</v>
      </c>
      <c r="E1296">
        <v>3</v>
      </c>
      <c r="F1296" t="s">
        <v>3524</v>
      </c>
      <c r="G1296" t="s">
        <v>3517</v>
      </c>
      <c r="H1296">
        <v>2.5</v>
      </c>
      <c r="I1296">
        <v>27.5</v>
      </c>
      <c r="J1296">
        <v>82.5</v>
      </c>
    </row>
    <row r="1297" spans="1:10" x14ac:dyDescent="0.25">
      <c r="A1297" t="s">
        <v>3822</v>
      </c>
      <c r="B1297" s="3">
        <v>44575</v>
      </c>
      <c r="C1297" t="s">
        <v>2512</v>
      </c>
      <c r="D1297" t="s">
        <v>3507</v>
      </c>
      <c r="E1297">
        <v>4</v>
      </c>
      <c r="F1297" t="s">
        <v>3526</v>
      </c>
      <c r="G1297" t="s">
        <v>3517</v>
      </c>
      <c r="H1297">
        <v>0.5</v>
      </c>
      <c r="I1297">
        <v>8.9</v>
      </c>
      <c r="J1297">
        <v>35.6</v>
      </c>
    </row>
    <row r="1298" spans="1:10" x14ac:dyDescent="0.25">
      <c r="A1298" t="s">
        <v>3823</v>
      </c>
      <c r="B1298" s="3">
        <v>44275</v>
      </c>
      <c r="C1298" t="s">
        <v>2092</v>
      </c>
      <c r="D1298" t="s">
        <v>3497</v>
      </c>
      <c r="E1298">
        <v>4</v>
      </c>
      <c r="F1298" t="s">
        <v>3526</v>
      </c>
      <c r="G1298" t="s">
        <v>3519</v>
      </c>
      <c r="H1298">
        <v>2.5</v>
      </c>
      <c r="I1298">
        <v>31.6</v>
      </c>
      <c r="J1298">
        <v>126.4</v>
      </c>
    </row>
    <row r="1299" spans="1:10" x14ac:dyDescent="0.25">
      <c r="A1299" t="s">
        <v>3824</v>
      </c>
      <c r="B1299" s="3">
        <v>44695</v>
      </c>
      <c r="C1299" t="s">
        <v>2633</v>
      </c>
      <c r="D1299" t="s">
        <v>3508</v>
      </c>
      <c r="E1299">
        <v>3</v>
      </c>
      <c r="F1299" t="s">
        <v>3524</v>
      </c>
      <c r="G1299" t="s">
        <v>3518</v>
      </c>
      <c r="H1299">
        <v>1</v>
      </c>
      <c r="I1299">
        <v>9</v>
      </c>
      <c r="J1299">
        <v>27</v>
      </c>
    </row>
    <row r="1300" spans="1:10" x14ac:dyDescent="0.25">
      <c r="A1300" t="s">
        <v>3825</v>
      </c>
      <c r="B1300" s="3">
        <v>45568</v>
      </c>
      <c r="C1300" t="s">
        <v>2272</v>
      </c>
      <c r="D1300" t="s">
        <v>3495</v>
      </c>
      <c r="E1300">
        <v>5</v>
      </c>
      <c r="F1300" t="s">
        <v>3525</v>
      </c>
      <c r="G1300" t="s">
        <v>3517</v>
      </c>
      <c r="H1300">
        <v>2.5</v>
      </c>
      <c r="I1300">
        <v>36.5</v>
      </c>
      <c r="J1300">
        <v>182.5</v>
      </c>
    </row>
    <row r="1301" spans="1:10" x14ac:dyDescent="0.25">
      <c r="A1301" t="s">
        <v>3826</v>
      </c>
      <c r="B1301" s="3">
        <v>45365</v>
      </c>
      <c r="C1301" t="s">
        <v>2530</v>
      </c>
      <c r="D1301" t="s">
        <v>3500</v>
      </c>
      <c r="E1301">
        <v>3</v>
      </c>
      <c r="F1301" t="s">
        <v>3525</v>
      </c>
      <c r="G1301" t="s">
        <v>3518</v>
      </c>
      <c r="H1301">
        <v>0.5</v>
      </c>
      <c r="I1301">
        <v>7.8</v>
      </c>
      <c r="J1301">
        <v>23.4</v>
      </c>
    </row>
    <row r="1302" spans="1:10" x14ac:dyDescent="0.25">
      <c r="A1302" t="s">
        <v>3827</v>
      </c>
      <c r="B1302" s="3">
        <v>45299</v>
      </c>
      <c r="C1302" t="s">
        <v>3279</v>
      </c>
      <c r="D1302" t="s">
        <v>3502</v>
      </c>
      <c r="E1302">
        <v>4</v>
      </c>
      <c r="F1302" t="s">
        <v>3526</v>
      </c>
      <c r="G1302" t="s">
        <v>3517</v>
      </c>
      <c r="H1302">
        <v>1</v>
      </c>
      <c r="I1302">
        <v>14.9</v>
      </c>
      <c r="J1302">
        <v>59.6</v>
      </c>
    </row>
    <row r="1303" spans="1:10" x14ac:dyDescent="0.25">
      <c r="A1303" t="s">
        <v>3828</v>
      </c>
      <c r="B1303" s="3">
        <v>45533</v>
      </c>
      <c r="C1303" t="s">
        <v>2275</v>
      </c>
      <c r="D1303" t="s">
        <v>3481</v>
      </c>
      <c r="E1303">
        <v>1</v>
      </c>
      <c r="F1303" t="s">
        <v>3525</v>
      </c>
      <c r="G1303" t="s">
        <v>3518</v>
      </c>
      <c r="H1303">
        <v>0.2</v>
      </c>
      <c r="I1303">
        <v>3.9</v>
      </c>
      <c r="J1303">
        <v>3.9</v>
      </c>
    </row>
    <row r="1304" spans="1:10" x14ac:dyDescent="0.25">
      <c r="A1304" t="s">
        <v>3829</v>
      </c>
      <c r="B1304" s="3">
        <v>44703</v>
      </c>
      <c r="C1304" t="s">
        <v>1911</v>
      </c>
      <c r="D1304" t="s">
        <v>3515</v>
      </c>
      <c r="E1304">
        <v>3</v>
      </c>
      <c r="F1304" t="s">
        <v>3526</v>
      </c>
      <c r="G1304" t="s">
        <v>3517</v>
      </c>
      <c r="H1304">
        <v>0.2</v>
      </c>
      <c r="I1304">
        <v>4.5</v>
      </c>
      <c r="J1304">
        <v>13.5</v>
      </c>
    </row>
    <row r="1305" spans="1:10" x14ac:dyDescent="0.25">
      <c r="A1305" t="s">
        <v>3830</v>
      </c>
      <c r="B1305" s="3">
        <v>44569</v>
      </c>
      <c r="C1305" t="s">
        <v>1137</v>
      </c>
      <c r="D1305" t="s">
        <v>3506</v>
      </c>
      <c r="E1305">
        <v>2</v>
      </c>
      <c r="F1305" t="s">
        <v>3523</v>
      </c>
      <c r="G1305" t="s">
        <v>3519</v>
      </c>
      <c r="H1305">
        <v>2.5</v>
      </c>
      <c r="I1305">
        <v>25.9</v>
      </c>
      <c r="J1305">
        <v>51.8</v>
      </c>
    </row>
    <row r="1306" spans="1:10" x14ac:dyDescent="0.25">
      <c r="A1306" t="s">
        <v>3831</v>
      </c>
      <c r="B1306" s="3">
        <v>45536</v>
      </c>
      <c r="C1306" t="s">
        <v>1797</v>
      </c>
      <c r="D1306" t="s">
        <v>3495</v>
      </c>
      <c r="E1306">
        <v>2</v>
      </c>
      <c r="F1306" t="s">
        <v>3525</v>
      </c>
      <c r="G1306" t="s">
        <v>3517</v>
      </c>
      <c r="H1306">
        <v>2.5</v>
      </c>
      <c r="I1306">
        <v>36.5</v>
      </c>
      <c r="J1306">
        <v>73</v>
      </c>
    </row>
    <row r="1307" spans="1:10" x14ac:dyDescent="0.25">
      <c r="A1307" t="s">
        <v>3832</v>
      </c>
      <c r="B1307" s="3">
        <v>45435</v>
      </c>
      <c r="C1307" t="s">
        <v>2627</v>
      </c>
      <c r="D1307" t="s">
        <v>3494</v>
      </c>
      <c r="E1307">
        <v>1</v>
      </c>
      <c r="F1307" t="s">
        <v>3524</v>
      </c>
      <c r="G1307" t="s">
        <v>3518</v>
      </c>
      <c r="H1307">
        <v>0.2</v>
      </c>
      <c r="I1307">
        <v>2.7</v>
      </c>
      <c r="J1307">
        <v>2.7</v>
      </c>
    </row>
    <row r="1308" spans="1:10" x14ac:dyDescent="0.25">
      <c r="A1308" t="s">
        <v>3833</v>
      </c>
      <c r="B1308" s="3">
        <v>44302</v>
      </c>
      <c r="C1308" t="s">
        <v>2041</v>
      </c>
      <c r="D1308" t="s">
        <v>3496</v>
      </c>
      <c r="E1308">
        <v>6</v>
      </c>
      <c r="F1308" t="s">
        <v>3525</v>
      </c>
      <c r="G1308" t="s">
        <v>3518</v>
      </c>
      <c r="H1308">
        <v>2.5</v>
      </c>
      <c r="I1308">
        <v>29.8</v>
      </c>
      <c r="J1308">
        <v>178.8</v>
      </c>
    </row>
    <row r="1309" spans="1:10" x14ac:dyDescent="0.25">
      <c r="A1309" t="s">
        <v>3834</v>
      </c>
      <c r="B1309" s="3">
        <v>45086</v>
      </c>
      <c r="C1309" t="s">
        <v>1982</v>
      </c>
      <c r="D1309" t="s">
        <v>3488</v>
      </c>
      <c r="E1309">
        <v>5</v>
      </c>
      <c r="F1309" t="s">
        <v>3523</v>
      </c>
      <c r="G1309" t="s">
        <v>3519</v>
      </c>
      <c r="H1309">
        <v>0.5</v>
      </c>
      <c r="I1309">
        <v>6.8</v>
      </c>
      <c r="J1309">
        <v>34</v>
      </c>
    </row>
    <row r="1310" spans="1:10" x14ac:dyDescent="0.25">
      <c r="A1310" t="s">
        <v>3835</v>
      </c>
      <c r="B1310" s="3">
        <v>44951</v>
      </c>
      <c r="C1310" t="s">
        <v>2432</v>
      </c>
      <c r="D1310" t="s">
        <v>3481</v>
      </c>
      <c r="E1310">
        <v>3</v>
      </c>
      <c r="F1310" t="s">
        <v>3525</v>
      </c>
      <c r="G1310" t="s">
        <v>3518</v>
      </c>
      <c r="H1310">
        <v>0.2</v>
      </c>
      <c r="I1310">
        <v>3.9</v>
      </c>
      <c r="J1310">
        <v>11.7</v>
      </c>
    </row>
    <row r="1311" spans="1:10" x14ac:dyDescent="0.25">
      <c r="A1311" t="s">
        <v>3836</v>
      </c>
      <c r="B1311" s="3">
        <v>45620</v>
      </c>
      <c r="C1311" t="s">
        <v>2215</v>
      </c>
      <c r="D1311" t="s">
        <v>3478</v>
      </c>
      <c r="E1311">
        <v>1</v>
      </c>
      <c r="F1311" t="s">
        <v>3523</v>
      </c>
      <c r="G1311" t="s">
        <v>3518</v>
      </c>
      <c r="H1311">
        <v>1</v>
      </c>
      <c r="I1311">
        <v>10</v>
      </c>
      <c r="J1311">
        <v>10</v>
      </c>
    </row>
    <row r="1312" spans="1:10" x14ac:dyDescent="0.25">
      <c r="A1312" t="s">
        <v>3837</v>
      </c>
      <c r="B1312" s="3">
        <v>44808</v>
      </c>
      <c r="C1312" t="s">
        <v>610</v>
      </c>
      <c r="D1312" t="s">
        <v>3490</v>
      </c>
      <c r="E1312">
        <v>4</v>
      </c>
      <c r="F1312" t="s">
        <v>3525</v>
      </c>
      <c r="G1312" t="s">
        <v>3519</v>
      </c>
      <c r="H1312">
        <v>0.2</v>
      </c>
      <c r="I1312">
        <v>4.4000000000000004</v>
      </c>
      <c r="J1312">
        <v>17.600000000000001</v>
      </c>
    </row>
    <row r="1313" spans="1:10" x14ac:dyDescent="0.25">
      <c r="A1313" t="s">
        <v>3838</v>
      </c>
      <c r="B1313" s="3">
        <v>44954</v>
      </c>
      <c r="C1313" t="s">
        <v>3378</v>
      </c>
      <c r="D1313" t="s">
        <v>3507</v>
      </c>
      <c r="E1313">
        <v>1</v>
      </c>
      <c r="F1313" t="s">
        <v>3526</v>
      </c>
      <c r="G1313" t="s">
        <v>3517</v>
      </c>
      <c r="H1313">
        <v>0.5</v>
      </c>
      <c r="I1313">
        <v>8.9</v>
      </c>
      <c r="J1313">
        <v>8.9</v>
      </c>
    </row>
    <row r="1314" spans="1:10" x14ac:dyDescent="0.25">
      <c r="A1314" t="s">
        <v>3839</v>
      </c>
      <c r="B1314" s="3">
        <v>45625</v>
      </c>
      <c r="C1314" t="s">
        <v>2391</v>
      </c>
      <c r="D1314" t="s">
        <v>3485</v>
      </c>
      <c r="E1314">
        <v>6</v>
      </c>
      <c r="F1314" t="s">
        <v>3523</v>
      </c>
      <c r="G1314" t="s">
        <v>3518</v>
      </c>
      <c r="H1314">
        <v>0.2</v>
      </c>
      <c r="I1314">
        <v>3</v>
      </c>
      <c r="J1314">
        <v>18</v>
      </c>
    </row>
    <row r="1315" spans="1:10" x14ac:dyDescent="0.25">
      <c r="A1315" t="s">
        <v>3840</v>
      </c>
      <c r="B1315" s="3">
        <v>45087</v>
      </c>
      <c r="C1315" t="s">
        <v>793</v>
      </c>
      <c r="D1315" t="s">
        <v>3473</v>
      </c>
      <c r="E1315">
        <v>2</v>
      </c>
      <c r="F1315" t="s">
        <v>3524</v>
      </c>
      <c r="G1315" t="s">
        <v>3517</v>
      </c>
      <c r="H1315">
        <v>2.5</v>
      </c>
      <c r="I1315">
        <v>27.5</v>
      </c>
      <c r="J1315">
        <v>55</v>
      </c>
    </row>
    <row r="1316" spans="1:10" x14ac:dyDescent="0.25">
      <c r="A1316" t="s">
        <v>3841</v>
      </c>
      <c r="B1316" s="3">
        <v>45020</v>
      </c>
      <c r="C1316" t="s">
        <v>2186</v>
      </c>
      <c r="D1316" t="s">
        <v>3510</v>
      </c>
      <c r="E1316">
        <v>2</v>
      </c>
      <c r="F1316" t="s">
        <v>3524</v>
      </c>
      <c r="G1316" t="s">
        <v>3517</v>
      </c>
      <c r="H1316">
        <v>1</v>
      </c>
      <c r="I1316">
        <v>12</v>
      </c>
      <c r="J1316">
        <v>24</v>
      </c>
    </row>
    <row r="1317" spans="1:10" x14ac:dyDescent="0.25">
      <c r="A1317" t="s">
        <v>3842</v>
      </c>
      <c r="B1317" s="3">
        <v>45589</v>
      </c>
      <c r="C1317" t="s">
        <v>1015</v>
      </c>
      <c r="D1317" t="s">
        <v>3477</v>
      </c>
      <c r="E1317">
        <v>3</v>
      </c>
      <c r="F1317" t="s">
        <v>3524</v>
      </c>
      <c r="G1317" t="s">
        <v>3519</v>
      </c>
      <c r="H1317">
        <v>0.5</v>
      </c>
      <c r="I1317">
        <v>6</v>
      </c>
      <c r="J1317">
        <v>18</v>
      </c>
    </row>
    <row r="1318" spans="1:10" x14ac:dyDescent="0.25">
      <c r="A1318" t="s">
        <v>3843</v>
      </c>
      <c r="B1318" s="3">
        <v>44922</v>
      </c>
      <c r="C1318" t="s">
        <v>1732</v>
      </c>
      <c r="D1318" t="s">
        <v>3490</v>
      </c>
      <c r="E1318">
        <v>5</v>
      </c>
      <c r="F1318" t="s">
        <v>3525</v>
      </c>
      <c r="G1318" t="s">
        <v>3519</v>
      </c>
      <c r="H1318">
        <v>0.2</v>
      </c>
      <c r="I1318">
        <v>4.4000000000000004</v>
      </c>
      <c r="J1318">
        <v>22</v>
      </c>
    </row>
    <row r="1319" spans="1:10" x14ac:dyDescent="0.25">
      <c r="A1319" t="s">
        <v>3844</v>
      </c>
      <c r="B1319" s="3">
        <v>44656</v>
      </c>
      <c r="C1319" t="s">
        <v>737</v>
      </c>
      <c r="D1319" t="s">
        <v>3507</v>
      </c>
      <c r="E1319">
        <v>1</v>
      </c>
      <c r="F1319" t="s">
        <v>3526</v>
      </c>
      <c r="G1319" t="s">
        <v>3517</v>
      </c>
      <c r="H1319">
        <v>0.5</v>
      </c>
      <c r="I1319">
        <v>8.9</v>
      </c>
      <c r="J1319">
        <v>8.9</v>
      </c>
    </row>
    <row r="1320" spans="1:10" x14ac:dyDescent="0.25">
      <c r="A1320" t="s">
        <v>3845</v>
      </c>
      <c r="B1320" s="3">
        <v>44964</v>
      </c>
      <c r="C1320" t="s">
        <v>3095</v>
      </c>
      <c r="D1320" t="s">
        <v>3477</v>
      </c>
      <c r="E1320">
        <v>3</v>
      </c>
      <c r="F1320" t="s">
        <v>3524</v>
      </c>
      <c r="G1320" t="s">
        <v>3519</v>
      </c>
      <c r="H1320">
        <v>0.5</v>
      </c>
      <c r="I1320">
        <v>6</v>
      </c>
      <c r="J1320">
        <v>18</v>
      </c>
    </row>
    <row r="1321" spans="1:10" x14ac:dyDescent="0.25">
      <c r="A1321" t="s">
        <v>3846</v>
      </c>
      <c r="B1321" s="3">
        <v>45169</v>
      </c>
      <c r="C1321" t="s">
        <v>626</v>
      </c>
      <c r="D1321" t="s">
        <v>3479</v>
      </c>
      <c r="E1321">
        <v>2</v>
      </c>
      <c r="F1321" t="s">
        <v>3526</v>
      </c>
      <c r="G1321" t="s">
        <v>3517</v>
      </c>
      <c r="H1321">
        <v>2.5</v>
      </c>
      <c r="I1321">
        <v>34.200000000000003</v>
      </c>
      <c r="J1321">
        <v>68.400000000000006</v>
      </c>
    </row>
    <row r="1322" spans="1:10" x14ac:dyDescent="0.25">
      <c r="A1322" t="s">
        <v>3847</v>
      </c>
      <c r="B1322" s="3">
        <v>44452</v>
      </c>
      <c r="C1322" t="s">
        <v>1211</v>
      </c>
      <c r="D1322" t="s">
        <v>3507</v>
      </c>
      <c r="E1322">
        <v>6</v>
      </c>
      <c r="F1322" t="s">
        <v>3526</v>
      </c>
      <c r="G1322" t="s">
        <v>3517</v>
      </c>
      <c r="H1322">
        <v>0.5</v>
      </c>
      <c r="I1322">
        <v>8.9</v>
      </c>
      <c r="J1322">
        <v>53.4</v>
      </c>
    </row>
    <row r="1323" spans="1:10" x14ac:dyDescent="0.25">
      <c r="A1323" t="s">
        <v>3848</v>
      </c>
      <c r="B1323" s="3">
        <v>45584</v>
      </c>
      <c r="C1323" t="s">
        <v>1071</v>
      </c>
      <c r="D1323" t="s">
        <v>3501</v>
      </c>
      <c r="E1323">
        <v>1</v>
      </c>
      <c r="F1323" t="s">
        <v>3525</v>
      </c>
      <c r="G1323" t="s">
        <v>3517</v>
      </c>
      <c r="H1323">
        <v>1</v>
      </c>
      <c r="I1323">
        <v>15.9</v>
      </c>
      <c r="J1323">
        <v>15.9</v>
      </c>
    </row>
    <row r="1324" spans="1:10" x14ac:dyDescent="0.25">
      <c r="A1324" t="s">
        <v>3849</v>
      </c>
      <c r="B1324" s="3">
        <v>45182</v>
      </c>
      <c r="C1324" t="s">
        <v>2302</v>
      </c>
      <c r="D1324" t="s">
        <v>3492</v>
      </c>
      <c r="E1324">
        <v>3</v>
      </c>
      <c r="F1324" t="s">
        <v>3525</v>
      </c>
      <c r="G1324" t="s">
        <v>3517</v>
      </c>
      <c r="H1324">
        <v>0.5</v>
      </c>
      <c r="I1324">
        <v>9.5</v>
      </c>
      <c r="J1324">
        <v>28.5</v>
      </c>
    </row>
    <row r="1325" spans="1:10" x14ac:dyDescent="0.25">
      <c r="A1325" t="s">
        <v>3850</v>
      </c>
      <c r="B1325" s="3">
        <v>45504</v>
      </c>
      <c r="C1325" t="s">
        <v>1523</v>
      </c>
      <c r="D1325" t="s">
        <v>3491</v>
      </c>
      <c r="E1325">
        <v>4</v>
      </c>
      <c r="F1325" t="s">
        <v>3525</v>
      </c>
      <c r="G1325" t="s">
        <v>3519</v>
      </c>
      <c r="H1325">
        <v>0.5</v>
      </c>
      <c r="I1325">
        <v>8.6999999999999993</v>
      </c>
      <c r="J1325">
        <v>34.799999999999997</v>
      </c>
    </row>
    <row r="1326" spans="1:10" x14ac:dyDescent="0.25">
      <c r="A1326" t="s">
        <v>3851</v>
      </c>
      <c r="B1326" s="3">
        <v>44667</v>
      </c>
      <c r="C1326" t="s">
        <v>796</v>
      </c>
      <c r="D1326" t="s">
        <v>3510</v>
      </c>
      <c r="E1326">
        <v>5</v>
      </c>
      <c r="F1326" t="s">
        <v>3524</v>
      </c>
      <c r="G1326" t="s">
        <v>3517</v>
      </c>
      <c r="H1326">
        <v>1</v>
      </c>
      <c r="I1326">
        <v>12</v>
      </c>
      <c r="J1326">
        <v>60</v>
      </c>
    </row>
    <row r="1327" spans="1:10" x14ac:dyDescent="0.25">
      <c r="A1327" t="s">
        <v>3852</v>
      </c>
      <c r="B1327" s="3">
        <v>45371</v>
      </c>
      <c r="C1327" t="s">
        <v>598</v>
      </c>
      <c r="D1327" t="s">
        <v>3506</v>
      </c>
      <c r="E1327">
        <v>1</v>
      </c>
      <c r="F1327" t="s">
        <v>3523</v>
      </c>
      <c r="G1327" t="s">
        <v>3519</v>
      </c>
      <c r="H1327">
        <v>2.5</v>
      </c>
      <c r="I1327">
        <v>25.9</v>
      </c>
      <c r="J1327">
        <v>25.9</v>
      </c>
    </row>
    <row r="1328" spans="1:10" x14ac:dyDescent="0.25">
      <c r="A1328" t="s">
        <v>3853</v>
      </c>
      <c r="B1328" s="3">
        <v>44944</v>
      </c>
      <c r="C1328" t="s">
        <v>1591</v>
      </c>
      <c r="D1328" t="s">
        <v>3485</v>
      </c>
      <c r="E1328">
        <v>3</v>
      </c>
      <c r="F1328" t="s">
        <v>3523</v>
      </c>
      <c r="G1328" t="s">
        <v>3518</v>
      </c>
      <c r="H1328">
        <v>0.2</v>
      </c>
      <c r="I1328">
        <v>3</v>
      </c>
      <c r="J1328">
        <v>9</v>
      </c>
    </row>
    <row r="1329" spans="1:10" x14ac:dyDescent="0.25">
      <c r="A1329" t="s">
        <v>3854</v>
      </c>
      <c r="B1329" s="3">
        <v>43848</v>
      </c>
      <c r="C1329" t="s">
        <v>1494</v>
      </c>
      <c r="D1329" t="s">
        <v>3501</v>
      </c>
      <c r="E1329">
        <v>3</v>
      </c>
      <c r="F1329" t="s">
        <v>3525</v>
      </c>
      <c r="G1329" t="s">
        <v>3517</v>
      </c>
      <c r="H1329">
        <v>1</v>
      </c>
      <c r="I1329">
        <v>15.9</v>
      </c>
      <c r="J1329">
        <v>47.7</v>
      </c>
    </row>
    <row r="1330" spans="1:10" x14ac:dyDescent="0.25">
      <c r="A1330" t="s">
        <v>3855</v>
      </c>
      <c r="B1330" s="3">
        <v>44261</v>
      </c>
      <c r="C1330" t="s">
        <v>2417</v>
      </c>
      <c r="D1330" t="s">
        <v>3505</v>
      </c>
      <c r="E1330">
        <v>2</v>
      </c>
      <c r="F1330" t="s">
        <v>3524</v>
      </c>
      <c r="G1330" t="s">
        <v>3519</v>
      </c>
      <c r="H1330">
        <v>0.2</v>
      </c>
      <c r="I1330">
        <v>3</v>
      </c>
      <c r="J1330">
        <v>6</v>
      </c>
    </row>
    <row r="1331" spans="1:10" x14ac:dyDescent="0.25">
      <c r="A1331" t="s">
        <v>3856</v>
      </c>
      <c r="B1331" s="3">
        <v>43936</v>
      </c>
      <c r="C1331" t="s">
        <v>2053</v>
      </c>
      <c r="D1331" t="s">
        <v>3510</v>
      </c>
      <c r="E1331">
        <v>6</v>
      </c>
      <c r="F1331" t="s">
        <v>3524</v>
      </c>
      <c r="G1331" t="s">
        <v>3517</v>
      </c>
      <c r="H1331">
        <v>1</v>
      </c>
      <c r="I1331">
        <v>12</v>
      </c>
      <c r="J1331">
        <v>72</v>
      </c>
    </row>
    <row r="1332" spans="1:10" x14ac:dyDescent="0.25">
      <c r="A1332" t="s">
        <v>3857</v>
      </c>
      <c r="B1332" s="3">
        <v>45093</v>
      </c>
      <c r="C1332" t="s">
        <v>1532</v>
      </c>
      <c r="D1332" t="s">
        <v>3506</v>
      </c>
      <c r="E1332">
        <v>4</v>
      </c>
      <c r="F1332" t="s">
        <v>3523</v>
      </c>
      <c r="G1332" t="s">
        <v>3519</v>
      </c>
      <c r="H1332">
        <v>2.5</v>
      </c>
      <c r="I1332">
        <v>25.9</v>
      </c>
      <c r="J1332">
        <v>103.6</v>
      </c>
    </row>
    <row r="1333" spans="1:10" x14ac:dyDescent="0.25">
      <c r="A1333" t="s">
        <v>3858</v>
      </c>
      <c r="B1333" s="3">
        <v>45578</v>
      </c>
      <c r="C1333" t="s">
        <v>520</v>
      </c>
      <c r="D1333" t="s">
        <v>3474</v>
      </c>
      <c r="E1333">
        <v>6</v>
      </c>
      <c r="F1333" t="s">
        <v>3525</v>
      </c>
      <c r="G1333" t="s">
        <v>3518</v>
      </c>
      <c r="H1333">
        <v>1</v>
      </c>
      <c r="I1333">
        <v>13</v>
      </c>
      <c r="J1333">
        <v>78</v>
      </c>
    </row>
    <row r="1334" spans="1:10" x14ac:dyDescent="0.25">
      <c r="A1334" t="s">
        <v>3859</v>
      </c>
      <c r="B1334" s="3">
        <v>45189</v>
      </c>
      <c r="C1334" t="s">
        <v>707</v>
      </c>
      <c r="D1334" t="s">
        <v>3486</v>
      </c>
      <c r="E1334">
        <v>4</v>
      </c>
      <c r="F1334" t="s">
        <v>3523</v>
      </c>
      <c r="G1334" t="s">
        <v>3519</v>
      </c>
      <c r="H1334">
        <v>1</v>
      </c>
      <c r="I1334">
        <v>11.3</v>
      </c>
      <c r="J1334">
        <v>45.2</v>
      </c>
    </row>
    <row r="1335" spans="1:10" x14ac:dyDescent="0.25">
      <c r="A1335" t="s">
        <v>3860</v>
      </c>
      <c r="B1335" s="3">
        <v>45381</v>
      </c>
      <c r="C1335" t="s">
        <v>2381</v>
      </c>
      <c r="D1335" t="s">
        <v>3476</v>
      </c>
      <c r="E1335">
        <v>3</v>
      </c>
      <c r="F1335" t="s">
        <v>3525</v>
      </c>
      <c r="G1335" t="s">
        <v>3517</v>
      </c>
      <c r="H1335">
        <v>0.2</v>
      </c>
      <c r="I1335">
        <v>4.8</v>
      </c>
      <c r="J1335">
        <v>14.4</v>
      </c>
    </row>
    <row r="1336" spans="1:10" x14ac:dyDescent="0.25">
      <c r="A1336" t="s">
        <v>3861</v>
      </c>
      <c r="B1336" s="3">
        <v>45158</v>
      </c>
      <c r="C1336" t="s">
        <v>3106</v>
      </c>
      <c r="D1336" t="s">
        <v>3512</v>
      </c>
      <c r="E1336">
        <v>3</v>
      </c>
      <c r="F1336" t="s">
        <v>3525</v>
      </c>
      <c r="G1336" t="s">
        <v>3519</v>
      </c>
      <c r="H1336">
        <v>2.5</v>
      </c>
      <c r="I1336">
        <v>33.5</v>
      </c>
      <c r="J1336">
        <v>100.5</v>
      </c>
    </row>
    <row r="1337" spans="1:10" x14ac:dyDescent="0.25">
      <c r="A1337" t="s">
        <v>3862</v>
      </c>
      <c r="B1337" s="3">
        <v>44654</v>
      </c>
      <c r="C1337" t="s">
        <v>1500</v>
      </c>
      <c r="D1337" t="s">
        <v>3496</v>
      </c>
      <c r="E1337">
        <v>4</v>
      </c>
      <c r="F1337" t="s">
        <v>3525</v>
      </c>
      <c r="G1337" t="s">
        <v>3518</v>
      </c>
      <c r="H1337">
        <v>2.5</v>
      </c>
      <c r="I1337">
        <v>29.8</v>
      </c>
      <c r="J1337">
        <v>119.2</v>
      </c>
    </row>
    <row r="1338" spans="1:10" x14ac:dyDescent="0.25">
      <c r="A1338" t="s">
        <v>3863</v>
      </c>
      <c r="B1338" s="3">
        <v>45026</v>
      </c>
      <c r="C1338" t="s">
        <v>1951</v>
      </c>
      <c r="D1338" t="s">
        <v>3470</v>
      </c>
      <c r="E1338">
        <v>2</v>
      </c>
      <c r="F1338" t="s">
        <v>3526</v>
      </c>
      <c r="G1338" t="s">
        <v>3519</v>
      </c>
      <c r="H1338">
        <v>0.5</v>
      </c>
      <c r="I1338">
        <v>8.3000000000000007</v>
      </c>
      <c r="J1338">
        <v>16.600000000000001</v>
      </c>
    </row>
    <row r="1339" spans="1:10" x14ac:dyDescent="0.25">
      <c r="A1339" t="s">
        <v>3864</v>
      </c>
      <c r="B1339" s="3">
        <v>45152</v>
      </c>
      <c r="C1339" t="s">
        <v>2408</v>
      </c>
      <c r="D1339" t="s">
        <v>3506</v>
      </c>
      <c r="E1339">
        <v>3</v>
      </c>
      <c r="F1339" t="s">
        <v>3523</v>
      </c>
      <c r="G1339" t="s">
        <v>3519</v>
      </c>
      <c r="H1339">
        <v>2.5</v>
      </c>
      <c r="I1339">
        <v>25.9</v>
      </c>
      <c r="J1339">
        <v>77.7</v>
      </c>
    </row>
    <row r="1340" spans="1:10" x14ac:dyDescent="0.25">
      <c r="A1340" t="s">
        <v>3865</v>
      </c>
      <c r="B1340" s="3">
        <v>44973</v>
      </c>
      <c r="C1340" t="s">
        <v>2895</v>
      </c>
      <c r="D1340" t="s">
        <v>3501</v>
      </c>
      <c r="E1340">
        <v>2</v>
      </c>
      <c r="F1340" t="s">
        <v>3525</v>
      </c>
      <c r="G1340" t="s">
        <v>3517</v>
      </c>
      <c r="H1340">
        <v>1</v>
      </c>
      <c r="I1340">
        <v>15.9</v>
      </c>
      <c r="J1340">
        <v>31.8</v>
      </c>
    </row>
    <row r="1341" spans="1:10" x14ac:dyDescent="0.25">
      <c r="A1341" t="s">
        <v>3866</v>
      </c>
      <c r="B1341" s="3">
        <v>45110</v>
      </c>
      <c r="C1341" t="s">
        <v>1085</v>
      </c>
      <c r="D1341" t="s">
        <v>3504</v>
      </c>
      <c r="E1341">
        <v>6</v>
      </c>
      <c r="F1341" t="s">
        <v>3524</v>
      </c>
      <c r="G1341" t="s">
        <v>3517</v>
      </c>
      <c r="H1341">
        <v>0.5</v>
      </c>
      <c r="I1341">
        <v>7.2</v>
      </c>
      <c r="J1341">
        <v>43.2</v>
      </c>
    </row>
    <row r="1342" spans="1:10" x14ac:dyDescent="0.25">
      <c r="A1342" t="s">
        <v>3867</v>
      </c>
      <c r="B1342" s="3">
        <v>45148</v>
      </c>
      <c r="C1342" t="s">
        <v>1128</v>
      </c>
      <c r="D1342" t="s">
        <v>3482</v>
      </c>
      <c r="E1342">
        <v>1</v>
      </c>
      <c r="F1342" t="s">
        <v>3524</v>
      </c>
      <c r="G1342" t="s">
        <v>3519</v>
      </c>
      <c r="H1342">
        <v>2.5</v>
      </c>
      <c r="I1342">
        <v>22.9</v>
      </c>
      <c r="J1342">
        <v>22.9</v>
      </c>
    </row>
    <row r="1343" spans="1:10" x14ac:dyDescent="0.25">
      <c r="A1343" t="s">
        <v>3868</v>
      </c>
      <c r="B1343" s="3">
        <v>45442</v>
      </c>
      <c r="C1343" t="s">
        <v>2378</v>
      </c>
      <c r="D1343" t="s">
        <v>3483</v>
      </c>
      <c r="E1343">
        <v>5</v>
      </c>
      <c r="F1343" t="s">
        <v>3523</v>
      </c>
      <c r="G1343" t="s">
        <v>3519</v>
      </c>
      <c r="H1343">
        <v>0.2</v>
      </c>
      <c r="I1343">
        <v>3.4</v>
      </c>
      <c r="J1343">
        <v>17</v>
      </c>
    </row>
    <row r="1344" spans="1:10" x14ac:dyDescent="0.25">
      <c r="A1344" t="s">
        <v>3869</v>
      </c>
      <c r="B1344" s="3">
        <v>45253</v>
      </c>
      <c r="C1344" t="s">
        <v>3095</v>
      </c>
      <c r="D1344" t="s">
        <v>3485</v>
      </c>
      <c r="E1344">
        <v>6</v>
      </c>
      <c r="F1344" t="s">
        <v>3523</v>
      </c>
      <c r="G1344" t="s">
        <v>3518</v>
      </c>
      <c r="H1344">
        <v>0.2</v>
      </c>
      <c r="I1344">
        <v>3</v>
      </c>
      <c r="J1344">
        <v>18</v>
      </c>
    </row>
    <row r="1345" spans="1:10" x14ac:dyDescent="0.25">
      <c r="A1345" t="s">
        <v>3870</v>
      </c>
      <c r="B1345" s="3">
        <v>45266</v>
      </c>
      <c r="C1345" t="s">
        <v>3354</v>
      </c>
      <c r="D1345" t="s">
        <v>3509</v>
      </c>
      <c r="E1345">
        <v>3</v>
      </c>
      <c r="F1345" t="s">
        <v>3524</v>
      </c>
      <c r="G1345" t="s">
        <v>3517</v>
      </c>
      <c r="H1345">
        <v>0.2</v>
      </c>
      <c r="I1345">
        <v>3.6</v>
      </c>
      <c r="J1345">
        <v>10.8</v>
      </c>
    </row>
    <row r="1346" spans="1:10" x14ac:dyDescent="0.25">
      <c r="A1346" t="s">
        <v>3871</v>
      </c>
      <c r="B1346" s="3">
        <v>45042</v>
      </c>
      <c r="C1346" t="s">
        <v>2657</v>
      </c>
      <c r="D1346" t="s">
        <v>3497</v>
      </c>
      <c r="E1346">
        <v>3</v>
      </c>
      <c r="F1346" t="s">
        <v>3526</v>
      </c>
      <c r="G1346" t="s">
        <v>3519</v>
      </c>
      <c r="H1346">
        <v>2.5</v>
      </c>
      <c r="I1346">
        <v>31.6</v>
      </c>
      <c r="J1346">
        <v>94.8</v>
      </c>
    </row>
    <row r="1347" spans="1:10" x14ac:dyDescent="0.25">
      <c r="A1347" t="s">
        <v>3872</v>
      </c>
      <c r="B1347" s="3">
        <v>45081</v>
      </c>
      <c r="C1347" t="s">
        <v>808</v>
      </c>
      <c r="D1347" t="s">
        <v>3494</v>
      </c>
      <c r="E1347">
        <v>6</v>
      </c>
      <c r="F1347" t="s">
        <v>3524</v>
      </c>
      <c r="G1347" t="s">
        <v>3518</v>
      </c>
      <c r="H1347">
        <v>0.2</v>
      </c>
      <c r="I1347">
        <v>2.7</v>
      </c>
      <c r="J1347">
        <v>16.2</v>
      </c>
    </row>
    <row r="1348" spans="1:10" x14ac:dyDescent="0.25">
      <c r="A1348" t="s">
        <v>3873</v>
      </c>
      <c r="B1348" s="3">
        <v>43551</v>
      </c>
      <c r="C1348" t="s">
        <v>1172</v>
      </c>
      <c r="D1348" t="s">
        <v>3510</v>
      </c>
      <c r="E1348">
        <v>2</v>
      </c>
      <c r="F1348" t="s">
        <v>3524</v>
      </c>
      <c r="G1348" t="s">
        <v>3517</v>
      </c>
      <c r="H1348">
        <v>1</v>
      </c>
      <c r="I1348">
        <v>12</v>
      </c>
      <c r="J1348">
        <v>24</v>
      </c>
    </row>
    <row r="1349" spans="1:10" x14ac:dyDescent="0.25">
      <c r="A1349" t="s">
        <v>3874</v>
      </c>
      <c r="B1349" s="3">
        <v>44792</v>
      </c>
      <c r="C1349" t="s">
        <v>1235</v>
      </c>
      <c r="D1349" t="s">
        <v>3507</v>
      </c>
      <c r="E1349">
        <v>3</v>
      </c>
      <c r="F1349" t="s">
        <v>3526</v>
      </c>
      <c r="G1349" t="s">
        <v>3517</v>
      </c>
      <c r="H1349">
        <v>0.5</v>
      </c>
      <c r="I1349">
        <v>8.9</v>
      </c>
      <c r="J1349">
        <v>26.7</v>
      </c>
    </row>
    <row r="1350" spans="1:10" x14ac:dyDescent="0.25">
      <c r="A1350" t="s">
        <v>3875</v>
      </c>
      <c r="B1350" s="3">
        <v>45504</v>
      </c>
      <c r="C1350" t="s">
        <v>1399</v>
      </c>
      <c r="D1350" t="s">
        <v>3498</v>
      </c>
      <c r="E1350">
        <v>2</v>
      </c>
      <c r="F1350" t="s">
        <v>3523</v>
      </c>
      <c r="G1350" t="s">
        <v>3517</v>
      </c>
      <c r="H1350">
        <v>0.2</v>
      </c>
      <c r="I1350">
        <v>3.9</v>
      </c>
      <c r="J1350">
        <v>7.8</v>
      </c>
    </row>
    <row r="1351" spans="1:10" x14ac:dyDescent="0.25">
      <c r="A1351" t="s">
        <v>3876</v>
      </c>
      <c r="B1351" s="3">
        <v>45414</v>
      </c>
      <c r="C1351" t="s">
        <v>3312</v>
      </c>
      <c r="D1351" t="s">
        <v>3502</v>
      </c>
      <c r="E1351">
        <v>2</v>
      </c>
      <c r="F1351" t="s">
        <v>3526</v>
      </c>
      <c r="G1351" t="s">
        <v>3517</v>
      </c>
      <c r="H1351">
        <v>1</v>
      </c>
      <c r="I1351">
        <v>14.9</v>
      </c>
      <c r="J1351">
        <v>29.8</v>
      </c>
    </row>
    <row r="1352" spans="1:10" x14ac:dyDescent="0.25">
      <c r="A1352" t="s">
        <v>3877</v>
      </c>
      <c r="B1352" s="3">
        <v>44193</v>
      </c>
      <c r="C1352" t="s">
        <v>884</v>
      </c>
      <c r="D1352" t="s">
        <v>3504</v>
      </c>
      <c r="E1352">
        <v>2</v>
      </c>
      <c r="F1352" t="s">
        <v>3524</v>
      </c>
      <c r="G1352" t="s">
        <v>3517</v>
      </c>
      <c r="H1352">
        <v>0.5</v>
      </c>
      <c r="I1352">
        <v>7.2</v>
      </c>
      <c r="J1352">
        <v>14.4</v>
      </c>
    </row>
    <row r="1353" spans="1:10" x14ac:dyDescent="0.25">
      <c r="A1353" t="s">
        <v>3878</v>
      </c>
      <c r="B1353" s="3">
        <v>45431</v>
      </c>
      <c r="C1353" t="s">
        <v>2792</v>
      </c>
      <c r="D1353" t="s">
        <v>3485</v>
      </c>
      <c r="E1353">
        <v>4</v>
      </c>
      <c r="F1353" t="s">
        <v>3523</v>
      </c>
      <c r="G1353" t="s">
        <v>3518</v>
      </c>
      <c r="H1353">
        <v>0.2</v>
      </c>
      <c r="I1353">
        <v>3</v>
      </c>
      <c r="J1353">
        <v>12</v>
      </c>
    </row>
    <row r="1354" spans="1:10" x14ac:dyDescent="0.25">
      <c r="A1354" t="s">
        <v>3879</v>
      </c>
      <c r="B1354" s="3">
        <v>44861</v>
      </c>
      <c r="C1354" t="s">
        <v>1494</v>
      </c>
      <c r="D1354" t="s">
        <v>3481</v>
      </c>
      <c r="E1354">
        <v>1</v>
      </c>
      <c r="F1354" t="s">
        <v>3525</v>
      </c>
      <c r="G1354" t="s">
        <v>3518</v>
      </c>
      <c r="H1354">
        <v>0.2</v>
      </c>
      <c r="I1354">
        <v>3.9</v>
      </c>
      <c r="J1354">
        <v>3.9</v>
      </c>
    </row>
    <row r="1355" spans="1:10" x14ac:dyDescent="0.25">
      <c r="A1355" t="s">
        <v>3880</v>
      </c>
      <c r="B1355" s="3">
        <v>45652</v>
      </c>
      <c r="C1355" t="s">
        <v>2000</v>
      </c>
      <c r="D1355" t="s">
        <v>3513</v>
      </c>
      <c r="E1355">
        <v>5</v>
      </c>
      <c r="F1355" t="s">
        <v>3523</v>
      </c>
      <c r="G1355" t="s">
        <v>3517</v>
      </c>
      <c r="H1355">
        <v>2.5</v>
      </c>
      <c r="I1355">
        <v>29.8</v>
      </c>
      <c r="J1355">
        <v>149</v>
      </c>
    </row>
    <row r="1356" spans="1:10" x14ac:dyDescent="0.25">
      <c r="A1356" t="s">
        <v>3881</v>
      </c>
      <c r="B1356" s="3">
        <v>45161</v>
      </c>
      <c r="C1356" t="s">
        <v>2414</v>
      </c>
      <c r="D1356" t="s">
        <v>3484</v>
      </c>
      <c r="E1356">
        <v>5</v>
      </c>
      <c r="F1356" t="s">
        <v>3526</v>
      </c>
      <c r="G1356" t="s">
        <v>3518</v>
      </c>
      <c r="H1356">
        <v>0.2</v>
      </c>
      <c r="I1356">
        <v>3.6</v>
      </c>
      <c r="J1356">
        <v>18</v>
      </c>
    </row>
    <row r="1357" spans="1:10" x14ac:dyDescent="0.25">
      <c r="A1357" t="s">
        <v>3882</v>
      </c>
      <c r="B1357" s="3">
        <v>44408</v>
      </c>
      <c r="C1357" t="s">
        <v>2681</v>
      </c>
      <c r="D1357" t="s">
        <v>3475</v>
      </c>
      <c r="E1357">
        <v>1</v>
      </c>
      <c r="F1357" t="s">
        <v>3526</v>
      </c>
      <c r="G1357" t="s">
        <v>3518</v>
      </c>
      <c r="H1357">
        <v>0.5</v>
      </c>
      <c r="I1357">
        <v>7.3</v>
      </c>
      <c r="J1357">
        <v>7.3</v>
      </c>
    </row>
    <row r="1358" spans="1:10" x14ac:dyDescent="0.25">
      <c r="A1358" t="s">
        <v>3883</v>
      </c>
      <c r="B1358" s="3">
        <v>44377</v>
      </c>
      <c r="C1358" t="s">
        <v>514</v>
      </c>
      <c r="D1358" t="s">
        <v>3513</v>
      </c>
      <c r="E1358">
        <v>2</v>
      </c>
      <c r="F1358" t="s">
        <v>3523</v>
      </c>
      <c r="G1358" t="s">
        <v>3517</v>
      </c>
      <c r="H1358">
        <v>2.5</v>
      </c>
      <c r="I1358">
        <v>29.8</v>
      </c>
      <c r="J1358">
        <v>59.6</v>
      </c>
    </row>
    <row r="1359" spans="1:10" x14ac:dyDescent="0.25">
      <c r="A1359" t="s">
        <v>3884</v>
      </c>
      <c r="B1359" s="3">
        <v>44215</v>
      </c>
      <c r="C1359" t="s">
        <v>2687</v>
      </c>
      <c r="D1359" t="s">
        <v>3514</v>
      </c>
      <c r="E1359">
        <v>3</v>
      </c>
      <c r="F1359" t="s">
        <v>3526</v>
      </c>
      <c r="G1359" t="s">
        <v>3518</v>
      </c>
      <c r="H1359">
        <v>1</v>
      </c>
      <c r="I1359">
        <v>12.2</v>
      </c>
      <c r="J1359">
        <v>36.6</v>
      </c>
    </row>
    <row r="1360" spans="1:10" x14ac:dyDescent="0.25">
      <c r="A1360" t="s">
        <v>3885</v>
      </c>
      <c r="B1360" s="3">
        <v>45090</v>
      </c>
      <c r="C1360" t="s">
        <v>2636</v>
      </c>
      <c r="D1360" t="s">
        <v>3514</v>
      </c>
      <c r="E1360">
        <v>5</v>
      </c>
      <c r="F1360" t="s">
        <v>3526</v>
      </c>
      <c r="G1360" t="s">
        <v>3518</v>
      </c>
      <c r="H1360">
        <v>1</v>
      </c>
      <c r="I1360">
        <v>12.2</v>
      </c>
      <c r="J1360">
        <v>61</v>
      </c>
    </row>
    <row r="1361" spans="1:10" x14ac:dyDescent="0.25">
      <c r="A1361" t="s">
        <v>3886</v>
      </c>
      <c r="B1361" s="3">
        <v>45649</v>
      </c>
      <c r="C1361" t="s">
        <v>1523</v>
      </c>
      <c r="D1361" t="s">
        <v>3506</v>
      </c>
      <c r="E1361">
        <v>4</v>
      </c>
      <c r="F1361" t="s">
        <v>3523</v>
      </c>
      <c r="G1361" t="s">
        <v>3519</v>
      </c>
      <c r="H1361">
        <v>2.5</v>
      </c>
      <c r="I1361">
        <v>25.9</v>
      </c>
      <c r="J1361">
        <v>103.6</v>
      </c>
    </row>
    <row r="1362" spans="1:10" x14ac:dyDescent="0.25">
      <c r="A1362" t="s">
        <v>3887</v>
      </c>
      <c r="B1362" s="3">
        <v>44369</v>
      </c>
      <c r="C1362" t="s">
        <v>573</v>
      </c>
      <c r="D1362" t="s">
        <v>3479</v>
      </c>
      <c r="E1362">
        <v>2</v>
      </c>
      <c r="F1362" t="s">
        <v>3526</v>
      </c>
      <c r="G1362" t="s">
        <v>3517</v>
      </c>
      <c r="H1362">
        <v>2.5</v>
      </c>
      <c r="I1362">
        <v>34.200000000000003</v>
      </c>
      <c r="J1362">
        <v>68.400000000000006</v>
      </c>
    </row>
    <row r="1363" spans="1:10" x14ac:dyDescent="0.25">
      <c r="A1363" t="s">
        <v>3888</v>
      </c>
      <c r="B1363" s="3">
        <v>44939</v>
      </c>
      <c r="C1363" t="s">
        <v>2248</v>
      </c>
      <c r="D1363" t="s">
        <v>3470</v>
      </c>
      <c r="E1363">
        <v>3</v>
      </c>
      <c r="F1363" t="s">
        <v>3526</v>
      </c>
      <c r="G1363" t="s">
        <v>3519</v>
      </c>
      <c r="H1363">
        <v>0.5</v>
      </c>
      <c r="I1363">
        <v>8.3000000000000007</v>
      </c>
      <c r="J1363">
        <v>24.9</v>
      </c>
    </row>
    <row r="1364" spans="1:10" x14ac:dyDescent="0.25">
      <c r="A1364" t="s">
        <v>3889</v>
      </c>
      <c r="B1364" s="3">
        <v>45549</v>
      </c>
      <c r="C1364" t="s">
        <v>2690</v>
      </c>
      <c r="D1364" t="s">
        <v>3484</v>
      </c>
      <c r="E1364">
        <v>1</v>
      </c>
      <c r="F1364" t="s">
        <v>3526</v>
      </c>
      <c r="G1364" t="s">
        <v>3518</v>
      </c>
      <c r="H1364">
        <v>0.2</v>
      </c>
      <c r="I1364">
        <v>3.6</v>
      </c>
      <c r="J1364">
        <v>3.6</v>
      </c>
    </row>
    <row r="1365" spans="1:10" x14ac:dyDescent="0.25">
      <c r="A1365" t="s">
        <v>3890</v>
      </c>
      <c r="B1365" s="3">
        <v>45177</v>
      </c>
      <c r="C1365" t="s">
        <v>2904</v>
      </c>
      <c r="D1365" t="s">
        <v>3478</v>
      </c>
      <c r="E1365">
        <v>2</v>
      </c>
      <c r="F1365" t="s">
        <v>3523</v>
      </c>
      <c r="G1365" t="s">
        <v>3518</v>
      </c>
      <c r="H1365">
        <v>1</v>
      </c>
      <c r="I1365">
        <v>10</v>
      </c>
      <c r="J1365">
        <v>20</v>
      </c>
    </row>
    <row r="1366" spans="1:10" x14ac:dyDescent="0.25">
      <c r="A1366" t="s">
        <v>3891</v>
      </c>
      <c r="B1366" s="3">
        <v>44866</v>
      </c>
      <c r="C1366" t="s">
        <v>1860</v>
      </c>
      <c r="D1366" t="s">
        <v>3486</v>
      </c>
      <c r="E1366">
        <v>4</v>
      </c>
      <c r="F1366" t="s">
        <v>3523</v>
      </c>
      <c r="G1366" t="s">
        <v>3519</v>
      </c>
      <c r="H1366">
        <v>1</v>
      </c>
      <c r="I1366">
        <v>11.3</v>
      </c>
      <c r="J1366">
        <v>45.2</v>
      </c>
    </row>
    <row r="1367" spans="1:10" x14ac:dyDescent="0.25">
      <c r="A1367" t="s">
        <v>3892</v>
      </c>
      <c r="B1367" s="3">
        <v>43915</v>
      </c>
      <c r="C1367" t="s">
        <v>2727</v>
      </c>
      <c r="D1367" t="s">
        <v>3512</v>
      </c>
      <c r="E1367">
        <v>2</v>
      </c>
      <c r="F1367" t="s">
        <v>3525</v>
      </c>
      <c r="G1367" t="s">
        <v>3519</v>
      </c>
      <c r="H1367">
        <v>2.5</v>
      </c>
      <c r="I1367">
        <v>33.5</v>
      </c>
      <c r="J1367">
        <v>67</v>
      </c>
    </row>
    <row r="1368" spans="1:10" x14ac:dyDescent="0.25">
      <c r="A1368" t="s">
        <v>3893</v>
      </c>
      <c r="B1368" s="3">
        <v>43596</v>
      </c>
      <c r="C1368" t="s">
        <v>863</v>
      </c>
      <c r="D1368" t="s">
        <v>3491</v>
      </c>
      <c r="E1368">
        <v>3</v>
      </c>
      <c r="F1368" t="s">
        <v>3525</v>
      </c>
      <c r="G1368" t="s">
        <v>3519</v>
      </c>
      <c r="H1368">
        <v>0.5</v>
      </c>
      <c r="I1368">
        <v>8.6999999999999993</v>
      </c>
      <c r="J1368">
        <v>26.1</v>
      </c>
    </row>
    <row r="1369" spans="1:10" x14ac:dyDescent="0.25">
      <c r="A1369" t="s">
        <v>3894</v>
      </c>
      <c r="B1369" s="3">
        <v>45634</v>
      </c>
      <c r="C1369" t="s">
        <v>2696</v>
      </c>
      <c r="D1369" t="s">
        <v>3483</v>
      </c>
      <c r="E1369">
        <v>3</v>
      </c>
      <c r="F1369" t="s">
        <v>3523</v>
      </c>
      <c r="G1369" t="s">
        <v>3519</v>
      </c>
      <c r="H1369">
        <v>0.2</v>
      </c>
      <c r="I1369">
        <v>3.4</v>
      </c>
      <c r="J1369">
        <v>10.199999999999999</v>
      </c>
    </row>
    <row r="1370" spans="1:10" x14ac:dyDescent="0.25">
      <c r="A1370" t="s">
        <v>3895</v>
      </c>
      <c r="B1370" s="3">
        <v>43500</v>
      </c>
      <c r="C1370" t="s">
        <v>1100</v>
      </c>
      <c r="D1370" t="s">
        <v>3474</v>
      </c>
      <c r="E1370">
        <v>3</v>
      </c>
      <c r="F1370" t="s">
        <v>3525</v>
      </c>
      <c r="G1370" t="s">
        <v>3518</v>
      </c>
      <c r="H1370">
        <v>1</v>
      </c>
      <c r="I1370">
        <v>13</v>
      </c>
      <c r="J1370">
        <v>39</v>
      </c>
    </row>
    <row r="1371" spans="1:10" x14ac:dyDescent="0.25">
      <c r="A1371" t="s">
        <v>3896</v>
      </c>
      <c r="B1371" s="3">
        <v>45491</v>
      </c>
      <c r="C1371" t="s">
        <v>1813</v>
      </c>
      <c r="D1371" t="s">
        <v>3476</v>
      </c>
      <c r="E1371">
        <v>1</v>
      </c>
      <c r="F1371" t="s">
        <v>3525</v>
      </c>
      <c r="G1371" t="s">
        <v>3517</v>
      </c>
      <c r="H1371">
        <v>0.2</v>
      </c>
      <c r="I1371">
        <v>4.8</v>
      </c>
      <c r="J1371">
        <v>4.8</v>
      </c>
    </row>
    <row r="1372" spans="1:10" x14ac:dyDescent="0.25">
      <c r="A1372" t="s">
        <v>3897</v>
      </c>
      <c r="B1372" s="3">
        <v>44926</v>
      </c>
      <c r="C1372" t="s">
        <v>2435</v>
      </c>
      <c r="D1372" t="s">
        <v>3469</v>
      </c>
      <c r="E1372">
        <v>3</v>
      </c>
      <c r="F1372" t="s">
        <v>3524</v>
      </c>
      <c r="G1372" t="s">
        <v>3519</v>
      </c>
      <c r="H1372">
        <v>1</v>
      </c>
      <c r="I1372">
        <v>10</v>
      </c>
      <c r="J1372">
        <v>30</v>
      </c>
    </row>
    <row r="1373" spans="1:10" x14ac:dyDescent="0.25">
      <c r="A1373" t="s">
        <v>3898</v>
      </c>
      <c r="B1373" s="3">
        <v>44608</v>
      </c>
      <c r="C1373" t="s">
        <v>610</v>
      </c>
      <c r="D1373" t="s">
        <v>3471</v>
      </c>
      <c r="E1373">
        <v>5</v>
      </c>
      <c r="F1373" t="s">
        <v>3523</v>
      </c>
      <c r="G1373" t="s">
        <v>3517</v>
      </c>
      <c r="H1373">
        <v>1</v>
      </c>
      <c r="I1373">
        <v>13</v>
      </c>
      <c r="J1373">
        <v>65</v>
      </c>
    </row>
    <row r="1374" spans="1:10" x14ac:dyDescent="0.25">
      <c r="A1374" t="s">
        <v>3899</v>
      </c>
      <c r="B1374" s="3">
        <v>45088</v>
      </c>
      <c r="C1374" t="s">
        <v>2137</v>
      </c>
      <c r="D1374" t="s">
        <v>3499</v>
      </c>
      <c r="E1374">
        <v>4</v>
      </c>
      <c r="F1374" t="s">
        <v>3523</v>
      </c>
      <c r="G1374" t="s">
        <v>3518</v>
      </c>
      <c r="H1374">
        <v>2.5</v>
      </c>
      <c r="I1374">
        <v>22.9</v>
      </c>
      <c r="J1374">
        <v>91.6</v>
      </c>
    </row>
    <row r="1375" spans="1:10" x14ac:dyDescent="0.25">
      <c r="A1375" t="s">
        <v>3900</v>
      </c>
      <c r="B1375" s="3">
        <v>45315</v>
      </c>
      <c r="C1375" t="s">
        <v>1497</v>
      </c>
      <c r="D1375" t="s">
        <v>3482</v>
      </c>
      <c r="E1375">
        <v>5</v>
      </c>
      <c r="F1375" t="s">
        <v>3524</v>
      </c>
      <c r="G1375" t="s">
        <v>3519</v>
      </c>
      <c r="H1375">
        <v>2.5</v>
      </c>
      <c r="I1375">
        <v>22.9</v>
      </c>
      <c r="J1375">
        <v>114.5</v>
      </c>
    </row>
    <row r="1376" spans="1:10" x14ac:dyDescent="0.25">
      <c r="A1376" t="s">
        <v>3901</v>
      </c>
      <c r="B1376" s="3">
        <v>44374</v>
      </c>
      <c r="C1376" t="s">
        <v>1646</v>
      </c>
      <c r="D1376" t="s">
        <v>3513</v>
      </c>
      <c r="E1376">
        <v>5</v>
      </c>
      <c r="F1376" t="s">
        <v>3523</v>
      </c>
      <c r="G1376" t="s">
        <v>3517</v>
      </c>
      <c r="H1376">
        <v>2.5</v>
      </c>
      <c r="I1376">
        <v>29.8</v>
      </c>
      <c r="J1376">
        <v>149</v>
      </c>
    </row>
    <row r="1377" spans="1:10" x14ac:dyDescent="0.25">
      <c r="A1377" t="s">
        <v>3902</v>
      </c>
      <c r="B1377" s="3">
        <v>45167</v>
      </c>
      <c r="C1377" t="s">
        <v>2867</v>
      </c>
      <c r="D1377" t="s">
        <v>3479</v>
      </c>
      <c r="E1377">
        <v>1</v>
      </c>
      <c r="F1377" t="s">
        <v>3526</v>
      </c>
      <c r="G1377" t="s">
        <v>3517</v>
      </c>
      <c r="H1377">
        <v>2.5</v>
      </c>
      <c r="I1377">
        <v>34.200000000000003</v>
      </c>
      <c r="J1377">
        <v>34.200000000000003</v>
      </c>
    </row>
    <row r="1378" spans="1:10" x14ac:dyDescent="0.25">
      <c r="A1378" t="s">
        <v>3903</v>
      </c>
      <c r="B1378" s="3">
        <v>44834</v>
      </c>
      <c r="C1378" t="s">
        <v>902</v>
      </c>
      <c r="D1378" t="s">
        <v>3489</v>
      </c>
      <c r="E1378">
        <v>3</v>
      </c>
      <c r="F1378" t="s">
        <v>3523</v>
      </c>
      <c r="G1378" t="s">
        <v>3518</v>
      </c>
      <c r="H1378">
        <v>0.5</v>
      </c>
      <c r="I1378">
        <v>6</v>
      </c>
      <c r="J1378">
        <v>18</v>
      </c>
    </row>
    <row r="1379" spans="1:10" x14ac:dyDescent="0.25">
      <c r="A1379" t="s">
        <v>3904</v>
      </c>
      <c r="B1379" s="3">
        <v>45632</v>
      </c>
      <c r="C1379" t="s">
        <v>2248</v>
      </c>
      <c r="D1379" t="s">
        <v>3511</v>
      </c>
      <c r="E1379">
        <v>5</v>
      </c>
      <c r="F1379" t="s">
        <v>3523</v>
      </c>
      <c r="G1379" t="s">
        <v>3517</v>
      </c>
      <c r="H1379">
        <v>0.5</v>
      </c>
      <c r="I1379">
        <v>7.8</v>
      </c>
      <c r="J1379">
        <v>39</v>
      </c>
    </row>
    <row r="1380" spans="1:10" x14ac:dyDescent="0.25">
      <c r="A1380" t="s">
        <v>3905</v>
      </c>
      <c r="B1380" s="3">
        <v>44844</v>
      </c>
      <c r="C1380" t="s">
        <v>2050</v>
      </c>
      <c r="D1380" t="s">
        <v>3495</v>
      </c>
      <c r="E1380">
        <v>3</v>
      </c>
      <c r="F1380" t="s">
        <v>3525</v>
      </c>
      <c r="G1380" t="s">
        <v>3517</v>
      </c>
      <c r="H1380">
        <v>2.5</v>
      </c>
      <c r="I1380">
        <v>36.5</v>
      </c>
      <c r="J1380">
        <v>109.5</v>
      </c>
    </row>
    <row r="1381" spans="1:10" x14ac:dyDescent="0.25">
      <c r="A1381" t="s">
        <v>3906</v>
      </c>
      <c r="B1381" s="3">
        <v>44478</v>
      </c>
      <c r="C1381" t="s">
        <v>1009</v>
      </c>
      <c r="D1381" t="s">
        <v>3499</v>
      </c>
      <c r="E1381">
        <v>4</v>
      </c>
      <c r="F1381" t="s">
        <v>3523</v>
      </c>
      <c r="G1381" t="s">
        <v>3518</v>
      </c>
      <c r="H1381">
        <v>2.5</v>
      </c>
      <c r="I1381">
        <v>22.9</v>
      </c>
      <c r="J1381">
        <v>91.6</v>
      </c>
    </row>
    <row r="1382" spans="1:10" x14ac:dyDescent="0.25">
      <c r="A1382" t="s">
        <v>3907</v>
      </c>
      <c r="B1382" s="3">
        <v>43872</v>
      </c>
      <c r="C1382" t="s">
        <v>1187</v>
      </c>
      <c r="D1382" t="s">
        <v>3511</v>
      </c>
      <c r="E1382">
        <v>3</v>
      </c>
      <c r="F1382" t="s">
        <v>3523</v>
      </c>
      <c r="G1382" t="s">
        <v>3517</v>
      </c>
      <c r="H1382">
        <v>0.5</v>
      </c>
      <c r="I1382">
        <v>7.8</v>
      </c>
      <c r="J1382">
        <v>23.4</v>
      </c>
    </row>
    <row r="1383" spans="1:10" x14ac:dyDescent="0.25">
      <c r="A1383" t="s">
        <v>3908</v>
      </c>
      <c r="B1383" s="3">
        <v>45115</v>
      </c>
      <c r="C1383" t="s">
        <v>3157</v>
      </c>
      <c r="D1383" t="s">
        <v>3492</v>
      </c>
      <c r="E1383">
        <v>5</v>
      </c>
      <c r="F1383" t="s">
        <v>3525</v>
      </c>
      <c r="G1383" t="s">
        <v>3517</v>
      </c>
      <c r="H1383">
        <v>0.5</v>
      </c>
      <c r="I1383">
        <v>9.5</v>
      </c>
      <c r="J1383">
        <v>47.5</v>
      </c>
    </row>
    <row r="1384" spans="1:10" x14ac:dyDescent="0.25">
      <c r="A1384" t="s">
        <v>3909</v>
      </c>
      <c r="B1384" s="3">
        <v>44619</v>
      </c>
      <c r="C1384" t="s">
        <v>1160</v>
      </c>
      <c r="D1384" t="s">
        <v>3477</v>
      </c>
      <c r="E1384">
        <v>5</v>
      </c>
      <c r="F1384" t="s">
        <v>3524</v>
      </c>
      <c r="G1384" t="s">
        <v>3519</v>
      </c>
      <c r="H1384">
        <v>0.5</v>
      </c>
      <c r="I1384">
        <v>6</v>
      </c>
      <c r="J1384">
        <v>30</v>
      </c>
    </row>
    <row r="1385" spans="1:10" x14ac:dyDescent="0.25">
      <c r="A1385" t="s">
        <v>3910</v>
      </c>
      <c r="B1385" s="3">
        <v>45459</v>
      </c>
      <c r="C1385" t="s">
        <v>1570</v>
      </c>
      <c r="D1385" t="s">
        <v>3473</v>
      </c>
      <c r="E1385">
        <v>5</v>
      </c>
      <c r="F1385" t="s">
        <v>3524</v>
      </c>
      <c r="G1385" t="s">
        <v>3517</v>
      </c>
      <c r="H1385">
        <v>2.5</v>
      </c>
      <c r="I1385">
        <v>27.5</v>
      </c>
      <c r="J1385">
        <v>137.5</v>
      </c>
    </row>
    <row r="1386" spans="1:10" x14ac:dyDescent="0.25">
      <c r="A1386" t="s">
        <v>3911</v>
      </c>
      <c r="B1386" s="3">
        <v>44572</v>
      </c>
      <c r="C1386" t="s">
        <v>1154</v>
      </c>
      <c r="D1386" t="s">
        <v>3469</v>
      </c>
      <c r="E1386">
        <v>5</v>
      </c>
      <c r="F1386" t="s">
        <v>3524</v>
      </c>
      <c r="G1386" t="s">
        <v>3519</v>
      </c>
      <c r="H1386">
        <v>1</v>
      </c>
      <c r="I1386">
        <v>10</v>
      </c>
      <c r="J1386">
        <v>50</v>
      </c>
    </row>
    <row r="1387" spans="1:10" x14ac:dyDescent="0.25">
      <c r="A1387" t="s">
        <v>3912</v>
      </c>
      <c r="B1387" s="3">
        <v>44962</v>
      </c>
      <c r="C1387" t="s">
        <v>3054</v>
      </c>
      <c r="D1387" t="s">
        <v>3472</v>
      </c>
      <c r="E1387">
        <v>6</v>
      </c>
      <c r="F1387" t="s">
        <v>3526</v>
      </c>
      <c r="G1387" t="s">
        <v>3519</v>
      </c>
      <c r="H1387">
        <v>1</v>
      </c>
      <c r="I1387">
        <v>13.8</v>
      </c>
      <c r="J1387">
        <v>82.8</v>
      </c>
    </row>
    <row r="1388" spans="1:10" x14ac:dyDescent="0.25">
      <c r="A1388" t="s">
        <v>3913</v>
      </c>
      <c r="B1388" s="3">
        <v>44783</v>
      </c>
      <c r="C1388" t="s">
        <v>1969</v>
      </c>
      <c r="D1388" t="s">
        <v>3494</v>
      </c>
      <c r="E1388">
        <v>1</v>
      </c>
      <c r="F1388" t="s">
        <v>3524</v>
      </c>
      <c r="G1388" t="s">
        <v>3518</v>
      </c>
      <c r="H1388">
        <v>0.2</v>
      </c>
      <c r="I1388">
        <v>2.7</v>
      </c>
      <c r="J1388">
        <v>2.7</v>
      </c>
    </row>
    <row r="1389" spans="1:10" x14ac:dyDescent="0.25">
      <c r="A1389" t="s">
        <v>3914</v>
      </c>
      <c r="B1389" s="3">
        <v>45505</v>
      </c>
      <c r="C1389" t="s">
        <v>2690</v>
      </c>
      <c r="D1389" t="s">
        <v>3482</v>
      </c>
      <c r="E1389">
        <v>4</v>
      </c>
      <c r="F1389" t="s">
        <v>3524</v>
      </c>
      <c r="G1389" t="s">
        <v>3519</v>
      </c>
      <c r="H1389">
        <v>2.5</v>
      </c>
      <c r="I1389">
        <v>22.9</v>
      </c>
      <c r="J1389">
        <v>91.6</v>
      </c>
    </row>
    <row r="1390" spans="1:10" x14ac:dyDescent="0.25">
      <c r="A1390" t="s">
        <v>3915</v>
      </c>
      <c r="B1390" s="3">
        <v>45521</v>
      </c>
      <c r="C1390" t="s">
        <v>2612</v>
      </c>
      <c r="D1390" t="s">
        <v>3470</v>
      </c>
      <c r="E1390">
        <v>2</v>
      </c>
      <c r="F1390" t="s">
        <v>3526</v>
      </c>
      <c r="G1390" t="s">
        <v>3519</v>
      </c>
      <c r="H1390">
        <v>0.5</v>
      </c>
      <c r="I1390">
        <v>8.3000000000000007</v>
      </c>
      <c r="J1390">
        <v>16.600000000000001</v>
      </c>
    </row>
    <row r="1391" spans="1:10" x14ac:dyDescent="0.25">
      <c r="A1391" t="s">
        <v>3916</v>
      </c>
      <c r="B1391" s="3">
        <v>45368</v>
      </c>
      <c r="C1391" t="s">
        <v>1494</v>
      </c>
      <c r="D1391" t="s">
        <v>3483</v>
      </c>
      <c r="E1391">
        <v>2</v>
      </c>
      <c r="F1391" t="s">
        <v>3523</v>
      </c>
      <c r="G1391" t="s">
        <v>3519</v>
      </c>
      <c r="H1391">
        <v>0.2</v>
      </c>
      <c r="I1391">
        <v>3.4</v>
      </c>
      <c r="J1391">
        <v>6.8</v>
      </c>
    </row>
    <row r="1392" spans="1:10" x14ac:dyDescent="0.25">
      <c r="A1392" t="s">
        <v>3917</v>
      </c>
      <c r="B1392" s="3">
        <v>45156</v>
      </c>
      <c r="C1392" t="s">
        <v>2834</v>
      </c>
      <c r="D1392" t="s">
        <v>3484</v>
      </c>
      <c r="E1392">
        <v>5</v>
      </c>
      <c r="F1392" t="s">
        <v>3526</v>
      </c>
      <c r="G1392" t="s">
        <v>3518</v>
      </c>
      <c r="H1392">
        <v>0.2</v>
      </c>
      <c r="I1392">
        <v>3.6</v>
      </c>
      <c r="J1392">
        <v>18</v>
      </c>
    </row>
    <row r="1393" spans="1:10" x14ac:dyDescent="0.25">
      <c r="A1393" t="s">
        <v>3918</v>
      </c>
      <c r="B1393" s="3">
        <v>45337</v>
      </c>
      <c r="C1393" t="s">
        <v>1458</v>
      </c>
      <c r="D1393" t="s">
        <v>3515</v>
      </c>
      <c r="E1393">
        <v>4</v>
      </c>
      <c r="F1393" t="s">
        <v>3526</v>
      </c>
      <c r="G1393" t="s">
        <v>3517</v>
      </c>
      <c r="H1393">
        <v>0.2</v>
      </c>
      <c r="I1393">
        <v>4.5</v>
      </c>
      <c r="J1393">
        <v>18</v>
      </c>
    </row>
    <row r="1394" spans="1:10" x14ac:dyDescent="0.25">
      <c r="A1394" t="s">
        <v>3919</v>
      </c>
      <c r="B1394" s="3">
        <v>45220</v>
      </c>
      <c r="C1394" t="s">
        <v>1151</v>
      </c>
      <c r="D1394" t="s">
        <v>3502</v>
      </c>
      <c r="E1394">
        <v>5</v>
      </c>
      <c r="F1394" t="s">
        <v>3526</v>
      </c>
      <c r="G1394" t="s">
        <v>3517</v>
      </c>
      <c r="H1394">
        <v>1</v>
      </c>
      <c r="I1394">
        <v>14.9</v>
      </c>
      <c r="J1394">
        <v>74.5</v>
      </c>
    </row>
    <row r="1395" spans="1:10" x14ac:dyDescent="0.25">
      <c r="A1395" t="s">
        <v>3920</v>
      </c>
      <c r="B1395" s="3">
        <v>45398</v>
      </c>
      <c r="C1395" t="s">
        <v>1157</v>
      </c>
      <c r="D1395" t="s">
        <v>3500</v>
      </c>
      <c r="E1395">
        <v>5</v>
      </c>
      <c r="F1395" t="s">
        <v>3525</v>
      </c>
      <c r="G1395" t="s">
        <v>3518</v>
      </c>
      <c r="H1395">
        <v>0.5</v>
      </c>
      <c r="I1395">
        <v>7.8</v>
      </c>
      <c r="J1395">
        <v>39</v>
      </c>
    </row>
    <row r="1396" spans="1:10" x14ac:dyDescent="0.25">
      <c r="A1396" t="s">
        <v>3921</v>
      </c>
      <c r="B1396" s="3">
        <v>45115</v>
      </c>
      <c r="C1396" t="s">
        <v>906</v>
      </c>
      <c r="D1396" t="s">
        <v>3514</v>
      </c>
      <c r="E1396">
        <v>2</v>
      </c>
      <c r="F1396" t="s">
        <v>3526</v>
      </c>
      <c r="G1396" t="s">
        <v>3518</v>
      </c>
      <c r="H1396">
        <v>1</v>
      </c>
      <c r="I1396">
        <v>12.2</v>
      </c>
      <c r="J1396">
        <v>24.4</v>
      </c>
    </row>
    <row r="1397" spans="1:10" x14ac:dyDescent="0.25">
      <c r="A1397" t="s">
        <v>3922</v>
      </c>
      <c r="B1397" s="3">
        <v>45629</v>
      </c>
      <c r="C1397" t="s">
        <v>555</v>
      </c>
      <c r="D1397" t="s">
        <v>3495</v>
      </c>
      <c r="E1397">
        <v>4</v>
      </c>
      <c r="F1397" t="s">
        <v>3525</v>
      </c>
      <c r="G1397" t="s">
        <v>3517</v>
      </c>
      <c r="H1397">
        <v>2.5</v>
      </c>
      <c r="I1397">
        <v>36.5</v>
      </c>
      <c r="J1397">
        <v>146</v>
      </c>
    </row>
    <row r="1398" spans="1:10" x14ac:dyDescent="0.25">
      <c r="A1398" t="s">
        <v>3923</v>
      </c>
      <c r="B1398" s="3">
        <v>44924</v>
      </c>
      <c r="C1398" t="s">
        <v>3366</v>
      </c>
      <c r="D1398" t="s">
        <v>3491</v>
      </c>
      <c r="E1398">
        <v>1</v>
      </c>
      <c r="F1398" t="s">
        <v>3525</v>
      </c>
      <c r="G1398" t="s">
        <v>3519</v>
      </c>
      <c r="H1398">
        <v>0.5</v>
      </c>
      <c r="I1398">
        <v>8.6999999999999993</v>
      </c>
      <c r="J1398">
        <v>8.6999999999999993</v>
      </c>
    </row>
    <row r="1399" spans="1:10" x14ac:dyDescent="0.25">
      <c r="A1399" t="s">
        <v>3924</v>
      </c>
      <c r="B1399" s="3">
        <v>45454</v>
      </c>
      <c r="C1399" t="s">
        <v>1761</v>
      </c>
      <c r="D1399" t="s">
        <v>3479</v>
      </c>
      <c r="E1399">
        <v>1</v>
      </c>
      <c r="F1399" t="s">
        <v>3526</v>
      </c>
      <c r="G1399" t="s">
        <v>3517</v>
      </c>
      <c r="H1399">
        <v>2.5</v>
      </c>
      <c r="I1399">
        <v>34.200000000000003</v>
      </c>
      <c r="J1399">
        <v>34.200000000000003</v>
      </c>
    </row>
    <row r="1400" spans="1:10" x14ac:dyDescent="0.25">
      <c r="A1400" t="s">
        <v>3925</v>
      </c>
      <c r="B1400" s="3">
        <v>45535</v>
      </c>
      <c r="C1400" t="s">
        <v>1951</v>
      </c>
      <c r="D1400" t="s">
        <v>3484</v>
      </c>
      <c r="E1400">
        <v>1</v>
      </c>
      <c r="F1400" t="s">
        <v>3526</v>
      </c>
      <c r="G1400" t="s">
        <v>3518</v>
      </c>
      <c r="H1400">
        <v>0.2</v>
      </c>
      <c r="I1400">
        <v>3.6</v>
      </c>
      <c r="J1400">
        <v>3.6</v>
      </c>
    </row>
    <row r="1401" spans="1:10" x14ac:dyDescent="0.25">
      <c r="A1401" t="s">
        <v>3926</v>
      </c>
      <c r="B1401" s="3">
        <v>44989</v>
      </c>
      <c r="C1401" t="s">
        <v>1538</v>
      </c>
      <c r="D1401" t="s">
        <v>3515</v>
      </c>
      <c r="E1401">
        <v>1</v>
      </c>
      <c r="F1401" t="s">
        <v>3526</v>
      </c>
      <c r="G1401" t="s">
        <v>3517</v>
      </c>
      <c r="H1401">
        <v>0.2</v>
      </c>
      <c r="I1401">
        <v>4.5</v>
      </c>
      <c r="J1401">
        <v>4.5</v>
      </c>
    </row>
    <row r="1402" spans="1:10" x14ac:dyDescent="0.25">
      <c r="A1402" t="s">
        <v>3927</v>
      </c>
      <c r="B1402" s="3">
        <v>44700</v>
      </c>
      <c r="C1402" t="s">
        <v>2227</v>
      </c>
      <c r="D1402" t="s">
        <v>3485</v>
      </c>
      <c r="E1402">
        <v>6</v>
      </c>
      <c r="F1402" t="s">
        <v>3523</v>
      </c>
      <c r="G1402" t="s">
        <v>3518</v>
      </c>
      <c r="H1402">
        <v>0.2</v>
      </c>
      <c r="I1402">
        <v>3</v>
      </c>
      <c r="J1402">
        <v>18</v>
      </c>
    </row>
    <row r="1403" spans="1:10" x14ac:dyDescent="0.25">
      <c r="A1403" t="s">
        <v>3928</v>
      </c>
      <c r="B1403" s="3">
        <v>43729</v>
      </c>
      <c r="C1403" t="s">
        <v>941</v>
      </c>
      <c r="D1403" t="s">
        <v>3498</v>
      </c>
      <c r="E1403">
        <v>2</v>
      </c>
      <c r="F1403" t="s">
        <v>3523</v>
      </c>
      <c r="G1403" t="s">
        <v>3517</v>
      </c>
      <c r="H1403">
        <v>0.2</v>
      </c>
      <c r="I1403">
        <v>3.9</v>
      </c>
      <c r="J1403">
        <v>7.8</v>
      </c>
    </row>
    <row r="1404" spans="1:10" x14ac:dyDescent="0.25">
      <c r="A1404" t="s">
        <v>3929</v>
      </c>
      <c r="B1404" s="3">
        <v>45246</v>
      </c>
      <c r="C1404" t="s">
        <v>3154</v>
      </c>
      <c r="D1404" t="s">
        <v>3472</v>
      </c>
      <c r="E1404">
        <v>6</v>
      </c>
      <c r="F1404" t="s">
        <v>3526</v>
      </c>
      <c r="G1404" t="s">
        <v>3519</v>
      </c>
      <c r="H1404">
        <v>1</v>
      </c>
      <c r="I1404">
        <v>13.8</v>
      </c>
      <c r="J1404">
        <v>82.8</v>
      </c>
    </row>
    <row r="1405" spans="1:10" x14ac:dyDescent="0.25">
      <c r="A1405" t="s">
        <v>3930</v>
      </c>
      <c r="B1405" s="3">
        <v>45077</v>
      </c>
      <c r="C1405" t="s">
        <v>3066</v>
      </c>
      <c r="D1405" t="s">
        <v>3503</v>
      </c>
      <c r="E1405">
        <v>4</v>
      </c>
      <c r="F1405" t="s">
        <v>3524</v>
      </c>
      <c r="G1405" t="s">
        <v>3518</v>
      </c>
      <c r="H1405">
        <v>0.5</v>
      </c>
      <c r="I1405">
        <v>5.4</v>
      </c>
      <c r="J1405">
        <v>21.6</v>
      </c>
    </row>
    <row r="1406" spans="1:10" x14ac:dyDescent="0.25">
      <c r="A1406" t="s">
        <v>3931</v>
      </c>
      <c r="B1406" s="3">
        <v>44448</v>
      </c>
      <c r="C1406" t="s">
        <v>1854</v>
      </c>
      <c r="D1406" t="s">
        <v>3476</v>
      </c>
      <c r="E1406">
        <v>6</v>
      </c>
      <c r="F1406" t="s">
        <v>3525</v>
      </c>
      <c r="G1406" t="s">
        <v>3517</v>
      </c>
      <c r="H1406">
        <v>0.2</v>
      </c>
      <c r="I1406">
        <v>4.8</v>
      </c>
      <c r="J1406">
        <v>28.8</v>
      </c>
    </row>
    <row r="1407" spans="1:10" x14ac:dyDescent="0.25">
      <c r="A1407" t="s">
        <v>3932</v>
      </c>
      <c r="B1407" s="3">
        <v>45541</v>
      </c>
      <c r="C1407" t="s">
        <v>1118</v>
      </c>
      <c r="D1407" t="s">
        <v>3500</v>
      </c>
      <c r="E1407">
        <v>3</v>
      </c>
      <c r="F1407" t="s">
        <v>3525</v>
      </c>
      <c r="G1407" t="s">
        <v>3518</v>
      </c>
      <c r="H1407">
        <v>0.5</v>
      </c>
      <c r="I1407">
        <v>7.8</v>
      </c>
      <c r="J1407">
        <v>23.4</v>
      </c>
    </row>
    <row r="1408" spans="1:10" x14ac:dyDescent="0.25">
      <c r="A1408" t="s">
        <v>3933</v>
      </c>
      <c r="B1408" s="3">
        <v>45585</v>
      </c>
      <c r="C1408" t="s">
        <v>848</v>
      </c>
      <c r="D1408" t="s">
        <v>3488</v>
      </c>
      <c r="E1408">
        <v>2</v>
      </c>
      <c r="F1408" t="s">
        <v>3523</v>
      </c>
      <c r="G1408" t="s">
        <v>3519</v>
      </c>
      <c r="H1408">
        <v>0.5</v>
      </c>
      <c r="I1408">
        <v>6.8</v>
      </c>
      <c r="J1408">
        <v>13.6</v>
      </c>
    </row>
    <row r="1409" spans="1:10" x14ac:dyDescent="0.25">
      <c r="A1409" t="s">
        <v>3934</v>
      </c>
      <c r="B1409" s="3">
        <v>45164</v>
      </c>
      <c r="C1409" t="s">
        <v>2840</v>
      </c>
      <c r="D1409" t="s">
        <v>3511</v>
      </c>
      <c r="E1409">
        <v>4</v>
      </c>
      <c r="F1409" t="s">
        <v>3523</v>
      </c>
      <c r="G1409" t="s">
        <v>3517</v>
      </c>
      <c r="H1409">
        <v>0.5</v>
      </c>
      <c r="I1409">
        <v>7.8</v>
      </c>
      <c r="J1409">
        <v>31.2</v>
      </c>
    </row>
    <row r="1410" spans="1:10" x14ac:dyDescent="0.25">
      <c r="A1410" t="s">
        <v>3935</v>
      </c>
      <c r="B1410" s="3">
        <v>43934</v>
      </c>
      <c r="C1410" t="s">
        <v>1610</v>
      </c>
      <c r="D1410" t="s">
        <v>3484</v>
      </c>
      <c r="E1410">
        <v>1</v>
      </c>
      <c r="F1410" t="s">
        <v>3526</v>
      </c>
      <c r="G1410" t="s">
        <v>3518</v>
      </c>
      <c r="H1410">
        <v>0.2</v>
      </c>
      <c r="I1410">
        <v>3.6</v>
      </c>
      <c r="J1410">
        <v>3.6</v>
      </c>
    </row>
    <row r="1411" spans="1:10" x14ac:dyDescent="0.25">
      <c r="A1411" t="s">
        <v>3936</v>
      </c>
      <c r="B1411" s="3">
        <v>45253</v>
      </c>
      <c r="C1411" t="s">
        <v>1601</v>
      </c>
      <c r="D1411" t="s">
        <v>3484</v>
      </c>
      <c r="E1411">
        <v>2</v>
      </c>
      <c r="F1411" t="s">
        <v>3526</v>
      </c>
      <c r="G1411" t="s">
        <v>3518</v>
      </c>
      <c r="H1411">
        <v>0.2</v>
      </c>
      <c r="I1411">
        <v>3.6</v>
      </c>
      <c r="J1411">
        <v>7.2</v>
      </c>
    </row>
    <row r="1412" spans="1:10" x14ac:dyDescent="0.25">
      <c r="A1412" t="s">
        <v>3937</v>
      </c>
      <c r="B1412" s="3">
        <v>43750</v>
      </c>
      <c r="C1412" t="s">
        <v>2479</v>
      </c>
      <c r="D1412" t="s">
        <v>3492</v>
      </c>
      <c r="E1412">
        <v>5</v>
      </c>
      <c r="F1412" t="s">
        <v>3525</v>
      </c>
      <c r="G1412" t="s">
        <v>3517</v>
      </c>
      <c r="H1412">
        <v>0.5</v>
      </c>
      <c r="I1412">
        <v>9.5</v>
      </c>
      <c r="J1412">
        <v>47.5</v>
      </c>
    </row>
    <row r="1413" spans="1:10" x14ac:dyDescent="0.25">
      <c r="A1413" t="s">
        <v>3938</v>
      </c>
      <c r="B1413" s="3">
        <v>45057</v>
      </c>
      <c r="C1413" t="s">
        <v>2657</v>
      </c>
      <c r="D1413" t="s">
        <v>3492</v>
      </c>
      <c r="E1413">
        <v>2</v>
      </c>
      <c r="F1413" t="s">
        <v>3525</v>
      </c>
      <c r="G1413" t="s">
        <v>3517</v>
      </c>
      <c r="H1413">
        <v>0.5</v>
      </c>
      <c r="I1413">
        <v>9.5</v>
      </c>
      <c r="J1413">
        <v>19</v>
      </c>
    </row>
    <row r="1414" spans="1:10" x14ac:dyDescent="0.25">
      <c r="A1414" t="s">
        <v>3939</v>
      </c>
      <c r="B1414" s="3">
        <v>44398</v>
      </c>
      <c r="C1414" t="s">
        <v>1547</v>
      </c>
      <c r="D1414" t="s">
        <v>3508</v>
      </c>
      <c r="E1414">
        <v>6</v>
      </c>
      <c r="F1414" t="s">
        <v>3524</v>
      </c>
      <c r="G1414" t="s">
        <v>3518</v>
      </c>
      <c r="H1414">
        <v>1</v>
      </c>
      <c r="I1414">
        <v>9</v>
      </c>
      <c r="J1414">
        <v>54</v>
      </c>
    </row>
    <row r="1415" spans="1:10" x14ac:dyDescent="0.25">
      <c r="A1415" t="s">
        <v>3940</v>
      </c>
      <c r="B1415" s="3">
        <v>44939</v>
      </c>
      <c r="C1415" t="s">
        <v>778</v>
      </c>
      <c r="D1415" t="s">
        <v>3480</v>
      </c>
      <c r="E1415">
        <v>6</v>
      </c>
      <c r="F1415" t="s">
        <v>3524</v>
      </c>
      <c r="G1415" t="s">
        <v>3518</v>
      </c>
      <c r="H1415">
        <v>2.5</v>
      </c>
      <c r="I1415">
        <v>20.6</v>
      </c>
      <c r="J1415">
        <v>123.6</v>
      </c>
    </row>
    <row r="1416" spans="1:10" x14ac:dyDescent="0.25">
      <c r="A1416" t="s">
        <v>3941</v>
      </c>
      <c r="B1416" s="3">
        <v>44454</v>
      </c>
      <c r="C1416" t="s">
        <v>3366</v>
      </c>
      <c r="D1416" t="s">
        <v>3509</v>
      </c>
      <c r="E1416">
        <v>4</v>
      </c>
      <c r="F1416" t="s">
        <v>3524</v>
      </c>
      <c r="G1416" t="s">
        <v>3517</v>
      </c>
      <c r="H1416">
        <v>0.2</v>
      </c>
      <c r="I1416">
        <v>3.6</v>
      </c>
      <c r="J1416">
        <v>14.4</v>
      </c>
    </row>
    <row r="1417" spans="1:10" x14ac:dyDescent="0.25">
      <c r="A1417" t="s">
        <v>3942</v>
      </c>
      <c r="B1417" s="3">
        <v>45610</v>
      </c>
      <c r="C1417" t="s">
        <v>1553</v>
      </c>
      <c r="D1417" t="s">
        <v>3506</v>
      </c>
      <c r="E1417">
        <v>6</v>
      </c>
      <c r="F1417" t="s">
        <v>3523</v>
      </c>
      <c r="G1417" t="s">
        <v>3519</v>
      </c>
      <c r="H1417">
        <v>2.5</v>
      </c>
      <c r="I1417">
        <v>25.9</v>
      </c>
      <c r="J1417">
        <v>155.4</v>
      </c>
    </row>
    <row r="1418" spans="1:10" x14ac:dyDescent="0.25">
      <c r="A1418" t="s">
        <v>3943</v>
      </c>
      <c r="B1418" s="3">
        <v>45245</v>
      </c>
      <c r="C1418" t="s">
        <v>1443</v>
      </c>
      <c r="D1418" t="s">
        <v>3476</v>
      </c>
      <c r="E1418">
        <v>5</v>
      </c>
      <c r="F1418" t="s">
        <v>3525</v>
      </c>
      <c r="G1418" t="s">
        <v>3517</v>
      </c>
      <c r="H1418">
        <v>0.2</v>
      </c>
      <c r="I1418">
        <v>4.8</v>
      </c>
      <c r="J1418">
        <v>24</v>
      </c>
    </row>
    <row r="1419" spans="1:10" x14ac:dyDescent="0.25">
      <c r="A1419" t="s">
        <v>3944</v>
      </c>
      <c r="B1419" s="3">
        <v>45605</v>
      </c>
      <c r="C1419" t="s">
        <v>2992</v>
      </c>
      <c r="D1419" t="s">
        <v>3501</v>
      </c>
      <c r="E1419">
        <v>2</v>
      </c>
      <c r="F1419" t="s">
        <v>3525</v>
      </c>
      <c r="G1419" t="s">
        <v>3517</v>
      </c>
      <c r="H1419">
        <v>1</v>
      </c>
      <c r="I1419">
        <v>15.9</v>
      </c>
      <c r="J1419">
        <v>31.8</v>
      </c>
    </row>
    <row r="1420" spans="1:10" x14ac:dyDescent="0.25">
      <c r="A1420" t="s">
        <v>3945</v>
      </c>
      <c r="B1420" s="3">
        <v>45348</v>
      </c>
      <c r="C1420" t="s">
        <v>586</v>
      </c>
      <c r="D1420" t="s">
        <v>3488</v>
      </c>
      <c r="E1420">
        <v>6</v>
      </c>
      <c r="F1420" t="s">
        <v>3523</v>
      </c>
      <c r="G1420" t="s">
        <v>3519</v>
      </c>
      <c r="H1420">
        <v>0.5</v>
      </c>
      <c r="I1420">
        <v>6.8</v>
      </c>
      <c r="J1420">
        <v>40.799999999999997</v>
      </c>
    </row>
    <row r="1421" spans="1:10" x14ac:dyDescent="0.25">
      <c r="A1421" t="s">
        <v>3946</v>
      </c>
      <c r="B1421" s="3">
        <v>45369</v>
      </c>
      <c r="C1421" t="s">
        <v>607</v>
      </c>
      <c r="D1421" t="s">
        <v>3487</v>
      </c>
      <c r="E1421">
        <v>1</v>
      </c>
      <c r="F1421" t="s">
        <v>3526</v>
      </c>
      <c r="G1421" t="s">
        <v>3519</v>
      </c>
      <c r="H1421">
        <v>0.2</v>
      </c>
      <c r="I1421">
        <v>4.0999999999999996</v>
      </c>
      <c r="J1421">
        <v>4.0999999999999996</v>
      </c>
    </row>
    <row r="1422" spans="1:10" x14ac:dyDescent="0.25">
      <c r="A1422" t="s">
        <v>3947</v>
      </c>
      <c r="B1422" s="3">
        <v>44525</v>
      </c>
      <c r="C1422" t="s">
        <v>2104</v>
      </c>
      <c r="D1422" t="s">
        <v>3497</v>
      </c>
      <c r="E1422">
        <v>5</v>
      </c>
      <c r="F1422" t="s">
        <v>3526</v>
      </c>
      <c r="G1422" t="s">
        <v>3519</v>
      </c>
      <c r="H1422">
        <v>2.5</v>
      </c>
      <c r="I1422">
        <v>31.6</v>
      </c>
      <c r="J1422">
        <v>158</v>
      </c>
    </row>
    <row r="1423" spans="1:10" x14ac:dyDescent="0.25">
      <c r="A1423" t="s">
        <v>3948</v>
      </c>
      <c r="B1423" s="3">
        <v>44610</v>
      </c>
      <c r="C1423" t="s">
        <v>2152</v>
      </c>
      <c r="D1423" t="s">
        <v>3489</v>
      </c>
      <c r="E1423">
        <v>1</v>
      </c>
      <c r="F1423" t="s">
        <v>3523</v>
      </c>
      <c r="G1423" t="s">
        <v>3518</v>
      </c>
      <c r="H1423">
        <v>0.5</v>
      </c>
      <c r="I1423">
        <v>6</v>
      </c>
      <c r="J1423">
        <v>6</v>
      </c>
    </row>
    <row r="1424" spans="1:10" x14ac:dyDescent="0.25">
      <c r="A1424" t="s">
        <v>3949</v>
      </c>
      <c r="B1424" s="3">
        <v>45236</v>
      </c>
      <c r="C1424" t="s">
        <v>3007</v>
      </c>
      <c r="D1424" t="s">
        <v>3489</v>
      </c>
      <c r="E1424">
        <v>1</v>
      </c>
      <c r="F1424" t="s">
        <v>3523</v>
      </c>
      <c r="G1424" t="s">
        <v>3518</v>
      </c>
      <c r="H1424">
        <v>0.5</v>
      </c>
      <c r="I1424">
        <v>6</v>
      </c>
      <c r="J1424">
        <v>6</v>
      </c>
    </row>
    <row r="1425" spans="1:10" x14ac:dyDescent="0.25">
      <c r="A1425" t="s">
        <v>3950</v>
      </c>
      <c r="B1425" s="3">
        <v>44847</v>
      </c>
      <c r="C1425" t="s">
        <v>2681</v>
      </c>
      <c r="D1425" t="s">
        <v>3502</v>
      </c>
      <c r="E1425">
        <v>6</v>
      </c>
      <c r="F1425" t="s">
        <v>3526</v>
      </c>
      <c r="G1425" t="s">
        <v>3517</v>
      </c>
      <c r="H1425">
        <v>1</v>
      </c>
      <c r="I1425">
        <v>14.9</v>
      </c>
      <c r="J1425">
        <v>89.4</v>
      </c>
    </row>
    <row r="1426" spans="1:10" x14ac:dyDescent="0.25">
      <c r="A1426" t="s">
        <v>3951</v>
      </c>
      <c r="B1426" s="3">
        <v>44867</v>
      </c>
      <c r="C1426" t="s">
        <v>3136</v>
      </c>
      <c r="D1426" t="s">
        <v>3507</v>
      </c>
      <c r="E1426">
        <v>2</v>
      </c>
      <c r="F1426" t="s">
        <v>3526</v>
      </c>
      <c r="G1426" t="s">
        <v>3517</v>
      </c>
      <c r="H1426">
        <v>0.5</v>
      </c>
      <c r="I1426">
        <v>8.9</v>
      </c>
      <c r="J1426">
        <v>17.8</v>
      </c>
    </row>
    <row r="1427" spans="1:10" x14ac:dyDescent="0.25">
      <c r="A1427" t="s">
        <v>3952</v>
      </c>
      <c r="B1427" s="3">
        <v>45189</v>
      </c>
      <c r="C1427" t="s">
        <v>2375</v>
      </c>
      <c r="D1427" t="s">
        <v>3512</v>
      </c>
      <c r="E1427">
        <v>2</v>
      </c>
      <c r="F1427" t="s">
        <v>3525</v>
      </c>
      <c r="G1427" t="s">
        <v>3519</v>
      </c>
      <c r="H1427">
        <v>2.5</v>
      </c>
      <c r="I1427">
        <v>33.5</v>
      </c>
      <c r="J1427">
        <v>67</v>
      </c>
    </row>
    <row r="1428" spans="1:10" x14ac:dyDescent="0.25">
      <c r="A1428" t="s">
        <v>3953</v>
      </c>
      <c r="B1428" s="3">
        <v>45642</v>
      </c>
      <c r="C1428" t="s">
        <v>2221</v>
      </c>
      <c r="D1428" t="s">
        <v>3492</v>
      </c>
      <c r="E1428">
        <v>2</v>
      </c>
      <c r="F1428" t="s">
        <v>3525</v>
      </c>
      <c r="G1428" t="s">
        <v>3517</v>
      </c>
      <c r="H1428">
        <v>0.5</v>
      </c>
      <c r="I1428">
        <v>9.5</v>
      </c>
      <c r="J1428">
        <v>19</v>
      </c>
    </row>
    <row r="1429" spans="1:10" x14ac:dyDescent="0.25">
      <c r="A1429" t="s">
        <v>3954</v>
      </c>
      <c r="B1429" s="3">
        <v>45098</v>
      </c>
      <c r="C1429" t="s">
        <v>1193</v>
      </c>
      <c r="D1429" t="s">
        <v>3471</v>
      </c>
      <c r="E1429">
        <v>3</v>
      </c>
      <c r="F1429" t="s">
        <v>3523</v>
      </c>
      <c r="G1429" t="s">
        <v>3517</v>
      </c>
      <c r="H1429">
        <v>1</v>
      </c>
      <c r="I1429">
        <v>13</v>
      </c>
      <c r="J1429">
        <v>39</v>
      </c>
    </row>
    <row r="1430" spans="1:10" x14ac:dyDescent="0.25">
      <c r="A1430" t="s">
        <v>3955</v>
      </c>
      <c r="B1430" s="3">
        <v>44886</v>
      </c>
      <c r="C1430" t="s">
        <v>2536</v>
      </c>
      <c r="D1430" t="s">
        <v>3470</v>
      </c>
      <c r="E1430">
        <v>6</v>
      </c>
      <c r="F1430" t="s">
        <v>3526</v>
      </c>
      <c r="G1430" t="s">
        <v>3519</v>
      </c>
      <c r="H1430">
        <v>0.5</v>
      </c>
      <c r="I1430">
        <v>8.3000000000000007</v>
      </c>
      <c r="J1430">
        <v>49.8</v>
      </c>
    </row>
    <row r="1431" spans="1:10" x14ac:dyDescent="0.25">
      <c r="A1431" t="s">
        <v>3956</v>
      </c>
      <c r="B1431" s="3">
        <v>44961</v>
      </c>
      <c r="C1431" t="s">
        <v>2840</v>
      </c>
      <c r="D1431" t="s">
        <v>3476</v>
      </c>
      <c r="E1431">
        <v>4</v>
      </c>
      <c r="F1431" t="s">
        <v>3525</v>
      </c>
      <c r="G1431" t="s">
        <v>3517</v>
      </c>
      <c r="H1431">
        <v>0.2</v>
      </c>
      <c r="I1431">
        <v>4.8</v>
      </c>
      <c r="J1431">
        <v>19.2</v>
      </c>
    </row>
    <row r="1432" spans="1:10" x14ac:dyDescent="0.25">
      <c r="A1432" t="s">
        <v>3957</v>
      </c>
      <c r="B1432" s="3">
        <v>45163</v>
      </c>
      <c r="C1432" t="s">
        <v>1637</v>
      </c>
      <c r="D1432" t="s">
        <v>3500</v>
      </c>
      <c r="E1432">
        <v>4</v>
      </c>
      <c r="F1432" t="s">
        <v>3525</v>
      </c>
      <c r="G1432" t="s">
        <v>3518</v>
      </c>
      <c r="H1432">
        <v>0.5</v>
      </c>
      <c r="I1432">
        <v>7.8</v>
      </c>
      <c r="J1432">
        <v>31.2</v>
      </c>
    </row>
    <row r="1433" spans="1:10" x14ac:dyDescent="0.25">
      <c r="A1433" t="s">
        <v>3958</v>
      </c>
      <c r="B1433" s="3">
        <v>45196</v>
      </c>
      <c r="C1433" t="s">
        <v>1963</v>
      </c>
      <c r="D1433" t="s">
        <v>3484</v>
      </c>
      <c r="E1433">
        <v>6</v>
      </c>
      <c r="F1433" t="s">
        <v>3526</v>
      </c>
      <c r="G1433" t="s">
        <v>3518</v>
      </c>
      <c r="H1433">
        <v>0.2</v>
      </c>
      <c r="I1433">
        <v>3.6</v>
      </c>
      <c r="J1433">
        <v>21.6</v>
      </c>
    </row>
    <row r="1434" spans="1:10" x14ac:dyDescent="0.25">
      <c r="A1434" t="s">
        <v>3959</v>
      </c>
      <c r="B1434" s="3">
        <v>44704</v>
      </c>
      <c r="C1434" t="s">
        <v>1881</v>
      </c>
      <c r="D1434" t="s">
        <v>3478</v>
      </c>
      <c r="E1434">
        <v>1</v>
      </c>
      <c r="F1434" t="s">
        <v>3523</v>
      </c>
      <c r="G1434" t="s">
        <v>3518</v>
      </c>
      <c r="H1434">
        <v>1</v>
      </c>
      <c r="I1434">
        <v>10</v>
      </c>
      <c r="J1434">
        <v>10</v>
      </c>
    </row>
    <row r="1435" spans="1:10" x14ac:dyDescent="0.25">
      <c r="A1435" t="s">
        <v>3960</v>
      </c>
      <c r="B1435" s="3">
        <v>45440</v>
      </c>
      <c r="C1435" t="s">
        <v>2618</v>
      </c>
      <c r="D1435" t="s">
        <v>3470</v>
      </c>
      <c r="E1435">
        <v>3</v>
      </c>
      <c r="F1435" t="s">
        <v>3526</v>
      </c>
      <c r="G1435" t="s">
        <v>3519</v>
      </c>
      <c r="H1435">
        <v>0.5</v>
      </c>
      <c r="I1435">
        <v>8.3000000000000007</v>
      </c>
      <c r="J1435">
        <v>24.9</v>
      </c>
    </row>
    <row r="1436" spans="1:10" x14ac:dyDescent="0.25">
      <c r="A1436" t="s">
        <v>3961</v>
      </c>
      <c r="B1436" s="3">
        <v>45490</v>
      </c>
      <c r="C1436" t="s">
        <v>1954</v>
      </c>
      <c r="D1436" t="s">
        <v>3495</v>
      </c>
      <c r="E1436">
        <v>1</v>
      </c>
      <c r="F1436" t="s">
        <v>3525</v>
      </c>
      <c r="G1436" t="s">
        <v>3517</v>
      </c>
      <c r="H1436">
        <v>2.5</v>
      </c>
      <c r="I1436">
        <v>36.5</v>
      </c>
      <c r="J1436">
        <v>36.5</v>
      </c>
    </row>
    <row r="1437" spans="1:10" x14ac:dyDescent="0.25">
      <c r="A1437" t="s">
        <v>3962</v>
      </c>
      <c r="B1437" s="3">
        <v>43768</v>
      </c>
      <c r="C1437" t="s">
        <v>3290</v>
      </c>
      <c r="D1437" t="s">
        <v>3496</v>
      </c>
      <c r="E1437">
        <v>5</v>
      </c>
      <c r="F1437" t="s">
        <v>3525</v>
      </c>
      <c r="G1437" t="s">
        <v>3518</v>
      </c>
      <c r="H1437">
        <v>2.5</v>
      </c>
      <c r="I1437">
        <v>29.8</v>
      </c>
      <c r="J1437">
        <v>149</v>
      </c>
    </row>
    <row r="1438" spans="1:10" x14ac:dyDescent="0.25">
      <c r="A1438" t="s">
        <v>3963</v>
      </c>
      <c r="B1438" s="3">
        <v>43950</v>
      </c>
      <c r="C1438" t="s">
        <v>1003</v>
      </c>
      <c r="D1438" t="s">
        <v>3486</v>
      </c>
      <c r="E1438">
        <v>4</v>
      </c>
      <c r="F1438" t="s">
        <v>3523</v>
      </c>
      <c r="G1438" t="s">
        <v>3519</v>
      </c>
      <c r="H1438">
        <v>1</v>
      </c>
      <c r="I1438">
        <v>11.3</v>
      </c>
      <c r="J1438">
        <v>45.2</v>
      </c>
    </row>
    <row r="1439" spans="1:10" x14ac:dyDescent="0.25">
      <c r="A1439" t="s">
        <v>3964</v>
      </c>
      <c r="B1439" s="3">
        <v>45252</v>
      </c>
      <c r="C1439" t="s">
        <v>1408</v>
      </c>
      <c r="D1439" t="s">
        <v>3486</v>
      </c>
      <c r="E1439">
        <v>2</v>
      </c>
      <c r="F1439" t="s">
        <v>3523</v>
      </c>
      <c r="G1439" t="s">
        <v>3519</v>
      </c>
      <c r="H1439">
        <v>1</v>
      </c>
      <c r="I1439">
        <v>11.3</v>
      </c>
      <c r="J1439">
        <v>22.6</v>
      </c>
    </row>
    <row r="1440" spans="1:10" x14ac:dyDescent="0.25">
      <c r="A1440" t="s">
        <v>3965</v>
      </c>
      <c r="B1440" s="3">
        <v>45558</v>
      </c>
      <c r="C1440" t="s">
        <v>2968</v>
      </c>
      <c r="D1440" t="s">
        <v>3478</v>
      </c>
      <c r="E1440">
        <v>6</v>
      </c>
      <c r="F1440" t="s">
        <v>3523</v>
      </c>
      <c r="G1440" t="s">
        <v>3518</v>
      </c>
      <c r="H1440">
        <v>1</v>
      </c>
      <c r="I1440">
        <v>10</v>
      </c>
      <c r="J1440">
        <v>60</v>
      </c>
    </row>
    <row r="1441" spans="1:10" x14ac:dyDescent="0.25">
      <c r="A1441" t="s">
        <v>3966</v>
      </c>
      <c r="B1441" s="3">
        <v>44865</v>
      </c>
      <c r="C1441" t="s">
        <v>2113</v>
      </c>
      <c r="D1441" t="s">
        <v>3513</v>
      </c>
      <c r="E1441">
        <v>4</v>
      </c>
      <c r="F1441" t="s">
        <v>3523</v>
      </c>
      <c r="G1441" t="s">
        <v>3517</v>
      </c>
      <c r="H1441">
        <v>2.5</v>
      </c>
      <c r="I1441">
        <v>29.8</v>
      </c>
      <c r="J1441">
        <v>119.2</v>
      </c>
    </row>
    <row r="1442" spans="1:10" x14ac:dyDescent="0.25">
      <c r="A1442" t="s">
        <v>3967</v>
      </c>
      <c r="B1442" s="3">
        <v>44994</v>
      </c>
      <c r="C1442" t="s">
        <v>3118</v>
      </c>
      <c r="D1442" t="s">
        <v>3511</v>
      </c>
      <c r="E1442">
        <v>6</v>
      </c>
      <c r="F1442" t="s">
        <v>3523</v>
      </c>
      <c r="G1442" t="s">
        <v>3517</v>
      </c>
      <c r="H1442">
        <v>0.5</v>
      </c>
      <c r="I1442">
        <v>7.8</v>
      </c>
      <c r="J1442">
        <v>46.8</v>
      </c>
    </row>
    <row r="1443" spans="1:10" x14ac:dyDescent="0.25">
      <c r="A1443" t="s">
        <v>3968</v>
      </c>
      <c r="B1443" s="3">
        <v>43522</v>
      </c>
      <c r="C1443" t="s">
        <v>2855</v>
      </c>
      <c r="D1443" t="s">
        <v>3516</v>
      </c>
      <c r="E1443">
        <v>4</v>
      </c>
      <c r="F1443" t="s">
        <v>3526</v>
      </c>
      <c r="G1443" t="s">
        <v>3518</v>
      </c>
      <c r="H1443">
        <v>2.5</v>
      </c>
      <c r="I1443">
        <v>27.9</v>
      </c>
      <c r="J1443">
        <v>111.6</v>
      </c>
    </row>
    <row r="1444" spans="1:10" x14ac:dyDescent="0.25">
      <c r="A1444" t="s">
        <v>3969</v>
      </c>
      <c r="B1444" s="3">
        <v>45196</v>
      </c>
      <c r="C1444" t="s">
        <v>1851</v>
      </c>
      <c r="D1444" t="s">
        <v>3513</v>
      </c>
      <c r="E1444">
        <v>2</v>
      </c>
      <c r="F1444" t="s">
        <v>3523</v>
      </c>
      <c r="G1444" t="s">
        <v>3517</v>
      </c>
      <c r="H1444">
        <v>2.5</v>
      </c>
      <c r="I1444">
        <v>29.8</v>
      </c>
      <c r="J1444">
        <v>59.6</v>
      </c>
    </row>
    <row r="1445" spans="1:10" x14ac:dyDescent="0.25">
      <c r="A1445" t="s">
        <v>3970</v>
      </c>
      <c r="B1445" s="3">
        <v>44898</v>
      </c>
      <c r="C1445" t="s">
        <v>541</v>
      </c>
      <c r="D1445" t="s">
        <v>3507</v>
      </c>
      <c r="E1445">
        <v>4</v>
      </c>
      <c r="F1445" t="s">
        <v>3526</v>
      </c>
      <c r="G1445" t="s">
        <v>3517</v>
      </c>
      <c r="H1445">
        <v>0.5</v>
      </c>
      <c r="I1445">
        <v>8.9</v>
      </c>
      <c r="J1445">
        <v>35.6</v>
      </c>
    </row>
    <row r="1446" spans="1:10" x14ac:dyDescent="0.25">
      <c r="A1446" t="s">
        <v>3971</v>
      </c>
      <c r="B1446" s="3">
        <v>45532</v>
      </c>
      <c r="C1446" t="s">
        <v>3252</v>
      </c>
      <c r="D1446" t="s">
        <v>3501</v>
      </c>
      <c r="E1446">
        <v>6</v>
      </c>
      <c r="F1446" t="s">
        <v>3525</v>
      </c>
      <c r="G1446" t="s">
        <v>3517</v>
      </c>
      <c r="H1446">
        <v>1</v>
      </c>
      <c r="I1446">
        <v>15.9</v>
      </c>
      <c r="J1446">
        <v>95.4</v>
      </c>
    </row>
    <row r="1447" spans="1:10" x14ac:dyDescent="0.25">
      <c r="A1447" t="s">
        <v>3972</v>
      </c>
      <c r="B1447" s="3">
        <v>45567</v>
      </c>
      <c r="C1447" t="s">
        <v>3384</v>
      </c>
      <c r="D1447" t="s">
        <v>3512</v>
      </c>
      <c r="E1447">
        <v>4</v>
      </c>
      <c r="F1447" t="s">
        <v>3525</v>
      </c>
      <c r="G1447" t="s">
        <v>3519</v>
      </c>
      <c r="H1447">
        <v>2.5</v>
      </c>
      <c r="I1447">
        <v>33.5</v>
      </c>
      <c r="J1447">
        <v>134</v>
      </c>
    </row>
    <row r="1448" spans="1:10" x14ac:dyDescent="0.25">
      <c r="A1448" t="s">
        <v>3973</v>
      </c>
      <c r="B1448" s="3">
        <v>45413</v>
      </c>
      <c r="C1448" t="s">
        <v>2006</v>
      </c>
      <c r="D1448" t="s">
        <v>3477</v>
      </c>
      <c r="E1448">
        <v>4</v>
      </c>
      <c r="F1448" t="s">
        <v>3524</v>
      </c>
      <c r="G1448" t="s">
        <v>3519</v>
      </c>
      <c r="H1448">
        <v>0.5</v>
      </c>
      <c r="I1448">
        <v>6</v>
      </c>
      <c r="J1448">
        <v>24</v>
      </c>
    </row>
    <row r="1449" spans="1:10" x14ac:dyDescent="0.25">
      <c r="A1449" t="s">
        <v>3974</v>
      </c>
      <c r="B1449" s="3">
        <v>44034</v>
      </c>
      <c r="C1449" t="s">
        <v>1976</v>
      </c>
      <c r="D1449" t="s">
        <v>3507</v>
      </c>
      <c r="E1449">
        <v>1</v>
      </c>
      <c r="F1449" t="s">
        <v>3526</v>
      </c>
      <c r="G1449" t="s">
        <v>3517</v>
      </c>
      <c r="H1449">
        <v>0.5</v>
      </c>
      <c r="I1449">
        <v>8.9</v>
      </c>
      <c r="J1449">
        <v>8.9</v>
      </c>
    </row>
    <row r="1450" spans="1:10" x14ac:dyDescent="0.25">
      <c r="A1450" t="s">
        <v>3975</v>
      </c>
      <c r="B1450" s="3">
        <v>45333</v>
      </c>
      <c r="C1450" t="s">
        <v>2699</v>
      </c>
      <c r="D1450" t="s">
        <v>3475</v>
      </c>
      <c r="E1450">
        <v>4</v>
      </c>
      <c r="F1450" t="s">
        <v>3526</v>
      </c>
      <c r="G1450" t="s">
        <v>3518</v>
      </c>
      <c r="H1450">
        <v>0.5</v>
      </c>
      <c r="I1450">
        <v>7.3</v>
      </c>
      <c r="J1450">
        <v>29.2</v>
      </c>
    </row>
    <row r="1451" spans="1:10" x14ac:dyDescent="0.25">
      <c r="A1451" t="s">
        <v>3976</v>
      </c>
      <c r="B1451" s="3">
        <v>45311</v>
      </c>
      <c r="C1451" t="s">
        <v>1438</v>
      </c>
      <c r="D1451" t="s">
        <v>3498</v>
      </c>
      <c r="E1451">
        <v>5</v>
      </c>
      <c r="F1451" t="s">
        <v>3523</v>
      </c>
      <c r="G1451" t="s">
        <v>3517</v>
      </c>
      <c r="H1451">
        <v>0.2</v>
      </c>
      <c r="I1451">
        <v>3.9</v>
      </c>
      <c r="J1451">
        <v>19.5</v>
      </c>
    </row>
    <row r="1452" spans="1:10" x14ac:dyDescent="0.25">
      <c r="A1452" t="s">
        <v>3977</v>
      </c>
      <c r="B1452" s="3">
        <v>44805</v>
      </c>
      <c r="C1452" t="s">
        <v>2400</v>
      </c>
      <c r="D1452" t="s">
        <v>3493</v>
      </c>
      <c r="E1452">
        <v>2</v>
      </c>
      <c r="F1452" t="s">
        <v>3525</v>
      </c>
      <c r="G1452" t="s">
        <v>3519</v>
      </c>
      <c r="H1452">
        <v>1</v>
      </c>
      <c r="I1452">
        <v>14.6</v>
      </c>
      <c r="J1452">
        <v>29.2</v>
      </c>
    </row>
    <row r="1453" spans="1:10" x14ac:dyDescent="0.25">
      <c r="A1453" t="s">
        <v>3978</v>
      </c>
      <c r="B1453" s="3">
        <v>44283</v>
      </c>
      <c r="C1453" t="s">
        <v>1247</v>
      </c>
      <c r="D1453" t="s">
        <v>3477</v>
      </c>
      <c r="E1453">
        <v>5</v>
      </c>
      <c r="F1453" t="s">
        <v>3524</v>
      </c>
      <c r="G1453" t="s">
        <v>3519</v>
      </c>
      <c r="H1453">
        <v>0.5</v>
      </c>
      <c r="I1453">
        <v>6</v>
      </c>
      <c r="J1453">
        <v>30</v>
      </c>
    </row>
    <row r="1454" spans="1:10" x14ac:dyDescent="0.25">
      <c r="A1454" t="s">
        <v>3979</v>
      </c>
      <c r="B1454" s="3">
        <v>44970</v>
      </c>
      <c r="C1454" t="s">
        <v>2882</v>
      </c>
      <c r="D1454" t="s">
        <v>3472</v>
      </c>
      <c r="E1454">
        <v>4</v>
      </c>
      <c r="F1454" t="s">
        <v>3526</v>
      </c>
      <c r="G1454" t="s">
        <v>3519</v>
      </c>
      <c r="H1454">
        <v>1</v>
      </c>
      <c r="I1454">
        <v>13.8</v>
      </c>
      <c r="J1454">
        <v>55.2</v>
      </c>
    </row>
    <row r="1455" spans="1:10" x14ac:dyDescent="0.25">
      <c r="A1455" t="s">
        <v>3980</v>
      </c>
      <c r="B1455" s="3">
        <v>45126</v>
      </c>
      <c r="C1455" t="s">
        <v>2963</v>
      </c>
      <c r="D1455" t="s">
        <v>3486</v>
      </c>
      <c r="E1455">
        <v>5</v>
      </c>
      <c r="F1455" t="s">
        <v>3523</v>
      </c>
      <c r="G1455" t="s">
        <v>3519</v>
      </c>
      <c r="H1455">
        <v>1</v>
      </c>
      <c r="I1455">
        <v>11.3</v>
      </c>
      <c r="J1455">
        <v>56.5</v>
      </c>
    </row>
    <row r="1456" spans="1:10" x14ac:dyDescent="0.25">
      <c r="A1456" t="s">
        <v>3981</v>
      </c>
      <c r="B1456" s="3">
        <v>43541</v>
      </c>
      <c r="C1456" t="s">
        <v>2479</v>
      </c>
      <c r="D1456" t="s">
        <v>3497</v>
      </c>
      <c r="E1456">
        <v>6</v>
      </c>
      <c r="F1456" t="s">
        <v>3526</v>
      </c>
      <c r="G1456" t="s">
        <v>3519</v>
      </c>
      <c r="H1456">
        <v>2.5</v>
      </c>
      <c r="I1456">
        <v>31.6</v>
      </c>
      <c r="J1456">
        <v>189.6</v>
      </c>
    </row>
    <row r="1457" spans="1:10" x14ac:dyDescent="0.25">
      <c r="A1457" t="s">
        <v>3982</v>
      </c>
      <c r="B1457" s="3">
        <v>45198</v>
      </c>
      <c r="C1457" t="s">
        <v>851</v>
      </c>
      <c r="D1457" t="s">
        <v>3493</v>
      </c>
      <c r="E1457">
        <v>6</v>
      </c>
      <c r="F1457" t="s">
        <v>3525</v>
      </c>
      <c r="G1457" t="s">
        <v>3519</v>
      </c>
      <c r="H1457">
        <v>1</v>
      </c>
      <c r="I1457">
        <v>14.6</v>
      </c>
      <c r="J1457">
        <v>87.6</v>
      </c>
    </row>
    <row r="1458" spans="1:10" x14ac:dyDescent="0.25">
      <c r="A1458" t="s">
        <v>3983</v>
      </c>
      <c r="B1458" s="3">
        <v>45161</v>
      </c>
      <c r="C1458" t="s">
        <v>784</v>
      </c>
      <c r="D1458" t="s">
        <v>3490</v>
      </c>
      <c r="E1458">
        <v>1</v>
      </c>
      <c r="F1458" t="s">
        <v>3525</v>
      </c>
      <c r="G1458" t="s">
        <v>3519</v>
      </c>
      <c r="H1458">
        <v>0.2</v>
      </c>
      <c r="I1458">
        <v>4.4000000000000004</v>
      </c>
      <c r="J1458">
        <v>4.4000000000000004</v>
      </c>
    </row>
    <row r="1459" spans="1:10" x14ac:dyDescent="0.25">
      <c r="A1459" t="s">
        <v>3984</v>
      </c>
      <c r="B1459" s="3">
        <v>44127</v>
      </c>
      <c r="C1459" t="s">
        <v>1669</v>
      </c>
      <c r="D1459" t="s">
        <v>3478</v>
      </c>
      <c r="E1459">
        <v>6</v>
      </c>
      <c r="F1459" t="s">
        <v>3523</v>
      </c>
      <c r="G1459" t="s">
        <v>3518</v>
      </c>
      <c r="H1459">
        <v>1</v>
      </c>
      <c r="I1459">
        <v>10</v>
      </c>
      <c r="J1459">
        <v>60</v>
      </c>
    </row>
    <row r="1460" spans="1:10" x14ac:dyDescent="0.25">
      <c r="A1460" t="s">
        <v>3985</v>
      </c>
      <c r="B1460" s="3">
        <v>45498</v>
      </c>
      <c r="C1460" t="s">
        <v>2056</v>
      </c>
      <c r="D1460" t="s">
        <v>3488</v>
      </c>
      <c r="E1460">
        <v>3</v>
      </c>
      <c r="F1460" t="s">
        <v>3523</v>
      </c>
      <c r="G1460" t="s">
        <v>3519</v>
      </c>
      <c r="H1460">
        <v>0.5</v>
      </c>
      <c r="I1460">
        <v>6.8</v>
      </c>
      <c r="J1460">
        <v>20.399999999999999</v>
      </c>
    </row>
    <row r="1461" spans="1:10" x14ac:dyDescent="0.25">
      <c r="A1461" t="s">
        <v>3986</v>
      </c>
      <c r="B1461" s="3">
        <v>44505</v>
      </c>
      <c r="C1461" t="s">
        <v>1705</v>
      </c>
      <c r="D1461" t="s">
        <v>3491</v>
      </c>
      <c r="E1461">
        <v>5</v>
      </c>
      <c r="F1461" t="s">
        <v>3525</v>
      </c>
      <c r="G1461" t="s">
        <v>3519</v>
      </c>
      <c r="H1461">
        <v>0.5</v>
      </c>
      <c r="I1461">
        <v>8.6999999999999993</v>
      </c>
      <c r="J1461">
        <v>43.5</v>
      </c>
    </row>
    <row r="1462" spans="1:10" x14ac:dyDescent="0.25">
      <c r="A1462" t="s">
        <v>3987</v>
      </c>
      <c r="B1462" s="3">
        <v>44797</v>
      </c>
      <c r="C1462" t="s">
        <v>2459</v>
      </c>
      <c r="D1462" t="s">
        <v>3502</v>
      </c>
      <c r="E1462">
        <v>2</v>
      </c>
      <c r="F1462" t="s">
        <v>3526</v>
      </c>
      <c r="G1462" t="s">
        <v>3517</v>
      </c>
      <c r="H1462">
        <v>1</v>
      </c>
      <c r="I1462">
        <v>14.9</v>
      </c>
      <c r="J1462">
        <v>29.8</v>
      </c>
    </row>
    <row r="1463" spans="1:10" x14ac:dyDescent="0.25">
      <c r="A1463" t="s">
        <v>3988</v>
      </c>
      <c r="B1463" s="3">
        <v>44090</v>
      </c>
      <c r="C1463" t="s">
        <v>1253</v>
      </c>
      <c r="D1463" t="s">
        <v>3503</v>
      </c>
      <c r="E1463">
        <v>6</v>
      </c>
      <c r="F1463" t="s">
        <v>3524</v>
      </c>
      <c r="G1463" t="s">
        <v>3518</v>
      </c>
      <c r="H1463">
        <v>0.5</v>
      </c>
      <c r="I1463">
        <v>5.4</v>
      </c>
      <c r="J1463">
        <v>32.4</v>
      </c>
    </row>
    <row r="1464" spans="1:10" x14ac:dyDescent="0.25">
      <c r="A1464" t="s">
        <v>3989</v>
      </c>
      <c r="B1464" s="3">
        <v>45467</v>
      </c>
      <c r="C1464" t="s">
        <v>2248</v>
      </c>
      <c r="D1464" t="s">
        <v>3491</v>
      </c>
      <c r="E1464">
        <v>5</v>
      </c>
      <c r="F1464" t="s">
        <v>3525</v>
      </c>
      <c r="G1464" t="s">
        <v>3519</v>
      </c>
      <c r="H1464">
        <v>0.5</v>
      </c>
      <c r="I1464">
        <v>8.6999999999999993</v>
      </c>
      <c r="J1464">
        <v>43.5</v>
      </c>
    </row>
    <row r="1465" spans="1:10" x14ac:dyDescent="0.25">
      <c r="A1465" t="s">
        <v>3990</v>
      </c>
      <c r="B1465" s="3">
        <v>44885</v>
      </c>
      <c r="C1465" t="s">
        <v>2047</v>
      </c>
      <c r="D1465" t="s">
        <v>3516</v>
      </c>
      <c r="E1465">
        <v>3</v>
      </c>
      <c r="F1465" t="s">
        <v>3526</v>
      </c>
      <c r="G1465" t="s">
        <v>3518</v>
      </c>
      <c r="H1465">
        <v>2.5</v>
      </c>
      <c r="I1465">
        <v>27.9</v>
      </c>
      <c r="J1465">
        <v>83.7</v>
      </c>
    </row>
    <row r="1466" spans="1:10" x14ac:dyDescent="0.25">
      <c r="A1466" t="s">
        <v>3991</v>
      </c>
      <c r="B1466" s="3">
        <v>44846</v>
      </c>
      <c r="C1466" t="s">
        <v>1479</v>
      </c>
      <c r="D1466" t="s">
        <v>3511</v>
      </c>
      <c r="E1466">
        <v>5</v>
      </c>
      <c r="F1466" t="s">
        <v>3523</v>
      </c>
      <c r="G1466" t="s">
        <v>3517</v>
      </c>
      <c r="H1466">
        <v>0.5</v>
      </c>
      <c r="I1466">
        <v>7.8</v>
      </c>
      <c r="J1466">
        <v>39</v>
      </c>
    </row>
    <row r="1467" spans="1:10" x14ac:dyDescent="0.25">
      <c r="A1467" t="s">
        <v>3992</v>
      </c>
      <c r="B1467" s="3">
        <v>44871</v>
      </c>
      <c r="C1467" t="s">
        <v>3455</v>
      </c>
      <c r="D1467" t="s">
        <v>3487</v>
      </c>
      <c r="E1467">
        <v>6</v>
      </c>
      <c r="F1467" t="s">
        <v>3526</v>
      </c>
      <c r="G1467" t="s">
        <v>3519</v>
      </c>
      <c r="H1467">
        <v>0.2</v>
      </c>
      <c r="I1467">
        <v>4.0999999999999996</v>
      </c>
      <c r="J1467">
        <v>24.6</v>
      </c>
    </row>
    <row r="1468" spans="1:10" x14ac:dyDescent="0.25">
      <c r="A1468" t="s">
        <v>3993</v>
      </c>
      <c r="B1468" s="3">
        <v>44796</v>
      </c>
      <c r="C1468" t="s">
        <v>3351</v>
      </c>
      <c r="D1468" t="s">
        <v>3473</v>
      </c>
      <c r="E1468">
        <v>5</v>
      </c>
      <c r="F1468" t="s">
        <v>3524</v>
      </c>
      <c r="G1468" t="s">
        <v>3517</v>
      </c>
      <c r="H1468">
        <v>2.5</v>
      </c>
      <c r="I1468">
        <v>27.5</v>
      </c>
      <c r="J1468">
        <v>137.5</v>
      </c>
    </row>
    <row r="1469" spans="1:10" x14ac:dyDescent="0.25">
      <c r="A1469" t="s">
        <v>3994</v>
      </c>
      <c r="B1469" s="3">
        <v>44971</v>
      </c>
      <c r="C1469" t="s">
        <v>1646</v>
      </c>
      <c r="D1469" t="s">
        <v>3501</v>
      </c>
      <c r="E1469">
        <v>2</v>
      </c>
      <c r="F1469" t="s">
        <v>3525</v>
      </c>
      <c r="G1469" t="s">
        <v>3517</v>
      </c>
      <c r="H1469">
        <v>1</v>
      </c>
      <c r="I1469">
        <v>15.9</v>
      </c>
      <c r="J1469">
        <v>31.8</v>
      </c>
    </row>
    <row r="1470" spans="1:10" x14ac:dyDescent="0.25">
      <c r="A1470" t="s">
        <v>3995</v>
      </c>
      <c r="B1470" s="3">
        <v>45345</v>
      </c>
      <c r="C1470" t="s">
        <v>1836</v>
      </c>
      <c r="D1470" t="s">
        <v>3512</v>
      </c>
      <c r="E1470">
        <v>5</v>
      </c>
      <c r="F1470" t="s">
        <v>3525</v>
      </c>
      <c r="G1470" t="s">
        <v>3519</v>
      </c>
      <c r="H1470">
        <v>2.5</v>
      </c>
      <c r="I1470">
        <v>33.5</v>
      </c>
      <c r="J1470">
        <v>167.5</v>
      </c>
    </row>
    <row r="1471" spans="1:10" x14ac:dyDescent="0.25">
      <c r="A1471" t="s">
        <v>3996</v>
      </c>
      <c r="B1471" s="3">
        <v>45473</v>
      </c>
      <c r="C1471" t="s">
        <v>3142</v>
      </c>
      <c r="D1471" t="s">
        <v>3512</v>
      </c>
      <c r="E1471">
        <v>1</v>
      </c>
      <c r="F1471" t="s">
        <v>3525</v>
      </c>
      <c r="G1471" t="s">
        <v>3519</v>
      </c>
      <c r="H1471">
        <v>2.5</v>
      </c>
      <c r="I1471">
        <v>33.5</v>
      </c>
      <c r="J1471">
        <v>33.5</v>
      </c>
    </row>
    <row r="1472" spans="1:10" x14ac:dyDescent="0.25">
      <c r="A1472" t="s">
        <v>3997</v>
      </c>
      <c r="B1472" s="3">
        <v>45610</v>
      </c>
      <c r="C1472" t="s">
        <v>1655</v>
      </c>
      <c r="D1472" t="s">
        <v>3516</v>
      </c>
      <c r="E1472">
        <v>2</v>
      </c>
      <c r="F1472" t="s">
        <v>3526</v>
      </c>
      <c r="G1472" t="s">
        <v>3518</v>
      </c>
      <c r="H1472">
        <v>2.5</v>
      </c>
      <c r="I1472">
        <v>27.9</v>
      </c>
      <c r="J1472">
        <v>55.8</v>
      </c>
    </row>
    <row r="1473" spans="1:10" x14ac:dyDescent="0.25">
      <c r="A1473" t="s">
        <v>3998</v>
      </c>
      <c r="B1473" s="3">
        <v>44453</v>
      </c>
      <c r="C1473" t="s">
        <v>1625</v>
      </c>
      <c r="D1473" t="s">
        <v>3501</v>
      </c>
      <c r="E1473">
        <v>1</v>
      </c>
      <c r="F1473" t="s">
        <v>3525</v>
      </c>
      <c r="G1473" t="s">
        <v>3517</v>
      </c>
      <c r="H1473">
        <v>1</v>
      </c>
      <c r="I1473">
        <v>15.9</v>
      </c>
      <c r="J1473">
        <v>15.9</v>
      </c>
    </row>
    <row r="1474" spans="1:10" x14ac:dyDescent="0.25">
      <c r="A1474" t="s">
        <v>3999</v>
      </c>
      <c r="B1474" s="3">
        <v>44340</v>
      </c>
      <c r="C1474" t="s">
        <v>1564</v>
      </c>
      <c r="D1474" t="s">
        <v>3511</v>
      </c>
      <c r="E1474">
        <v>3</v>
      </c>
      <c r="F1474" t="s">
        <v>3523</v>
      </c>
      <c r="G1474" t="s">
        <v>3517</v>
      </c>
      <c r="H1474">
        <v>0.5</v>
      </c>
      <c r="I1474">
        <v>7.8</v>
      </c>
      <c r="J1474">
        <v>23.4</v>
      </c>
    </row>
    <row r="1475" spans="1:10" x14ac:dyDescent="0.25">
      <c r="A1475" t="s">
        <v>4000</v>
      </c>
      <c r="B1475" s="3">
        <v>45652</v>
      </c>
      <c r="C1475" t="s">
        <v>673</v>
      </c>
      <c r="D1475" t="s">
        <v>3492</v>
      </c>
      <c r="E1475">
        <v>3</v>
      </c>
      <c r="F1475" t="s">
        <v>3525</v>
      </c>
      <c r="G1475" t="s">
        <v>3517</v>
      </c>
      <c r="H1475">
        <v>0.5</v>
      </c>
      <c r="I1475">
        <v>9.5</v>
      </c>
      <c r="J1475">
        <v>28.5</v>
      </c>
    </row>
    <row r="1476" spans="1:10" x14ac:dyDescent="0.25">
      <c r="A1476" t="s">
        <v>4001</v>
      </c>
      <c r="B1476" s="3">
        <v>45449</v>
      </c>
      <c r="C1476" t="s">
        <v>679</v>
      </c>
      <c r="D1476" t="s">
        <v>3484</v>
      </c>
      <c r="E1476">
        <v>6</v>
      </c>
      <c r="F1476" t="s">
        <v>3526</v>
      </c>
      <c r="G1476" t="s">
        <v>3518</v>
      </c>
      <c r="H1476">
        <v>0.2</v>
      </c>
      <c r="I1476">
        <v>3.6</v>
      </c>
      <c r="J1476">
        <v>21.6</v>
      </c>
    </row>
    <row r="1477" spans="1:10" x14ac:dyDescent="0.25">
      <c r="A1477" t="s">
        <v>4002</v>
      </c>
      <c r="B1477" s="3">
        <v>44554</v>
      </c>
      <c r="C1477" t="s">
        <v>872</v>
      </c>
      <c r="D1477" t="s">
        <v>3500</v>
      </c>
      <c r="E1477">
        <v>5</v>
      </c>
      <c r="F1477" t="s">
        <v>3525</v>
      </c>
      <c r="G1477" t="s">
        <v>3518</v>
      </c>
      <c r="H1477">
        <v>0.5</v>
      </c>
      <c r="I1477">
        <v>7.8</v>
      </c>
      <c r="J1477">
        <v>39</v>
      </c>
    </row>
    <row r="1478" spans="1:10" x14ac:dyDescent="0.25">
      <c r="A1478" t="s">
        <v>4003</v>
      </c>
      <c r="B1478" s="3">
        <v>45215</v>
      </c>
      <c r="C1478" t="s">
        <v>3075</v>
      </c>
      <c r="D1478" t="s">
        <v>3493</v>
      </c>
      <c r="E1478">
        <v>1</v>
      </c>
      <c r="F1478" t="s">
        <v>3525</v>
      </c>
      <c r="G1478" t="s">
        <v>3519</v>
      </c>
      <c r="H1478">
        <v>1</v>
      </c>
      <c r="I1478">
        <v>14.6</v>
      </c>
      <c r="J1478">
        <v>14.6</v>
      </c>
    </row>
    <row r="1479" spans="1:10" x14ac:dyDescent="0.25">
      <c r="A1479" t="s">
        <v>4004</v>
      </c>
      <c r="B1479" s="3">
        <v>45271</v>
      </c>
      <c r="C1479" t="s">
        <v>2198</v>
      </c>
      <c r="D1479" t="s">
        <v>3489</v>
      </c>
      <c r="E1479">
        <v>3</v>
      </c>
      <c r="F1479" t="s">
        <v>3523</v>
      </c>
      <c r="G1479" t="s">
        <v>3518</v>
      </c>
      <c r="H1479">
        <v>0.5</v>
      </c>
      <c r="I1479">
        <v>6</v>
      </c>
      <c r="J1479">
        <v>18</v>
      </c>
    </row>
    <row r="1480" spans="1:10" x14ac:dyDescent="0.25">
      <c r="A1480" t="s">
        <v>4005</v>
      </c>
      <c r="B1480" s="3">
        <v>44525</v>
      </c>
      <c r="C1480" t="s">
        <v>2218</v>
      </c>
      <c r="D1480" t="s">
        <v>3510</v>
      </c>
      <c r="E1480">
        <v>4</v>
      </c>
      <c r="F1480" t="s">
        <v>3524</v>
      </c>
      <c r="G1480" t="s">
        <v>3517</v>
      </c>
      <c r="H1480">
        <v>1</v>
      </c>
      <c r="I1480">
        <v>12</v>
      </c>
      <c r="J1480">
        <v>48</v>
      </c>
    </row>
    <row r="1481" spans="1:10" x14ac:dyDescent="0.25">
      <c r="A1481" t="s">
        <v>4006</v>
      </c>
      <c r="B1481" s="3">
        <v>45064</v>
      </c>
      <c r="C1481" t="s">
        <v>558</v>
      </c>
      <c r="D1481" t="s">
        <v>3470</v>
      </c>
      <c r="E1481">
        <v>1</v>
      </c>
      <c r="F1481" t="s">
        <v>3526</v>
      </c>
      <c r="G1481" t="s">
        <v>3519</v>
      </c>
      <c r="H1481">
        <v>0.5</v>
      </c>
      <c r="I1481">
        <v>8.3000000000000007</v>
      </c>
      <c r="J1481">
        <v>8.3000000000000007</v>
      </c>
    </row>
    <row r="1482" spans="1:10" x14ac:dyDescent="0.25">
      <c r="A1482" t="s">
        <v>4007</v>
      </c>
      <c r="B1482" s="3">
        <v>44659</v>
      </c>
      <c r="C1482" t="s">
        <v>3231</v>
      </c>
      <c r="D1482" t="s">
        <v>3497</v>
      </c>
      <c r="E1482">
        <v>4</v>
      </c>
      <c r="F1482" t="s">
        <v>3526</v>
      </c>
      <c r="G1482" t="s">
        <v>3519</v>
      </c>
      <c r="H1482">
        <v>2.5</v>
      </c>
      <c r="I1482">
        <v>31.6</v>
      </c>
      <c r="J1482">
        <v>126.4</v>
      </c>
    </row>
    <row r="1483" spans="1:10" x14ac:dyDescent="0.25">
      <c r="A1483" t="s">
        <v>4008</v>
      </c>
      <c r="B1483" s="3">
        <v>44041</v>
      </c>
      <c r="C1483" t="s">
        <v>3139</v>
      </c>
      <c r="D1483" t="s">
        <v>3476</v>
      </c>
      <c r="E1483">
        <v>4</v>
      </c>
      <c r="F1483" t="s">
        <v>3525</v>
      </c>
      <c r="G1483" t="s">
        <v>3517</v>
      </c>
      <c r="H1483">
        <v>0.2</v>
      </c>
      <c r="I1483">
        <v>4.8</v>
      </c>
      <c r="J1483">
        <v>19.2</v>
      </c>
    </row>
    <row r="1484" spans="1:10" x14ac:dyDescent="0.25">
      <c r="A1484" t="s">
        <v>4009</v>
      </c>
      <c r="B1484" s="3">
        <v>45239</v>
      </c>
      <c r="C1484" t="s">
        <v>2320</v>
      </c>
      <c r="D1484" t="s">
        <v>3497</v>
      </c>
      <c r="E1484">
        <v>2</v>
      </c>
      <c r="F1484" t="s">
        <v>3526</v>
      </c>
      <c r="G1484" t="s">
        <v>3519</v>
      </c>
      <c r="H1484">
        <v>2.5</v>
      </c>
      <c r="I1484">
        <v>31.6</v>
      </c>
      <c r="J1484">
        <v>63.2</v>
      </c>
    </row>
    <row r="1485" spans="1:10" x14ac:dyDescent="0.25">
      <c r="A1485" t="s">
        <v>4010</v>
      </c>
      <c r="B1485" s="3">
        <v>45494</v>
      </c>
      <c r="C1485" t="s">
        <v>3072</v>
      </c>
      <c r="D1485" t="s">
        <v>3479</v>
      </c>
      <c r="E1485">
        <v>6</v>
      </c>
      <c r="F1485" t="s">
        <v>3526</v>
      </c>
      <c r="G1485" t="s">
        <v>3517</v>
      </c>
      <c r="H1485">
        <v>2.5</v>
      </c>
      <c r="I1485">
        <v>34.200000000000003</v>
      </c>
      <c r="J1485">
        <v>205.2</v>
      </c>
    </row>
    <row r="1486" spans="1:10" x14ac:dyDescent="0.25">
      <c r="A1486" t="s">
        <v>4011</v>
      </c>
      <c r="B1486" s="3">
        <v>45166</v>
      </c>
      <c r="C1486" t="s">
        <v>2000</v>
      </c>
      <c r="D1486" t="s">
        <v>3483</v>
      </c>
      <c r="E1486">
        <v>6</v>
      </c>
      <c r="F1486" t="s">
        <v>3523</v>
      </c>
      <c r="G1486" t="s">
        <v>3519</v>
      </c>
      <c r="H1486">
        <v>0.2</v>
      </c>
      <c r="I1486">
        <v>3.4</v>
      </c>
      <c r="J1486">
        <v>20.399999999999999</v>
      </c>
    </row>
    <row r="1487" spans="1:10" x14ac:dyDescent="0.25">
      <c r="A1487" t="s">
        <v>4012</v>
      </c>
      <c r="B1487" s="3">
        <v>45632</v>
      </c>
      <c r="C1487" t="s">
        <v>1936</v>
      </c>
      <c r="D1487" t="s">
        <v>3505</v>
      </c>
      <c r="E1487">
        <v>5</v>
      </c>
      <c r="F1487" t="s">
        <v>3524</v>
      </c>
      <c r="G1487" t="s">
        <v>3519</v>
      </c>
      <c r="H1487">
        <v>0.2</v>
      </c>
      <c r="I1487">
        <v>3</v>
      </c>
      <c r="J1487">
        <v>15</v>
      </c>
    </row>
    <row r="1488" spans="1:10" x14ac:dyDescent="0.25">
      <c r="A1488" t="s">
        <v>4013</v>
      </c>
      <c r="B1488" s="3">
        <v>45634</v>
      </c>
      <c r="C1488" t="s">
        <v>1429</v>
      </c>
      <c r="D1488" t="s">
        <v>3471</v>
      </c>
      <c r="E1488">
        <v>2</v>
      </c>
      <c r="F1488" t="s">
        <v>3523</v>
      </c>
      <c r="G1488" t="s">
        <v>3517</v>
      </c>
      <c r="H1488">
        <v>1</v>
      </c>
      <c r="I1488">
        <v>13</v>
      </c>
      <c r="J1488">
        <v>26</v>
      </c>
    </row>
    <row r="1489" spans="1:10" x14ac:dyDescent="0.25">
      <c r="A1489" t="s">
        <v>4014</v>
      </c>
      <c r="B1489" s="3">
        <v>45032</v>
      </c>
      <c r="C1489" t="s">
        <v>2177</v>
      </c>
      <c r="D1489" t="s">
        <v>3473</v>
      </c>
      <c r="E1489">
        <v>6</v>
      </c>
      <c r="F1489" t="s">
        <v>3524</v>
      </c>
      <c r="G1489" t="s">
        <v>3517</v>
      </c>
      <c r="H1489">
        <v>2.5</v>
      </c>
      <c r="I1489">
        <v>27.5</v>
      </c>
      <c r="J1489">
        <v>165</v>
      </c>
    </row>
    <row r="1490" spans="1:10" x14ac:dyDescent="0.25">
      <c r="A1490" t="s">
        <v>4015</v>
      </c>
      <c r="B1490" s="3">
        <v>44844</v>
      </c>
      <c r="C1490" t="s">
        <v>1009</v>
      </c>
      <c r="D1490" t="s">
        <v>3498</v>
      </c>
      <c r="E1490">
        <v>4</v>
      </c>
      <c r="F1490" t="s">
        <v>3523</v>
      </c>
      <c r="G1490" t="s">
        <v>3517</v>
      </c>
      <c r="H1490">
        <v>0.2</v>
      </c>
      <c r="I1490">
        <v>3.9</v>
      </c>
      <c r="J1490">
        <v>15.6</v>
      </c>
    </row>
    <row r="1491" spans="1:10" x14ac:dyDescent="0.25">
      <c r="A1491" t="s">
        <v>4016</v>
      </c>
      <c r="B1491" s="3">
        <v>44829</v>
      </c>
      <c r="C1491" t="s">
        <v>820</v>
      </c>
      <c r="D1491" t="s">
        <v>3495</v>
      </c>
      <c r="E1491">
        <v>2</v>
      </c>
      <c r="F1491" t="s">
        <v>3525</v>
      </c>
      <c r="G1491" t="s">
        <v>3517</v>
      </c>
      <c r="H1491">
        <v>2.5</v>
      </c>
      <c r="I1491">
        <v>36.5</v>
      </c>
      <c r="J1491">
        <v>73</v>
      </c>
    </row>
    <row r="1492" spans="1:10" x14ac:dyDescent="0.25">
      <c r="A1492" t="s">
        <v>4017</v>
      </c>
      <c r="B1492" s="3">
        <v>44996</v>
      </c>
      <c r="C1492" t="s">
        <v>953</v>
      </c>
      <c r="D1492" t="s">
        <v>3504</v>
      </c>
      <c r="E1492">
        <v>6</v>
      </c>
      <c r="F1492" t="s">
        <v>3524</v>
      </c>
      <c r="G1492" t="s">
        <v>3517</v>
      </c>
      <c r="H1492">
        <v>0.5</v>
      </c>
      <c r="I1492">
        <v>7.2</v>
      </c>
      <c r="J1492">
        <v>43.2</v>
      </c>
    </row>
    <row r="1493" spans="1:10" x14ac:dyDescent="0.25">
      <c r="A1493" t="s">
        <v>4018</v>
      </c>
      <c r="B1493" s="3">
        <v>44676</v>
      </c>
      <c r="C1493" t="s">
        <v>661</v>
      </c>
      <c r="D1493" t="s">
        <v>3516</v>
      </c>
      <c r="E1493">
        <v>6</v>
      </c>
      <c r="F1493" t="s">
        <v>3526</v>
      </c>
      <c r="G1493" t="s">
        <v>3518</v>
      </c>
      <c r="H1493">
        <v>2.5</v>
      </c>
      <c r="I1493">
        <v>27.9</v>
      </c>
      <c r="J1493">
        <v>167.4</v>
      </c>
    </row>
    <row r="1494" spans="1:10" x14ac:dyDescent="0.25">
      <c r="A1494" t="s">
        <v>4019</v>
      </c>
      <c r="B1494" s="3">
        <v>45631</v>
      </c>
      <c r="C1494" t="s">
        <v>1860</v>
      </c>
      <c r="D1494" t="s">
        <v>3505</v>
      </c>
      <c r="E1494">
        <v>6</v>
      </c>
      <c r="F1494" t="s">
        <v>3524</v>
      </c>
      <c r="G1494" t="s">
        <v>3519</v>
      </c>
      <c r="H1494">
        <v>0.2</v>
      </c>
      <c r="I1494">
        <v>3</v>
      </c>
      <c r="J1494">
        <v>18</v>
      </c>
    </row>
    <row r="1495" spans="1:10" x14ac:dyDescent="0.25">
      <c r="A1495" t="s">
        <v>4020</v>
      </c>
      <c r="B1495" s="3">
        <v>45228</v>
      </c>
      <c r="C1495" t="s">
        <v>1684</v>
      </c>
      <c r="D1495" t="s">
        <v>3504</v>
      </c>
      <c r="E1495">
        <v>5</v>
      </c>
      <c r="F1495" t="s">
        <v>3524</v>
      </c>
      <c r="G1495" t="s">
        <v>3517</v>
      </c>
      <c r="H1495">
        <v>0.5</v>
      </c>
      <c r="I1495">
        <v>7.2</v>
      </c>
      <c r="J1495">
        <v>36</v>
      </c>
    </row>
    <row r="1496" spans="1:10" x14ac:dyDescent="0.25">
      <c r="A1496" t="s">
        <v>4021</v>
      </c>
      <c r="B1496" s="3">
        <v>44409</v>
      </c>
      <c r="C1496" t="s">
        <v>2003</v>
      </c>
      <c r="D1496" t="s">
        <v>3482</v>
      </c>
      <c r="E1496">
        <v>3</v>
      </c>
      <c r="F1496" t="s">
        <v>3524</v>
      </c>
      <c r="G1496" t="s">
        <v>3519</v>
      </c>
      <c r="H1496">
        <v>2.5</v>
      </c>
      <c r="I1496">
        <v>22.9</v>
      </c>
      <c r="J1496">
        <v>68.7</v>
      </c>
    </row>
    <row r="1497" spans="1:10" x14ac:dyDescent="0.25">
      <c r="A1497" t="s">
        <v>4022</v>
      </c>
      <c r="B1497" s="3">
        <v>44920</v>
      </c>
      <c r="C1497" t="s">
        <v>1303</v>
      </c>
      <c r="D1497" t="s">
        <v>3469</v>
      </c>
      <c r="E1497">
        <v>4</v>
      </c>
      <c r="F1497" t="s">
        <v>3524</v>
      </c>
      <c r="G1497" t="s">
        <v>3519</v>
      </c>
      <c r="H1497">
        <v>1</v>
      </c>
      <c r="I1497">
        <v>10</v>
      </c>
      <c r="J1497">
        <v>40</v>
      </c>
    </row>
    <row r="1498" spans="1:10" x14ac:dyDescent="0.25">
      <c r="A1498" t="s">
        <v>4023</v>
      </c>
      <c r="B1498" s="3">
        <v>43713</v>
      </c>
      <c r="C1498" t="s">
        <v>3384</v>
      </c>
      <c r="D1498" t="s">
        <v>3512</v>
      </c>
      <c r="E1498">
        <v>1</v>
      </c>
      <c r="F1498" t="s">
        <v>3525</v>
      </c>
      <c r="G1498" t="s">
        <v>3519</v>
      </c>
      <c r="H1498">
        <v>2.5</v>
      </c>
      <c r="I1498">
        <v>33.5</v>
      </c>
      <c r="J1498">
        <v>33.5</v>
      </c>
    </row>
    <row r="1499" spans="1:10" x14ac:dyDescent="0.25">
      <c r="A1499" t="s">
        <v>4024</v>
      </c>
      <c r="B1499" s="3">
        <v>45178</v>
      </c>
      <c r="C1499" t="s">
        <v>2177</v>
      </c>
      <c r="D1499" t="s">
        <v>3516</v>
      </c>
      <c r="E1499">
        <v>6</v>
      </c>
      <c r="F1499" t="s">
        <v>3526</v>
      </c>
      <c r="G1499" t="s">
        <v>3518</v>
      </c>
      <c r="H1499">
        <v>2.5</v>
      </c>
      <c r="I1499">
        <v>27.9</v>
      </c>
      <c r="J1499">
        <v>167.4</v>
      </c>
    </row>
    <row r="1500" spans="1:10" x14ac:dyDescent="0.25">
      <c r="A1500" t="s">
        <v>4025</v>
      </c>
      <c r="B1500" s="3">
        <v>45146</v>
      </c>
      <c r="C1500" t="s">
        <v>1966</v>
      </c>
      <c r="D1500" t="s">
        <v>3484</v>
      </c>
      <c r="E1500">
        <v>6</v>
      </c>
      <c r="F1500" t="s">
        <v>3526</v>
      </c>
      <c r="G1500" t="s">
        <v>3518</v>
      </c>
      <c r="H1500">
        <v>0.2</v>
      </c>
      <c r="I1500">
        <v>3.6</v>
      </c>
      <c r="J1500">
        <v>21.6</v>
      </c>
    </row>
    <row r="1501" spans="1:10" x14ac:dyDescent="0.25">
      <c r="A1501" t="s">
        <v>4026</v>
      </c>
      <c r="B1501" s="3">
        <v>44620</v>
      </c>
      <c r="C1501" t="s">
        <v>2593</v>
      </c>
      <c r="D1501" t="s">
        <v>3482</v>
      </c>
      <c r="E1501">
        <v>6</v>
      </c>
      <c r="F1501" t="s">
        <v>3524</v>
      </c>
      <c r="G1501" t="s">
        <v>3519</v>
      </c>
      <c r="H1501">
        <v>2.5</v>
      </c>
      <c r="I1501">
        <v>22.9</v>
      </c>
      <c r="J1501">
        <v>137.4</v>
      </c>
    </row>
    <row r="1502" spans="1:10" x14ac:dyDescent="0.25">
      <c r="A1502" t="s">
        <v>4027</v>
      </c>
      <c r="B1502" s="3">
        <v>45308</v>
      </c>
      <c r="C1502" t="s">
        <v>1175</v>
      </c>
      <c r="D1502" t="s">
        <v>3487</v>
      </c>
      <c r="E1502">
        <v>2</v>
      </c>
      <c r="F1502" t="s">
        <v>3526</v>
      </c>
      <c r="G1502" t="s">
        <v>3519</v>
      </c>
      <c r="H1502">
        <v>0.2</v>
      </c>
      <c r="I1502">
        <v>4.0999999999999996</v>
      </c>
      <c r="J1502">
        <v>8.1999999999999993</v>
      </c>
    </row>
    <row r="1503" spans="1:10" x14ac:dyDescent="0.25">
      <c r="A1503" t="s">
        <v>4028</v>
      </c>
      <c r="B1503" s="3">
        <v>45428</v>
      </c>
      <c r="C1503" t="s">
        <v>2086</v>
      </c>
      <c r="D1503" t="s">
        <v>3512</v>
      </c>
      <c r="E1503">
        <v>6</v>
      </c>
      <c r="F1503" t="s">
        <v>3525</v>
      </c>
      <c r="G1503" t="s">
        <v>3519</v>
      </c>
      <c r="H1503">
        <v>2.5</v>
      </c>
      <c r="I1503">
        <v>33.5</v>
      </c>
      <c r="J1503">
        <v>201</v>
      </c>
    </row>
    <row r="1504" spans="1:10" x14ac:dyDescent="0.25">
      <c r="A1504" t="s">
        <v>4029</v>
      </c>
      <c r="B1504" s="3">
        <v>44946</v>
      </c>
      <c r="C1504" t="s">
        <v>2870</v>
      </c>
      <c r="D1504" t="s">
        <v>3504</v>
      </c>
      <c r="E1504">
        <v>6</v>
      </c>
      <c r="F1504" t="s">
        <v>3524</v>
      </c>
      <c r="G1504" t="s">
        <v>3517</v>
      </c>
      <c r="H1504">
        <v>0.5</v>
      </c>
      <c r="I1504">
        <v>7.2</v>
      </c>
      <c r="J1504">
        <v>43.2</v>
      </c>
    </row>
    <row r="1505" spans="1:10" x14ac:dyDescent="0.25">
      <c r="A1505" t="s">
        <v>4030</v>
      </c>
      <c r="B1505" s="3">
        <v>44864</v>
      </c>
      <c r="C1505" t="s">
        <v>1994</v>
      </c>
      <c r="D1505" t="s">
        <v>3497</v>
      </c>
      <c r="E1505">
        <v>6</v>
      </c>
      <c r="F1505" t="s">
        <v>3526</v>
      </c>
      <c r="G1505" t="s">
        <v>3519</v>
      </c>
      <c r="H1505">
        <v>2.5</v>
      </c>
      <c r="I1505">
        <v>31.6</v>
      </c>
      <c r="J1505">
        <v>189.6</v>
      </c>
    </row>
    <row r="1506" spans="1:10" x14ac:dyDescent="0.25">
      <c r="A1506" t="s">
        <v>4031</v>
      </c>
      <c r="B1506" s="3">
        <v>44758</v>
      </c>
      <c r="C1506" t="s">
        <v>2024</v>
      </c>
      <c r="D1506" t="s">
        <v>3506</v>
      </c>
      <c r="E1506">
        <v>2</v>
      </c>
      <c r="F1506" t="s">
        <v>3523</v>
      </c>
      <c r="G1506" t="s">
        <v>3519</v>
      </c>
      <c r="H1506">
        <v>2.5</v>
      </c>
      <c r="I1506">
        <v>25.9</v>
      </c>
      <c r="J1506">
        <v>51.8</v>
      </c>
    </row>
    <row r="1507" spans="1:10" x14ac:dyDescent="0.25">
      <c r="A1507" t="s">
        <v>4032</v>
      </c>
      <c r="B1507" s="3">
        <v>45083</v>
      </c>
      <c r="C1507" t="s">
        <v>2521</v>
      </c>
      <c r="D1507" t="s">
        <v>3507</v>
      </c>
      <c r="E1507">
        <v>2</v>
      </c>
      <c r="F1507" t="s">
        <v>3526</v>
      </c>
      <c r="G1507" t="s">
        <v>3517</v>
      </c>
      <c r="H1507">
        <v>0.5</v>
      </c>
      <c r="I1507">
        <v>8.9</v>
      </c>
      <c r="J1507">
        <v>17.8</v>
      </c>
    </row>
    <row r="1508" spans="1:10" x14ac:dyDescent="0.25">
      <c r="A1508" t="s">
        <v>4033</v>
      </c>
      <c r="B1508" s="3">
        <v>44610</v>
      </c>
      <c r="C1508" t="s">
        <v>2068</v>
      </c>
      <c r="D1508" t="s">
        <v>3513</v>
      </c>
      <c r="E1508">
        <v>3</v>
      </c>
      <c r="F1508" t="s">
        <v>3523</v>
      </c>
      <c r="G1508" t="s">
        <v>3517</v>
      </c>
      <c r="H1508">
        <v>2.5</v>
      </c>
      <c r="I1508">
        <v>29.8</v>
      </c>
      <c r="J1508">
        <v>89.4</v>
      </c>
    </row>
    <row r="1509" spans="1:10" x14ac:dyDescent="0.25">
      <c r="A1509" t="s">
        <v>4034</v>
      </c>
      <c r="B1509" s="3">
        <v>44700</v>
      </c>
      <c r="C1509" t="s">
        <v>3163</v>
      </c>
      <c r="D1509" t="s">
        <v>3473</v>
      </c>
      <c r="E1509">
        <v>6</v>
      </c>
      <c r="F1509" t="s">
        <v>3524</v>
      </c>
      <c r="G1509" t="s">
        <v>3517</v>
      </c>
      <c r="H1509">
        <v>2.5</v>
      </c>
      <c r="I1509">
        <v>27.5</v>
      </c>
      <c r="J1509">
        <v>165</v>
      </c>
    </row>
    <row r="1510" spans="1:10" x14ac:dyDescent="0.25">
      <c r="A1510" t="s">
        <v>4035</v>
      </c>
      <c r="B1510" s="3">
        <v>45418</v>
      </c>
      <c r="C1510" t="s">
        <v>2227</v>
      </c>
      <c r="D1510" t="s">
        <v>3508</v>
      </c>
      <c r="E1510">
        <v>6</v>
      </c>
      <c r="F1510" t="s">
        <v>3524</v>
      </c>
      <c r="G1510" t="s">
        <v>3518</v>
      </c>
      <c r="H1510">
        <v>1</v>
      </c>
      <c r="I1510">
        <v>9</v>
      </c>
      <c r="J1510">
        <v>54</v>
      </c>
    </row>
    <row r="1511" spans="1:10" x14ac:dyDescent="0.25">
      <c r="A1511" t="s">
        <v>4036</v>
      </c>
      <c r="B1511" s="3">
        <v>45238</v>
      </c>
      <c r="C1511" t="s">
        <v>1597</v>
      </c>
      <c r="D1511" t="s">
        <v>3489</v>
      </c>
      <c r="E1511">
        <v>2</v>
      </c>
      <c r="F1511" t="s">
        <v>3523</v>
      </c>
      <c r="G1511" t="s">
        <v>3518</v>
      </c>
      <c r="H1511">
        <v>0.5</v>
      </c>
      <c r="I1511">
        <v>6</v>
      </c>
      <c r="J1511">
        <v>12</v>
      </c>
    </row>
    <row r="1512" spans="1:10" x14ac:dyDescent="0.25">
      <c r="A1512" t="s">
        <v>4037</v>
      </c>
      <c r="B1512" s="3">
        <v>44629</v>
      </c>
      <c r="C1512" t="s">
        <v>1145</v>
      </c>
      <c r="D1512" t="s">
        <v>3490</v>
      </c>
      <c r="E1512">
        <v>6</v>
      </c>
      <c r="F1512" t="s">
        <v>3525</v>
      </c>
      <c r="G1512" t="s">
        <v>3519</v>
      </c>
      <c r="H1512">
        <v>0.2</v>
      </c>
      <c r="I1512">
        <v>4.4000000000000004</v>
      </c>
      <c r="J1512">
        <v>26.4</v>
      </c>
    </row>
    <row r="1513" spans="1:10" x14ac:dyDescent="0.25">
      <c r="A1513" t="s">
        <v>4038</v>
      </c>
      <c r="B1513" s="3">
        <v>45495</v>
      </c>
      <c r="C1513" t="s">
        <v>3075</v>
      </c>
      <c r="D1513" t="s">
        <v>3472</v>
      </c>
      <c r="E1513">
        <v>2</v>
      </c>
      <c r="F1513" t="s">
        <v>3526</v>
      </c>
      <c r="G1513" t="s">
        <v>3519</v>
      </c>
      <c r="H1513">
        <v>1</v>
      </c>
      <c r="I1513">
        <v>13.8</v>
      </c>
      <c r="J1513">
        <v>27.6</v>
      </c>
    </row>
    <row r="1514" spans="1:10" x14ac:dyDescent="0.25">
      <c r="A1514" t="s">
        <v>4039</v>
      </c>
      <c r="B1514" s="3">
        <v>44019</v>
      </c>
      <c r="C1514" t="s">
        <v>2584</v>
      </c>
      <c r="D1514" t="s">
        <v>3474</v>
      </c>
      <c r="E1514">
        <v>2</v>
      </c>
      <c r="F1514" t="s">
        <v>3525</v>
      </c>
      <c r="G1514" t="s">
        <v>3518</v>
      </c>
      <c r="H1514">
        <v>1</v>
      </c>
      <c r="I1514">
        <v>13</v>
      </c>
      <c r="J1514">
        <v>26</v>
      </c>
    </row>
    <row r="1515" spans="1:10" x14ac:dyDescent="0.25">
      <c r="A1515" t="s">
        <v>4040</v>
      </c>
      <c r="B1515" s="3">
        <v>45112</v>
      </c>
      <c r="C1515" t="s">
        <v>2966</v>
      </c>
      <c r="D1515" t="s">
        <v>3486</v>
      </c>
      <c r="E1515">
        <v>1</v>
      </c>
      <c r="F1515" t="s">
        <v>3523</v>
      </c>
      <c r="G1515" t="s">
        <v>3519</v>
      </c>
      <c r="H1515">
        <v>1</v>
      </c>
      <c r="I1515">
        <v>11.3</v>
      </c>
      <c r="J1515">
        <v>11.3</v>
      </c>
    </row>
    <row r="1516" spans="1:10" x14ac:dyDescent="0.25">
      <c r="A1516" t="s">
        <v>4041</v>
      </c>
      <c r="B1516" s="3">
        <v>45365</v>
      </c>
      <c r="C1516" t="s">
        <v>1884</v>
      </c>
      <c r="D1516" t="s">
        <v>3508</v>
      </c>
      <c r="E1516">
        <v>6</v>
      </c>
      <c r="F1516" t="s">
        <v>3524</v>
      </c>
      <c r="G1516" t="s">
        <v>3518</v>
      </c>
      <c r="H1516">
        <v>1</v>
      </c>
      <c r="I1516">
        <v>9</v>
      </c>
      <c r="J1516">
        <v>54</v>
      </c>
    </row>
    <row r="1517" spans="1:10" x14ac:dyDescent="0.25">
      <c r="A1517" t="s">
        <v>4042</v>
      </c>
      <c r="B1517" s="3">
        <v>45193</v>
      </c>
      <c r="C1517" t="s">
        <v>1541</v>
      </c>
      <c r="D1517" t="s">
        <v>3500</v>
      </c>
      <c r="E1517">
        <v>2</v>
      </c>
      <c r="F1517" t="s">
        <v>3525</v>
      </c>
      <c r="G1517" t="s">
        <v>3518</v>
      </c>
      <c r="H1517">
        <v>0.5</v>
      </c>
      <c r="I1517">
        <v>7.8</v>
      </c>
      <c r="J1517">
        <v>15.6</v>
      </c>
    </row>
    <row r="1518" spans="1:10" x14ac:dyDescent="0.25">
      <c r="A1518" t="s">
        <v>4043</v>
      </c>
      <c r="B1518" s="3">
        <v>45558</v>
      </c>
      <c r="C1518" t="s">
        <v>2218</v>
      </c>
      <c r="D1518" t="s">
        <v>3472</v>
      </c>
      <c r="E1518">
        <v>2</v>
      </c>
      <c r="F1518" t="s">
        <v>3526</v>
      </c>
      <c r="G1518" t="s">
        <v>3519</v>
      </c>
      <c r="H1518">
        <v>1</v>
      </c>
      <c r="I1518">
        <v>13.8</v>
      </c>
      <c r="J1518">
        <v>27.6</v>
      </c>
    </row>
    <row r="1519" spans="1:10" x14ac:dyDescent="0.25">
      <c r="A1519" t="s">
        <v>4044</v>
      </c>
      <c r="B1519" s="3">
        <v>43637</v>
      </c>
      <c r="C1519" t="s">
        <v>2885</v>
      </c>
      <c r="D1519" t="s">
        <v>3483</v>
      </c>
      <c r="E1519">
        <v>3</v>
      </c>
      <c r="F1519" t="s">
        <v>3523</v>
      </c>
      <c r="G1519" t="s">
        <v>3519</v>
      </c>
      <c r="H1519">
        <v>0.2</v>
      </c>
      <c r="I1519">
        <v>3.4</v>
      </c>
      <c r="J1519">
        <v>10.199999999999999</v>
      </c>
    </row>
    <row r="1520" spans="1:10" x14ac:dyDescent="0.25">
      <c r="A1520" t="s">
        <v>4045</v>
      </c>
      <c r="B1520" s="3">
        <v>45583</v>
      </c>
      <c r="C1520" t="s">
        <v>2414</v>
      </c>
      <c r="D1520" t="s">
        <v>3474</v>
      </c>
      <c r="E1520">
        <v>1</v>
      </c>
      <c r="F1520" t="s">
        <v>3525</v>
      </c>
      <c r="G1520" t="s">
        <v>3518</v>
      </c>
      <c r="H1520">
        <v>1</v>
      </c>
      <c r="I1520">
        <v>13</v>
      </c>
      <c r="J1520">
        <v>13</v>
      </c>
    </row>
    <row r="1521" spans="1:10" x14ac:dyDescent="0.25">
      <c r="A1521" t="s">
        <v>4046</v>
      </c>
      <c r="B1521" s="3">
        <v>44682</v>
      </c>
      <c r="C1521" t="s">
        <v>2927</v>
      </c>
      <c r="D1521" t="s">
        <v>3477</v>
      </c>
      <c r="E1521">
        <v>1</v>
      </c>
      <c r="F1521" t="s">
        <v>3524</v>
      </c>
      <c r="G1521" t="s">
        <v>3519</v>
      </c>
      <c r="H1521">
        <v>0.5</v>
      </c>
      <c r="I1521">
        <v>6</v>
      </c>
      <c r="J1521">
        <v>6</v>
      </c>
    </row>
    <row r="1522" spans="1:10" x14ac:dyDescent="0.25">
      <c r="A1522" t="s">
        <v>4047</v>
      </c>
      <c r="B1522" s="3">
        <v>45631</v>
      </c>
      <c r="C1522" t="s">
        <v>2642</v>
      </c>
      <c r="D1522" t="s">
        <v>3478</v>
      </c>
      <c r="E1522">
        <v>2</v>
      </c>
      <c r="F1522" t="s">
        <v>3523</v>
      </c>
      <c r="G1522" t="s">
        <v>3518</v>
      </c>
      <c r="H1522">
        <v>1</v>
      </c>
      <c r="I1522">
        <v>10</v>
      </c>
      <c r="J1522">
        <v>20</v>
      </c>
    </row>
    <row r="1523" spans="1:10" x14ac:dyDescent="0.25">
      <c r="A1523" t="s">
        <v>4048</v>
      </c>
      <c r="B1523" s="3">
        <v>44297</v>
      </c>
      <c r="C1523" t="s">
        <v>2347</v>
      </c>
      <c r="D1523" t="s">
        <v>3489</v>
      </c>
      <c r="E1523">
        <v>4</v>
      </c>
      <c r="F1523" t="s">
        <v>3523</v>
      </c>
      <c r="G1523" t="s">
        <v>3518</v>
      </c>
      <c r="H1523">
        <v>0.5</v>
      </c>
      <c r="I1523">
        <v>6</v>
      </c>
      <c r="J1523">
        <v>24</v>
      </c>
    </row>
    <row r="1524" spans="1:10" x14ac:dyDescent="0.25">
      <c r="A1524" t="s">
        <v>4049</v>
      </c>
      <c r="B1524" s="3">
        <v>45265</v>
      </c>
      <c r="C1524" t="s">
        <v>1948</v>
      </c>
      <c r="D1524" t="s">
        <v>3504</v>
      </c>
      <c r="E1524">
        <v>1</v>
      </c>
      <c r="F1524" t="s">
        <v>3524</v>
      </c>
      <c r="G1524" t="s">
        <v>3517</v>
      </c>
      <c r="H1524">
        <v>0.5</v>
      </c>
      <c r="I1524">
        <v>7.2</v>
      </c>
      <c r="J1524">
        <v>7.2</v>
      </c>
    </row>
    <row r="1525" spans="1:10" x14ac:dyDescent="0.25">
      <c r="A1525" t="s">
        <v>4050</v>
      </c>
      <c r="B1525" s="3">
        <v>44654</v>
      </c>
      <c r="C1525" t="s">
        <v>1684</v>
      </c>
      <c r="D1525" t="s">
        <v>3478</v>
      </c>
      <c r="E1525">
        <v>2</v>
      </c>
      <c r="F1525" t="s">
        <v>3523</v>
      </c>
      <c r="G1525" t="s">
        <v>3518</v>
      </c>
      <c r="H1525">
        <v>1</v>
      </c>
      <c r="I1525">
        <v>10</v>
      </c>
      <c r="J1525">
        <v>20</v>
      </c>
    </row>
    <row r="1526" spans="1:10" x14ac:dyDescent="0.25">
      <c r="A1526" t="s">
        <v>4051</v>
      </c>
      <c r="B1526" s="3">
        <v>45114</v>
      </c>
      <c r="C1526" t="s">
        <v>2071</v>
      </c>
      <c r="D1526" t="s">
        <v>3515</v>
      </c>
      <c r="E1526">
        <v>1</v>
      </c>
      <c r="F1526" t="s">
        <v>3526</v>
      </c>
      <c r="G1526" t="s">
        <v>3517</v>
      </c>
      <c r="H1526">
        <v>0.2</v>
      </c>
      <c r="I1526">
        <v>4.5</v>
      </c>
      <c r="J1526">
        <v>4.5</v>
      </c>
    </row>
    <row r="1527" spans="1:10" x14ac:dyDescent="0.25">
      <c r="A1527" t="s">
        <v>4052</v>
      </c>
      <c r="B1527" s="3">
        <v>45234</v>
      </c>
      <c r="C1527" t="s">
        <v>1567</v>
      </c>
      <c r="D1527" t="s">
        <v>3496</v>
      </c>
      <c r="E1527">
        <v>1</v>
      </c>
      <c r="F1527" t="s">
        <v>3525</v>
      </c>
      <c r="G1527" t="s">
        <v>3518</v>
      </c>
      <c r="H1527">
        <v>2.5</v>
      </c>
      <c r="I1527">
        <v>29.8</v>
      </c>
      <c r="J1527">
        <v>29.8</v>
      </c>
    </row>
    <row r="1528" spans="1:10" x14ac:dyDescent="0.25">
      <c r="A1528" t="s">
        <v>4053</v>
      </c>
      <c r="B1528" s="3">
        <v>45508</v>
      </c>
      <c r="C1528" t="s">
        <v>601</v>
      </c>
      <c r="D1528" t="s">
        <v>3488</v>
      </c>
      <c r="E1528">
        <v>3</v>
      </c>
      <c r="F1528" t="s">
        <v>3523</v>
      </c>
      <c r="G1528" t="s">
        <v>3519</v>
      </c>
      <c r="H1528">
        <v>0.5</v>
      </c>
      <c r="I1528">
        <v>6.8</v>
      </c>
      <c r="J1528">
        <v>20.399999999999999</v>
      </c>
    </row>
    <row r="1529" spans="1:10" x14ac:dyDescent="0.25">
      <c r="A1529" t="s">
        <v>4054</v>
      </c>
      <c r="B1529" s="3">
        <v>45440</v>
      </c>
      <c r="C1529" t="s">
        <v>1591</v>
      </c>
      <c r="D1529" t="s">
        <v>3472</v>
      </c>
      <c r="E1529">
        <v>1</v>
      </c>
      <c r="F1529" t="s">
        <v>3526</v>
      </c>
      <c r="G1529" t="s">
        <v>3519</v>
      </c>
      <c r="H1529">
        <v>1</v>
      </c>
      <c r="I1529">
        <v>13.8</v>
      </c>
      <c r="J1529">
        <v>13.8</v>
      </c>
    </row>
    <row r="1530" spans="1:10" x14ac:dyDescent="0.25">
      <c r="A1530" t="s">
        <v>4055</v>
      </c>
      <c r="B1530" s="3">
        <v>44027</v>
      </c>
      <c r="C1530" t="s">
        <v>1235</v>
      </c>
      <c r="D1530" t="s">
        <v>3502</v>
      </c>
      <c r="E1530">
        <v>6</v>
      </c>
      <c r="F1530" t="s">
        <v>3526</v>
      </c>
      <c r="G1530" t="s">
        <v>3517</v>
      </c>
      <c r="H1530">
        <v>1</v>
      </c>
      <c r="I1530">
        <v>14.9</v>
      </c>
      <c r="J1530">
        <v>89.4</v>
      </c>
    </row>
    <row r="1531" spans="1:10" x14ac:dyDescent="0.25">
      <c r="A1531" t="s">
        <v>4056</v>
      </c>
      <c r="B1531" s="3">
        <v>45314</v>
      </c>
      <c r="C1531" t="s">
        <v>2834</v>
      </c>
      <c r="D1531" t="s">
        <v>3471</v>
      </c>
      <c r="E1531">
        <v>1</v>
      </c>
      <c r="F1531" t="s">
        <v>3523</v>
      </c>
      <c r="G1531" t="s">
        <v>3517</v>
      </c>
      <c r="H1531">
        <v>1</v>
      </c>
      <c r="I1531">
        <v>13</v>
      </c>
      <c r="J1531">
        <v>13</v>
      </c>
    </row>
    <row r="1532" spans="1:10" x14ac:dyDescent="0.25">
      <c r="A1532" t="s">
        <v>4057</v>
      </c>
      <c r="B1532" s="3">
        <v>44919</v>
      </c>
      <c r="C1532" t="s">
        <v>538</v>
      </c>
      <c r="D1532" t="s">
        <v>3486</v>
      </c>
      <c r="E1532">
        <v>5</v>
      </c>
      <c r="F1532" t="s">
        <v>3523</v>
      </c>
      <c r="G1532" t="s">
        <v>3519</v>
      </c>
      <c r="H1532">
        <v>1</v>
      </c>
      <c r="I1532">
        <v>11.3</v>
      </c>
      <c r="J1532">
        <v>56.5</v>
      </c>
    </row>
    <row r="1533" spans="1:10" x14ac:dyDescent="0.25">
      <c r="A1533" t="s">
        <v>4058</v>
      </c>
      <c r="B1533" s="3">
        <v>45204</v>
      </c>
      <c r="C1533" t="s">
        <v>2554</v>
      </c>
      <c r="D1533" t="s">
        <v>3494</v>
      </c>
      <c r="E1533">
        <v>4</v>
      </c>
      <c r="F1533" t="s">
        <v>3524</v>
      </c>
      <c r="G1533" t="s">
        <v>3518</v>
      </c>
      <c r="H1533">
        <v>0.2</v>
      </c>
      <c r="I1533">
        <v>2.7</v>
      </c>
      <c r="J1533">
        <v>10.8</v>
      </c>
    </row>
    <row r="1534" spans="1:10" x14ac:dyDescent="0.25">
      <c r="A1534" t="s">
        <v>4059</v>
      </c>
      <c r="B1534" s="3">
        <v>45587</v>
      </c>
      <c r="C1534" t="s">
        <v>2942</v>
      </c>
      <c r="D1534" t="s">
        <v>3476</v>
      </c>
      <c r="E1534">
        <v>5</v>
      </c>
      <c r="F1534" t="s">
        <v>3525</v>
      </c>
      <c r="G1534" t="s">
        <v>3517</v>
      </c>
      <c r="H1534">
        <v>0.2</v>
      </c>
      <c r="I1534">
        <v>4.8</v>
      </c>
      <c r="J1534">
        <v>24</v>
      </c>
    </row>
    <row r="1535" spans="1:10" x14ac:dyDescent="0.25">
      <c r="A1535" t="s">
        <v>4060</v>
      </c>
      <c r="B1535" s="3">
        <v>44817</v>
      </c>
      <c r="C1535" t="s">
        <v>3258</v>
      </c>
      <c r="D1535" t="s">
        <v>3500</v>
      </c>
      <c r="E1535">
        <v>3</v>
      </c>
      <c r="F1535" t="s">
        <v>3525</v>
      </c>
      <c r="G1535" t="s">
        <v>3518</v>
      </c>
      <c r="H1535">
        <v>0.5</v>
      </c>
      <c r="I1535">
        <v>7.8</v>
      </c>
      <c r="J1535">
        <v>23.4</v>
      </c>
    </row>
    <row r="1536" spans="1:10" x14ac:dyDescent="0.25">
      <c r="A1536" t="s">
        <v>4061</v>
      </c>
      <c r="B1536" s="3">
        <v>45034</v>
      </c>
      <c r="C1536" t="s">
        <v>2669</v>
      </c>
      <c r="D1536" t="s">
        <v>3472</v>
      </c>
      <c r="E1536">
        <v>6</v>
      </c>
      <c r="F1536" t="s">
        <v>3526</v>
      </c>
      <c r="G1536" t="s">
        <v>3519</v>
      </c>
      <c r="H1536">
        <v>1</v>
      </c>
      <c r="I1536">
        <v>13.8</v>
      </c>
      <c r="J1536">
        <v>82.8</v>
      </c>
    </row>
    <row r="1537" spans="1:10" x14ac:dyDescent="0.25">
      <c r="A1537" t="s">
        <v>4062</v>
      </c>
      <c r="B1537" s="3">
        <v>44271</v>
      </c>
      <c r="C1537" t="s">
        <v>1121</v>
      </c>
      <c r="D1537" t="s">
        <v>3486</v>
      </c>
      <c r="E1537">
        <v>6</v>
      </c>
      <c r="F1537" t="s">
        <v>3523</v>
      </c>
      <c r="G1537" t="s">
        <v>3519</v>
      </c>
      <c r="H1537">
        <v>1</v>
      </c>
      <c r="I1537">
        <v>11.3</v>
      </c>
      <c r="J1537">
        <v>67.8</v>
      </c>
    </row>
    <row r="1538" spans="1:10" x14ac:dyDescent="0.25">
      <c r="A1538" t="s">
        <v>4063</v>
      </c>
      <c r="B1538" s="3">
        <v>44822</v>
      </c>
      <c r="C1538" t="s">
        <v>1208</v>
      </c>
      <c r="D1538" t="s">
        <v>3504</v>
      </c>
      <c r="E1538">
        <v>4</v>
      </c>
      <c r="F1538" t="s">
        <v>3524</v>
      </c>
      <c r="G1538" t="s">
        <v>3517</v>
      </c>
      <c r="H1538">
        <v>0.5</v>
      </c>
      <c r="I1538">
        <v>7.2</v>
      </c>
      <c r="J1538">
        <v>28.8</v>
      </c>
    </row>
    <row r="1539" spans="1:10" x14ac:dyDescent="0.25">
      <c r="A1539" t="s">
        <v>4064</v>
      </c>
      <c r="B1539" s="3">
        <v>45424</v>
      </c>
      <c r="C1539" t="s">
        <v>3169</v>
      </c>
      <c r="D1539" t="s">
        <v>3478</v>
      </c>
      <c r="E1539">
        <v>5</v>
      </c>
      <c r="F1539" t="s">
        <v>3523</v>
      </c>
      <c r="G1539" t="s">
        <v>3518</v>
      </c>
      <c r="H1539">
        <v>1</v>
      </c>
      <c r="I1539">
        <v>10</v>
      </c>
      <c r="J1539">
        <v>50</v>
      </c>
    </row>
    <row r="1540" spans="1:10" x14ac:dyDescent="0.25">
      <c r="A1540" t="s">
        <v>4065</v>
      </c>
      <c r="B1540" s="3">
        <v>45532</v>
      </c>
      <c r="C1540" t="s">
        <v>2485</v>
      </c>
      <c r="D1540" t="s">
        <v>3503</v>
      </c>
      <c r="E1540">
        <v>3</v>
      </c>
      <c r="F1540" t="s">
        <v>3524</v>
      </c>
      <c r="G1540" t="s">
        <v>3518</v>
      </c>
      <c r="H1540">
        <v>0.5</v>
      </c>
      <c r="I1540">
        <v>5.4</v>
      </c>
      <c r="J1540">
        <v>16.2</v>
      </c>
    </row>
    <row r="1541" spans="1:10" x14ac:dyDescent="0.25">
      <c r="A1541" t="s">
        <v>4066</v>
      </c>
      <c r="B1541" s="3">
        <v>44619</v>
      </c>
      <c r="C1541" t="s">
        <v>2488</v>
      </c>
      <c r="D1541" t="s">
        <v>3471</v>
      </c>
      <c r="E1541">
        <v>4</v>
      </c>
      <c r="F1541" t="s">
        <v>3523</v>
      </c>
      <c r="G1541" t="s">
        <v>3517</v>
      </c>
      <c r="H1541">
        <v>1</v>
      </c>
      <c r="I1541">
        <v>13</v>
      </c>
      <c r="J1541">
        <v>52</v>
      </c>
    </row>
    <row r="1542" spans="1:10" x14ac:dyDescent="0.25">
      <c r="A1542" t="s">
        <v>4067</v>
      </c>
      <c r="B1542" s="3">
        <v>45016</v>
      </c>
      <c r="C1542" t="s">
        <v>589</v>
      </c>
      <c r="D1542" t="s">
        <v>3484</v>
      </c>
      <c r="E1542">
        <v>6</v>
      </c>
      <c r="F1542" t="s">
        <v>3526</v>
      </c>
      <c r="G1542" t="s">
        <v>3518</v>
      </c>
      <c r="H1542">
        <v>0.2</v>
      </c>
      <c r="I1542">
        <v>3.6</v>
      </c>
      <c r="J1542">
        <v>21.6</v>
      </c>
    </row>
    <row r="1543" spans="1:10" x14ac:dyDescent="0.25">
      <c r="A1543" t="s">
        <v>4068</v>
      </c>
      <c r="B1543" s="3">
        <v>43715</v>
      </c>
      <c r="C1543" t="s">
        <v>1494</v>
      </c>
      <c r="D1543" t="s">
        <v>3515</v>
      </c>
      <c r="E1543">
        <v>4</v>
      </c>
      <c r="F1543" t="s">
        <v>3526</v>
      </c>
      <c r="G1543" t="s">
        <v>3517</v>
      </c>
      <c r="H1543">
        <v>0.2</v>
      </c>
      <c r="I1543">
        <v>4.5</v>
      </c>
      <c r="J1543">
        <v>18</v>
      </c>
    </row>
    <row r="1544" spans="1:10" x14ac:dyDescent="0.25">
      <c r="A1544" t="s">
        <v>4069</v>
      </c>
      <c r="B1544" s="3">
        <v>45333</v>
      </c>
      <c r="C1544" t="s">
        <v>3019</v>
      </c>
      <c r="D1544" t="s">
        <v>3473</v>
      </c>
      <c r="E1544">
        <v>4</v>
      </c>
      <c r="F1544" t="s">
        <v>3524</v>
      </c>
      <c r="G1544" t="s">
        <v>3517</v>
      </c>
      <c r="H1544">
        <v>2.5</v>
      </c>
      <c r="I1544">
        <v>27.5</v>
      </c>
      <c r="J1544">
        <v>110</v>
      </c>
    </row>
    <row r="1545" spans="1:10" x14ac:dyDescent="0.25">
      <c r="A1545" t="s">
        <v>4070</v>
      </c>
      <c r="B1545" s="3">
        <v>44961</v>
      </c>
      <c r="C1545" t="s">
        <v>884</v>
      </c>
      <c r="D1545" t="s">
        <v>3505</v>
      </c>
      <c r="E1545">
        <v>1</v>
      </c>
      <c r="F1545" t="s">
        <v>3524</v>
      </c>
      <c r="G1545" t="s">
        <v>3519</v>
      </c>
      <c r="H1545">
        <v>0.2</v>
      </c>
      <c r="I1545">
        <v>3</v>
      </c>
      <c r="J1545">
        <v>3</v>
      </c>
    </row>
    <row r="1546" spans="1:10" x14ac:dyDescent="0.25">
      <c r="A1546" t="s">
        <v>4071</v>
      </c>
      <c r="B1546" s="3">
        <v>45237</v>
      </c>
      <c r="C1546" t="s">
        <v>2702</v>
      </c>
      <c r="D1546" t="s">
        <v>3498</v>
      </c>
      <c r="E1546">
        <v>5</v>
      </c>
      <c r="F1546" t="s">
        <v>3523</v>
      </c>
      <c r="G1546" t="s">
        <v>3517</v>
      </c>
      <c r="H1546">
        <v>0.2</v>
      </c>
      <c r="I1546">
        <v>3.9</v>
      </c>
      <c r="J1546">
        <v>19.5</v>
      </c>
    </row>
    <row r="1547" spans="1:10" x14ac:dyDescent="0.25">
      <c r="A1547" t="s">
        <v>4072</v>
      </c>
      <c r="B1547" s="3">
        <v>44819</v>
      </c>
      <c r="C1547" t="s">
        <v>808</v>
      </c>
      <c r="D1547" t="s">
        <v>3508</v>
      </c>
      <c r="E1547">
        <v>1</v>
      </c>
      <c r="F1547" t="s">
        <v>3524</v>
      </c>
      <c r="G1547" t="s">
        <v>3518</v>
      </c>
      <c r="H1547">
        <v>1</v>
      </c>
      <c r="I1547">
        <v>9</v>
      </c>
      <c r="J1547">
        <v>9</v>
      </c>
    </row>
    <row r="1548" spans="1:10" x14ac:dyDescent="0.25">
      <c r="A1548" t="s">
        <v>4073</v>
      </c>
      <c r="B1548" s="3">
        <v>45514</v>
      </c>
      <c r="C1548" t="s">
        <v>2180</v>
      </c>
      <c r="D1548" t="s">
        <v>3469</v>
      </c>
      <c r="E1548">
        <v>4</v>
      </c>
      <c r="F1548" t="s">
        <v>3524</v>
      </c>
      <c r="G1548" t="s">
        <v>3519</v>
      </c>
      <c r="H1548">
        <v>1</v>
      </c>
      <c r="I1548">
        <v>10</v>
      </c>
      <c r="J1548">
        <v>40</v>
      </c>
    </row>
    <row r="1549" spans="1:10" x14ac:dyDescent="0.25">
      <c r="A1549" t="s">
        <v>4074</v>
      </c>
      <c r="B1549" s="3">
        <v>45631</v>
      </c>
      <c r="C1549" t="s">
        <v>1253</v>
      </c>
      <c r="D1549" t="s">
        <v>3497</v>
      </c>
      <c r="E1549">
        <v>4</v>
      </c>
      <c r="F1549" t="s">
        <v>3526</v>
      </c>
      <c r="G1549" t="s">
        <v>3519</v>
      </c>
      <c r="H1549">
        <v>2.5</v>
      </c>
      <c r="I1549">
        <v>31.6</v>
      </c>
      <c r="J1549">
        <v>126.4</v>
      </c>
    </row>
    <row r="1550" spans="1:10" x14ac:dyDescent="0.25">
      <c r="A1550" t="s">
        <v>4075</v>
      </c>
      <c r="B1550" s="3">
        <v>45385</v>
      </c>
      <c r="C1550" t="s">
        <v>2381</v>
      </c>
      <c r="D1550" t="s">
        <v>3490</v>
      </c>
      <c r="E1550">
        <v>5</v>
      </c>
      <c r="F1550" t="s">
        <v>3525</v>
      </c>
      <c r="G1550" t="s">
        <v>3519</v>
      </c>
      <c r="H1550">
        <v>0.2</v>
      </c>
      <c r="I1550">
        <v>4.4000000000000004</v>
      </c>
      <c r="J1550">
        <v>22</v>
      </c>
    </row>
    <row r="1551" spans="1:10" x14ac:dyDescent="0.25">
      <c r="A1551" t="s">
        <v>4076</v>
      </c>
      <c r="B1551" s="3">
        <v>45172</v>
      </c>
      <c r="C1551" t="s">
        <v>2125</v>
      </c>
      <c r="D1551" t="s">
        <v>3500</v>
      </c>
      <c r="E1551">
        <v>4</v>
      </c>
      <c r="F1551" t="s">
        <v>3525</v>
      </c>
      <c r="G1551" t="s">
        <v>3518</v>
      </c>
      <c r="H1551">
        <v>0.5</v>
      </c>
      <c r="I1551">
        <v>7.8</v>
      </c>
      <c r="J1551">
        <v>31.2</v>
      </c>
    </row>
    <row r="1552" spans="1:10" x14ac:dyDescent="0.25">
      <c r="A1552" t="s">
        <v>4077</v>
      </c>
      <c r="B1552" s="3">
        <v>44580</v>
      </c>
      <c r="C1552" t="s">
        <v>947</v>
      </c>
      <c r="D1552" t="s">
        <v>3471</v>
      </c>
      <c r="E1552">
        <v>2</v>
      </c>
      <c r="F1552" t="s">
        <v>3523</v>
      </c>
      <c r="G1552" t="s">
        <v>3517</v>
      </c>
      <c r="H1552">
        <v>1</v>
      </c>
      <c r="I1552">
        <v>13</v>
      </c>
      <c r="J1552">
        <v>26</v>
      </c>
    </row>
    <row r="1553" spans="1:10" x14ac:dyDescent="0.25">
      <c r="A1553" t="s">
        <v>4078</v>
      </c>
      <c r="B1553" s="3">
        <v>45033</v>
      </c>
      <c r="C1553" t="s">
        <v>2372</v>
      </c>
      <c r="D1553" t="s">
        <v>3509</v>
      </c>
      <c r="E1553">
        <v>6</v>
      </c>
      <c r="F1553" t="s">
        <v>3524</v>
      </c>
      <c r="G1553" t="s">
        <v>3517</v>
      </c>
      <c r="H1553">
        <v>0.2</v>
      </c>
      <c r="I1553">
        <v>3.6</v>
      </c>
      <c r="J1553">
        <v>21.6</v>
      </c>
    </row>
    <row r="1554" spans="1:10" x14ac:dyDescent="0.25">
      <c r="A1554" t="s">
        <v>4079</v>
      </c>
      <c r="B1554" s="3">
        <v>45441</v>
      </c>
      <c r="C1554" t="s">
        <v>1009</v>
      </c>
      <c r="D1554" t="s">
        <v>3484</v>
      </c>
      <c r="E1554">
        <v>4</v>
      </c>
      <c r="F1554" t="s">
        <v>3526</v>
      </c>
      <c r="G1554" t="s">
        <v>3518</v>
      </c>
      <c r="H1554">
        <v>0.2</v>
      </c>
      <c r="I1554">
        <v>3.6</v>
      </c>
      <c r="J1554">
        <v>14.4</v>
      </c>
    </row>
    <row r="1555" spans="1:10" x14ac:dyDescent="0.25">
      <c r="A1555" t="s">
        <v>4080</v>
      </c>
      <c r="B1555" s="3">
        <v>45236</v>
      </c>
      <c r="C1555" t="s">
        <v>541</v>
      </c>
      <c r="D1555" t="s">
        <v>3493</v>
      </c>
      <c r="E1555">
        <v>6</v>
      </c>
      <c r="F1555" t="s">
        <v>3525</v>
      </c>
      <c r="G1555" t="s">
        <v>3519</v>
      </c>
      <c r="H1555">
        <v>1</v>
      </c>
      <c r="I1555">
        <v>14.6</v>
      </c>
      <c r="J1555">
        <v>87.6</v>
      </c>
    </row>
    <row r="1556" spans="1:10" x14ac:dyDescent="0.25">
      <c r="A1556" t="s">
        <v>4081</v>
      </c>
      <c r="B1556" s="3">
        <v>44412</v>
      </c>
      <c r="C1556" t="s">
        <v>1526</v>
      </c>
      <c r="D1556" t="s">
        <v>3512</v>
      </c>
      <c r="E1556">
        <v>5</v>
      </c>
      <c r="F1556" t="s">
        <v>3525</v>
      </c>
      <c r="G1556" t="s">
        <v>3519</v>
      </c>
      <c r="H1556">
        <v>2.5</v>
      </c>
      <c r="I1556">
        <v>33.5</v>
      </c>
      <c r="J1556">
        <v>167.5</v>
      </c>
    </row>
    <row r="1557" spans="1:10" x14ac:dyDescent="0.25">
      <c r="A1557" t="s">
        <v>4082</v>
      </c>
      <c r="B1557" s="3">
        <v>45343</v>
      </c>
      <c r="C1557" t="s">
        <v>2924</v>
      </c>
      <c r="D1557" t="s">
        <v>3494</v>
      </c>
      <c r="E1557">
        <v>1</v>
      </c>
      <c r="F1557" t="s">
        <v>3524</v>
      </c>
      <c r="G1557" t="s">
        <v>3518</v>
      </c>
      <c r="H1557">
        <v>0.2</v>
      </c>
      <c r="I1557">
        <v>2.7</v>
      </c>
      <c r="J1557">
        <v>2.7</v>
      </c>
    </row>
    <row r="1558" spans="1:10" x14ac:dyDescent="0.25">
      <c r="A1558" t="s">
        <v>4083</v>
      </c>
      <c r="B1558" s="3">
        <v>44246</v>
      </c>
      <c r="C1558" t="s">
        <v>2236</v>
      </c>
      <c r="D1558" t="s">
        <v>3487</v>
      </c>
      <c r="E1558">
        <v>4</v>
      </c>
      <c r="F1558" t="s">
        <v>3526</v>
      </c>
      <c r="G1558" t="s">
        <v>3519</v>
      </c>
      <c r="H1558">
        <v>0.2</v>
      </c>
      <c r="I1558">
        <v>4.0999999999999996</v>
      </c>
      <c r="J1558">
        <v>16.399999999999999</v>
      </c>
    </row>
    <row r="1559" spans="1:10" x14ac:dyDescent="0.25">
      <c r="A1559" t="s">
        <v>4084</v>
      </c>
      <c r="B1559" s="3">
        <v>44363</v>
      </c>
      <c r="C1559" t="s">
        <v>1902</v>
      </c>
      <c r="D1559" t="s">
        <v>3507</v>
      </c>
      <c r="E1559">
        <v>5</v>
      </c>
      <c r="F1559" t="s">
        <v>3526</v>
      </c>
      <c r="G1559" t="s">
        <v>3517</v>
      </c>
      <c r="H1559">
        <v>0.5</v>
      </c>
      <c r="I1559">
        <v>8.9</v>
      </c>
      <c r="J1559">
        <v>44.5</v>
      </c>
    </row>
    <row r="1560" spans="1:10" x14ac:dyDescent="0.25">
      <c r="A1560" t="s">
        <v>4085</v>
      </c>
      <c r="B1560" s="3">
        <v>45078</v>
      </c>
      <c r="C1560" t="s">
        <v>641</v>
      </c>
      <c r="D1560" t="s">
        <v>3500</v>
      </c>
      <c r="E1560">
        <v>2</v>
      </c>
      <c r="F1560" t="s">
        <v>3525</v>
      </c>
      <c r="G1560" t="s">
        <v>3518</v>
      </c>
      <c r="H1560">
        <v>0.5</v>
      </c>
      <c r="I1560">
        <v>7.8</v>
      </c>
      <c r="J1560">
        <v>15.6</v>
      </c>
    </row>
    <row r="1561" spans="1:10" x14ac:dyDescent="0.25">
      <c r="A1561" t="s">
        <v>4086</v>
      </c>
      <c r="B1561" s="3">
        <v>45379</v>
      </c>
      <c r="C1561" t="s">
        <v>2533</v>
      </c>
      <c r="D1561" t="s">
        <v>3505</v>
      </c>
      <c r="E1561">
        <v>1</v>
      </c>
      <c r="F1561" t="s">
        <v>3524</v>
      </c>
      <c r="G1561" t="s">
        <v>3519</v>
      </c>
      <c r="H1561">
        <v>0.2</v>
      </c>
      <c r="I1561">
        <v>3</v>
      </c>
      <c r="J1561">
        <v>3</v>
      </c>
    </row>
    <row r="1562" spans="1:10" x14ac:dyDescent="0.25">
      <c r="A1562" t="s">
        <v>4087</v>
      </c>
      <c r="B1562" s="3">
        <v>45262</v>
      </c>
      <c r="C1562" t="s">
        <v>1372</v>
      </c>
      <c r="D1562" t="s">
        <v>3503</v>
      </c>
      <c r="E1562">
        <v>5</v>
      </c>
      <c r="F1562" t="s">
        <v>3524</v>
      </c>
      <c r="G1562" t="s">
        <v>3518</v>
      </c>
      <c r="H1562">
        <v>0.5</v>
      </c>
      <c r="I1562">
        <v>5.4</v>
      </c>
      <c r="J1562">
        <v>27</v>
      </c>
    </row>
    <row r="1563" spans="1:10" x14ac:dyDescent="0.25">
      <c r="A1563" t="s">
        <v>4088</v>
      </c>
      <c r="B1563" s="3">
        <v>44413</v>
      </c>
      <c r="C1563" t="s">
        <v>1514</v>
      </c>
      <c r="D1563" t="s">
        <v>3510</v>
      </c>
      <c r="E1563">
        <v>1</v>
      </c>
      <c r="F1563" t="s">
        <v>3524</v>
      </c>
      <c r="G1563" t="s">
        <v>3517</v>
      </c>
      <c r="H1563">
        <v>1</v>
      </c>
      <c r="I1563">
        <v>12</v>
      </c>
      <c r="J1563">
        <v>12</v>
      </c>
    </row>
    <row r="1564" spans="1:10" x14ac:dyDescent="0.25">
      <c r="A1564" t="s">
        <v>4089</v>
      </c>
      <c r="B1564" s="3">
        <v>44812</v>
      </c>
      <c r="C1564" t="s">
        <v>3243</v>
      </c>
      <c r="D1564" t="s">
        <v>3499</v>
      </c>
      <c r="E1564">
        <v>3</v>
      </c>
      <c r="F1564" t="s">
        <v>3523</v>
      </c>
      <c r="G1564" t="s">
        <v>3518</v>
      </c>
      <c r="H1564">
        <v>2.5</v>
      </c>
      <c r="I1564">
        <v>22.9</v>
      </c>
      <c r="J1564">
        <v>68.7</v>
      </c>
    </row>
    <row r="1565" spans="1:10" x14ac:dyDescent="0.25">
      <c r="A1565" t="s">
        <v>4090</v>
      </c>
      <c r="B1565" s="3">
        <v>44940</v>
      </c>
      <c r="C1565" t="s">
        <v>2089</v>
      </c>
      <c r="D1565" t="s">
        <v>3472</v>
      </c>
      <c r="E1565">
        <v>3</v>
      </c>
      <c r="F1565" t="s">
        <v>3526</v>
      </c>
      <c r="G1565" t="s">
        <v>3519</v>
      </c>
      <c r="H1565">
        <v>1</v>
      </c>
      <c r="I1565">
        <v>13.8</v>
      </c>
      <c r="J1565">
        <v>41.4</v>
      </c>
    </row>
    <row r="1566" spans="1:10" x14ac:dyDescent="0.25">
      <c r="A1566" t="s">
        <v>4091</v>
      </c>
      <c r="B1566" s="3">
        <v>43840</v>
      </c>
      <c r="C1566" t="s">
        <v>1432</v>
      </c>
      <c r="D1566" t="s">
        <v>3516</v>
      </c>
      <c r="E1566">
        <v>2</v>
      </c>
      <c r="F1566" t="s">
        <v>3526</v>
      </c>
      <c r="G1566" t="s">
        <v>3518</v>
      </c>
      <c r="H1566">
        <v>2.5</v>
      </c>
      <c r="I1566">
        <v>27.9</v>
      </c>
      <c r="J1566">
        <v>55.8</v>
      </c>
    </row>
    <row r="1567" spans="1:10" x14ac:dyDescent="0.25">
      <c r="A1567" t="s">
        <v>4092</v>
      </c>
      <c r="B1567" s="3">
        <v>45478</v>
      </c>
      <c r="C1567" t="s">
        <v>1390</v>
      </c>
      <c r="D1567" t="s">
        <v>3492</v>
      </c>
      <c r="E1567">
        <v>1</v>
      </c>
      <c r="F1567" t="s">
        <v>3525</v>
      </c>
      <c r="G1567" t="s">
        <v>3517</v>
      </c>
      <c r="H1567">
        <v>0.5</v>
      </c>
      <c r="I1567">
        <v>9.5</v>
      </c>
      <c r="J1567">
        <v>9.5</v>
      </c>
    </row>
    <row r="1568" spans="1:10" x14ac:dyDescent="0.25">
      <c r="A1568" t="s">
        <v>4093</v>
      </c>
      <c r="B1568" s="3">
        <v>45094</v>
      </c>
      <c r="C1568" t="s">
        <v>3019</v>
      </c>
      <c r="D1568" t="s">
        <v>3476</v>
      </c>
      <c r="E1568">
        <v>5</v>
      </c>
      <c r="F1568" t="s">
        <v>3525</v>
      </c>
      <c r="G1568" t="s">
        <v>3517</v>
      </c>
      <c r="H1568">
        <v>0.2</v>
      </c>
      <c r="I1568">
        <v>4.8</v>
      </c>
      <c r="J1568">
        <v>24</v>
      </c>
    </row>
    <row r="1569" spans="1:10" x14ac:dyDescent="0.25">
      <c r="A1569" t="s">
        <v>4094</v>
      </c>
      <c r="B1569" s="3">
        <v>45317</v>
      </c>
      <c r="C1569" t="s">
        <v>3252</v>
      </c>
      <c r="D1569" t="s">
        <v>3486</v>
      </c>
      <c r="E1569">
        <v>2</v>
      </c>
      <c r="F1569" t="s">
        <v>3523</v>
      </c>
      <c r="G1569" t="s">
        <v>3519</v>
      </c>
      <c r="H1569">
        <v>1</v>
      </c>
      <c r="I1569">
        <v>11.3</v>
      </c>
      <c r="J1569">
        <v>22.6</v>
      </c>
    </row>
    <row r="1570" spans="1:10" x14ac:dyDescent="0.25">
      <c r="A1570" t="s">
        <v>4095</v>
      </c>
      <c r="B1570" s="3">
        <v>45007</v>
      </c>
      <c r="C1570" t="s">
        <v>682</v>
      </c>
      <c r="D1570" t="s">
        <v>3483</v>
      </c>
      <c r="E1570">
        <v>2</v>
      </c>
      <c r="F1570" t="s">
        <v>3523</v>
      </c>
      <c r="G1570" t="s">
        <v>3519</v>
      </c>
      <c r="H1570">
        <v>0.2</v>
      </c>
      <c r="I1570">
        <v>3.4</v>
      </c>
      <c r="J1570">
        <v>6.8</v>
      </c>
    </row>
    <row r="1571" spans="1:10" x14ac:dyDescent="0.25">
      <c r="A1571" t="s">
        <v>4096</v>
      </c>
      <c r="B1571" s="3">
        <v>45000</v>
      </c>
      <c r="C1571" t="s">
        <v>2296</v>
      </c>
      <c r="D1571" t="s">
        <v>3473</v>
      </c>
      <c r="E1571">
        <v>4</v>
      </c>
      <c r="F1571" t="s">
        <v>3524</v>
      </c>
      <c r="G1571" t="s">
        <v>3517</v>
      </c>
      <c r="H1571">
        <v>2.5</v>
      </c>
      <c r="I1571">
        <v>27.5</v>
      </c>
      <c r="J1571">
        <v>110</v>
      </c>
    </row>
    <row r="1572" spans="1:10" x14ac:dyDescent="0.25">
      <c r="A1572" t="s">
        <v>4097</v>
      </c>
      <c r="B1572" s="3">
        <v>44734</v>
      </c>
      <c r="C1572" t="s">
        <v>1193</v>
      </c>
      <c r="D1572" t="s">
        <v>3479</v>
      </c>
      <c r="E1572">
        <v>4</v>
      </c>
      <c r="F1572" t="s">
        <v>3526</v>
      </c>
      <c r="G1572" t="s">
        <v>3517</v>
      </c>
      <c r="H1572">
        <v>2.5</v>
      </c>
      <c r="I1572">
        <v>34.200000000000003</v>
      </c>
      <c r="J1572">
        <v>136.80000000000001</v>
      </c>
    </row>
    <row r="1573" spans="1:10" x14ac:dyDescent="0.25">
      <c r="A1573" t="s">
        <v>4098</v>
      </c>
      <c r="B1573" s="3">
        <v>44684</v>
      </c>
      <c r="C1573" t="s">
        <v>670</v>
      </c>
      <c r="D1573" t="s">
        <v>3484</v>
      </c>
      <c r="E1573">
        <v>5</v>
      </c>
      <c r="F1573" t="s">
        <v>3526</v>
      </c>
      <c r="G1573" t="s">
        <v>3518</v>
      </c>
      <c r="H1573">
        <v>0.2</v>
      </c>
      <c r="I1573">
        <v>3.6</v>
      </c>
      <c r="J1573">
        <v>18</v>
      </c>
    </row>
    <row r="1574" spans="1:10" x14ac:dyDescent="0.25">
      <c r="A1574" t="s">
        <v>4099</v>
      </c>
      <c r="B1574" s="3">
        <v>45325</v>
      </c>
      <c r="C1574" t="s">
        <v>1622</v>
      </c>
      <c r="D1574" t="s">
        <v>3473</v>
      </c>
      <c r="E1574">
        <v>6</v>
      </c>
      <c r="F1574" t="s">
        <v>3524</v>
      </c>
      <c r="G1574" t="s">
        <v>3517</v>
      </c>
      <c r="H1574">
        <v>2.5</v>
      </c>
      <c r="I1574">
        <v>27.5</v>
      </c>
      <c r="J1574">
        <v>165</v>
      </c>
    </row>
    <row r="1575" spans="1:10" x14ac:dyDescent="0.25">
      <c r="A1575" t="s">
        <v>4100</v>
      </c>
      <c r="B1575" s="3">
        <v>44624</v>
      </c>
      <c r="C1575" t="s">
        <v>987</v>
      </c>
      <c r="D1575" t="s">
        <v>3491</v>
      </c>
      <c r="E1575">
        <v>2</v>
      </c>
      <c r="F1575" t="s">
        <v>3525</v>
      </c>
      <c r="G1575" t="s">
        <v>3519</v>
      </c>
      <c r="H1575">
        <v>0.5</v>
      </c>
      <c r="I1575">
        <v>8.6999999999999993</v>
      </c>
      <c r="J1575">
        <v>17.399999999999999</v>
      </c>
    </row>
    <row r="1576" spans="1:10" x14ac:dyDescent="0.25">
      <c r="A1576" t="s">
        <v>4101</v>
      </c>
      <c r="B1576" s="3">
        <v>44502</v>
      </c>
      <c r="C1576" t="s">
        <v>538</v>
      </c>
      <c r="D1576" t="s">
        <v>3475</v>
      </c>
      <c r="E1576">
        <v>4</v>
      </c>
      <c r="F1576" t="s">
        <v>3526</v>
      </c>
      <c r="G1576" t="s">
        <v>3518</v>
      </c>
      <c r="H1576">
        <v>0.5</v>
      </c>
      <c r="I1576">
        <v>7.3</v>
      </c>
      <c r="J1576">
        <v>29.2</v>
      </c>
    </row>
    <row r="1577" spans="1:10" x14ac:dyDescent="0.25">
      <c r="A1577" t="s">
        <v>4102</v>
      </c>
      <c r="B1577" s="3">
        <v>45299</v>
      </c>
      <c r="C1577" t="s">
        <v>1500</v>
      </c>
      <c r="D1577" t="s">
        <v>3492</v>
      </c>
      <c r="E1577">
        <v>1</v>
      </c>
      <c r="F1577" t="s">
        <v>3525</v>
      </c>
      <c r="G1577" t="s">
        <v>3517</v>
      </c>
      <c r="H1577">
        <v>0.5</v>
      </c>
      <c r="I1577">
        <v>9.5</v>
      </c>
      <c r="J1577">
        <v>9.5</v>
      </c>
    </row>
    <row r="1578" spans="1:10" x14ac:dyDescent="0.25">
      <c r="A1578" t="s">
        <v>4103</v>
      </c>
      <c r="B1578" s="3">
        <v>44562</v>
      </c>
      <c r="C1578" t="s">
        <v>1342</v>
      </c>
      <c r="D1578" t="s">
        <v>3503</v>
      </c>
      <c r="E1578">
        <v>1</v>
      </c>
      <c r="F1578" t="s">
        <v>3524</v>
      </c>
      <c r="G1578" t="s">
        <v>3518</v>
      </c>
      <c r="H1578">
        <v>0.5</v>
      </c>
      <c r="I1578">
        <v>5.4</v>
      </c>
      <c r="J1578">
        <v>5.4</v>
      </c>
    </row>
    <row r="1579" spans="1:10" x14ac:dyDescent="0.25">
      <c r="A1579" t="s">
        <v>4104</v>
      </c>
      <c r="B1579" s="3">
        <v>44312</v>
      </c>
      <c r="C1579" t="s">
        <v>570</v>
      </c>
      <c r="D1579" t="s">
        <v>3513</v>
      </c>
      <c r="E1579">
        <v>6</v>
      </c>
      <c r="F1579" t="s">
        <v>3523</v>
      </c>
      <c r="G1579" t="s">
        <v>3517</v>
      </c>
      <c r="H1579">
        <v>2.5</v>
      </c>
      <c r="I1579">
        <v>29.8</v>
      </c>
      <c r="J1579">
        <v>178.8</v>
      </c>
    </row>
    <row r="1580" spans="1:10" x14ac:dyDescent="0.25">
      <c r="A1580" t="s">
        <v>4105</v>
      </c>
      <c r="B1580" s="3">
        <v>44170</v>
      </c>
      <c r="C1580" t="s">
        <v>2801</v>
      </c>
      <c r="D1580" t="s">
        <v>3487</v>
      </c>
      <c r="E1580">
        <v>1</v>
      </c>
      <c r="F1580" t="s">
        <v>3526</v>
      </c>
      <c r="G1580" t="s">
        <v>3519</v>
      </c>
      <c r="H1580">
        <v>0.2</v>
      </c>
      <c r="I1580">
        <v>4.0999999999999996</v>
      </c>
      <c r="J1580">
        <v>4.0999999999999996</v>
      </c>
    </row>
    <row r="1581" spans="1:10" x14ac:dyDescent="0.25">
      <c r="A1581" t="s">
        <v>4106</v>
      </c>
      <c r="B1581" s="3">
        <v>45551</v>
      </c>
      <c r="C1581" t="s">
        <v>2663</v>
      </c>
      <c r="D1581" t="s">
        <v>3484</v>
      </c>
      <c r="E1581">
        <v>4</v>
      </c>
      <c r="F1581" t="s">
        <v>3526</v>
      </c>
      <c r="G1581" t="s">
        <v>3518</v>
      </c>
      <c r="H1581">
        <v>0.2</v>
      </c>
      <c r="I1581">
        <v>3.6</v>
      </c>
      <c r="J1581">
        <v>14.4</v>
      </c>
    </row>
    <row r="1582" spans="1:10" x14ac:dyDescent="0.25">
      <c r="A1582" t="s">
        <v>4107</v>
      </c>
      <c r="B1582" s="3">
        <v>45492</v>
      </c>
      <c r="C1582" t="s">
        <v>1994</v>
      </c>
      <c r="D1582" t="s">
        <v>3497</v>
      </c>
      <c r="E1582">
        <v>5</v>
      </c>
      <c r="F1582" t="s">
        <v>3526</v>
      </c>
      <c r="G1582" t="s">
        <v>3519</v>
      </c>
      <c r="H1582">
        <v>2.5</v>
      </c>
      <c r="I1582">
        <v>31.6</v>
      </c>
      <c r="J1582">
        <v>158</v>
      </c>
    </row>
    <row r="1583" spans="1:10" x14ac:dyDescent="0.25">
      <c r="A1583" t="s">
        <v>4108</v>
      </c>
      <c r="B1583" s="3">
        <v>43707</v>
      </c>
      <c r="C1583" t="s">
        <v>2411</v>
      </c>
      <c r="D1583" t="s">
        <v>3486</v>
      </c>
      <c r="E1583">
        <v>2</v>
      </c>
      <c r="F1583" t="s">
        <v>3523</v>
      </c>
      <c r="G1583" t="s">
        <v>3519</v>
      </c>
      <c r="H1583">
        <v>1</v>
      </c>
      <c r="I1583">
        <v>11.3</v>
      </c>
      <c r="J1583">
        <v>22.6</v>
      </c>
    </row>
    <row r="1584" spans="1:10" x14ac:dyDescent="0.25">
      <c r="A1584" t="s">
        <v>4109</v>
      </c>
      <c r="B1584" s="3">
        <v>44223</v>
      </c>
      <c r="C1584" t="s">
        <v>2891</v>
      </c>
      <c r="D1584" t="s">
        <v>3514</v>
      </c>
      <c r="E1584">
        <v>1</v>
      </c>
      <c r="F1584" t="s">
        <v>3526</v>
      </c>
      <c r="G1584" t="s">
        <v>3518</v>
      </c>
      <c r="H1584">
        <v>1</v>
      </c>
      <c r="I1584">
        <v>12.2</v>
      </c>
      <c r="J1584">
        <v>12.2</v>
      </c>
    </row>
    <row r="1585" spans="1:10" x14ac:dyDescent="0.25">
      <c r="A1585" t="s">
        <v>4110</v>
      </c>
      <c r="B1585" s="3">
        <v>45192</v>
      </c>
      <c r="C1585" t="s">
        <v>1321</v>
      </c>
      <c r="D1585" t="s">
        <v>3512</v>
      </c>
      <c r="E1585">
        <v>6</v>
      </c>
      <c r="F1585" t="s">
        <v>3525</v>
      </c>
      <c r="G1585" t="s">
        <v>3519</v>
      </c>
      <c r="H1585">
        <v>2.5</v>
      </c>
      <c r="I1585">
        <v>33.5</v>
      </c>
      <c r="J1585">
        <v>201</v>
      </c>
    </row>
    <row r="1586" spans="1:10" x14ac:dyDescent="0.25">
      <c r="A1586" t="s">
        <v>4111</v>
      </c>
      <c r="B1586" s="3">
        <v>45338</v>
      </c>
      <c r="C1586" t="s">
        <v>921</v>
      </c>
      <c r="D1586" t="s">
        <v>3472</v>
      </c>
      <c r="E1586">
        <v>6</v>
      </c>
      <c r="F1586" t="s">
        <v>3526</v>
      </c>
      <c r="G1586" t="s">
        <v>3519</v>
      </c>
      <c r="H1586">
        <v>1</v>
      </c>
      <c r="I1586">
        <v>13.8</v>
      </c>
      <c r="J1586">
        <v>82.8</v>
      </c>
    </row>
    <row r="1587" spans="1:10" x14ac:dyDescent="0.25">
      <c r="A1587" t="s">
        <v>4112</v>
      </c>
      <c r="B1587" s="3">
        <v>43788</v>
      </c>
      <c r="C1587" t="s">
        <v>1384</v>
      </c>
      <c r="D1587" t="s">
        <v>3479</v>
      </c>
      <c r="E1587">
        <v>6</v>
      </c>
      <c r="F1587" t="s">
        <v>3526</v>
      </c>
      <c r="G1587" t="s">
        <v>3517</v>
      </c>
      <c r="H1587">
        <v>2.5</v>
      </c>
      <c r="I1587">
        <v>34.200000000000003</v>
      </c>
      <c r="J1587">
        <v>205.2</v>
      </c>
    </row>
    <row r="1588" spans="1:10" x14ac:dyDescent="0.25">
      <c r="A1588" t="s">
        <v>4113</v>
      </c>
      <c r="B1588" s="3">
        <v>45528</v>
      </c>
      <c r="C1588" t="s">
        <v>592</v>
      </c>
      <c r="D1588" t="s">
        <v>3496</v>
      </c>
      <c r="E1588">
        <v>1</v>
      </c>
      <c r="F1588" t="s">
        <v>3525</v>
      </c>
      <c r="G1588" t="s">
        <v>3518</v>
      </c>
      <c r="H1588">
        <v>2.5</v>
      </c>
      <c r="I1588">
        <v>29.8</v>
      </c>
      <c r="J1588">
        <v>29.8</v>
      </c>
    </row>
    <row r="1589" spans="1:10" x14ac:dyDescent="0.25">
      <c r="A1589" t="s">
        <v>4114</v>
      </c>
      <c r="B1589" s="3">
        <v>45141</v>
      </c>
      <c r="C1589" t="s">
        <v>1306</v>
      </c>
      <c r="D1589" t="s">
        <v>3503</v>
      </c>
      <c r="E1589">
        <v>6</v>
      </c>
      <c r="F1589" t="s">
        <v>3524</v>
      </c>
      <c r="G1589" t="s">
        <v>3518</v>
      </c>
      <c r="H1589">
        <v>0.5</v>
      </c>
      <c r="I1589">
        <v>5.4</v>
      </c>
      <c r="J1589">
        <v>32.4</v>
      </c>
    </row>
    <row r="1590" spans="1:10" x14ac:dyDescent="0.25">
      <c r="A1590" t="s">
        <v>4115</v>
      </c>
      <c r="B1590" s="3">
        <v>44211</v>
      </c>
      <c r="C1590" t="s">
        <v>2885</v>
      </c>
      <c r="D1590" t="s">
        <v>3470</v>
      </c>
      <c r="E1590">
        <v>2</v>
      </c>
      <c r="F1590" t="s">
        <v>3526</v>
      </c>
      <c r="G1590" t="s">
        <v>3519</v>
      </c>
      <c r="H1590">
        <v>0.5</v>
      </c>
      <c r="I1590">
        <v>8.3000000000000007</v>
      </c>
      <c r="J1590">
        <v>16.600000000000001</v>
      </c>
    </row>
    <row r="1591" spans="1:10" x14ac:dyDescent="0.25">
      <c r="A1591" t="s">
        <v>4116</v>
      </c>
      <c r="B1591" s="3">
        <v>45337</v>
      </c>
      <c r="C1591" t="s">
        <v>2074</v>
      </c>
      <c r="D1591" t="s">
        <v>3509</v>
      </c>
      <c r="E1591">
        <v>6</v>
      </c>
      <c r="F1591" t="s">
        <v>3524</v>
      </c>
      <c r="G1591" t="s">
        <v>3517</v>
      </c>
      <c r="H1591">
        <v>0.2</v>
      </c>
      <c r="I1591">
        <v>3.6</v>
      </c>
      <c r="J1591">
        <v>21.6</v>
      </c>
    </row>
    <row r="1592" spans="1:10" x14ac:dyDescent="0.25">
      <c r="A1592" t="s">
        <v>4117</v>
      </c>
      <c r="B1592" s="3">
        <v>45406</v>
      </c>
      <c r="C1592" t="s">
        <v>2447</v>
      </c>
      <c r="D1592" t="s">
        <v>3489</v>
      </c>
      <c r="E1592">
        <v>2</v>
      </c>
      <c r="F1592" t="s">
        <v>3523</v>
      </c>
      <c r="G1592" t="s">
        <v>3518</v>
      </c>
      <c r="H1592">
        <v>0.5</v>
      </c>
      <c r="I1592">
        <v>6</v>
      </c>
      <c r="J1592">
        <v>12</v>
      </c>
    </row>
    <row r="1593" spans="1:10" x14ac:dyDescent="0.25">
      <c r="A1593" t="s">
        <v>4118</v>
      </c>
      <c r="B1593" s="3">
        <v>45386</v>
      </c>
      <c r="C1593" t="s">
        <v>2666</v>
      </c>
      <c r="D1593" t="s">
        <v>3493</v>
      </c>
      <c r="E1593">
        <v>1</v>
      </c>
      <c r="F1593" t="s">
        <v>3525</v>
      </c>
      <c r="G1593" t="s">
        <v>3519</v>
      </c>
      <c r="H1593">
        <v>1</v>
      </c>
      <c r="I1593">
        <v>14.6</v>
      </c>
      <c r="J1593">
        <v>14.6</v>
      </c>
    </row>
    <row r="1594" spans="1:10" x14ac:dyDescent="0.25">
      <c r="A1594" t="s">
        <v>4119</v>
      </c>
      <c r="B1594" s="3">
        <v>43639</v>
      </c>
      <c r="C1594" t="s">
        <v>1012</v>
      </c>
      <c r="D1594" t="s">
        <v>3475</v>
      </c>
      <c r="E1594">
        <v>6</v>
      </c>
      <c r="F1594" t="s">
        <v>3526</v>
      </c>
      <c r="G1594" t="s">
        <v>3518</v>
      </c>
      <c r="H1594">
        <v>0.5</v>
      </c>
      <c r="I1594">
        <v>7.3</v>
      </c>
      <c r="J1594">
        <v>43.8</v>
      </c>
    </row>
    <row r="1595" spans="1:10" x14ac:dyDescent="0.25">
      <c r="A1595" t="s">
        <v>4120</v>
      </c>
      <c r="B1595" s="3">
        <v>43769</v>
      </c>
      <c r="C1595" t="s">
        <v>2512</v>
      </c>
      <c r="D1595" t="s">
        <v>3502</v>
      </c>
      <c r="E1595">
        <v>1</v>
      </c>
      <c r="F1595" t="s">
        <v>3526</v>
      </c>
      <c r="G1595" t="s">
        <v>3517</v>
      </c>
      <c r="H1595">
        <v>1</v>
      </c>
      <c r="I1595">
        <v>14.9</v>
      </c>
      <c r="J1595">
        <v>14.9</v>
      </c>
    </row>
    <row r="1596" spans="1:10" x14ac:dyDescent="0.25">
      <c r="A1596" t="s">
        <v>4121</v>
      </c>
      <c r="B1596" s="3">
        <v>45544</v>
      </c>
      <c r="C1596" t="s">
        <v>1997</v>
      </c>
      <c r="D1596" t="s">
        <v>3490</v>
      </c>
      <c r="E1596">
        <v>1</v>
      </c>
      <c r="F1596" t="s">
        <v>3525</v>
      </c>
      <c r="G1596" t="s">
        <v>3519</v>
      </c>
      <c r="H1596">
        <v>0.2</v>
      </c>
      <c r="I1596">
        <v>4.4000000000000004</v>
      </c>
      <c r="J1596">
        <v>4.4000000000000004</v>
      </c>
    </row>
    <row r="1597" spans="1:10" x14ac:dyDescent="0.25">
      <c r="A1597" t="s">
        <v>4122</v>
      </c>
      <c r="B1597" s="3">
        <v>44766</v>
      </c>
      <c r="C1597" t="s">
        <v>2852</v>
      </c>
      <c r="D1597" t="s">
        <v>3509</v>
      </c>
      <c r="E1597">
        <v>2</v>
      </c>
      <c r="F1597" t="s">
        <v>3524</v>
      </c>
      <c r="G1597" t="s">
        <v>3517</v>
      </c>
      <c r="H1597">
        <v>0.2</v>
      </c>
      <c r="I1597">
        <v>3.6</v>
      </c>
      <c r="J1597">
        <v>7.2</v>
      </c>
    </row>
    <row r="1598" spans="1:10" x14ac:dyDescent="0.25">
      <c r="A1598" t="s">
        <v>4123</v>
      </c>
      <c r="B1598" s="3">
        <v>45485</v>
      </c>
      <c r="C1598" t="s">
        <v>2699</v>
      </c>
      <c r="D1598" t="s">
        <v>3502</v>
      </c>
      <c r="E1598">
        <v>3</v>
      </c>
      <c r="F1598" t="s">
        <v>3526</v>
      </c>
      <c r="G1598" t="s">
        <v>3517</v>
      </c>
      <c r="H1598">
        <v>1</v>
      </c>
      <c r="I1598">
        <v>14.9</v>
      </c>
      <c r="J1598">
        <v>44.7</v>
      </c>
    </row>
    <row r="1599" spans="1:10" x14ac:dyDescent="0.25">
      <c r="A1599" t="s">
        <v>4124</v>
      </c>
      <c r="B1599" s="3">
        <v>44785</v>
      </c>
      <c r="C1599" t="s">
        <v>2690</v>
      </c>
      <c r="D1599" t="s">
        <v>3491</v>
      </c>
      <c r="E1599">
        <v>5</v>
      </c>
      <c r="F1599" t="s">
        <v>3525</v>
      </c>
      <c r="G1599" t="s">
        <v>3519</v>
      </c>
      <c r="H1599">
        <v>0.5</v>
      </c>
      <c r="I1599">
        <v>8.6999999999999993</v>
      </c>
      <c r="J1599">
        <v>43.5</v>
      </c>
    </row>
    <row r="1600" spans="1:10" x14ac:dyDescent="0.25">
      <c r="A1600" t="s">
        <v>4125</v>
      </c>
      <c r="B1600" s="3">
        <v>45476</v>
      </c>
      <c r="C1600" t="s">
        <v>2207</v>
      </c>
      <c r="D1600" t="s">
        <v>3509</v>
      </c>
      <c r="E1600">
        <v>4</v>
      </c>
      <c r="F1600" t="s">
        <v>3524</v>
      </c>
      <c r="G1600" t="s">
        <v>3517</v>
      </c>
      <c r="H1600">
        <v>0.2</v>
      </c>
      <c r="I1600">
        <v>3.6</v>
      </c>
      <c r="J1600">
        <v>14.4</v>
      </c>
    </row>
    <row r="1601" spans="1:10" x14ac:dyDescent="0.25">
      <c r="A1601" t="s">
        <v>4126</v>
      </c>
      <c r="B1601" s="3">
        <v>44631</v>
      </c>
      <c r="C1601" t="s">
        <v>1464</v>
      </c>
      <c r="D1601" t="s">
        <v>3502</v>
      </c>
      <c r="E1601">
        <v>3</v>
      </c>
      <c r="F1601" t="s">
        <v>3526</v>
      </c>
      <c r="G1601" t="s">
        <v>3517</v>
      </c>
      <c r="H1601">
        <v>1</v>
      </c>
      <c r="I1601">
        <v>14.9</v>
      </c>
      <c r="J1601">
        <v>44.7</v>
      </c>
    </row>
    <row r="1602" spans="1:10" x14ac:dyDescent="0.25">
      <c r="A1602" t="s">
        <v>4127</v>
      </c>
      <c r="B1602" s="3">
        <v>45204</v>
      </c>
      <c r="C1602" t="s">
        <v>775</v>
      </c>
      <c r="D1602" t="s">
        <v>3470</v>
      </c>
      <c r="E1602">
        <v>4</v>
      </c>
      <c r="F1602" t="s">
        <v>3526</v>
      </c>
      <c r="G1602" t="s">
        <v>3519</v>
      </c>
      <c r="H1602">
        <v>0.5</v>
      </c>
      <c r="I1602">
        <v>8.3000000000000007</v>
      </c>
      <c r="J1602">
        <v>33.200000000000003</v>
      </c>
    </row>
    <row r="1603" spans="1:10" x14ac:dyDescent="0.25">
      <c r="A1603" t="s">
        <v>4128</v>
      </c>
      <c r="B1603" s="3">
        <v>43943</v>
      </c>
      <c r="C1603" t="s">
        <v>1446</v>
      </c>
      <c r="D1603" t="s">
        <v>3508</v>
      </c>
      <c r="E1603">
        <v>5</v>
      </c>
      <c r="F1603" t="s">
        <v>3524</v>
      </c>
      <c r="G1603" t="s">
        <v>3518</v>
      </c>
      <c r="H1603">
        <v>1</v>
      </c>
      <c r="I1603">
        <v>9</v>
      </c>
      <c r="J1603">
        <v>45</v>
      </c>
    </row>
    <row r="1604" spans="1:10" x14ac:dyDescent="0.25">
      <c r="A1604" t="s">
        <v>4129</v>
      </c>
      <c r="B1604" s="3">
        <v>45350</v>
      </c>
      <c r="C1604" t="s">
        <v>2459</v>
      </c>
      <c r="D1604" t="s">
        <v>3511</v>
      </c>
      <c r="E1604">
        <v>3</v>
      </c>
      <c r="F1604" t="s">
        <v>3523</v>
      </c>
      <c r="G1604" t="s">
        <v>3517</v>
      </c>
      <c r="H1604">
        <v>0.5</v>
      </c>
      <c r="I1604">
        <v>7.8</v>
      </c>
      <c r="J1604">
        <v>23.4</v>
      </c>
    </row>
    <row r="1605" spans="1:10" x14ac:dyDescent="0.25">
      <c r="A1605" t="s">
        <v>4130</v>
      </c>
      <c r="B1605" s="3">
        <v>45199</v>
      </c>
      <c r="C1605" t="s">
        <v>3408</v>
      </c>
      <c r="D1605" t="s">
        <v>3484</v>
      </c>
      <c r="E1605">
        <v>5</v>
      </c>
      <c r="F1605" t="s">
        <v>3526</v>
      </c>
      <c r="G1605" t="s">
        <v>3518</v>
      </c>
      <c r="H1605">
        <v>0.2</v>
      </c>
      <c r="I1605">
        <v>3.6</v>
      </c>
      <c r="J1605">
        <v>18</v>
      </c>
    </row>
    <row r="1606" spans="1:10" x14ac:dyDescent="0.25">
      <c r="A1606" t="s">
        <v>4131</v>
      </c>
      <c r="B1606" s="3">
        <v>45142</v>
      </c>
      <c r="C1606" t="s">
        <v>2198</v>
      </c>
      <c r="D1606" t="s">
        <v>3509</v>
      </c>
      <c r="E1606">
        <v>1</v>
      </c>
      <c r="F1606" t="s">
        <v>3524</v>
      </c>
      <c r="G1606" t="s">
        <v>3517</v>
      </c>
      <c r="H1606">
        <v>0.2</v>
      </c>
      <c r="I1606">
        <v>3.6</v>
      </c>
      <c r="J1606">
        <v>3.6</v>
      </c>
    </row>
    <row r="1607" spans="1:10" x14ac:dyDescent="0.25">
      <c r="A1607" t="s">
        <v>4132</v>
      </c>
      <c r="B1607" s="3">
        <v>45430</v>
      </c>
      <c r="C1607" t="s">
        <v>2834</v>
      </c>
      <c r="D1607" t="s">
        <v>3477</v>
      </c>
      <c r="E1607">
        <v>2</v>
      </c>
      <c r="F1607" t="s">
        <v>3524</v>
      </c>
      <c r="G1607" t="s">
        <v>3519</v>
      </c>
      <c r="H1607">
        <v>0.5</v>
      </c>
      <c r="I1607">
        <v>6</v>
      </c>
      <c r="J1607">
        <v>12</v>
      </c>
    </row>
    <row r="1608" spans="1:10" x14ac:dyDescent="0.25">
      <c r="A1608" t="s">
        <v>4133</v>
      </c>
      <c r="B1608" s="3">
        <v>45073</v>
      </c>
      <c r="C1608" t="s">
        <v>2012</v>
      </c>
      <c r="D1608" t="s">
        <v>3508</v>
      </c>
      <c r="E1608">
        <v>1</v>
      </c>
      <c r="F1608" t="s">
        <v>3524</v>
      </c>
      <c r="G1608" t="s">
        <v>3518</v>
      </c>
      <c r="H1608">
        <v>1</v>
      </c>
      <c r="I1608">
        <v>9</v>
      </c>
      <c r="J1608">
        <v>9</v>
      </c>
    </row>
    <row r="1609" spans="1:10" x14ac:dyDescent="0.25">
      <c r="A1609" t="s">
        <v>4134</v>
      </c>
      <c r="B1609" s="3">
        <v>44733</v>
      </c>
      <c r="C1609" t="s">
        <v>586</v>
      </c>
      <c r="D1609" t="s">
        <v>3492</v>
      </c>
      <c r="E1609">
        <v>3</v>
      </c>
      <c r="F1609" t="s">
        <v>3525</v>
      </c>
      <c r="G1609" t="s">
        <v>3517</v>
      </c>
      <c r="H1609">
        <v>0.5</v>
      </c>
      <c r="I1609">
        <v>9.5</v>
      </c>
      <c r="J1609">
        <v>28.5</v>
      </c>
    </row>
    <row r="1610" spans="1:10" x14ac:dyDescent="0.25">
      <c r="A1610" t="s">
        <v>4135</v>
      </c>
      <c r="B1610" s="3">
        <v>45393</v>
      </c>
      <c r="C1610" t="s">
        <v>878</v>
      </c>
      <c r="D1610" t="s">
        <v>3500</v>
      </c>
      <c r="E1610">
        <v>2</v>
      </c>
      <c r="F1610" t="s">
        <v>3525</v>
      </c>
      <c r="G1610" t="s">
        <v>3518</v>
      </c>
      <c r="H1610">
        <v>0.5</v>
      </c>
      <c r="I1610">
        <v>7.8</v>
      </c>
      <c r="J1610">
        <v>15.6</v>
      </c>
    </row>
    <row r="1611" spans="1:10" x14ac:dyDescent="0.25">
      <c r="A1611" t="s">
        <v>4136</v>
      </c>
      <c r="B1611" s="3">
        <v>45415</v>
      </c>
      <c r="C1611" t="s">
        <v>1369</v>
      </c>
      <c r="D1611" t="s">
        <v>3509</v>
      </c>
      <c r="E1611">
        <v>5</v>
      </c>
      <c r="F1611" t="s">
        <v>3524</v>
      </c>
      <c r="G1611" t="s">
        <v>3517</v>
      </c>
      <c r="H1611">
        <v>0.2</v>
      </c>
      <c r="I1611">
        <v>3.6</v>
      </c>
      <c r="J1611">
        <v>18</v>
      </c>
    </row>
    <row r="1612" spans="1:10" x14ac:dyDescent="0.25">
      <c r="A1612" t="s">
        <v>4137</v>
      </c>
      <c r="B1612" s="3">
        <v>45577</v>
      </c>
      <c r="C1612" t="s">
        <v>1145</v>
      </c>
      <c r="D1612" t="s">
        <v>3490</v>
      </c>
      <c r="E1612">
        <v>1</v>
      </c>
      <c r="F1612" t="s">
        <v>3525</v>
      </c>
      <c r="G1612" t="s">
        <v>3519</v>
      </c>
      <c r="H1612">
        <v>0.2</v>
      </c>
      <c r="I1612">
        <v>4.4000000000000004</v>
      </c>
      <c r="J1612">
        <v>4.4000000000000004</v>
      </c>
    </row>
    <row r="1613" spans="1:10" x14ac:dyDescent="0.25">
      <c r="A1613" t="s">
        <v>4138</v>
      </c>
      <c r="B1613" s="3">
        <v>45654</v>
      </c>
      <c r="C1613" t="s">
        <v>682</v>
      </c>
      <c r="D1613" t="s">
        <v>3495</v>
      </c>
      <c r="E1613">
        <v>1</v>
      </c>
      <c r="F1613" t="s">
        <v>3525</v>
      </c>
      <c r="G1613" t="s">
        <v>3517</v>
      </c>
      <c r="H1613">
        <v>2.5</v>
      </c>
      <c r="I1613">
        <v>36.5</v>
      </c>
      <c r="J1613">
        <v>36.5</v>
      </c>
    </row>
    <row r="1614" spans="1:10" x14ac:dyDescent="0.25">
      <c r="A1614" t="s">
        <v>4139</v>
      </c>
      <c r="B1614" s="3">
        <v>45383</v>
      </c>
      <c r="C1614" t="s">
        <v>1693</v>
      </c>
      <c r="D1614" t="s">
        <v>3496</v>
      </c>
      <c r="E1614">
        <v>2</v>
      </c>
      <c r="F1614" t="s">
        <v>3525</v>
      </c>
      <c r="G1614" t="s">
        <v>3518</v>
      </c>
      <c r="H1614">
        <v>2.5</v>
      </c>
      <c r="I1614">
        <v>29.8</v>
      </c>
      <c r="J1614">
        <v>59.6</v>
      </c>
    </row>
    <row r="1615" spans="1:10" x14ac:dyDescent="0.25">
      <c r="A1615" t="s">
        <v>4140</v>
      </c>
      <c r="B1615" s="3">
        <v>44739</v>
      </c>
      <c r="C1615" t="s">
        <v>971</v>
      </c>
      <c r="D1615" t="s">
        <v>3476</v>
      </c>
      <c r="E1615">
        <v>6</v>
      </c>
      <c r="F1615" t="s">
        <v>3525</v>
      </c>
      <c r="G1615" t="s">
        <v>3517</v>
      </c>
      <c r="H1615">
        <v>0.2</v>
      </c>
      <c r="I1615">
        <v>4.8</v>
      </c>
      <c r="J1615">
        <v>28.8</v>
      </c>
    </row>
    <row r="1616" spans="1:10" x14ac:dyDescent="0.25">
      <c r="A1616" t="s">
        <v>4141</v>
      </c>
      <c r="B1616" s="3">
        <v>45129</v>
      </c>
      <c r="C1616" t="s">
        <v>1369</v>
      </c>
      <c r="D1616" t="s">
        <v>3479</v>
      </c>
      <c r="E1616">
        <v>2</v>
      </c>
      <c r="F1616" t="s">
        <v>3526</v>
      </c>
      <c r="G1616" t="s">
        <v>3517</v>
      </c>
      <c r="H1616">
        <v>2.5</v>
      </c>
      <c r="I1616">
        <v>34.200000000000003</v>
      </c>
      <c r="J1616">
        <v>68.400000000000006</v>
      </c>
    </row>
    <row r="1617" spans="1:10" x14ac:dyDescent="0.25">
      <c r="A1617" t="s">
        <v>4142</v>
      </c>
      <c r="B1617" s="3">
        <v>45099</v>
      </c>
      <c r="C1617" t="s">
        <v>965</v>
      </c>
      <c r="D1617" t="s">
        <v>3496</v>
      </c>
      <c r="E1617">
        <v>6</v>
      </c>
      <c r="F1617" t="s">
        <v>3525</v>
      </c>
      <c r="G1617" t="s">
        <v>3518</v>
      </c>
      <c r="H1617">
        <v>2.5</v>
      </c>
      <c r="I1617">
        <v>29.8</v>
      </c>
      <c r="J1617">
        <v>178.8</v>
      </c>
    </row>
    <row r="1618" spans="1:10" x14ac:dyDescent="0.25">
      <c r="A1618" t="s">
        <v>4143</v>
      </c>
      <c r="B1618" s="3">
        <v>45513</v>
      </c>
      <c r="C1618" t="s">
        <v>1348</v>
      </c>
      <c r="D1618" t="s">
        <v>3507</v>
      </c>
      <c r="E1618">
        <v>1</v>
      </c>
      <c r="F1618" t="s">
        <v>3526</v>
      </c>
      <c r="G1618" t="s">
        <v>3517</v>
      </c>
      <c r="H1618">
        <v>0.5</v>
      </c>
      <c r="I1618">
        <v>8.9</v>
      </c>
      <c r="J1618">
        <v>8.9</v>
      </c>
    </row>
    <row r="1619" spans="1:10" x14ac:dyDescent="0.25">
      <c r="A1619" t="s">
        <v>4144</v>
      </c>
      <c r="B1619" s="3">
        <v>45287</v>
      </c>
      <c r="C1619" t="s">
        <v>784</v>
      </c>
      <c r="D1619" t="s">
        <v>3476</v>
      </c>
      <c r="E1619">
        <v>1</v>
      </c>
      <c r="F1619" t="s">
        <v>3525</v>
      </c>
      <c r="G1619" t="s">
        <v>3517</v>
      </c>
      <c r="H1619">
        <v>0.2</v>
      </c>
      <c r="I1619">
        <v>4.8</v>
      </c>
      <c r="J1619">
        <v>4.8</v>
      </c>
    </row>
    <row r="1620" spans="1:10" x14ac:dyDescent="0.25">
      <c r="A1620" t="s">
        <v>4145</v>
      </c>
      <c r="B1620" s="3">
        <v>45496</v>
      </c>
      <c r="C1620" t="s">
        <v>2400</v>
      </c>
      <c r="D1620" t="s">
        <v>3513</v>
      </c>
      <c r="E1620">
        <v>6</v>
      </c>
      <c r="F1620" t="s">
        <v>3523</v>
      </c>
      <c r="G1620" t="s">
        <v>3517</v>
      </c>
      <c r="H1620">
        <v>2.5</v>
      </c>
      <c r="I1620">
        <v>29.8</v>
      </c>
      <c r="J1620">
        <v>178.8</v>
      </c>
    </row>
    <row r="1621" spans="1:10" x14ac:dyDescent="0.25">
      <c r="A1621" t="s">
        <v>4146</v>
      </c>
      <c r="B1621" s="3">
        <v>45465</v>
      </c>
      <c r="C1621" t="s">
        <v>3318</v>
      </c>
      <c r="D1621" t="s">
        <v>3509</v>
      </c>
      <c r="E1621">
        <v>3</v>
      </c>
      <c r="F1621" t="s">
        <v>3524</v>
      </c>
      <c r="G1621" t="s">
        <v>3517</v>
      </c>
      <c r="H1621">
        <v>0.2</v>
      </c>
      <c r="I1621">
        <v>3.6</v>
      </c>
      <c r="J1621">
        <v>10.8</v>
      </c>
    </row>
    <row r="1622" spans="1:10" x14ac:dyDescent="0.25">
      <c r="A1622" t="s">
        <v>4147</v>
      </c>
      <c r="B1622" s="3">
        <v>45008</v>
      </c>
      <c r="C1622" t="s">
        <v>570</v>
      </c>
      <c r="D1622" t="s">
        <v>3491</v>
      </c>
      <c r="E1622">
        <v>2</v>
      </c>
      <c r="F1622" t="s">
        <v>3525</v>
      </c>
      <c r="G1622" t="s">
        <v>3519</v>
      </c>
      <c r="H1622">
        <v>0.5</v>
      </c>
      <c r="I1622">
        <v>8.6999999999999993</v>
      </c>
      <c r="J1622">
        <v>17.399999999999999</v>
      </c>
    </row>
    <row r="1623" spans="1:10" x14ac:dyDescent="0.25">
      <c r="A1623" t="s">
        <v>4148</v>
      </c>
      <c r="B1623" s="3">
        <v>45524</v>
      </c>
      <c r="C1623" t="s">
        <v>3240</v>
      </c>
      <c r="D1623" t="s">
        <v>3476</v>
      </c>
      <c r="E1623">
        <v>4</v>
      </c>
      <c r="F1623" t="s">
        <v>3525</v>
      </c>
      <c r="G1623" t="s">
        <v>3517</v>
      </c>
      <c r="H1623">
        <v>0.2</v>
      </c>
      <c r="I1623">
        <v>4.8</v>
      </c>
      <c r="J1623">
        <v>19.2</v>
      </c>
    </row>
    <row r="1624" spans="1:10" x14ac:dyDescent="0.25">
      <c r="A1624" t="s">
        <v>4149</v>
      </c>
      <c r="B1624" s="3">
        <v>44174</v>
      </c>
      <c r="C1624" t="s">
        <v>2551</v>
      </c>
      <c r="D1624" t="s">
        <v>3507</v>
      </c>
      <c r="E1624">
        <v>2</v>
      </c>
      <c r="F1624" t="s">
        <v>3526</v>
      </c>
      <c r="G1624" t="s">
        <v>3517</v>
      </c>
      <c r="H1624">
        <v>0.5</v>
      </c>
      <c r="I1624">
        <v>8.9</v>
      </c>
      <c r="J1624">
        <v>17.8</v>
      </c>
    </row>
    <row r="1625" spans="1:10" x14ac:dyDescent="0.25">
      <c r="A1625" t="s">
        <v>4150</v>
      </c>
      <c r="B1625" s="3">
        <v>43944</v>
      </c>
      <c r="C1625" t="s">
        <v>2278</v>
      </c>
      <c r="D1625" t="s">
        <v>3514</v>
      </c>
      <c r="E1625">
        <v>1</v>
      </c>
      <c r="F1625" t="s">
        <v>3526</v>
      </c>
      <c r="G1625" t="s">
        <v>3518</v>
      </c>
      <c r="H1625">
        <v>1</v>
      </c>
      <c r="I1625">
        <v>12.2</v>
      </c>
      <c r="J1625">
        <v>12.2</v>
      </c>
    </row>
    <row r="1626" spans="1:10" x14ac:dyDescent="0.25">
      <c r="A1626" t="s">
        <v>4151</v>
      </c>
      <c r="B1626" s="3">
        <v>45530</v>
      </c>
      <c r="C1626" t="s">
        <v>3452</v>
      </c>
      <c r="D1626" t="s">
        <v>3515</v>
      </c>
      <c r="E1626">
        <v>2</v>
      </c>
      <c r="F1626" t="s">
        <v>3526</v>
      </c>
      <c r="G1626" t="s">
        <v>3517</v>
      </c>
      <c r="H1626">
        <v>0.2</v>
      </c>
      <c r="I1626">
        <v>4.5</v>
      </c>
      <c r="J1626">
        <v>9</v>
      </c>
    </row>
    <row r="1627" spans="1:10" x14ac:dyDescent="0.25">
      <c r="A1627" t="s">
        <v>4152</v>
      </c>
      <c r="B1627" s="3">
        <v>44800</v>
      </c>
      <c r="C1627" t="s">
        <v>3142</v>
      </c>
      <c r="D1627" t="s">
        <v>3485</v>
      </c>
      <c r="E1627">
        <v>4</v>
      </c>
      <c r="F1627" t="s">
        <v>3523</v>
      </c>
      <c r="G1627" t="s">
        <v>3518</v>
      </c>
      <c r="H1627">
        <v>0.2</v>
      </c>
      <c r="I1627">
        <v>3</v>
      </c>
      <c r="J1627">
        <v>12</v>
      </c>
    </row>
    <row r="1628" spans="1:10" x14ac:dyDescent="0.25">
      <c r="A1628" t="s">
        <v>4153</v>
      </c>
      <c r="B1628" s="3">
        <v>45531</v>
      </c>
      <c r="C1628" t="s">
        <v>2816</v>
      </c>
      <c r="D1628" t="s">
        <v>3486</v>
      </c>
      <c r="E1628">
        <v>1</v>
      </c>
      <c r="F1628" t="s">
        <v>3523</v>
      </c>
      <c r="G1628" t="s">
        <v>3519</v>
      </c>
      <c r="H1628">
        <v>1</v>
      </c>
      <c r="I1628">
        <v>11.3</v>
      </c>
      <c r="J1628">
        <v>11.3</v>
      </c>
    </row>
    <row r="1629" spans="1:10" x14ac:dyDescent="0.25">
      <c r="A1629" t="s">
        <v>4154</v>
      </c>
      <c r="B1629" s="3">
        <v>44634</v>
      </c>
      <c r="C1629" t="s">
        <v>2963</v>
      </c>
      <c r="D1629" t="s">
        <v>3477</v>
      </c>
      <c r="E1629">
        <v>2</v>
      </c>
      <c r="F1629" t="s">
        <v>3524</v>
      </c>
      <c r="G1629" t="s">
        <v>3519</v>
      </c>
      <c r="H1629">
        <v>0.5</v>
      </c>
      <c r="I1629">
        <v>6</v>
      </c>
      <c r="J1629">
        <v>12</v>
      </c>
    </row>
    <row r="1630" spans="1:10" x14ac:dyDescent="0.25">
      <c r="A1630" t="s">
        <v>4155</v>
      </c>
      <c r="B1630" s="3">
        <v>44652</v>
      </c>
      <c r="C1630" t="s">
        <v>1520</v>
      </c>
      <c r="D1630" t="s">
        <v>3502</v>
      </c>
      <c r="E1630">
        <v>5</v>
      </c>
      <c r="F1630" t="s">
        <v>3526</v>
      </c>
      <c r="G1630" t="s">
        <v>3517</v>
      </c>
      <c r="H1630">
        <v>1</v>
      </c>
      <c r="I1630">
        <v>14.9</v>
      </c>
      <c r="J1630">
        <v>74.5</v>
      </c>
    </row>
    <row r="1631" spans="1:10" x14ac:dyDescent="0.25">
      <c r="A1631" t="s">
        <v>4156</v>
      </c>
      <c r="B1631" s="3">
        <v>44329</v>
      </c>
      <c r="C1631" t="s">
        <v>3387</v>
      </c>
      <c r="D1631" t="s">
        <v>3489</v>
      </c>
      <c r="E1631">
        <v>5</v>
      </c>
      <c r="F1631" t="s">
        <v>3523</v>
      </c>
      <c r="G1631" t="s">
        <v>3518</v>
      </c>
      <c r="H1631">
        <v>0.5</v>
      </c>
      <c r="I1631">
        <v>6</v>
      </c>
      <c r="J1631">
        <v>30</v>
      </c>
    </row>
    <row r="1632" spans="1:10" x14ac:dyDescent="0.25">
      <c r="A1632" t="s">
        <v>4157</v>
      </c>
      <c r="B1632" s="3">
        <v>45059</v>
      </c>
      <c r="C1632" t="s">
        <v>1752</v>
      </c>
      <c r="D1632" t="s">
        <v>3483</v>
      </c>
      <c r="E1632">
        <v>5</v>
      </c>
      <c r="F1632" t="s">
        <v>3523</v>
      </c>
      <c r="G1632" t="s">
        <v>3519</v>
      </c>
      <c r="H1632">
        <v>0.2</v>
      </c>
      <c r="I1632">
        <v>3.4</v>
      </c>
      <c r="J1632">
        <v>17</v>
      </c>
    </row>
    <row r="1633" spans="1:10" x14ac:dyDescent="0.25">
      <c r="A1633" t="s">
        <v>4158</v>
      </c>
      <c r="B1633" s="3">
        <v>44789</v>
      </c>
      <c r="C1633" t="s">
        <v>641</v>
      </c>
      <c r="D1633" t="s">
        <v>3474</v>
      </c>
      <c r="E1633">
        <v>2</v>
      </c>
      <c r="F1633" t="s">
        <v>3525</v>
      </c>
      <c r="G1633" t="s">
        <v>3518</v>
      </c>
      <c r="H1633">
        <v>1</v>
      </c>
      <c r="I1633">
        <v>13</v>
      </c>
      <c r="J1633">
        <v>26</v>
      </c>
    </row>
    <row r="1634" spans="1:10" x14ac:dyDescent="0.25">
      <c r="A1634" t="s">
        <v>4159</v>
      </c>
      <c r="B1634" s="3">
        <v>44949</v>
      </c>
      <c r="C1634" t="s">
        <v>2438</v>
      </c>
      <c r="D1634" t="s">
        <v>3492</v>
      </c>
      <c r="E1634">
        <v>3</v>
      </c>
      <c r="F1634" t="s">
        <v>3525</v>
      </c>
      <c r="G1634" t="s">
        <v>3517</v>
      </c>
      <c r="H1634">
        <v>0.5</v>
      </c>
      <c r="I1634">
        <v>9.5</v>
      </c>
      <c r="J1634">
        <v>28.5</v>
      </c>
    </row>
    <row r="1635" spans="1:10" x14ac:dyDescent="0.25">
      <c r="A1635" t="s">
        <v>4160</v>
      </c>
      <c r="B1635" s="3">
        <v>44753</v>
      </c>
      <c r="C1635" t="s">
        <v>2663</v>
      </c>
      <c r="D1635" t="s">
        <v>3487</v>
      </c>
      <c r="E1635">
        <v>5</v>
      </c>
      <c r="F1635" t="s">
        <v>3526</v>
      </c>
      <c r="G1635" t="s">
        <v>3519</v>
      </c>
      <c r="H1635">
        <v>0.2</v>
      </c>
      <c r="I1635">
        <v>4.0999999999999996</v>
      </c>
      <c r="J1635">
        <v>20.5</v>
      </c>
    </row>
    <row r="1636" spans="1:10" x14ac:dyDescent="0.25">
      <c r="A1636" t="s">
        <v>4161</v>
      </c>
      <c r="B1636" s="3">
        <v>44663</v>
      </c>
      <c r="C1636" t="s">
        <v>1432</v>
      </c>
      <c r="D1636" t="s">
        <v>3510</v>
      </c>
      <c r="E1636">
        <v>4</v>
      </c>
      <c r="F1636" t="s">
        <v>3524</v>
      </c>
      <c r="G1636" t="s">
        <v>3517</v>
      </c>
      <c r="H1636">
        <v>1</v>
      </c>
      <c r="I1636">
        <v>12</v>
      </c>
      <c r="J1636">
        <v>48</v>
      </c>
    </row>
    <row r="1637" spans="1:10" x14ac:dyDescent="0.25">
      <c r="A1637" t="s">
        <v>4162</v>
      </c>
      <c r="B1637" s="3">
        <v>45332</v>
      </c>
      <c r="C1637" t="s">
        <v>722</v>
      </c>
      <c r="D1637" t="s">
        <v>3471</v>
      </c>
      <c r="E1637">
        <v>1</v>
      </c>
      <c r="F1637" t="s">
        <v>3523</v>
      </c>
      <c r="G1637" t="s">
        <v>3517</v>
      </c>
      <c r="H1637">
        <v>1</v>
      </c>
      <c r="I1637">
        <v>13</v>
      </c>
      <c r="J1637">
        <v>13</v>
      </c>
    </row>
    <row r="1638" spans="1:10" x14ac:dyDescent="0.25">
      <c r="A1638" t="s">
        <v>4163</v>
      </c>
      <c r="B1638" s="3">
        <v>45619</v>
      </c>
      <c r="C1638" t="s">
        <v>932</v>
      </c>
      <c r="D1638" t="s">
        <v>3498</v>
      </c>
      <c r="E1638">
        <v>4</v>
      </c>
      <c r="F1638" t="s">
        <v>3523</v>
      </c>
      <c r="G1638" t="s">
        <v>3517</v>
      </c>
      <c r="H1638">
        <v>0.2</v>
      </c>
      <c r="I1638">
        <v>3.9</v>
      </c>
      <c r="J1638">
        <v>15.6</v>
      </c>
    </row>
    <row r="1639" spans="1:10" x14ac:dyDescent="0.25">
      <c r="A1639" t="s">
        <v>4164</v>
      </c>
      <c r="B1639" s="3">
        <v>45465</v>
      </c>
      <c r="C1639" t="s">
        <v>1921</v>
      </c>
      <c r="D1639" t="s">
        <v>3495</v>
      </c>
      <c r="E1639">
        <v>5</v>
      </c>
      <c r="F1639" t="s">
        <v>3525</v>
      </c>
      <c r="G1639" t="s">
        <v>3517</v>
      </c>
      <c r="H1639">
        <v>2.5</v>
      </c>
      <c r="I1639">
        <v>36.5</v>
      </c>
      <c r="J1639">
        <v>182.5</v>
      </c>
    </row>
    <row r="1640" spans="1:10" x14ac:dyDescent="0.25">
      <c r="A1640" t="s">
        <v>4165</v>
      </c>
      <c r="B1640" s="3">
        <v>43896</v>
      </c>
      <c r="C1640" t="s">
        <v>1223</v>
      </c>
      <c r="D1640" t="s">
        <v>3514</v>
      </c>
      <c r="E1640">
        <v>5</v>
      </c>
      <c r="F1640" t="s">
        <v>3526</v>
      </c>
      <c r="G1640" t="s">
        <v>3518</v>
      </c>
      <c r="H1640">
        <v>1</v>
      </c>
      <c r="I1640">
        <v>12.2</v>
      </c>
      <c r="J1640">
        <v>61</v>
      </c>
    </row>
    <row r="1641" spans="1:10" x14ac:dyDescent="0.25">
      <c r="A1641" t="s">
        <v>4166</v>
      </c>
      <c r="B1641" s="3">
        <v>44955</v>
      </c>
      <c r="C1641" t="s">
        <v>3408</v>
      </c>
      <c r="D1641" t="s">
        <v>3491</v>
      </c>
      <c r="E1641">
        <v>3</v>
      </c>
      <c r="F1641" t="s">
        <v>3525</v>
      </c>
      <c r="G1641" t="s">
        <v>3519</v>
      </c>
      <c r="H1641">
        <v>0.5</v>
      </c>
      <c r="I1641">
        <v>8.6999999999999993</v>
      </c>
      <c r="J1641">
        <v>26.1</v>
      </c>
    </row>
    <row r="1642" spans="1:10" x14ac:dyDescent="0.25">
      <c r="A1642" t="s">
        <v>4167</v>
      </c>
      <c r="B1642" s="3">
        <v>45337</v>
      </c>
      <c r="C1642" t="s">
        <v>1432</v>
      </c>
      <c r="D1642" t="s">
        <v>3505</v>
      </c>
      <c r="E1642">
        <v>1</v>
      </c>
      <c r="F1642" t="s">
        <v>3524</v>
      </c>
      <c r="G1642" t="s">
        <v>3519</v>
      </c>
      <c r="H1642">
        <v>0.2</v>
      </c>
      <c r="I1642">
        <v>3</v>
      </c>
      <c r="J1642">
        <v>3</v>
      </c>
    </row>
    <row r="1643" spans="1:10" x14ac:dyDescent="0.25">
      <c r="A1643" t="s">
        <v>4168</v>
      </c>
      <c r="B1643" s="3">
        <v>44082</v>
      </c>
      <c r="C1643" t="s">
        <v>959</v>
      </c>
      <c r="D1643" t="s">
        <v>3486</v>
      </c>
      <c r="E1643">
        <v>3</v>
      </c>
      <c r="F1643" t="s">
        <v>3523</v>
      </c>
      <c r="G1643" t="s">
        <v>3519</v>
      </c>
      <c r="H1643">
        <v>1</v>
      </c>
      <c r="I1643">
        <v>11.3</v>
      </c>
      <c r="J1643">
        <v>33.9</v>
      </c>
    </row>
    <row r="1644" spans="1:10" x14ac:dyDescent="0.25">
      <c r="A1644" t="s">
        <v>4169</v>
      </c>
      <c r="B1644" s="3">
        <v>44532</v>
      </c>
      <c r="C1644" t="s">
        <v>1196</v>
      </c>
      <c r="D1644" t="s">
        <v>3501</v>
      </c>
      <c r="E1644">
        <v>5</v>
      </c>
      <c r="F1644" t="s">
        <v>3525</v>
      </c>
      <c r="G1644" t="s">
        <v>3517</v>
      </c>
      <c r="H1644">
        <v>1</v>
      </c>
      <c r="I1644">
        <v>15.9</v>
      </c>
      <c r="J1644">
        <v>79.5</v>
      </c>
    </row>
    <row r="1645" spans="1:10" x14ac:dyDescent="0.25">
      <c r="A1645" t="s">
        <v>4170</v>
      </c>
      <c r="B1645" s="3">
        <v>43936</v>
      </c>
      <c r="C1645" t="s">
        <v>2566</v>
      </c>
      <c r="D1645" t="s">
        <v>3485</v>
      </c>
      <c r="E1645">
        <v>4</v>
      </c>
      <c r="F1645" t="s">
        <v>3523</v>
      </c>
      <c r="G1645" t="s">
        <v>3518</v>
      </c>
      <c r="H1645">
        <v>0.2</v>
      </c>
      <c r="I1645">
        <v>3</v>
      </c>
      <c r="J1645">
        <v>12</v>
      </c>
    </row>
    <row r="1646" spans="1:10" x14ac:dyDescent="0.25">
      <c r="A1646" t="s">
        <v>4171</v>
      </c>
      <c r="B1646" s="3">
        <v>43685</v>
      </c>
      <c r="C1646" t="s">
        <v>2751</v>
      </c>
      <c r="D1646" t="s">
        <v>3491</v>
      </c>
      <c r="E1646">
        <v>6</v>
      </c>
      <c r="F1646" t="s">
        <v>3525</v>
      </c>
      <c r="G1646" t="s">
        <v>3519</v>
      </c>
      <c r="H1646">
        <v>0.5</v>
      </c>
      <c r="I1646">
        <v>8.6999999999999993</v>
      </c>
      <c r="J1646">
        <v>52.2</v>
      </c>
    </row>
    <row r="1647" spans="1:10" x14ac:dyDescent="0.25">
      <c r="A1647" t="s">
        <v>4172</v>
      </c>
      <c r="B1647" s="3">
        <v>45072</v>
      </c>
      <c r="C1647" t="s">
        <v>632</v>
      </c>
      <c r="D1647" t="s">
        <v>3478</v>
      </c>
      <c r="E1647">
        <v>6</v>
      </c>
      <c r="F1647" t="s">
        <v>3523</v>
      </c>
      <c r="G1647" t="s">
        <v>3518</v>
      </c>
      <c r="H1647">
        <v>1</v>
      </c>
      <c r="I1647">
        <v>10</v>
      </c>
      <c r="J1647">
        <v>60</v>
      </c>
    </row>
    <row r="1648" spans="1:10" x14ac:dyDescent="0.25">
      <c r="A1648" t="s">
        <v>4173</v>
      </c>
      <c r="B1648" s="3">
        <v>44027</v>
      </c>
      <c r="C1648" t="s">
        <v>646</v>
      </c>
      <c r="D1648" t="s">
        <v>3507</v>
      </c>
      <c r="E1648">
        <v>1</v>
      </c>
      <c r="F1648" t="s">
        <v>3526</v>
      </c>
      <c r="G1648" t="s">
        <v>3517</v>
      </c>
      <c r="H1648">
        <v>0.5</v>
      </c>
      <c r="I1648">
        <v>8.9</v>
      </c>
      <c r="J1648">
        <v>8.9</v>
      </c>
    </row>
    <row r="1649" spans="1:10" x14ac:dyDescent="0.25">
      <c r="A1649" t="s">
        <v>4174</v>
      </c>
      <c r="B1649" s="3">
        <v>44861</v>
      </c>
      <c r="C1649" t="s">
        <v>2462</v>
      </c>
      <c r="D1649" t="s">
        <v>3501</v>
      </c>
      <c r="E1649">
        <v>1</v>
      </c>
      <c r="F1649" t="s">
        <v>3525</v>
      </c>
      <c r="G1649" t="s">
        <v>3517</v>
      </c>
      <c r="H1649">
        <v>1</v>
      </c>
      <c r="I1649">
        <v>15.9</v>
      </c>
      <c r="J1649">
        <v>15.9</v>
      </c>
    </row>
    <row r="1650" spans="1:10" x14ac:dyDescent="0.25">
      <c r="A1650" t="s">
        <v>4175</v>
      </c>
      <c r="B1650" s="3">
        <v>44056</v>
      </c>
      <c r="C1650" t="s">
        <v>3033</v>
      </c>
      <c r="D1650" t="s">
        <v>3477</v>
      </c>
      <c r="E1650">
        <v>2</v>
      </c>
      <c r="F1650" t="s">
        <v>3524</v>
      </c>
      <c r="G1650" t="s">
        <v>3519</v>
      </c>
      <c r="H1650">
        <v>0.5</v>
      </c>
      <c r="I1650">
        <v>6</v>
      </c>
      <c r="J1650">
        <v>12</v>
      </c>
    </row>
    <row r="1651" spans="1:10" x14ac:dyDescent="0.25">
      <c r="A1651" t="s">
        <v>4176</v>
      </c>
      <c r="B1651" s="3">
        <v>45012</v>
      </c>
      <c r="C1651" t="s">
        <v>3290</v>
      </c>
      <c r="D1651" t="s">
        <v>3474</v>
      </c>
      <c r="E1651">
        <v>3</v>
      </c>
      <c r="F1651" t="s">
        <v>3525</v>
      </c>
      <c r="G1651" t="s">
        <v>3518</v>
      </c>
      <c r="H1651">
        <v>1</v>
      </c>
      <c r="I1651">
        <v>13</v>
      </c>
      <c r="J1651">
        <v>39</v>
      </c>
    </row>
    <row r="1652" spans="1:10" x14ac:dyDescent="0.25">
      <c r="A1652" t="s">
        <v>4177</v>
      </c>
      <c r="B1652" s="3">
        <v>44087</v>
      </c>
      <c r="C1652" t="s">
        <v>1402</v>
      </c>
      <c r="D1652" t="s">
        <v>3489</v>
      </c>
      <c r="E1652">
        <v>1</v>
      </c>
      <c r="F1652" t="s">
        <v>3523</v>
      </c>
      <c r="G1652" t="s">
        <v>3518</v>
      </c>
      <c r="H1652">
        <v>0.5</v>
      </c>
      <c r="I1652">
        <v>6</v>
      </c>
      <c r="J1652">
        <v>6</v>
      </c>
    </row>
    <row r="1653" spans="1:10" x14ac:dyDescent="0.25">
      <c r="A1653" t="s">
        <v>4178</v>
      </c>
      <c r="B1653" s="3">
        <v>44839</v>
      </c>
      <c r="C1653" t="s">
        <v>3330</v>
      </c>
      <c r="D1653" t="s">
        <v>3479</v>
      </c>
      <c r="E1653">
        <v>6</v>
      </c>
      <c r="F1653" t="s">
        <v>3526</v>
      </c>
      <c r="G1653" t="s">
        <v>3517</v>
      </c>
      <c r="H1653">
        <v>2.5</v>
      </c>
      <c r="I1653">
        <v>34.200000000000003</v>
      </c>
      <c r="J1653">
        <v>205.2</v>
      </c>
    </row>
    <row r="1654" spans="1:10" x14ac:dyDescent="0.25">
      <c r="A1654" t="s">
        <v>4179</v>
      </c>
      <c r="B1654" s="3">
        <v>45382</v>
      </c>
      <c r="C1654" t="s">
        <v>2036</v>
      </c>
      <c r="D1654" t="s">
        <v>3495</v>
      </c>
      <c r="E1654">
        <v>2</v>
      </c>
      <c r="F1654" t="s">
        <v>3525</v>
      </c>
      <c r="G1654" t="s">
        <v>3517</v>
      </c>
      <c r="H1654">
        <v>2.5</v>
      </c>
      <c r="I1654">
        <v>36.5</v>
      </c>
      <c r="J1654">
        <v>73</v>
      </c>
    </row>
    <row r="1655" spans="1:10" x14ac:dyDescent="0.25">
      <c r="A1655" t="s">
        <v>4180</v>
      </c>
      <c r="B1655" s="3">
        <v>45008</v>
      </c>
      <c r="C1655" t="s">
        <v>1333</v>
      </c>
      <c r="D1655" t="s">
        <v>3476</v>
      </c>
      <c r="E1655">
        <v>2</v>
      </c>
      <c r="F1655" t="s">
        <v>3525</v>
      </c>
      <c r="G1655" t="s">
        <v>3517</v>
      </c>
      <c r="H1655">
        <v>0.2</v>
      </c>
      <c r="I1655">
        <v>4.8</v>
      </c>
      <c r="J1655">
        <v>9.6</v>
      </c>
    </row>
    <row r="1656" spans="1:10" x14ac:dyDescent="0.25">
      <c r="A1656" t="s">
        <v>4181</v>
      </c>
      <c r="B1656" s="3">
        <v>44804</v>
      </c>
      <c r="C1656" t="s">
        <v>766</v>
      </c>
      <c r="D1656" t="s">
        <v>3514</v>
      </c>
      <c r="E1656">
        <v>3</v>
      </c>
      <c r="F1656" t="s">
        <v>3526</v>
      </c>
      <c r="G1656" t="s">
        <v>3518</v>
      </c>
      <c r="H1656">
        <v>1</v>
      </c>
      <c r="I1656">
        <v>12.2</v>
      </c>
      <c r="J1656">
        <v>36.6</v>
      </c>
    </row>
    <row r="1657" spans="1:10" x14ac:dyDescent="0.25">
      <c r="A1657" t="s">
        <v>4182</v>
      </c>
      <c r="B1657" s="3">
        <v>44746</v>
      </c>
      <c r="C1657" t="s">
        <v>1426</v>
      </c>
      <c r="D1657" t="s">
        <v>3506</v>
      </c>
      <c r="E1657">
        <v>5</v>
      </c>
      <c r="F1657" t="s">
        <v>3523</v>
      </c>
      <c r="G1657" t="s">
        <v>3519</v>
      </c>
      <c r="H1657">
        <v>2.5</v>
      </c>
      <c r="I1657">
        <v>25.9</v>
      </c>
      <c r="J1657">
        <v>129.5</v>
      </c>
    </row>
    <row r="1658" spans="1:10" x14ac:dyDescent="0.25">
      <c r="A1658" t="s">
        <v>4183</v>
      </c>
      <c r="B1658" s="3">
        <v>44793</v>
      </c>
      <c r="C1658" t="s">
        <v>2536</v>
      </c>
      <c r="D1658" t="s">
        <v>3506</v>
      </c>
      <c r="E1658">
        <v>6</v>
      </c>
      <c r="F1658" t="s">
        <v>3523</v>
      </c>
      <c r="G1658" t="s">
        <v>3519</v>
      </c>
      <c r="H1658">
        <v>2.5</v>
      </c>
      <c r="I1658">
        <v>25.9</v>
      </c>
      <c r="J1658">
        <v>155.4</v>
      </c>
    </row>
    <row r="1659" spans="1:10" x14ac:dyDescent="0.25">
      <c r="A1659" t="s">
        <v>4184</v>
      </c>
      <c r="B1659" s="3">
        <v>45074</v>
      </c>
      <c r="C1659" t="s">
        <v>1942</v>
      </c>
      <c r="D1659" t="s">
        <v>3499</v>
      </c>
      <c r="E1659">
        <v>5</v>
      </c>
      <c r="F1659" t="s">
        <v>3523</v>
      </c>
      <c r="G1659" t="s">
        <v>3518</v>
      </c>
      <c r="H1659">
        <v>2.5</v>
      </c>
      <c r="I1659">
        <v>22.9</v>
      </c>
      <c r="J1659">
        <v>114.5</v>
      </c>
    </row>
    <row r="1660" spans="1:10" x14ac:dyDescent="0.25">
      <c r="A1660" t="s">
        <v>4185</v>
      </c>
      <c r="B1660" s="3">
        <v>45038</v>
      </c>
      <c r="C1660" t="s">
        <v>1816</v>
      </c>
      <c r="D1660" t="s">
        <v>3470</v>
      </c>
      <c r="E1660">
        <v>6</v>
      </c>
      <c r="F1660" t="s">
        <v>3526</v>
      </c>
      <c r="G1660" t="s">
        <v>3519</v>
      </c>
      <c r="H1660">
        <v>0.5</v>
      </c>
      <c r="I1660">
        <v>8.3000000000000007</v>
      </c>
      <c r="J1660">
        <v>49.8</v>
      </c>
    </row>
    <row r="1661" spans="1:10" x14ac:dyDescent="0.25">
      <c r="A1661" t="s">
        <v>4186</v>
      </c>
      <c r="B1661" s="3">
        <v>44784</v>
      </c>
      <c r="C1661" t="s">
        <v>1438</v>
      </c>
      <c r="D1661" t="s">
        <v>3508</v>
      </c>
      <c r="E1661">
        <v>5</v>
      </c>
      <c r="F1661" t="s">
        <v>3524</v>
      </c>
      <c r="G1661" t="s">
        <v>3518</v>
      </c>
      <c r="H1661">
        <v>1</v>
      </c>
      <c r="I1661">
        <v>9</v>
      </c>
      <c r="J1661">
        <v>45</v>
      </c>
    </row>
    <row r="1662" spans="1:10" x14ac:dyDescent="0.25">
      <c r="A1662" t="s">
        <v>4187</v>
      </c>
      <c r="B1662" s="3">
        <v>43676</v>
      </c>
      <c r="C1662" t="s">
        <v>2003</v>
      </c>
      <c r="D1662" t="s">
        <v>3496</v>
      </c>
      <c r="E1662">
        <v>6</v>
      </c>
      <c r="F1662" t="s">
        <v>3525</v>
      </c>
      <c r="G1662" t="s">
        <v>3518</v>
      </c>
      <c r="H1662">
        <v>2.5</v>
      </c>
      <c r="I1662">
        <v>29.8</v>
      </c>
      <c r="J1662">
        <v>178.8</v>
      </c>
    </row>
    <row r="1663" spans="1:10" x14ac:dyDescent="0.25">
      <c r="A1663" t="s">
        <v>4188</v>
      </c>
      <c r="B1663" s="3">
        <v>44939</v>
      </c>
      <c r="C1663" t="s">
        <v>3022</v>
      </c>
      <c r="D1663" t="s">
        <v>3476</v>
      </c>
      <c r="E1663">
        <v>5</v>
      </c>
      <c r="F1663" t="s">
        <v>3525</v>
      </c>
      <c r="G1663" t="s">
        <v>3517</v>
      </c>
      <c r="H1663">
        <v>0.2</v>
      </c>
      <c r="I1663">
        <v>4.8</v>
      </c>
      <c r="J1663">
        <v>24</v>
      </c>
    </row>
    <row r="1664" spans="1:10" x14ac:dyDescent="0.25">
      <c r="A1664" t="s">
        <v>4189</v>
      </c>
      <c r="B1664" s="3">
        <v>44848</v>
      </c>
      <c r="C1664" t="s">
        <v>2284</v>
      </c>
      <c r="D1664" t="s">
        <v>3510</v>
      </c>
      <c r="E1664">
        <v>5</v>
      </c>
      <c r="F1664" t="s">
        <v>3524</v>
      </c>
      <c r="G1664" t="s">
        <v>3517</v>
      </c>
      <c r="H1664">
        <v>1</v>
      </c>
      <c r="I1664">
        <v>12</v>
      </c>
      <c r="J1664">
        <v>60</v>
      </c>
    </row>
    <row r="1665" spans="1:10" x14ac:dyDescent="0.25">
      <c r="A1665" t="s">
        <v>4190</v>
      </c>
      <c r="B1665" s="3">
        <v>43669</v>
      </c>
      <c r="C1665" t="s">
        <v>2618</v>
      </c>
      <c r="D1665" t="s">
        <v>3470</v>
      </c>
      <c r="E1665">
        <v>2</v>
      </c>
      <c r="F1665" t="s">
        <v>3526</v>
      </c>
      <c r="G1665" t="s">
        <v>3519</v>
      </c>
      <c r="H1665">
        <v>0.5</v>
      </c>
      <c r="I1665">
        <v>8.3000000000000007</v>
      </c>
      <c r="J1665">
        <v>16.600000000000001</v>
      </c>
    </row>
    <row r="1666" spans="1:10" x14ac:dyDescent="0.25">
      <c r="A1666" t="s">
        <v>4191</v>
      </c>
      <c r="B1666" s="3">
        <v>43645</v>
      </c>
      <c r="C1666" t="s">
        <v>1482</v>
      </c>
      <c r="D1666" t="s">
        <v>3488</v>
      </c>
      <c r="E1666">
        <v>5</v>
      </c>
      <c r="F1666" t="s">
        <v>3523</v>
      </c>
      <c r="G1666" t="s">
        <v>3519</v>
      </c>
      <c r="H1666">
        <v>0.5</v>
      </c>
      <c r="I1666">
        <v>6.8</v>
      </c>
      <c r="J1666">
        <v>34</v>
      </c>
    </row>
    <row r="1667" spans="1:10" x14ac:dyDescent="0.25">
      <c r="A1667" t="s">
        <v>4192</v>
      </c>
      <c r="B1667" s="3">
        <v>45608</v>
      </c>
      <c r="C1667" t="s">
        <v>2435</v>
      </c>
      <c r="D1667" t="s">
        <v>3510</v>
      </c>
      <c r="E1667">
        <v>3</v>
      </c>
      <c r="F1667" t="s">
        <v>3524</v>
      </c>
      <c r="G1667" t="s">
        <v>3517</v>
      </c>
      <c r="H1667">
        <v>1</v>
      </c>
      <c r="I1667">
        <v>12</v>
      </c>
      <c r="J1667">
        <v>36</v>
      </c>
    </row>
    <row r="1668" spans="1:10" x14ac:dyDescent="0.25">
      <c r="A1668" t="s">
        <v>4193</v>
      </c>
      <c r="B1668" s="3">
        <v>45105</v>
      </c>
      <c r="C1668" t="s">
        <v>2137</v>
      </c>
      <c r="D1668" t="s">
        <v>3473</v>
      </c>
      <c r="E1668">
        <v>1</v>
      </c>
      <c r="F1668" t="s">
        <v>3524</v>
      </c>
      <c r="G1668" t="s">
        <v>3517</v>
      </c>
      <c r="H1668">
        <v>2.5</v>
      </c>
      <c r="I1668">
        <v>27.5</v>
      </c>
      <c r="J1668">
        <v>27.5</v>
      </c>
    </row>
    <row r="1669" spans="1:10" x14ac:dyDescent="0.25">
      <c r="A1669" t="s">
        <v>4194</v>
      </c>
      <c r="B1669" s="3">
        <v>45253</v>
      </c>
      <c r="C1669" t="s">
        <v>2714</v>
      </c>
      <c r="D1669" t="s">
        <v>3481</v>
      </c>
      <c r="E1669">
        <v>5</v>
      </c>
      <c r="F1669" t="s">
        <v>3525</v>
      </c>
      <c r="G1669" t="s">
        <v>3518</v>
      </c>
      <c r="H1669">
        <v>0.2</v>
      </c>
      <c r="I1669">
        <v>3.9</v>
      </c>
      <c r="J1669">
        <v>19.5</v>
      </c>
    </row>
    <row r="1670" spans="1:10" x14ac:dyDescent="0.25">
      <c r="A1670" t="s">
        <v>4195</v>
      </c>
      <c r="B1670" s="3">
        <v>45657</v>
      </c>
      <c r="C1670" t="s">
        <v>2041</v>
      </c>
      <c r="D1670" t="s">
        <v>3480</v>
      </c>
      <c r="E1670">
        <v>3</v>
      </c>
      <c r="F1670" t="s">
        <v>3524</v>
      </c>
      <c r="G1670" t="s">
        <v>3518</v>
      </c>
      <c r="H1670">
        <v>2.5</v>
      </c>
      <c r="I1670">
        <v>20.6</v>
      </c>
      <c r="J1670">
        <v>61.8</v>
      </c>
    </row>
    <row r="1671" spans="1:10" x14ac:dyDescent="0.25">
      <c r="A1671" t="s">
        <v>4196</v>
      </c>
      <c r="B1671" s="3">
        <v>44341</v>
      </c>
      <c r="C1671" t="s">
        <v>3303</v>
      </c>
      <c r="D1671" t="s">
        <v>3509</v>
      </c>
      <c r="E1671">
        <v>5</v>
      </c>
      <c r="F1671" t="s">
        <v>3524</v>
      </c>
      <c r="G1671" t="s">
        <v>3517</v>
      </c>
      <c r="H1671">
        <v>0.2</v>
      </c>
      <c r="I1671">
        <v>3.6</v>
      </c>
      <c r="J1671">
        <v>18</v>
      </c>
    </row>
    <row r="1672" spans="1:10" x14ac:dyDescent="0.25">
      <c r="A1672" t="s">
        <v>4197</v>
      </c>
      <c r="B1672" s="3">
        <v>44686</v>
      </c>
      <c r="C1672" t="s">
        <v>2210</v>
      </c>
      <c r="D1672" t="s">
        <v>3498</v>
      </c>
      <c r="E1672">
        <v>2</v>
      </c>
      <c r="F1672" t="s">
        <v>3523</v>
      </c>
      <c r="G1672" t="s">
        <v>3517</v>
      </c>
      <c r="H1672">
        <v>0.2</v>
      </c>
      <c r="I1672">
        <v>3.9</v>
      </c>
      <c r="J1672">
        <v>7.8</v>
      </c>
    </row>
    <row r="1673" spans="1:10" x14ac:dyDescent="0.25">
      <c r="A1673" t="s">
        <v>4198</v>
      </c>
      <c r="B1673" s="3">
        <v>44742</v>
      </c>
      <c r="C1673" t="s">
        <v>2494</v>
      </c>
      <c r="D1673" t="s">
        <v>3475</v>
      </c>
      <c r="E1673">
        <v>1</v>
      </c>
      <c r="F1673" t="s">
        <v>3526</v>
      </c>
      <c r="G1673" t="s">
        <v>3518</v>
      </c>
      <c r="H1673">
        <v>0.5</v>
      </c>
      <c r="I1673">
        <v>7.3</v>
      </c>
      <c r="J1673">
        <v>7.3</v>
      </c>
    </row>
    <row r="1674" spans="1:10" x14ac:dyDescent="0.25">
      <c r="A1674" t="s">
        <v>4199</v>
      </c>
      <c r="B1674" s="3">
        <v>44979</v>
      </c>
      <c r="C1674" t="s">
        <v>1348</v>
      </c>
      <c r="D1674" t="s">
        <v>3515</v>
      </c>
      <c r="E1674">
        <v>3</v>
      </c>
      <c r="F1674" t="s">
        <v>3526</v>
      </c>
      <c r="G1674" t="s">
        <v>3517</v>
      </c>
      <c r="H1674">
        <v>0.2</v>
      </c>
      <c r="I1674">
        <v>4.5</v>
      </c>
      <c r="J1674">
        <v>13.5</v>
      </c>
    </row>
    <row r="1675" spans="1:10" x14ac:dyDescent="0.25">
      <c r="A1675" t="s">
        <v>4200</v>
      </c>
      <c r="B1675" s="3">
        <v>44897</v>
      </c>
      <c r="C1675" t="s">
        <v>2400</v>
      </c>
      <c r="D1675" t="s">
        <v>3502</v>
      </c>
      <c r="E1675">
        <v>5</v>
      </c>
      <c r="F1675" t="s">
        <v>3526</v>
      </c>
      <c r="G1675" t="s">
        <v>3517</v>
      </c>
      <c r="H1675">
        <v>1</v>
      </c>
      <c r="I1675">
        <v>14.9</v>
      </c>
      <c r="J1675">
        <v>74.5</v>
      </c>
    </row>
    <row r="1676" spans="1:10" x14ac:dyDescent="0.25">
      <c r="A1676" t="s">
        <v>4201</v>
      </c>
      <c r="B1676" s="3">
        <v>44770</v>
      </c>
      <c r="C1676" t="s">
        <v>737</v>
      </c>
      <c r="D1676" t="s">
        <v>3508</v>
      </c>
      <c r="E1676">
        <v>4</v>
      </c>
      <c r="F1676" t="s">
        <v>3524</v>
      </c>
      <c r="G1676" t="s">
        <v>3518</v>
      </c>
      <c r="H1676">
        <v>1</v>
      </c>
      <c r="I1676">
        <v>9</v>
      </c>
      <c r="J1676">
        <v>36</v>
      </c>
    </row>
    <row r="1677" spans="1:10" x14ac:dyDescent="0.25">
      <c r="A1677" t="s">
        <v>4202</v>
      </c>
      <c r="B1677" s="3">
        <v>44165</v>
      </c>
      <c r="C1677" t="s">
        <v>3423</v>
      </c>
      <c r="D1677" t="s">
        <v>3484</v>
      </c>
      <c r="E1677">
        <v>1</v>
      </c>
      <c r="F1677" t="s">
        <v>3526</v>
      </c>
      <c r="G1677" t="s">
        <v>3518</v>
      </c>
      <c r="H1677">
        <v>0.2</v>
      </c>
      <c r="I1677">
        <v>3.6</v>
      </c>
      <c r="J1677">
        <v>3.6</v>
      </c>
    </row>
    <row r="1678" spans="1:10" x14ac:dyDescent="0.25">
      <c r="A1678" t="s">
        <v>4203</v>
      </c>
      <c r="B1678" s="3">
        <v>44808</v>
      </c>
      <c r="C1678" t="s">
        <v>1761</v>
      </c>
      <c r="D1678" t="s">
        <v>3474</v>
      </c>
      <c r="E1678">
        <v>4</v>
      </c>
      <c r="F1678" t="s">
        <v>3525</v>
      </c>
      <c r="G1678" t="s">
        <v>3518</v>
      </c>
      <c r="H1678">
        <v>1</v>
      </c>
      <c r="I1678">
        <v>13</v>
      </c>
      <c r="J1678">
        <v>52</v>
      </c>
    </row>
    <row r="1679" spans="1:10" x14ac:dyDescent="0.25">
      <c r="A1679" t="s">
        <v>4204</v>
      </c>
      <c r="B1679" s="3">
        <v>45371</v>
      </c>
      <c r="C1679" t="s">
        <v>1556</v>
      </c>
      <c r="D1679" t="s">
        <v>3498</v>
      </c>
      <c r="E1679">
        <v>4</v>
      </c>
      <c r="F1679" t="s">
        <v>3523</v>
      </c>
      <c r="G1679" t="s">
        <v>3517</v>
      </c>
      <c r="H1679">
        <v>0.2</v>
      </c>
      <c r="I1679">
        <v>3.9</v>
      </c>
      <c r="J1679">
        <v>15.6</v>
      </c>
    </row>
    <row r="1680" spans="1:10" x14ac:dyDescent="0.25">
      <c r="A1680" t="s">
        <v>4205</v>
      </c>
      <c r="B1680" s="3">
        <v>45629</v>
      </c>
      <c r="C1680" t="s">
        <v>2027</v>
      </c>
      <c r="D1680" t="s">
        <v>3507</v>
      </c>
      <c r="E1680">
        <v>1</v>
      </c>
      <c r="F1680" t="s">
        <v>3526</v>
      </c>
      <c r="G1680" t="s">
        <v>3517</v>
      </c>
      <c r="H1680">
        <v>0.5</v>
      </c>
      <c r="I1680">
        <v>8.9</v>
      </c>
      <c r="J1680">
        <v>8.9</v>
      </c>
    </row>
    <row r="1681" spans="1:10" x14ac:dyDescent="0.25">
      <c r="A1681" t="s">
        <v>4206</v>
      </c>
      <c r="B1681" s="3">
        <v>44970</v>
      </c>
      <c r="C1681" t="s">
        <v>790</v>
      </c>
      <c r="D1681" t="s">
        <v>3515</v>
      </c>
      <c r="E1681">
        <v>5</v>
      </c>
      <c r="F1681" t="s">
        <v>3526</v>
      </c>
      <c r="G1681" t="s">
        <v>3517</v>
      </c>
      <c r="H1681">
        <v>0.2</v>
      </c>
      <c r="I1681">
        <v>4.5</v>
      </c>
      <c r="J1681">
        <v>22.5</v>
      </c>
    </row>
    <row r="1682" spans="1:10" x14ac:dyDescent="0.25">
      <c r="A1682" t="s">
        <v>4207</v>
      </c>
      <c r="B1682" s="3">
        <v>45248</v>
      </c>
      <c r="C1682" t="s">
        <v>3378</v>
      </c>
      <c r="D1682" t="s">
        <v>3494</v>
      </c>
      <c r="E1682">
        <v>2</v>
      </c>
      <c r="F1682" t="s">
        <v>3524</v>
      </c>
      <c r="G1682" t="s">
        <v>3518</v>
      </c>
      <c r="H1682">
        <v>0.2</v>
      </c>
      <c r="I1682">
        <v>2.7</v>
      </c>
      <c r="J1682">
        <v>5.4</v>
      </c>
    </row>
    <row r="1683" spans="1:10" x14ac:dyDescent="0.25">
      <c r="A1683" t="s">
        <v>4208</v>
      </c>
      <c r="B1683" s="3">
        <v>45255</v>
      </c>
      <c r="C1683" t="s">
        <v>2236</v>
      </c>
      <c r="D1683" t="s">
        <v>3485</v>
      </c>
      <c r="E1683">
        <v>6</v>
      </c>
      <c r="F1683" t="s">
        <v>3523</v>
      </c>
      <c r="G1683" t="s">
        <v>3518</v>
      </c>
      <c r="H1683">
        <v>0.2</v>
      </c>
      <c r="I1683">
        <v>3</v>
      </c>
      <c r="J1683">
        <v>18</v>
      </c>
    </row>
    <row r="1684" spans="1:10" x14ac:dyDescent="0.25">
      <c r="A1684" t="s">
        <v>4209</v>
      </c>
      <c r="B1684" s="3">
        <v>45112</v>
      </c>
      <c r="C1684" t="s">
        <v>2113</v>
      </c>
      <c r="D1684" t="s">
        <v>3471</v>
      </c>
      <c r="E1684">
        <v>3</v>
      </c>
      <c r="F1684" t="s">
        <v>3523</v>
      </c>
      <c r="G1684" t="s">
        <v>3517</v>
      </c>
      <c r="H1684">
        <v>1</v>
      </c>
      <c r="I1684">
        <v>13</v>
      </c>
      <c r="J1684">
        <v>39</v>
      </c>
    </row>
    <row r="1685" spans="1:10" x14ac:dyDescent="0.25">
      <c r="A1685" t="s">
        <v>4210</v>
      </c>
      <c r="B1685" s="3">
        <v>45313</v>
      </c>
      <c r="C1685" t="s">
        <v>2350</v>
      </c>
      <c r="D1685" t="s">
        <v>3516</v>
      </c>
      <c r="E1685">
        <v>5</v>
      </c>
      <c r="F1685" t="s">
        <v>3526</v>
      </c>
      <c r="G1685" t="s">
        <v>3518</v>
      </c>
      <c r="H1685">
        <v>2.5</v>
      </c>
      <c r="I1685">
        <v>27.9</v>
      </c>
      <c r="J1685">
        <v>139.5</v>
      </c>
    </row>
    <row r="1686" spans="1:10" x14ac:dyDescent="0.25">
      <c r="A1686" t="s">
        <v>4211</v>
      </c>
      <c r="B1686" s="3">
        <v>43999</v>
      </c>
      <c r="C1686" t="s">
        <v>2708</v>
      </c>
      <c r="D1686" t="s">
        <v>3498</v>
      </c>
      <c r="E1686">
        <v>4</v>
      </c>
      <c r="F1686" t="s">
        <v>3523</v>
      </c>
      <c r="G1686" t="s">
        <v>3517</v>
      </c>
      <c r="H1686">
        <v>0.2</v>
      </c>
      <c r="I1686">
        <v>3.9</v>
      </c>
      <c r="J1686">
        <v>15.6</v>
      </c>
    </row>
    <row r="1687" spans="1:10" x14ac:dyDescent="0.25">
      <c r="A1687" t="s">
        <v>4212</v>
      </c>
      <c r="B1687" s="3">
        <v>44868</v>
      </c>
      <c r="C1687" t="s">
        <v>1822</v>
      </c>
      <c r="D1687" t="s">
        <v>3484</v>
      </c>
      <c r="E1687">
        <v>5</v>
      </c>
      <c r="F1687" t="s">
        <v>3526</v>
      </c>
      <c r="G1687" t="s">
        <v>3518</v>
      </c>
      <c r="H1687">
        <v>0.2</v>
      </c>
      <c r="I1687">
        <v>3.6</v>
      </c>
      <c r="J1687">
        <v>18</v>
      </c>
    </row>
    <row r="1688" spans="1:10" x14ac:dyDescent="0.25">
      <c r="A1688" t="s">
        <v>4213</v>
      </c>
      <c r="B1688" s="3">
        <v>45055</v>
      </c>
      <c r="C1688" t="s">
        <v>1306</v>
      </c>
      <c r="D1688" t="s">
        <v>3473</v>
      </c>
      <c r="E1688">
        <v>3</v>
      </c>
      <c r="F1688" t="s">
        <v>3524</v>
      </c>
      <c r="G1688" t="s">
        <v>3517</v>
      </c>
      <c r="H1688">
        <v>2.5</v>
      </c>
      <c r="I1688">
        <v>27.5</v>
      </c>
      <c r="J1688">
        <v>82.5</v>
      </c>
    </row>
    <row r="1689" spans="1:10" x14ac:dyDescent="0.25">
      <c r="A1689" t="s">
        <v>4214</v>
      </c>
      <c r="B1689" s="3">
        <v>45083</v>
      </c>
      <c r="C1689" t="s">
        <v>2210</v>
      </c>
      <c r="D1689" t="s">
        <v>3469</v>
      </c>
      <c r="E1689">
        <v>3</v>
      </c>
      <c r="F1689" t="s">
        <v>3524</v>
      </c>
      <c r="G1689" t="s">
        <v>3519</v>
      </c>
      <c r="H1689">
        <v>1</v>
      </c>
      <c r="I1689">
        <v>10</v>
      </c>
      <c r="J1689">
        <v>30</v>
      </c>
    </row>
    <row r="1690" spans="1:10" x14ac:dyDescent="0.25">
      <c r="A1690" t="s">
        <v>4215</v>
      </c>
      <c r="B1690" s="3">
        <v>44763</v>
      </c>
      <c r="C1690" t="s">
        <v>1071</v>
      </c>
      <c r="D1690" t="s">
        <v>3505</v>
      </c>
      <c r="E1690">
        <v>4</v>
      </c>
      <c r="F1690" t="s">
        <v>3524</v>
      </c>
      <c r="G1690" t="s">
        <v>3519</v>
      </c>
      <c r="H1690">
        <v>0.2</v>
      </c>
      <c r="I1690">
        <v>3</v>
      </c>
      <c r="J1690">
        <v>12</v>
      </c>
    </row>
    <row r="1691" spans="1:10" x14ac:dyDescent="0.25">
      <c r="A1691" t="s">
        <v>4216</v>
      </c>
      <c r="B1691" s="3">
        <v>44666</v>
      </c>
      <c r="C1691" t="s">
        <v>1062</v>
      </c>
      <c r="D1691" t="s">
        <v>3514</v>
      </c>
      <c r="E1691">
        <v>3</v>
      </c>
      <c r="F1691" t="s">
        <v>3526</v>
      </c>
      <c r="G1691" t="s">
        <v>3518</v>
      </c>
      <c r="H1691">
        <v>1</v>
      </c>
      <c r="I1691">
        <v>12.2</v>
      </c>
      <c r="J1691">
        <v>36.6</v>
      </c>
    </row>
    <row r="1692" spans="1:10" x14ac:dyDescent="0.25">
      <c r="A1692" t="s">
        <v>4217</v>
      </c>
      <c r="B1692" s="3">
        <v>45467</v>
      </c>
      <c r="C1692" t="s">
        <v>2924</v>
      </c>
      <c r="D1692" t="s">
        <v>3478</v>
      </c>
      <c r="E1692">
        <v>2</v>
      </c>
      <c r="F1692" t="s">
        <v>3523</v>
      </c>
      <c r="G1692" t="s">
        <v>3518</v>
      </c>
      <c r="H1692">
        <v>1</v>
      </c>
      <c r="I1692">
        <v>10</v>
      </c>
      <c r="J1692">
        <v>20</v>
      </c>
    </row>
    <row r="1693" spans="1:10" x14ac:dyDescent="0.25">
      <c r="A1693" t="s">
        <v>4218</v>
      </c>
      <c r="B1693" s="3">
        <v>45613</v>
      </c>
      <c r="C1693" t="s">
        <v>1806</v>
      </c>
      <c r="D1693" t="s">
        <v>3486</v>
      </c>
      <c r="E1693">
        <v>6</v>
      </c>
      <c r="F1693" t="s">
        <v>3523</v>
      </c>
      <c r="G1693" t="s">
        <v>3519</v>
      </c>
      <c r="H1693">
        <v>1</v>
      </c>
      <c r="I1693">
        <v>11.3</v>
      </c>
      <c r="J1693">
        <v>67.8</v>
      </c>
    </row>
    <row r="1694" spans="1:10" x14ac:dyDescent="0.25">
      <c r="A1694" t="s">
        <v>4219</v>
      </c>
      <c r="B1694" s="3">
        <v>44824</v>
      </c>
      <c r="C1694" t="s">
        <v>3414</v>
      </c>
      <c r="D1694" t="s">
        <v>3472</v>
      </c>
      <c r="E1694">
        <v>5</v>
      </c>
      <c r="F1694" t="s">
        <v>3526</v>
      </c>
      <c r="G1694" t="s">
        <v>3519</v>
      </c>
      <c r="H1694">
        <v>1</v>
      </c>
      <c r="I1694">
        <v>13.8</v>
      </c>
      <c r="J1694">
        <v>69</v>
      </c>
    </row>
    <row r="1695" spans="1:10" x14ac:dyDescent="0.25">
      <c r="A1695" t="s">
        <v>4220</v>
      </c>
      <c r="B1695" s="3">
        <v>45118</v>
      </c>
      <c r="C1695" t="s">
        <v>1166</v>
      </c>
      <c r="D1695" t="s">
        <v>3514</v>
      </c>
      <c r="E1695">
        <v>2</v>
      </c>
      <c r="F1695" t="s">
        <v>3526</v>
      </c>
      <c r="G1695" t="s">
        <v>3518</v>
      </c>
      <c r="H1695">
        <v>1</v>
      </c>
      <c r="I1695">
        <v>12.2</v>
      </c>
      <c r="J1695">
        <v>24.4</v>
      </c>
    </row>
    <row r="1696" spans="1:10" x14ac:dyDescent="0.25">
      <c r="A1696" t="s">
        <v>4221</v>
      </c>
      <c r="B1696" s="3">
        <v>45397</v>
      </c>
      <c r="C1696" t="s">
        <v>3169</v>
      </c>
      <c r="D1696" t="s">
        <v>3484</v>
      </c>
      <c r="E1696">
        <v>2</v>
      </c>
      <c r="F1696" t="s">
        <v>3526</v>
      </c>
      <c r="G1696" t="s">
        <v>3518</v>
      </c>
      <c r="H1696">
        <v>0.2</v>
      </c>
      <c r="I1696">
        <v>3.6</v>
      </c>
      <c r="J1696">
        <v>7.2</v>
      </c>
    </row>
    <row r="1697" spans="1:10" x14ac:dyDescent="0.25">
      <c r="A1697" t="s">
        <v>4222</v>
      </c>
      <c r="B1697" s="3">
        <v>45560</v>
      </c>
      <c r="C1697" t="s">
        <v>2435</v>
      </c>
      <c r="D1697" t="s">
        <v>3516</v>
      </c>
      <c r="E1697">
        <v>3</v>
      </c>
      <c r="F1697" t="s">
        <v>3526</v>
      </c>
      <c r="G1697" t="s">
        <v>3518</v>
      </c>
      <c r="H1697">
        <v>2.5</v>
      </c>
      <c r="I1697">
        <v>27.9</v>
      </c>
      <c r="J1697">
        <v>83.7</v>
      </c>
    </row>
    <row r="1698" spans="1:10" x14ac:dyDescent="0.25">
      <c r="A1698" t="s">
        <v>4223</v>
      </c>
      <c r="B1698" s="3">
        <v>45239</v>
      </c>
      <c r="C1698" t="s">
        <v>1390</v>
      </c>
      <c r="D1698" t="s">
        <v>3515</v>
      </c>
      <c r="E1698">
        <v>6</v>
      </c>
      <c r="F1698" t="s">
        <v>3526</v>
      </c>
      <c r="G1698" t="s">
        <v>3517</v>
      </c>
      <c r="H1698">
        <v>0.2</v>
      </c>
      <c r="I1698">
        <v>4.5</v>
      </c>
      <c r="J1698">
        <v>27</v>
      </c>
    </row>
    <row r="1699" spans="1:10" x14ac:dyDescent="0.25">
      <c r="A1699" t="s">
        <v>4224</v>
      </c>
      <c r="B1699" s="3">
        <v>44778</v>
      </c>
      <c r="C1699" t="s">
        <v>1681</v>
      </c>
      <c r="D1699" t="s">
        <v>3494</v>
      </c>
      <c r="E1699">
        <v>4</v>
      </c>
      <c r="F1699" t="s">
        <v>3524</v>
      </c>
      <c r="G1699" t="s">
        <v>3518</v>
      </c>
      <c r="H1699">
        <v>0.2</v>
      </c>
      <c r="I1699">
        <v>2.7</v>
      </c>
      <c r="J1699">
        <v>10.8</v>
      </c>
    </row>
    <row r="1700" spans="1:10" x14ac:dyDescent="0.25">
      <c r="A1700" t="s">
        <v>4225</v>
      </c>
      <c r="B1700" s="3">
        <v>44132</v>
      </c>
      <c r="C1700" t="s">
        <v>875</v>
      </c>
      <c r="D1700" t="s">
        <v>3471</v>
      </c>
      <c r="E1700">
        <v>4</v>
      </c>
      <c r="F1700" t="s">
        <v>3523</v>
      </c>
      <c r="G1700" t="s">
        <v>3517</v>
      </c>
      <c r="H1700">
        <v>1</v>
      </c>
      <c r="I1700">
        <v>13</v>
      </c>
      <c r="J1700">
        <v>52</v>
      </c>
    </row>
    <row r="1701" spans="1:10" x14ac:dyDescent="0.25">
      <c r="A1701" t="s">
        <v>4226</v>
      </c>
      <c r="B1701" s="3">
        <v>45486</v>
      </c>
      <c r="C1701" t="s">
        <v>3081</v>
      </c>
      <c r="D1701" t="s">
        <v>3482</v>
      </c>
      <c r="E1701">
        <v>6</v>
      </c>
      <c r="F1701" t="s">
        <v>3524</v>
      </c>
      <c r="G1701" t="s">
        <v>3519</v>
      </c>
      <c r="H1701">
        <v>2.5</v>
      </c>
      <c r="I1701">
        <v>22.9</v>
      </c>
      <c r="J1701">
        <v>137.4</v>
      </c>
    </row>
    <row r="1702" spans="1:10" x14ac:dyDescent="0.25">
      <c r="A1702" t="s">
        <v>4227</v>
      </c>
      <c r="B1702" s="3">
        <v>44779</v>
      </c>
      <c r="C1702" t="s">
        <v>1538</v>
      </c>
      <c r="D1702" t="s">
        <v>3516</v>
      </c>
      <c r="E1702">
        <v>1</v>
      </c>
      <c r="F1702" t="s">
        <v>3526</v>
      </c>
      <c r="G1702" t="s">
        <v>3518</v>
      </c>
      <c r="H1702">
        <v>2.5</v>
      </c>
      <c r="I1702">
        <v>27.9</v>
      </c>
      <c r="J1702">
        <v>27.9</v>
      </c>
    </row>
    <row r="1703" spans="1:10" x14ac:dyDescent="0.25">
      <c r="A1703" t="s">
        <v>4228</v>
      </c>
      <c r="B1703" s="3">
        <v>45396</v>
      </c>
      <c r="C1703" t="s">
        <v>3237</v>
      </c>
      <c r="D1703" t="s">
        <v>3479</v>
      </c>
      <c r="E1703">
        <v>5</v>
      </c>
      <c r="F1703" t="s">
        <v>3526</v>
      </c>
      <c r="G1703" t="s">
        <v>3517</v>
      </c>
      <c r="H1703">
        <v>2.5</v>
      </c>
      <c r="I1703">
        <v>34.200000000000003</v>
      </c>
      <c r="J1703">
        <v>171</v>
      </c>
    </row>
    <row r="1704" spans="1:10" x14ac:dyDescent="0.25">
      <c r="A1704" t="s">
        <v>4229</v>
      </c>
      <c r="B1704" s="3">
        <v>44568</v>
      </c>
      <c r="C1704" t="s">
        <v>1265</v>
      </c>
      <c r="D1704" t="s">
        <v>3498</v>
      </c>
      <c r="E1704">
        <v>6</v>
      </c>
      <c r="F1704" t="s">
        <v>3523</v>
      </c>
      <c r="G1704" t="s">
        <v>3517</v>
      </c>
      <c r="H1704">
        <v>0.2</v>
      </c>
      <c r="I1704">
        <v>3.9</v>
      </c>
      <c r="J1704">
        <v>23.4</v>
      </c>
    </row>
    <row r="1705" spans="1:10" x14ac:dyDescent="0.25">
      <c r="A1705" t="s">
        <v>4230</v>
      </c>
      <c r="B1705" s="3">
        <v>44614</v>
      </c>
      <c r="C1705" t="s">
        <v>784</v>
      </c>
      <c r="D1705" t="s">
        <v>3503</v>
      </c>
      <c r="E1705">
        <v>2</v>
      </c>
      <c r="F1705" t="s">
        <v>3524</v>
      </c>
      <c r="G1705" t="s">
        <v>3518</v>
      </c>
      <c r="H1705">
        <v>0.5</v>
      </c>
      <c r="I1705">
        <v>5.4</v>
      </c>
      <c r="J1705">
        <v>10.8</v>
      </c>
    </row>
    <row r="1706" spans="1:10" x14ac:dyDescent="0.25">
      <c r="A1706" t="s">
        <v>4231</v>
      </c>
      <c r="B1706" s="3">
        <v>44972</v>
      </c>
      <c r="C1706" t="s">
        <v>909</v>
      </c>
      <c r="D1706" t="s">
        <v>3469</v>
      </c>
      <c r="E1706">
        <v>2</v>
      </c>
      <c r="F1706" t="s">
        <v>3524</v>
      </c>
      <c r="G1706" t="s">
        <v>3519</v>
      </c>
      <c r="H1706">
        <v>1</v>
      </c>
      <c r="I1706">
        <v>10</v>
      </c>
      <c r="J1706">
        <v>20</v>
      </c>
    </row>
    <row r="1707" spans="1:10" x14ac:dyDescent="0.25">
      <c r="A1707" t="s">
        <v>4232</v>
      </c>
      <c r="B1707" s="3">
        <v>44525</v>
      </c>
      <c r="C1707" t="s">
        <v>3363</v>
      </c>
      <c r="D1707" t="s">
        <v>3474</v>
      </c>
      <c r="E1707">
        <v>4</v>
      </c>
      <c r="F1707" t="s">
        <v>3525</v>
      </c>
      <c r="G1707" t="s">
        <v>3518</v>
      </c>
      <c r="H1707">
        <v>1</v>
      </c>
      <c r="I1707">
        <v>13</v>
      </c>
      <c r="J1707">
        <v>52</v>
      </c>
    </row>
    <row r="1708" spans="1:10" x14ac:dyDescent="0.25">
      <c r="A1708" t="s">
        <v>4233</v>
      </c>
      <c r="B1708" s="3">
        <v>45460</v>
      </c>
      <c r="C1708" t="s">
        <v>2557</v>
      </c>
      <c r="D1708" t="s">
        <v>3507</v>
      </c>
      <c r="E1708">
        <v>1</v>
      </c>
      <c r="F1708" t="s">
        <v>3526</v>
      </c>
      <c r="G1708" t="s">
        <v>3517</v>
      </c>
      <c r="H1708">
        <v>0.5</v>
      </c>
      <c r="I1708">
        <v>8.9</v>
      </c>
      <c r="J1708">
        <v>8.9</v>
      </c>
    </row>
    <row r="1709" spans="1:10" x14ac:dyDescent="0.25">
      <c r="A1709" t="s">
        <v>4234</v>
      </c>
      <c r="B1709" s="3">
        <v>44858</v>
      </c>
      <c r="C1709" t="s">
        <v>2021</v>
      </c>
      <c r="D1709" t="s">
        <v>3470</v>
      </c>
      <c r="E1709">
        <v>2</v>
      </c>
      <c r="F1709" t="s">
        <v>3526</v>
      </c>
      <c r="G1709" t="s">
        <v>3519</v>
      </c>
      <c r="H1709">
        <v>0.5</v>
      </c>
      <c r="I1709">
        <v>8.3000000000000007</v>
      </c>
      <c r="J1709">
        <v>16.600000000000001</v>
      </c>
    </row>
    <row r="1710" spans="1:10" x14ac:dyDescent="0.25">
      <c r="A1710" t="s">
        <v>4235</v>
      </c>
      <c r="B1710" s="3">
        <v>45462</v>
      </c>
      <c r="C1710" t="s">
        <v>1461</v>
      </c>
      <c r="D1710" t="s">
        <v>3509</v>
      </c>
      <c r="E1710">
        <v>2</v>
      </c>
      <c r="F1710" t="s">
        <v>3524</v>
      </c>
      <c r="G1710" t="s">
        <v>3517</v>
      </c>
      <c r="H1710">
        <v>0.2</v>
      </c>
      <c r="I1710">
        <v>3.6</v>
      </c>
      <c r="J1710">
        <v>7.2</v>
      </c>
    </row>
    <row r="1711" spans="1:10" x14ac:dyDescent="0.25">
      <c r="A1711" t="s">
        <v>4236</v>
      </c>
      <c r="B1711" s="3">
        <v>43627</v>
      </c>
      <c r="C1711" t="s">
        <v>3036</v>
      </c>
      <c r="D1711" t="s">
        <v>3489</v>
      </c>
      <c r="E1711">
        <v>1</v>
      </c>
      <c r="F1711" t="s">
        <v>3523</v>
      </c>
      <c r="G1711" t="s">
        <v>3518</v>
      </c>
      <c r="H1711">
        <v>0.5</v>
      </c>
      <c r="I1711">
        <v>6</v>
      </c>
      <c r="J1711">
        <v>6</v>
      </c>
    </row>
    <row r="1712" spans="1:10" x14ac:dyDescent="0.25">
      <c r="A1712" t="s">
        <v>4237</v>
      </c>
      <c r="B1712" s="3">
        <v>45159</v>
      </c>
      <c r="C1712" t="s">
        <v>2329</v>
      </c>
      <c r="D1712" t="s">
        <v>3516</v>
      </c>
      <c r="E1712">
        <v>6</v>
      </c>
      <c r="F1712" t="s">
        <v>3526</v>
      </c>
      <c r="G1712" t="s">
        <v>3518</v>
      </c>
      <c r="H1712">
        <v>2.5</v>
      </c>
      <c r="I1712">
        <v>27.9</v>
      </c>
      <c r="J1712">
        <v>167.4</v>
      </c>
    </row>
    <row r="1713" spans="1:10" x14ac:dyDescent="0.25">
      <c r="A1713" t="s">
        <v>4238</v>
      </c>
      <c r="B1713" s="3">
        <v>45493</v>
      </c>
      <c r="C1713" t="s">
        <v>2101</v>
      </c>
      <c r="D1713" t="s">
        <v>3508</v>
      </c>
      <c r="E1713">
        <v>6</v>
      </c>
      <c r="F1713" t="s">
        <v>3524</v>
      </c>
      <c r="G1713" t="s">
        <v>3518</v>
      </c>
      <c r="H1713">
        <v>1</v>
      </c>
      <c r="I1713">
        <v>9</v>
      </c>
      <c r="J1713">
        <v>54</v>
      </c>
    </row>
    <row r="1714" spans="1:10" x14ac:dyDescent="0.25">
      <c r="A1714" t="s">
        <v>4239</v>
      </c>
      <c r="B1714" s="3">
        <v>44380</v>
      </c>
      <c r="C1714" t="s">
        <v>1268</v>
      </c>
      <c r="D1714" t="s">
        <v>3488</v>
      </c>
      <c r="E1714">
        <v>2</v>
      </c>
      <c r="F1714" t="s">
        <v>3523</v>
      </c>
      <c r="G1714" t="s">
        <v>3519</v>
      </c>
      <c r="H1714">
        <v>0.5</v>
      </c>
      <c r="I1714">
        <v>6.8</v>
      </c>
      <c r="J1714">
        <v>13.6</v>
      </c>
    </row>
    <row r="1715" spans="1:10" x14ac:dyDescent="0.25">
      <c r="A1715" t="s">
        <v>4240</v>
      </c>
      <c r="B1715" s="3">
        <v>45161</v>
      </c>
      <c r="C1715" t="s">
        <v>1869</v>
      </c>
      <c r="D1715" t="s">
        <v>3470</v>
      </c>
      <c r="E1715">
        <v>2</v>
      </c>
      <c r="F1715" t="s">
        <v>3526</v>
      </c>
      <c r="G1715" t="s">
        <v>3519</v>
      </c>
      <c r="H1715">
        <v>0.5</v>
      </c>
      <c r="I1715">
        <v>8.3000000000000007</v>
      </c>
      <c r="J1715">
        <v>16.600000000000001</v>
      </c>
    </row>
    <row r="1716" spans="1:10" x14ac:dyDescent="0.25">
      <c r="A1716" t="s">
        <v>4241</v>
      </c>
      <c r="B1716" s="3">
        <v>45010</v>
      </c>
      <c r="C1716" t="s">
        <v>3106</v>
      </c>
      <c r="D1716" t="s">
        <v>3515</v>
      </c>
      <c r="E1716">
        <v>2</v>
      </c>
      <c r="F1716" t="s">
        <v>3526</v>
      </c>
      <c r="G1716" t="s">
        <v>3517</v>
      </c>
      <c r="H1716">
        <v>0.2</v>
      </c>
      <c r="I1716">
        <v>4.5</v>
      </c>
      <c r="J1716">
        <v>9</v>
      </c>
    </row>
    <row r="1717" spans="1:10" x14ac:dyDescent="0.25">
      <c r="A1717" t="s">
        <v>4242</v>
      </c>
      <c r="B1717" s="3">
        <v>45155</v>
      </c>
      <c r="C1717" t="s">
        <v>517</v>
      </c>
      <c r="D1717" t="s">
        <v>3480</v>
      </c>
      <c r="E1717">
        <v>2</v>
      </c>
      <c r="F1717" t="s">
        <v>3524</v>
      </c>
      <c r="G1717" t="s">
        <v>3518</v>
      </c>
      <c r="H1717">
        <v>2.5</v>
      </c>
      <c r="I1717">
        <v>20.6</v>
      </c>
      <c r="J1717">
        <v>41.2</v>
      </c>
    </row>
    <row r="1718" spans="1:10" x14ac:dyDescent="0.25">
      <c r="A1718" t="s">
        <v>4243</v>
      </c>
      <c r="B1718" s="3">
        <v>45309</v>
      </c>
      <c r="C1718" t="s">
        <v>2362</v>
      </c>
      <c r="D1718" t="s">
        <v>3492</v>
      </c>
      <c r="E1718">
        <v>6</v>
      </c>
      <c r="F1718" t="s">
        <v>3525</v>
      </c>
      <c r="G1718" t="s">
        <v>3517</v>
      </c>
      <c r="H1718">
        <v>0.5</v>
      </c>
      <c r="I1718">
        <v>9.5</v>
      </c>
      <c r="J1718">
        <v>57</v>
      </c>
    </row>
    <row r="1719" spans="1:10" x14ac:dyDescent="0.25">
      <c r="A1719" t="s">
        <v>4244</v>
      </c>
      <c r="B1719" s="3">
        <v>45226</v>
      </c>
      <c r="C1719" t="s">
        <v>1866</v>
      </c>
      <c r="D1719" t="s">
        <v>3510</v>
      </c>
      <c r="E1719">
        <v>5</v>
      </c>
      <c r="F1719" t="s">
        <v>3524</v>
      </c>
      <c r="G1719" t="s">
        <v>3517</v>
      </c>
      <c r="H1719">
        <v>1</v>
      </c>
      <c r="I1719">
        <v>12</v>
      </c>
      <c r="J1719">
        <v>60</v>
      </c>
    </row>
    <row r="1720" spans="1:10" x14ac:dyDescent="0.25">
      <c r="A1720" t="s">
        <v>4245</v>
      </c>
      <c r="B1720" s="3">
        <v>45454</v>
      </c>
      <c r="C1720" t="s">
        <v>1607</v>
      </c>
      <c r="D1720" t="s">
        <v>3507</v>
      </c>
      <c r="E1720">
        <v>3</v>
      </c>
      <c r="F1720" t="s">
        <v>3526</v>
      </c>
      <c r="G1720" t="s">
        <v>3517</v>
      </c>
      <c r="H1720">
        <v>0.5</v>
      </c>
      <c r="I1720">
        <v>8.9</v>
      </c>
      <c r="J1720">
        <v>26.7</v>
      </c>
    </row>
    <row r="1721" spans="1:10" x14ac:dyDescent="0.25">
      <c r="A1721" t="s">
        <v>4246</v>
      </c>
      <c r="B1721" s="3">
        <v>44130</v>
      </c>
      <c r="C1721" t="s">
        <v>2575</v>
      </c>
      <c r="D1721" t="s">
        <v>3487</v>
      </c>
      <c r="E1721">
        <v>4</v>
      </c>
      <c r="F1721" t="s">
        <v>3526</v>
      </c>
      <c r="G1721" t="s">
        <v>3519</v>
      </c>
      <c r="H1721">
        <v>0.2</v>
      </c>
      <c r="I1721">
        <v>4.0999999999999996</v>
      </c>
      <c r="J1721">
        <v>16.399999999999999</v>
      </c>
    </row>
    <row r="1722" spans="1:10" x14ac:dyDescent="0.25">
      <c r="A1722" t="s">
        <v>4247</v>
      </c>
      <c r="B1722" s="3">
        <v>44564</v>
      </c>
      <c r="C1722" t="s">
        <v>2215</v>
      </c>
      <c r="D1722" t="s">
        <v>3491</v>
      </c>
      <c r="E1722">
        <v>2</v>
      </c>
      <c r="F1722" t="s">
        <v>3525</v>
      </c>
      <c r="G1722" t="s">
        <v>3519</v>
      </c>
      <c r="H1722">
        <v>0.5</v>
      </c>
      <c r="I1722">
        <v>8.6999999999999993</v>
      </c>
      <c r="J1722">
        <v>17.399999999999999</v>
      </c>
    </row>
    <row r="1723" spans="1:10" x14ac:dyDescent="0.25">
      <c r="A1723" t="s">
        <v>4248</v>
      </c>
      <c r="B1723" s="3">
        <v>43836</v>
      </c>
      <c r="C1723" t="s">
        <v>1547</v>
      </c>
      <c r="D1723" t="s">
        <v>3512</v>
      </c>
      <c r="E1723">
        <v>6</v>
      </c>
      <c r="F1723" t="s">
        <v>3525</v>
      </c>
      <c r="G1723" t="s">
        <v>3519</v>
      </c>
      <c r="H1723">
        <v>2.5</v>
      </c>
      <c r="I1723">
        <v>33.5</v>
      </c>
      <c r="J1723">
        <v>201</v>
      </c>
    </row>
    <row r="1724" spans="1:10" x14ac:dyDescent="0.25">
      <c r="A1724" t="s">
        <v>4249</v>
      </c>
      <c r="B1724" s="3">
        <v>45000</v>
      </c>
      <c r="C1724" t="s">
        <v>915</v>
      </c>
      <c r="D1724" t="s">
        <v>3490</v>
      </c>
      <c r="E1724">
        <v>6</v>
      </c>
      <c r="F1724" t="s">
        <v>3525</v>
      </c>
      <c r="G1724" t="s">
        <v>3519</v>
      </c>
      <c r="H1724">
        <v>0.2</v>
      </c>
      <c r="I1724">
        <v>4.4000000000000004</v>
      </c>
      <c r="J1724">
        <v>26.4</v>
      </c>
    </row>
    <row r="1725" spans="1:10" x14ac:dyDescent="0.25">
      <c r="A1725" t="s">
        <v>4250</v>
      </c>
      <c r="B1725" s="3">
        <v>44145</v>
      </c>
      <c r="C1725" t="s">
        <v>918</v>
      </c>
      <c r="D1725" t="s">
        <v>3512</v>
      </c>
      <c r="E1725">
        <v>6</v>
      </c>
      <c r="F1725" t="s">
        <v>3525</v>
      </c>
      <c r="G1725" t="s">
        <v>3519</v>
      </c>
      <c r="H1725">
        <v>2.5</v>
      </c>
      <c r="I1725">
        <v>33.5</v>
      </c>
      <c r="J1725">
        <v>201</v>
      </c>
    </row>
    <row r="1726" spans="1:10" x14ac:dyDescent="0.25">
      <c r="A1726" t="s">
        <v>4251</v>
      </c>
      <c r="B1726" s="3">
        <v>44243</v>
      </c>
      <c r="C1726" t="s">
        <v>1202</v>
      </c>
      <c r="D1726" t="s">
        <v>3495</v>
      </c>
      <c r="E1726">
        <v>6</v>
      </c>
      <c r="F1726" t="s">
        <v>3525</v>
      </c>
      <c r="G1726" t="s">
        <v>3517</v>
      </c>
      <c r="H1726">
        <v>2.5</v>
      </c>
      <c r="I1726">
        <v>36.5</v>
      </c>
      <c r="J1726">
        <v>219</v>
      </c>
    </row>
    <row r="1727" spans="1:10" x14ac:dyDescent="0.25">
      <c r="A1727" t="s">
        <v>4252</v>
      </c>
      <c r="B1727" s="3">
        <v>45214</v>
      </c>
      <c r="C1727" t="s">
        <v>2347</v>
      </c>
      <c r="D1727" t="s">
        <v>3491</v>
      </c>
      <c r="E1727">
        <v>2</v>
      </c>
      <c r="F1727" t="s">
        <v>3525</v>
      </c>
      <c r="G1727" t="s">
        <v>3519</v>
      </c>
      <c r="H1727">
        <v>0.5</v>
      </c>
      <c r="I1727">
        <v>8.6999999999999993</v>
      </c>
      <c r="J1727">
        <v>17.399999999999999</v>
      </c>
    </row>
    <row r="1728" spans="1:10" x14ac:dyDescent="0.25">
      <c r="A1728" t="s">
        <v>4253</v>
      </c>
      <c r="B1728" s="3">
        <v>45082</v>
      </c>
      <c r="C1728" t="s">
        <v>766</v>
      </c>
      <c r="D1728" t="s">
        <v>3512</v>
      </c>
      <c r="E1728">
        <v>3</v>
      </c>
      <c r="F1728" t="s">
        <v>3525</v>
      </c>
      <c r="G1728" t="s">
        <v>3519</v>
      </c>
      <c r="H1728">
        <v>2.5</v>
      </c>
      <c r="I1728">
        <v>33.5</v>
      </c>
      <c r="J1728">
        <v>100.5</v>
      </c>
    </row>
    <row r="1729" spans="1:10" x14ac:dyDescent="0.25">
      <c r="A1729" t="s">
        <v>4254</v>
      </c>
      <c r="B1729" s="3">
        <v>44723</v>
      </c>
      <c r="C1729" t="s">
        <v>3351</v>
      </c>
      <c r="D1729" t="s">
        <v>3477</v>
      </c>
      <c r="E1729">
        <v>3</v>
      </c>
      <c r="F1729" t="s">
        <v>3524</v>
      </c>
      <c r="G1729" t="s">
        <v>3519</v>
      </c>
      <c r="H1729">
        <v>0.5</v>
      </c>
      <c r="I1729">
        <v>6</v>
      </c>
      <c r="J1729">
        <v>18</v>
      </c>
    </row>
    <row r="1730" spans="1:10" x14ac:dyDescent="0.25">
      <c r="A1730" t="s">
        <v>4255</v>
      </c>
      <c r="B1730" s="3">
        <v>45395</v>
      </c>
      <c r="C1730" t="s">
        <v>1625</v>
      </c>
      <c r="D1730" t="s">
        <v>3473</v>
      </c>
      <c r="E1730">
        <v>5</v>
      </c>
      <c r="F1730" t="s">
        <v>3524</v>
      </c>
      <c r="G1730" t="s">
        <v>3517</v>
      </c>
      <c r="H1730">
        <v>2.5</v>
      </c>
      <c r="I1730">
        <v>27.5</v>
      </c>
      <c r="J1730">
        <v>137.5</v>
      </c>
    </row>
    <row r="1731" spans="1:10" x14ac:dyDescent="0.25">
      <c r="A1731" t="s">
        <v>4256</v>
      </c>
      <c r="B1731" s="3">
        <v>45309</v>
      </c>
      <c r="C1731" t="s">
        <v>658</v>
      </c>
      <c r="D1731" t="s">
        <v>3494</v>
      </c>
      <c r="E1731">
        <v>2</v>
      </c>
      <c r="F1731" t="s">
        <v>3524</v>
      </c>
      <c r="G1731" t="s">
        <v>3518</v>
      </c>
      <c r="H1731">
        <v>0.2</v>
      </c>
      <c r="I1731">
        <v>2.7</v>
      </c>
      <c r="J1731">
        <v>5.4</v>
      </c>
    </row>
    <row r="1732" spans="1:10" x14ac:dyDescent="0.25">
      <c r="A1732" t="s">
        <v>4257</v>
      </c>
      <c r="B1732" s="3">
        <v>45440</v>
      </c>
      <c r="C1732" t="s">
        <v>2438</v>
      </c>
      <c r="D1732" t="s">
        <v>3494</v>
      </c>
      <c r="E1732">
        <v>2</v>
      </c>
      <c r="F1732" t="s">
        <v>3524</v>
      </c>
      <c r="G1732" t="s">
        <v>3518</v>
      </c>
      <c r="H1732">
        <v>0.2</v>
      </c>
      <c r="I1732">
        <v>2.7</v>
      </c>
      <c r="J1732">
        <v>5.4</v>
      </c>
    </row>
    <row r="1733" spans="1:10" x14ac:dyDescent="0.25">
      <c r="A1733" t="s">
        <v>4258</v>
      </c>
      <c r="B1733" s="3">
        <v>45377</v>
      </c>
      <c r="C1733" t="s">
        <v>1357</v>
      </c>
      <c r="D1733" t="s">
        <v>3477</v>
      </c>
      <c r="E1733">
        <v>1</v>
      </c>
      <c r="F1733" t="s">
        <v>3524</v>
      </c>
      <c r="G1733" t="s">
        <v>3519</v>
      </c>
      <c r="H1733">
        <v>0.5</v>
      </c>
      <c r="I1733">
        <v>6</v>
      </c>
      <c r="J1733">
        <v>6</v>
      </c>
    </row>
    <row r="1734" spans="1:10" x14ac:dyDescent="0.25">
      <c r="A1734" t="s">
        <v>4259</v>
      </c>
      <c r="B1734" s="3">
        <v>45250</v>
      </c>
      <c r="C1734" t="s">
        <v>1208</v>
      </c>
      <c r="D1734" t="s">
        <v>3502</v>
      </c>
      <c r="E1734">
        <v>6</v>
      </c>
      <c r="F1734" t="s">
        <v>3526</v>
      </c>
      <c r="G1734" t="s">
        <v>3517</v>
      </c>
      <c r="H1734">
        <v>1</v>
      </c>
      <c r="I1734">
        <v>14.9</v>
      </c>
      <c r="J1734">
        <v>89.4</v>
      </c>
    </row>
    <row r="1735" spans="1:10" x14ac:dyDescent="0.25">
      <c r="A1735" t="s">
        <v>4260</v>
      </c>
      <c r="B1735" s="3">
        <v>44710</v>
      </c>
      <c r="C1735" t="s">
        <v>737</v>
      </c>
      <c r="D1735" t="s">
        <v>3492</v>
      </c>
      <c r="E1735">
        <v>6</v>
      </c>
      <c r="F1735" t="s">
        <v>3525</v>
      </c>
      <c r="G1735" t="s">
        <v>3517</v>
      </c>
      <c r="H1735">
        <v>0.5</v>
      </c>
      <c r="I1735">
        <v>9.5</v>
      </c>
      <c r="J1735">
        <v>57</v>
      </c>
    </row>
    <row r="1736" spans="1:10" x14ac:dyDescent="0.25">
      <c r="A1736" t="s">
        <v>4261</v>
      </c>
      <c r="B1736" s="3">
        <v>44366</v>
      </c>
      <c r="C1736" t="s">
        <v>2621</v>
      </c>
      <c r="D1736" t="s">
        <v>3479</v>
      </c>
      <c r="E1736">
        <v>3</v>
      </c>
      <c r="F1736" t="s">
        <v>3526</v>
      </c>
      <c r="G1736" t="s">
        <v>3517</v>
      </c>
      <c r="H1736">
        <v>2.5</v>
      </c>
      <c r="I1736">
        <v>34.200000000000003</v>
      </c>
      <c r="J1736">
        <v>102.6</v>
      </c>
    </row>
    <row r="1737" spans="1:10" x14ac:dyDescent="0.25">
      <c r="A1737" t="s">
        <v>4262</v>
      </c>
      <c r="B1737" s="3">
        <v>44899</v>
      </c>
      <c r="C1737" t="s">
        <v>3205</v>
      </c>
      <c r="D1737" t="s">
        <v>3510</v>
      </c>
      <c r="E1737">
        <v>2</v>
      </c>
      <c r="F1737" t="s">
        <v>3524</v>
      </c>
      <c r="G1737" t="s">
        <v>3517</v>
      </c>
      <c r="H1737">
        <v>1</v>
      </c>
      <c r="I1737">
        <v>12</v>
      </c>
      <c r="J1737">
        <v>24</v>
      </c>
    </row>
    <row r="1738" spans="1:10" x14ac:dyDescent="0.25">
      <c r="A1738" t="s">
        <v>4263</v>
      </c>
      <c r="B1738" s="3">
        <v>43625</v>
      </c>
      <c r="C1738" t="s">
        <v>3081</v>
      </c>
      <c r="D1738" t="s">
        <v>3515</v>
      </c>
      <c r="E1738">
        <v>6</v>
      </c>
      <c r="F1738" t="s">
        <v>3526</v>
      </c>
      <c r="G1738" t="s">
        <v>3517</v>
      </c>
      <c r="H1738">
        <v>0.2</v>
      </c>
      <c r="I1738">
        <v>4.5</v>
      </c>
      <c r="J1738">
        <v>27</v>
      </c>
    </row>
    <row r="1739" spans="1:10" x14ac:dyDescent="0.25">
      <c r="A1739" t="s">
        <v>4264</v>
      </c>
      <c r="B1739" s="3">
        <v>44717</v>
      </c>
      <c r="C1739" t="s">
        <v>2036</v>
      </c>
      <c r="D1739" t="s">
        <v>3483</v>
      </c>
      <c r="E1739">
        <v>1</v>
      </c>
      <c r="F1739" t="s">
        <v>3523</v>
      </c>
      <c r="G1739" t="s">
        <v>3519</v>
      </c>
      <c r="H1739">
        <v>0.2</v>
      </c>
      <c r="I1739">
        <v>3.4</v>
      </c>
      <c r="J1739">
        <v>3.4</v>
      </c>
    </row>
    <row r="1740" spans="1:10" x14ac:dyDescent="0.25">
      <c r="A1740" t="s">
        <v>4265</v>
      </c>
      <c r="B1740" s="3">
        <v>44853</v>
      </c>
      <c r="C1740" t="s">
        <v>1438</v>
      </c>
      <c r="D1740" t="s">
        <v>3500</v>
      </c>
      <c r="E1740">
        <v>4</v>
      </c>
      <c r="F1740" t="s">
        <v>3525</v>
      </c>
      <c r="G1740" t="s">
        <v>3518</v>
      </c>
      <c r="H1740">
        <v>0.5</v>
      </c>
      <c r="I1740">
        <v>7.8</v>
      </c>
      <c r="J1740">
        <v>31.2</v>
      </c>
    </row>
    <row r="1741" spans="1:10" x14ac:dyDescent="0.25">
      <c r="A1741" t="s">
        <v>4266</v>
      </c>
      <c r="B1741" s="3">
        <v>44925</v>
      </c>
      <c r="C1741" t="s">
        <v>2420</v>
      </c>
      <c r="D1741" t="s">
        <v>3478</v>
      </c>
      <c r="E1741">
        <v>4</v>
      </c>
      <c r="F1741" t="s">
        <v>3523</v>
      </c>
      <c r="G1741" t="s">
        <v>3518</v>
      </c>
      <c r="H1741">
        <v>1</v>
      </c>
      <c r="I1741">
        <v>10</v>
      </c>
      <c r="J1741">
        <v>40</v>
      </c>
    </row>
    <row r="1742" spans="1:10" x14ac:dyDescent="0.25">
      <c r="A1742" t="s">
        <v>4267</v>
      </c>
      <c r="B1742" s="3">
        <v>44312</v>
      </c>
      <c r="C1742" t="s">
        <v>3004</v>
      </c>
      <c r="D1742" t="s">
        <v>3469</v>
      </c>
      <c r="E1742">
        <v>2</v>
      </c>
      <c r="F1742" t="s">
        <v>3524</v>
      </c>
      <c r="G1742" t="s">
        <v>3519</v>
      </c>
      <c r="H1742">
        <v>1</v>
      </c>
      <c r="I1742">
        <v>10</v>
      </c>
      <c r="J1742">
        <v>20</v>
      </c>
    </row>
    <row r="1743" spans="1:10" x14ac:dyDescent="0.25">
      <c r="A1743" t="s">
        <v>4268</v>
      </c>
      <c r="B1743" s="3">
        <v>43727</v>
      </c>
      <c r="C1743" t="s">
        <v>1259</v>
      </c>
      <c r="D1743" t="s">
        <v>3489</v>
      </c>
      <c r="E1743">
        <v>6</v>
      </c>
      <c r="F1743" t="s">
        <v>3523</v>
      </c>
      <c r="G1743" t="s">
        <v>3518</v>
      </c>
      <c r="H1743">
        <v>0.5</v>
      </c>
      <c r="I1743">
        <v>6</v>
      </c>
      <c r="J1743">
        <v>36</v>
      </c>
    </row>
    <row r="1744" spans="1:10" x14ac:dyDescent="0.25">
      <c r="A1744" t="s">
        <v>4269</v>
      </c>
      <c r="B1744" s="3">
        <v>43507</v>
      </c>
      <c r="C1744" t="s">
        <v>3261</v>
      </c>
      <c r="D1744" t="s">
        <v>3481</v>
      </c>
      <c r="E1744">
        <v>5</v>
      </c>
      <c r="F1744" t="s">
        <v>3525</v>
      </c>
      <c r="G1744" t="s">
        <v>3518</v>
      </c>
      <c r="H1744">
        <v>0.2</v>
      </c>
      <c r="I1744">
        <v>3.9</v>
      </c>
      <c r="J1744">
        <v>19.5</v>
      </c>
    </row>
    <row r="1745" spans="1:10" x14ac:dyDescent="0.25">
      <c r="A1745" t="s">
        <v>4270</v>
      </c>
      <c r="B1745" s="3">
        <v>44551</v>
      </c>
      <c r="C1745" t="s">
        <v>1303</v>
      </c>
      <c r="D1745" t="s">
        <v>3480</v>
      </c>
      <c r="E1745">
        <v>5</v>
      </c>
      <c r="F1745" t="s">
        <v>3524</v>
      </c>
      <c r="G1745" t="s">
        <v>3518</v>
      </c>
      <c r="H1745">
        <v>2.5</v>
      </c>
      <c r="I1745">
        <v>20.6</v>
      </c>
      <c r="J1745">
        <v>103</v>
      </c>
    </row>
    <row r="1746" spans="1:10" x14ac:dyDescent="0.25">
      <c r="A1746" t="s">
        <v>4271</v>
      </c>
      <c r="B1746" s="3">
        <v>44241</v>
      </c>
      <c r="C1746" t="s">
        <v>3157</v>
      </c>
      <c r="D1746" t="s">
        <v>3471</v>
      </c>
      <c r="E1746">
        <v>4</v>
      </c>
      <c r="F1746" t="s">
        <v>3523</v>
      </c>
      <c r="G1746" t="s">
        <v>3517</v>
      </c>
      <c r="H1746">
        <v>1</v>
      </c>
      <c r="I1746">
        <v>13</v>
      </c>
      <c r="J1746">
        <v>52</v>
      </c>
    </row>
    <row r="1747" spans="1:10" x14ac:dyDescent="0.25">
      <c r="A1747" t="s">
        <v>4272</v>
      </c>
      <c r="B1747" s="3">
        <v>45359</v>
      </c>
      <c r="C1747" t="s">
        <v>3312</v>
      </c>
      <c r="D1747" t="s">
        <v>3501</v>
      </c>
      <c r="E1747">
        <v>1</v>
      </c>
      <c r="F1747" t="s">
        <v>3525</v>
      </c>
      <c r="G1747" t="s">
        <v>3517</v>
      </c>
      <c r="H1747">
        <v>1</v>
      </c>
      <c r="I1747">
        <v>15.9</v>
      </c>
      <c r="J1747">
        <v>15.9</v>
      </c>
    </row>
    <row r="1748" spans="1:10" x14ac:dyDescent="0.25">
      <c r="A1748" t="s">
        <v>4273</v>
      </c>
      <c r="B1748" s="3">
        <v>45018</v>
      </c>
      <c r="C1748" t="s">
        <v>2711</v>
      </c>
      <c r="D1748" t="s">
        <v>3481</v>
      </c>
      <c r="E1748">
        <v>1</v>
      </c>
      <c r="F1748" t="s">
        <v>3525</v>
      </c>
      <c r="G1748" t="s">
        <v>3518</v>
      </c>
      <c r="H1748">
        <v>0.2</v>
      </c>
      <c r="I1748">
        <v>3.9</v>
      </c>
      <c r="J1748">
        <v>3.9</v>
      </c>
    </row>
    <row r="1749" spans="1:10" x14ac:dyDescent="0.25">
      <c r="A1749" t="s">
        <v>4274</v>
      </c>
      <c r="B1749" s="3">
        <v>45320</v>
      </c>
      <c r="C1749" t="s">
        <v>1976</v>
      </c>
      <c r="D1749" t="s">
        <v>3511</v>
      </c>
      <c r="E1749">
        <v>5</v>
      </c>
      <c r="F1749" t="s">
        <v>3523</v>
      </c>
      <c r="G1749" t="s">
        <v>3517</v>
      </c>
      <c r="H1749">
        <v>0.5</v>
      </c>
      <c r="I1749">
        <v>7.8</v>
      </c>
      <c r="J1749">
        <v>39</v>
      </c>
    </row>
    <row r="1750" spans="1:10" x14ac:dyDescent="0.25">
      <c r="A1750" t="s">
        <v>4275</v>
      </c>
      <c r="B1750" s="3">
        <v>45385</v>
      </c>
      <c r="C1750" t="s">
        <v>2521</v>
      </c>
      <c r="D1750" t="s">
        <v>3516</v>
      </c>
      <c r="E1750">
        <v>2</v>
      </c>
      <c r="F1750" t="s">
        <v>3526</v>
      </c>
      <c r="G1750" t="s">
        <v>3518</v>
      </c>
      <c r="H1750">
        <v>2.5</v>
      </c>
      <c r="I1750">
        <v>27.9</v>
      </c>
      <c r="J1750">
        <v>55.8</v>
      </c>
    </row>
    <row r="1751" spans="1:10" x14ac:dyDescent="0.25">
      <c r="A1751" t="s">
        <v>4276</v>
      </c>
      <c r="B1751" s="3">
        <v>45542</v>
      </c>
      <c r="C1751" t="s">
        <v>3321</v>
      </c>
      <c r="D1751" t="s">
        <v>3471</v>
      </c>
      <c r="E1751">
        <v>6</v>
      </c>
      <c r="F1751" t="s">
        <v>3523</v>
      </c>
      <c r="G1751" t="s">
        <v>3517</v>
      </c>
      <c r="H1751">
        <v>1</v>
      </c>
      <c r="I1751">
        <v>13</v>
      </c>
      <c r="J1751">
        <v>78</v>
      </c>
    </row>
    <row r="1752" spans="1:10" x14ac:dyDescent="0.25">
      <c r="A1752" t="s">
        <v>4277</v>
      </c>
      <c r="B1752" s="3">
        <v>45397</v>
      </c>
      <c r="C1752" t="s">
        <v>1384</v>
      </c>
      <c r="D1752" t="s">
        <v>3506</v>
      </c>
      <c r="E1752">
        <v>4</v>
      </c>
      <c r="F1752" t="s">
        <v>3523</v>
      </c>
      <c r="G1752" t="s">
        <v>3519</v>
      </c>
      <c r="H1752">
        <v>2.5</v>
      </c>
      <c r="I1752">
        <v>25.9</v>
      </c>
      <c r="J1752">
        <v>103.6</v>
      </c>
    </row>
    <row r="1753" spans="1:10" x14ac:dyDescent="0.25">
      <c r="A1753" t="s">
        <v>4278</v>
      </c>
      <c r="B1753" s="3">
        <v>44234</v>
      </c>
      <c r="C1753" t="s">
        <v>1003</v>
      </c>
      <c r="D1753" t="s">
        <v>3512</v>
      </c>
      <c r="E1753">
        <v>6</v>
      </c>
      <c r="F1753" t="s">
        <v>3525</v>
      </c>
      <c r="G1753" t="s">
        <v>3519</v>
      </c>
      <c r="H1753">
        <v>2.5</v>
      </c>
      <c r="I1753">
        <v>33.5</v>
      </c>
      <c r="J1753">
        <v>201</v>
      </c>
    </row>
    <row r="1754" spans="1:10" x14ac:dyDescent="0.25">
      <c r="A1754" t="s">
        <v>4279</v>
      </c>
      <c r="B1754" s="3">
        <v>44439</v>
      </c>
      <c r="C1754" t="s">
        <v>1553</v>
      </c>
      <c r="D1754" t="s">
        <v>3504</v>
      </c>
      <c r="E1754">
        <v>4</v>
      </c>
      <c r="F1754" t="s">
        <v>3524</v>
      </c>
      <c r="G1754" t="s">
        <v>3517</v>
      </c>
      <c r="H1754">
        <v>0.5</v>
      </c>
      <c r="I1754">
        <v>7.2</v>
      </c>
      <c r="J1754">
        <v>28.8</v>
      </c>
    </row>
    <row r="1755" spans="1:10" x14ac:dyDescent="0.25">
      <c r="A1755" t="s">
        <v>4280</v>
      </c>
      <c r="B1755" s="3">
        <v>45100</v>
      </c>
      <c r="C1755" t="s">
        <v>2468</v>
      </c>
      <c r="D1755" t="s">
        <v>3495</v>
      </c>
      <c r="E1755">
        <v>3</v>
      </c>
      <c r="F1755" t="s">
        <v>3525</v>
      </c>
      <c r="G1755" t="s">
        <v>3517</v>
      </c>
      <c r="H1755">
        <v>2.5</v>
      </c>
      <c r="I1755">
        <v>36.5</v>
      </c>
      <c r="J1755">
        <v>109.5</v>
      </c>
    </row>
    <row r="1756" spans="1:10" x14ac:dyDescent="0.25">
      <c r="A1756" t="s">
        <v>4281</v>
      </c>
      <c r="B1756" s="3">
        <v>44745</v>
      </c>
      <c r="C1756" t="s">
        <v>1851</v>
      </c>
      <c r="D1756" t="s">
        <v>3507</v>
      </c>
      <c r="E1756">
        <v>6</v>
      </c>
      <c r="F1756" t="s">
        <v>3526</v>
      </c>
      <c r="G1756" t="s">
        <v>3517</v>
      </c>
      <c r="H1756">
        <v>0.5</v>
      </c>
      <c r="I1756">
        <v>8.9</v>
      </c>
      <c r="J1756">
        <v>53.4</v>
      </c>
    </row>
    <row r="1757" spans="1:10" x14ac:dyDescent="0.25">
      <c r="A1757" t="s">
        <v>4282</v>
      </c>
      <c r="B1757" s="3">
        <v>44043</v>
      </c>
      <c r="C1757" t="s">
        <v>704</v>
      </c>
      <c r="D1757" t="s">
        <v>3477</v>
      </c>
      <c r="E1757">
        <v>4</v>
      </c>
      <c r="F1757" t="s">
        <v>3524</v>
      </c>
      <c r="G1757" t="s">
        <v>3519</v>
      </c>
      <c r="H1757">
        <v>0.5</v>
      </c>
      <c r="I1757">
        <v>6</v>
      </c>
      <c r="J1757">
        <v>24</v>
      </c>
    </row>
    <row r="1758" spans="1:10" x14ac:dyDescent="0.25">
      <c r="A1758" t="s">
        <v>4283</v>
      </c>
      <c r="B1758" s="3">
        <v>45497</v>
      </c>
      <c r="C1758" t="s">
        <v>1576</v>
      </c>
      <c r="D1758" t="s">
        <v>3488</v>
      </c>
      <c r="E1758">
        <v>1</v>
      </c>
      <c r="F1758" t="s">
        <v>3523</v>
      </c>
      <c r="G1758" t="s">
        <v>3519</v>
      </c>
      <c r="H1758">
        <v>0.5</v>
      </c>
      <c r="I1758">
        <v>6.8</v>
      </c>
      <c r="J1758">
        <v>6.8</v>
      </c>
    </row>
    <row r="1759" spans="1:10" x14ac:dyDescent="0.25">
      <c r="A1759" t="s">
        <v>4284</v>
      </c>
      <c r="B1759" s="3">
        <v>44924</v>
      </c>
      <c r="C1759" t="s">
        <v>2134</v>
      </c>
      <c r="D1759" t="s">
        <v>3490</v>
      </c>
      <c r="E1759">
        <v>3</v>
      </c>
      <c r="F1759" t="s">
        <v>3525</v>
      </c>
      <c r="G1759" t="s">
        <v>3519</v>
      </c>
      <c r="H1759">
        <v>0.2</v>
      </c>
      <c r="I1759">
        <v>4.4000000000000004</v>
      </c>
      <c r="J1759">
        <v>13.2</v>
      </c>
    </row>
    <row r="1760" spans="1:10" x14ac:dyDescent="0.25">
      <c r="A1760" t="s">
        <v>4285</v>
      </c>
      <c r="B1760" s="3">
        <v>44973</v>
      </c>
      <c r="C1760" t="s">
        <v>1085</v>
      </c>
      <c r="D1760" t="s">
        <v>3511</v>
      </c>
      <c r="E1760">
        <v>3</v>
      </c>
      <c r="F1760" t="s">
        <v>3523</v>
      </c>
      <c r="G1760" t="s">
        <v>3517</v>
      </c>
      <c r="H1760">
        <v>0.5</v>
      </c>
      <c r="I1760">
        <v>7.8</v>
      </c>
      <c r="J1760">
        <v>23.4</v>
      </c>
    </row>
    <row r="1761" spans="1:10" x14ac:dyDescent="0.25">
      <c r="A1761" t="s">
        <v>4286</v>
      </c>
      <c r="B1761" s="3">
        <v>44662</v>
      </c>
      <c r="C1761" t="s">
        <v>1414</v>
      </c>
      <c r="D1761" t="s">
        <v>3485</v>
      </c>
      <c r="E1761">
        <v>4</v>
      </c>
      <c r="F1761" t="s">
        <v>3523</v>
      </c>
      <c r="G1761" t="s">
        <v>3518</v>
      </c>
      <c r="H1761">
        <v>0.2</v>
      </c>
      <c r="I1761">
        <v>3</v>
      </c>
      <c r="J1761">
        <v>12</v>
      </c>
    </row>
    <row r="1762" spans="1:10" x14ac:dyDescent="0.25">
      <c r="A1762" t="s">
        <v>4287</v>
      </c>
      <c r="B1762" s="3">
        <v>45622</v>
      </c>
      <c r="C1762" t="s">
        <v>3357</v>
      </c>
      <c r="D1762" t="s">
        <v>3509</v>
      </c>
      <c r="E1762">
        <v>4</v>
      </c>
      <c r="F1762" t="s">
        <v>3524</v>
      </c>
      <c r="G1762" t="s">
        <v>3517</v>
      </c>
      <c r="H1762">
        <v>0.2</v>
      </c>
      <c r="I1762">
        <v>3.6</v>
      </c>
      <c r="J1762">
        <v>14.4</v>
      </c>
    </row>
    <row r="1763" spans="1:10" x14ac:dyDescent="0.25">
      <c r="A1763" t="s">
        <v>4288</v>
      </c>
      <c r="B1763" s="3">
        <v>45105</v>
      </c>
      <c r="C1763" t="s">
        <v>2272</v>
      </c>
      <c r="D1763" t="s">
        <v>3500</v>
      </c>
      <c r="E1763">
        <v>5</v>
      </c>
      <c r="F1763" t="s">
        <v>3525</v>
      </c>
      <c r="G1763" t="s">
        <v>3518</v>
      </c>
      <c r="H1763">
        <v>0.5</v>
      </c>
      <c r="I1763">
        <v>7.8</v>
      </c>
      <c r="J1763">
        <v>39</v>
      </c>
    </row>
    <row r="1764" spans="1:10" x14ac:dyDescent="0.25">
      <c r="A1764" t="s">
        <v>4289</v>
      </c>
      <c r="B1764" s="3">
        <v>44690</v>
      </c>
      <c r="C1764" t="s">
        <v>1585</v>
      </c>
      <c r="D1764" t="s">
        <v>3514</v>
      </c>
      <c r="E1764">
        <v>6</v>
      </c>
      <c r="F1764" t="s">
        <v>3526</v>
      </c>
      <c r="G1764" t="s">
        <v>3518</v>
      </c>
      <c r="H1764">
        <v>1</v>
      </c>
      <c r="I1764">
        <v>12.2</v>
      </c>
      <c r="J1764">
        <v>73.2</v>
      </c>
    </row>
    <row r="1765" spans="1:10" x14ac:dyDescent="0.25">
      <c r="A1765" t="s">
        <v>4290</v>
      </c>
      <c r="B1765" s="3">
        <v>44490</v>
      </c>
      <c r="C1765" t="s">
        <v>2305</v>
      </c>
      <c r="D1765" t="s">
        <v>3471</v>
      </c>
      <c r="E1765">
        <v>3</v>
      </c>
      <c r="F1765" t="s">
        <v>3523</v>
      </c>
      <c r="G1765" t="s">
        <v>3517</v>
      </c>
      <c r="H1765">
        <v>1</v>
      </c>
      <c r="I1765">
        <v>13</v>
      </c>
      <c r="J1765">
        <v>39</v>
      </c>
    </row>
    <row r="1766" spans="1:10" x14ac:dyDescent="0.25">
      <c r="A1766" t="s">
        <v>4291</v>
      </c>
      <c r="B1766" s="3">
        <v>44604</v>
      </c>
      <c r="C1766" t="s">
        <v>912</v>
      </c>
      <c r="D1766" t="s">
        <v>3489</v>
      </c>
      <c r="E1766">
        <v>6</v>
      </c>
      <c r="F1766" t="s">
        <v>3523</v>
      </c>
      <c r="G1766" t="s">
        <v>3518</v>
      </c>
      <c r="H1766">
        <v>0.5</v>
      </c>
      <c r="I1766">
        <v>6</v>
      </c>
      <c r="J1766">
        <v>36</v>
      </c>
    </row>
    <row r="1767" spans="1:10" x14ac:dyDescent="0.25">
      <c r="A1767" t="s">
        <v>4292</v>
      </c>
      <c r="B1767" s="3">
        <v>45229</v>
      </c>
      <c r="C1767" t="s">
        <v>2772</v>
      </c>
      <c r="D1767" t="s">
        <v>3513</v>
      </c>
      <c r="E1767">
        <v>5</v>
      </c>
      <c r="F1767" t="s">
        <v>3523</v>
      </c>
      <c r="G1767" t="s">
        <v>3517</v>
      </c>
      <c r="H1767">
        <v>2.5</v>
      </c>
      <c r="I1767">
        <v>29.8</v>
      </c>
      <c r="J1767">
        <v>149</v>
      </c>
    </row>
    <row r="1768" spans="1:10" x14ac:dyDescent="0.25">
      <c r="A1768" t="s">
        <v>4293</v>
      </c>
      <c r="B1768" s="3">
        <v>44215</v>
      </c>
      <c r="C1768" t="s">
        <v>1003</v>
      </c>
      <c r="D1768" t="s">
        <v>3497</v>
      </c>
      <c r="E1768">
        <v>3</v>
      </c>
      <c r="F1768" t="s">
        <v>3526</v>
      </c>
      <c r="G1768" t="s">
        <v>3519</v>
      </c>
      <c r="H1768">
        <v>2.5</v>
      </c>
      <c r="I1768">
        <v>31.6</v>
      </c>
      <c r="J1768">
        <v>94.8</v>
      </c>
    </row>
    <row r="1769" spans="1:10" x14ac:dyDescent="0.25">
      <c r="A1769" t="s">
        <v>4294</v>
      </c>
      <c r="B1769" s="3">
        <v>45498</v>
      </c>
      <c r="C1769" t="s">
        <v>1339</v>
      </c>
      <c r="D1769" t="s">
        <v>3480</v>
      </c>
      <c r="E1769">
        <v>4</v>
      </c>
      <c r="F1769" t="s">
        <v>3524</v>
      </c>
      <c r="G1769" t="s">
        <v>3518</v>
      </c>
      <c r="H1769">
        <v>2.5</v>
      </c>
      <c r="I1769">
        <v>20.6</v>
      </c>
      <c r="J1769">
        <v>82.4</v>
      </c>
    </row>
    <row r="1770" spans="1:10" x14ac:dyDescent="0.25">
      <c r="A1770" t="s">
        <v>4295</v>
      </c>
      <c r="B1770" s="3">
        <v>44091</v>
      </c>
      <c r="C1770" t="s">
        <v>2497</v>
      </c>
      <c r="D1770" t="s">
        <v>3478</v>
      </c>
      <c r="E1770">
        <v>2</v>
      </c>
      <c r="F1770" t="s">
        <v>3523</v>
      </c>
      <c r="G1770" t="s">
        <v>3518</v>
      </c>
      <c r="H1770">
        <v>1</v>
      </c>
      <c r="I1770">
        <v>10</v>
      </c>
      <c r="J1770">
        <v>20</v>
      </c>
    </row>
    <row r="1771" spans="1:10" x14ac:dyDescent="0.25">
      <c r="A1771" t="s">
        <v>4296</v>
      </c>
      <c r="B1771" s="3">
        <v>44651</v>
      </c>
      <c r="C1771" t="s">
        <v>1423</v>
      </c>
      <c r="D1771" t="s">
        <v>3510</v>
      </c>
      <c r="E1771">
        <v>5</v>
      </c>
      <c r="F1771" t="s">
        <v>3524</v>
      </c>
      <c r="G1771" t="s">
        <v>3517</v>
      </c>
      <c r="H1771">
        <v>1</v>
      </c>
      <c r="I1771">
        <v>12</v>
      </c>
      <c r="J1771">
        <v>60</v>
      </c>
    </row>
    <row r="1772" spans="1:10" x14ac:dyDescent="0.25">
      <c r="A1772" t="s">
        <v>4297</v>
      </c>
      <c r="B1772" s="3">
        <v>44618</v>
      </c>
      <c r="C1772" t="s">
        <v>1836</v>
      </c>
      <c r="D1772" t="s">
        <v>3496</v>
      </c>
      <c r="E1772">
        <v>2</v>
      </c>
      <c r="F1772" t="s">
        <v>3525</v>
      </c>
      <c r="G1772" t="s">
        <v>3518</v>
      </c>
      <c r="H1772">
        <v>2.5</v>
      </c>
      <c r="I1772">
        <v>29.8</v>
      </c>
      <c r="J1772">
        <v>59.6</v>
      </c>
    </row>
    <row r="1773" spans="1:10" x14ac:dyDescent="0.25">
      <c r="A1773" t="s">
        <v>4298</v>
      </c>
      <c r="B1773" s="3">
        <v>44689</v>
      </c>
      <c r="C1773" t="s">
        <v>929</v>
      </c>
      <c r="D1773" t="s">
        <v>3494</v>
      </c>
      <c r="E1773">
        <v>3</v>
      </c>
      <c r="F1773" t="s">
        <v>3524</v>
      </c>
      <c r="G1773" t="s">
        <v>3518</v>
      </c>
      <c r="H1773">
        <v>0.2</v>
      </c>
      <c r="I1773">
        <v>2.7</v>
      </c>
      <c r="J1773">
        <v>8.1</v>
      </c>
    </row>
    <row r="1774" spans="1:10" x14ac:dyDescent="0.25">
      <c r="A1774" t="s">
        <v>4299</v>
      </c>
      <c r="B1774" s="3">
        <v>44905</v>
      </c>
      <c r="C1774" t="s">
        <v>3151</v>
      </c>
      <c r="D1774" t="s">
        <v>3483</v>
      </c>
      <c r="E1774">
        <v>2</v>
      </c>
      <c r="F1774" t="s">
        <v>3523</v>
      </c>
      <c r="G1774" t="s">
        <v>3519</v>
      </c>
      <c r="H1774">
        <v>0.2</v>
      </c>
      <c r="I1774">
        <v>3.4</v>
      </c>
      <c r="J1774">
        <v>6.8</v>
      </c>
    </row>
    <row r="1775" spans="1:10" x14ac:dyDescent="0.25">
      <c r="A1775" t="s">
        <v>4300</v>
      </c>
      <c r="B1775" s="3">
        <v>44312</v>
      </c>
      <c r="C1775" t="s">
        <v>1187</v>
      </c>
      <c r="D1775" t="s">
        <v>3477</v>
      </c>
      <c r="E1775">
        <v>5</v>
      </c>
      <c r="F1775" t="s">
        <v>3524</v>
      </c>
      <c r="G1775" t="s">
        <v>3519</v>
      </c>
      <c r="H1775">
        <v>0.5</v>
      </c>
      <c r="I1775">
        <v>6</v>
      </c>
      <c r="J1775">
        <v>30</v>
      </c>
    </row>
    <row r="1776" spans="1:10" x14ac:dyDescent="0.25">
      <c r="A1776" t="s">
        <v>4301</v>
      </c>
      <c r="B1776" s="3">
        <v>45581</v>
      </c>
      <c r="C1776" t="s">
        <v>2338</v>
      </c>
      <c r="D1776" t="s">
        <v>3508</v>
      </c>
      <c r="E1776">
        <v>5</v>
      </c>
      <c r="F1776" t="s">
        <v>3524</v>
      </c>
      <c r="G1776" t="s">
        <v>3518</v>
      </c>
      <c r="H1776">
        <v>1</v>
      </c>
      <c r="I1776">
        <v>9</v>
      </c>
      <c r="J1776">
        <v>45</v>
      </c>
    </row>
    <row r="1777" spans="1:10" x14ac:dyDescent="0.25">
      <c r="A1777" t="s">
        <v>4302</v>
      </c>
      <c r="B1777" s="3">
        <v>45554</v>
      </c>
      <c r="C1777" t="s">
        <v>2757</v>
      </c>
      <c r="D1777" t="s">
        <v>3478</v>
      </c>
      <c r="E1777">
        <v>6</v>
      </c>
      <c r="F1777" t="s">
        <v>3523</v>
      </c>
      <c r="G1777" t="s">
        <v>3518</v>
      </c>
      <c r="H1777">
        <v>1</v>
      </c>
      <c r="I1777">
        <v>10</v>
      </c>
      <c r="J1777">
        <v>60</v>
      </c>
    </row>
    <row r="1778" spans="1:10" x14ac:dyDescent="0.25">
      <c r="A1778" t="s">
        <v>4303</v>
      </c>
      <c r="B1778" s="3">
        <v>44229</v>
      </c>
      <c r="C1778" t="s">
        <v>1238</v>
      </c>
      <c r="D1778" t="s">
        <v>3500</v>
      </c>
      <c r="E1778">
        <v>4</v>
      </c>
      <c r="F1778" t="s">
        <v>3525</v>
      </c>
      <c r="G1778" t="s">
        <v>3518</v>
      </c>
      <c r="H1778">
        <v>0.5</v>
      </c>
      <c r="I1778">
        <v>7.8</v>
      </c>
      <c r="J1778">
        <v>31.2</v>
      </c>
    </row>
    <row r="1779" spans="1:10" x14ac:dyDescent="0.25">
      <c r="A1779" t="s">
        <v>4304</v>
      </c>
      <c r="B1779" s="3">
        <v>44570</v>
      </c>
      <c r="C1779" t="s">
        <v>623</v>
      </c>
      <c r="D1779" t="s">
        <v>3502</v>
      </c>
      <c r="E1779">
        <v>3</v>
      </c>
      <c r="F1779" t="s">
        <v>3526</v>
      </c>
      <c r="G1779" t="s">
        <v>3517</v>
      </c>
      <c r="H1779">
        <v>1</v>
      </c>
      <c r="I1779">
        <v>14.9</v>
      </c>
      <c r="J1779">
        <v>44.7</v>
      </c>
    </row>
    <row r="1780" spans="1:10" x14ac:dyDescent="0.25">
      <c r="A1780" t="s">
        <v>4305</v>
      </c>
      <c r="B1780" s="3">
        <v>43639</v>
      </c>
      <c r="C1780" t="s">
        <v>881</v>
      </c>
      <c r="D1780" t="s">
        <v>3479</v>
      </c>
      <c r="E1780">
        <v>2</v>
      </c>
      <c r="F1780" t="s">
        <v>3526</v>
      </c>
      <c r="G1780" t="s">
        <v>3517</v>
      </c>
      <c r="H1780">
        <v>2.5</v>
      </c>
      <c r="I1780">
        <v>34.200000000000003</v>
      </c>
      <c r="J1780">
        <v>68.400000000000006</v>
      </c>
    </row>
    <row r="1781" spans="1:10" x14ac:dyDescent="0.25">
      <c r="A1781" t="s">
        <v>4306</v>
      </c>
      <c r="B1781" s="3">
        <v>44458</v>
      </c>
      <c r="C1781" t="s">
        <v>610</v>
      </c>
      <c r="D1781" t="s">
        <v>3486</v>
      </c>
      <c r="E1781">
        <v>5</v>
      </c>
      <c r="F1781" t="s">
        <v>3523</v>
      </c>
      <c r="G1781" t="s">
        <v>3519</v>
      </c>
      <c r="H1781">
        <v>1</v>
      </c>
      <c r="I1781">
        <v>11.3</v>
      </c>
      <c r="J1781">
        <v>56.5</v>
      </c>
    </row>
    <row r="1782" spans="1:10" x14ac:dyDescent="0.25">
      <c r="A1782" t="s">
        <v>4307</v>
      </c>
      <c r="B1782" s="3">
        <v>45455</v>
      </c>
      <c r="C1782" t="s">
        <v>1044</v>
      </c>
      <c r="D1782" t="s">
        <v>3485</v>
      </c>
      <c r="E1782">
        <v>6</v>
      </c>
      <c r="F1782" t="s">
        <v>3523</v>
      </c>
      <c r="G1782" t="s">
        <v>3518</v>
      </c>
      <c r="H1782">
        <v>0.2</v>
      </c>
      <c r="I1782">
        <v>3</v>
      </c>
      <c r="J1782">
        <v>18</v>
      </c>
    </row>
    <row r="1783" spans="1:10" x14ac:dyDescent="0.25">
      <c r="A1783" t="s">
        <v>4308</v>
      </c>
      <c r="B1783" s="3">
        <v>45350</v>
      </c>
      <c r="C1783" t="s">
        <v>3124</v>
      </c>
      <c r="D1783" t="s">
        <v>3482</v>
      </c>
      <c r="E1783">
        <v>4</v>
      </c>
      <c r="F1783" t="s">
        <v>3524</v>
      </c>
      <c r="G1783" t="s">
        <v>3519</v>
      </c>
      <c r="H1783">
        <v>2.5</v>
      </c>
      <c r="I1783">
        <v>22.9</v>
      </c>
      <c r="J1783">
        <v>91.6</v>
      </c>
    </row>
    <row r="1784" spans="1:10" x14ac:dyDescent="0.25">
      <c r="A1784" t="s">
        <v>4309</v>
      </c>
      <c r="B1784" s="3">
        <v>44054</v>
      </c>
      <c r="C1784" t="s">
        <v>2308</v>
      </c>
      <c r="D1784" t="s">
        <v>3496</v>
      </c>
      <c r="E1784">
        <v>2</v>
      </c>
      <c r="F1784" t="s">
        <v>3525</v>
      </c>
      <c r="G1784" t="s">
        <v>3518</v>
      </c>
      <c r="H1784">
        <v>2.5</v>
      </c>
      <c r="I1784">
        <v>29.8</v>
      </c>
      <c r="J1784">
        <v>59.6</v>
      </c>
    </row>
    <row r="1785" spans="1:10" x14ac:dyDescent="0.25">
      <c r="A1785" t="s">
        <v>4310</v>
      </c>
      <c r="B1785" s="3">
        <v>45224</v>
      </c>
      <c r="C1785" t="s">
        <v>2957</v>
      </c>
      <c r="D1785" t="s">
        <v>3475</v>
      </c>
      <c r="E1785">
        <v>2</v>
      </c>
      <c r="F1785" t="s">
        <v>3526</v>
      </c>
      <c r="G1785" t="s">
        <v>3518</v>
      </c>
      <c r="H1785">
        <v>0.5</v>
      </c>
      <c r="I1785">
        <v>7.3</v>
      </c>
      <c r="J1785">
        <v>14.6</v>
      </c>
    </row>
    <row r="1786" spans="1:10" x14ac:dyDescent="0.25">
      <c r="A1786" t="s">
        <v>4311</v>
      </c>
      <c r="B1786" s="3">
        <v>45261</v>
      </c>
      <c r="C1786" t="s">
        <v>3139</v>
      </c>
      <c r="D1786" t="s">
        <v>3506</v>
      </c>
      <c r="E1786">
        <v>2</v>
      </c>
      <c r="F1786" t="s">
        <v>3523</v>
      </c>
      <c r="G1786" t="s">
        <v>3519</v>
      </c>
      <c r="H1786">
        <v>2.5</v>
      </c>
      <c r="I1786">
        <v>25.9</v>
      </c>
      <c r="J1786">
        <v>51.8</v>
      </c>
    </row>
    <row r="1787" spans="1:10" x14ac:dyDescent="0.25">
      <c r="A1787" t="s">
        <v>4312</v>
      </c>
      <c r="B1787" s="3">
        <v>44529</v>
      </c>
      <c r="C1787" t="s">
        <v>3109</v>
      </c>
      <c r="D1787" t="s">
        <v>3489</v>
      </c>
      <c r="E1787">
        <v>4</v>
      </c>
      <c r="F1787" t="s">
        <v>3523</v>
      </c>
      <c r="G1787" t="s">
        <v>3518</v>
      </c>
      <c r="H1787">
        <v>0.5</v>
      </c>
      <c r="I1787">
        <v>6</v>
      </c>
      <c r="J1787">
        <v>24</v>
      </c>
    </row>
    <row r="1788" spans="1:10" x14ac:dyDescent="0.25">
      <c r="A1788" t="s">
        <v>4313</v>
      </c>
      <c r="B1788" s="3">
        <v>43778</v>
      </c>
      <c r="C1788" t="s">
        <v>1851</v>
      </c>
      <c r="D1788" t="s">
        <v>3508</v>
      </c>
      <c r="E1788">
        <v>6</v>
      </c>
      <c r="F1788" t="s">
        <v>3524</v>
      </c>
      <c r="G1788" t="s">
        <v>3518</v>
      </c>
      <c r="H1788">
        <v>1</v>
      </c>
      <c r="I1788">
        <v>9</v>
      </c>
      <c r="J1788">
        <v>54</v>
      </c>
    </row>
    <row r="1789" spans="1:10" x14ac:dyDescent="0.25">
      <c r="A1789" t="s">
        <v>4314</v>
      </c>
      <c r="B1789" s="3">
        <v>45159</v>
      </c>
      <c r="C1789" t="s">
        <v>1387</v>
      </c>
      <c r="D1789" t="s">
        <v>3475</v>
      </c>
      <c r="E1789">
        <v>2</v>
      </c>
      <c r="F1789" t="s">
        <v>3526</v>
      </c>
      <c r="G1789" t="s">
        <v>3518</v>
      </c>
      <c r="H1789">
        <v>0.5</v>
      </c>
      <c r="I1789">
        <v>7.3</v>
      </c>
      <c r="J1789">
        <v>14.6</v>
      </c>
    </row>
    <row r="1790" spans="1:10" x14ac:dyDescent="0.25">
      <c r="A1790" t="s">
        <v>4315</v>
      </c>
      <c r="B1790" s="3">
        <v>44987</v>
      </c>
      <c r="C1790" t="s">
        <v>1333</v>
      </c>
      <c r="D1790" t="s">
        <v>3483</v>
      </c>
      <c r="E1790">
        <v>1</v>
      </c>
      <c r="F1790" t="s">
        <v>3523</v>
      </c>
      <c r="G1790" t="s">
        <v>3519</v>
      </c>
      <c r="H1790">
        <v>0.2</v>
      </c>
      <c r="I1790">
        <v>3.4</v>
      </c>
      <c r="J1790">
        <v>3.4</v>
      </c>
    </row>
    <row r="1791" spans="1:10" x14ac:dyDescent="0.25">
      <c r="A1791" t="s">
        <v>4316</v>
      </c>
      <c r="B1791" s="3">
        <v>45206</v>
      </c>
      <c r="C1791" t="s">
        <v>3321</v>
      </c>
      <c r="D1791" t="s">
        <v>3482</v>
      </c>
      <c r="E1791">
        <v>6</v>
      </c>
      <c r="F1791" t="s">
        <v>3524</v>
      </c>
      <c r="G1791" t="s">
        <v>3519</v>
      </c>
      <c r="H1791">
        <v>2.5</v>
      </c>
      <c r="I1791">
        <v>22.9</v>
      </c>
      <c r="J1791">
        <v>137.4</v>
      </c>
    </row>
    <row r="1792" spans="1:10" x14ac:dyDescent="0.25">
      <c r="A1792" t="s">
        <v>4317</v>
      </c>
      <c r="B1792" s="3">
        <v>43649</v>
      </c>
      <c r="C1792" t="s">
        <v>2423</v>
      </c>
      <c r="D1792" t="s">
        <v>3505</v>
      </c>
      <c r="E1792">
        <v>3</v>
      </c>
      <c r="F1792" t="s">
        <v>3524</v>
      </c>
      <c r="G1792" t="s">
        <v>3519</v>
      </c>
      <c r="H1792">
        <v>0.2</v>
      </c>
      <c r="I1792">
        <v>3</v>
      </c>
      <c r="J1792">
        <v>9</v>
      </c>
    </row>
    <row r="1793" spans="1:10" x14ac:dyDescent="0.25">
      <c r="A1793" t="s">
        <v>4318</v>
      </c>
      <c r="B1793" s="3">
        <v>43993</v>
      </c>
      <c r="C1793" t="s">
        <v>2128</v>
      </c>
      <c r="D1793" t="s">
        <v>3492</v>
      </c>
      <c r="E1793">
        <v>3</v>
      </c>
      <c r="F1793" t="s">
        <v>3525</v>
      </c>
      <c r="G1793" t="s">
        <v>3517</v>
      </c>
      <c r="H1793">
        <v>0.5</v>
      </c>
      <c r="I1793">
        <v>9.5</v>
      </c>
      <c r="J1793">
        <v>28.5</v>
      </c>
    </row>
    <row r="1794" spans="1:10" x14ac:dyDescent="0.25">
      <c r="A1794" t="s">
        <v>4319</v>
      </c>
      <c r="B1794" s="3">
        <v>44889</v>
      </c>
      <c r="C1794" t="s">
        <v>3411</v>
      </c>
      <c r="D1794" t="s">
        <v>3480</v>
      </c>
      <c r="E1794">
        <v>4</v>
      </c>
      <c r="F1794" t="s">
        <v>3524</v>
      </c>
      <c r="G1794" t="s">
        <v>3518</v>
      </c>
      <c r="H1794">
        <v>2.5</v>
      </c>
      <c r="I1794">
        <v>20.6</v>
      </c>
      <c r="J1794">
        <v>82.4</v>
      </c>
    </row>
    <row r="1795" spans="1:10" x14ac:dyDescent="0.25">
      <c r="A1795" t="s">
        <v>4320</v>
      </c>
      <c r="B1795" s="3">
        <v>44889</v>
      </c>
      <c r="C1795" t="s">
        <v>1262</v>
      </c>
      <c r="D1795" t="s">
        <v>3494</v>
      </c>
      <c r="E1795">
        <v>1</v>
      </c>
      <c r="F1795" t="s">
        <v>3524</v>
      </c>
      <c r="G1795" t="s">
        <v>3518</v>
      </c>
      <c r="H1795">
        <v>0.2</v>
      </c>
      <c r="I1795">
        <v>2.7</v>
      </c>
      <c r="J1795">
        <v>2.7</v>
      </c>
    </row>
    <row r="1796" spans="1:10" x14ac:dyDescent="0.25">
      <c r="A1796" t="s">
        <v>4321</v>
      </c>
      <c r="B1796" s="3">
        <v>45091</v>
      </c>
      <c r="C1796" t="s">
        <v>1930</v>
      </c>
      <c r="D1796" t="s">
        <v>3476</v>
      </c>
      <c r="E1796">
        <v>6</v>
      </c>
      <c r="F1796" t="s">
        <v>3525</v>
      </c>
      <c r="G1796" t="s">
        <v>3517</v>
      </c>
      <c r="H1796">
        <v>0.2</v>
      </c>
      <c r="I1796">
        <v>4.8</v>
      </c>
      <c r="J1796">
        <v>28.8</v>
      </c>
    </row>
    <row r="1797" spans="1:10" x14ac:dyDescent="0.25">
      <c r="A1797" t="s">
        <v>4322</v>
      </c>
      <c r="B1797" s="3">
        <v>44601</v>
      </c>
      <c r="C1797" t="s">
        <v>564</v>
      </c>
      <c r="D1797" t="s">
        <v>3507</v>
      </c>
      <c r="E1797">
        <v>5</v>
      </c>
      <c r="F1797" t="s">
        <v>3526</v>
      </c>
      <c r="G1797" t="s">
        <v>3517</v>
      </c>
      <c r="H1797">
        <v>0.5</v>
      </c>
      <c r="I1797">
        <v>8.9</v>
      </c>
      <c r="J1797">
        <v>44.5</v>
      </c>
    </row>
    <row r="1798" spans="1:10" x14ac:dyDescent="0.25">
      <c r="A1798" t="s">
        <v>4323</v>
      </c>
      <c r="B1798" s="3">
        <v>45187</v>
      </c>
      <c r="C1798" t="s">
        <v>971</v>
      </c>
      <c r="D1798" t="s">
        <v>3482</v>
      </c>
      <c r="E1798">
        <v>1</v>
      </c>
      <c r="F1798" t="s">
        <v>3524</v>
      </c>
      <c r="G1798" t="s">
        <v>3519</v>
      </c>
      <c r="H1798">
        <v>2.5</v>
      </c>
      <c r="I1798">
        <v>22.9</v>
      </c>
      <c r="J1798">
        <v>22.9</v>
      </c>
    </row>
    <row r="1799" spans="1:10" x14ac:dyDescent="0.25">
      <c r="A1799" t="s">
        <v>4324</v>
      </c>
      <c r="B1799" s="3">
        <v>44212</v>
      </c>
      <c r="C1799" t="s">
        <v>2140</v>
      </c>
      <c r="D1799" t="s">
        <v>3479</v>
      </c>
      <c r="E1799">
        <v>2</v>
      </c>
      <c r="F1799" t="s">
        <v>3526</v>
      </c>
      <c r="G1799" t="s">
        <v>3517</v>
      </c>
      <c r="H1799">
        <v>2.5</v>
      </c>
      <c r="I1799">
        <v>34.200000000000003</v>
      </c>
      <c r="J1799">
        <v>68.400000000000006</v>
      </c>
    </row>
    <row r="1800" spans="1:10" x14ac:dyDescent="0.25">
      <c r="A1800" t="s">
        <v>4325</v>
      </c>
      <c r="B1800" s="3">
        <v>44201</v>
      </c>
      <c r="C1800" t="s">
        <v>1041</v>
      </c>
      <c r="D1800" t="s">
        <v>3503</v>
      </c>
      <c r="E1800">
        <v>1</v>
      </c>
      <c r="F1800" t="s">
        <v>3524</v>
      </c>
      <c r="G1800" t="s">
        <v>3518</v>
      </c>
      <c r="H1800">
        <v>0.5</v>
      </c>
      <c r="I1800">
        <v>5.4</v>
      </c>
      <c r="J1800">
        <v>5.4</v>
      </c>
    </row>
    <row r="1801" spans="1:10" x14ac:dyDescent="0.25">
      <c r="A1801" t="s">
        <v>4326</v>
      </c>
      <c r="B1801" s="3">
        <v>43726</v>
      </c>
      <c r="C1801" t="s">
        <v>1957</v>
      </c>
      <c r="D1801" t="s">
        <v>3511</v>
      </c>
      <c r="E1801">
        <v>5</v>
      </c>
      <c r="F1801" t="s">
        <v>3523</v>
      </c>
      <c r="G1801" t="s">
        <v>3517</v>
      </c>
      <c r="H1801">
        <v>0.5</v>
      </c>
      <c r="I1801">
        <v>7.8</v>
      </c>
      <c r="J1801">
        <v>39</v>
      </c>
    </row>
    <row r="1802" spans="1:10" x14ac:dyDescent="0.25">
      <c r="A1802" t="s">
        <v>4327</v>
      </c>
      <c r="B1802" s="3">
        <v>44562</v>
      </c>
      <c r="C1802" t="s">
        <v>586</v>
      </c>
      <c r="D1802" t="s">
        <v>3482</v>
      </c>
      <c r="E1802">
        <v>2</v>
      </c>
      <c r="F1802" t="s">
        <v>3524</v>
      </c>
      <c r="G1802" t="s">
        <v>3519</v>
      </c>
      <c r="H1802">
        <v>2.5</v>
      </c>
      <c r="I1802">
        <v>22.9</v>
      </c>
      <c r="J1802">
        <v>45.8</v>
      </c>
    </row>
    <row r="1803" spans="1:10" x14ac:dyDescent="0.25">
      <c r="A1803" t="s">
        <v>4328</v>
      </c>
      <c r="B1803" s="3">
        <v>44417</v>
      </c>
      <c r="C1803" t="s">
        <v>3351</v>
      </c>
      <c r="D1803" t="s">
        <v>3472</v>
      </c>
      <c r="E1803">
        <v>4</v>
      </c>
      <c r="F1803" t="s">
        <v>3526</v>
      </c>
      <c r="G1803" t="s">
        <v>3519</v>
      </c>
      <c r="H1803">
        <v>1</v>
      </c>
      <c r="I1803">
        <v>13.8</v>
      </c>
      <c r="J1803">
        <v>55.2</v>
      </c>
    </row>
    <row r="1804" spans="1:10" x14ac:dyDescent="0.25">
      <c r="A1804" t="s">
        <v>4329</v>
      </c>
      <c r="B1804" s="3">
        <v>45640</v>
      </c>
      <c r="C1804" t="s">
        <v>1232</v>
      </c>
      <c r="D1804" t="s">
        <v>3507</v>
      </c>
      <c r="E1804">
        <v>3</v>
      </c>
      <c r="F1804" t="s">
        <v>3526</v>
      </c>
      <c r="G1804" t="s">
        <v>3517</v>
      </c>
      <c r="H1804">
        <v>0.5</v>
      </c>
      <c r="I1804">
        <v>8.9</v>
      </c>
      <c r="J1804">
        <v>26.7</v>
      </c>
    </row>
    <row r="1805" spans="1:10" x14ac:dyDescent="0.25">
      <c r="A1805" t="s">
        <v>4330</v>
      </c>
      <c r="B1805" s="3">
        <v>45154</v>
      </c>
      <c r="C1805" t="s">
        <v>3075</v>
      </c>
      <c r="D1805" t="s">
        <v>3476</v>
      </c>
      <c r="E1805">
        <v>6</v>
      </c>
      <c r="F1805" t="s">
        <v>3525</v>
      </c>
      <c r="G1805" t="s">
        <v>3517</v>
      </c>
      <c r="H1805">
        <v>0.2</v>
      </c>
      <c r="I1805">
        <v>4.8</v>
      </c>
      <c r="J1805">
        <v>28.8</v>
      </c>
    </row>
    <row r="1806" spans="1:10" x14ac:dyDescent="0.25">
      <c r="A1806" t="s">
        <v>4331</v>
      </c>
      <c r="B1806" s="3">
        <v>44635</v>
      </c>
      <c r="C1806" t="s">
        <v>2554</v>
      </c>
      <c r="D1806" t="s">
        <v>3470</v>
      </c>
      <c r="E1806">
        <v>2</v>
      </c>
      <c r="F1806" t="s">
        <v>3526</v>
      </c>
      <c r="G1806" t="s">
        <v>3519</v>
      </c>
      <c r="H1806">
        <v>0.5</v>
      </c>
      <c r="I1806">
        <v>8.3000000000000007</v>
      </c>
      <c r="J1806">
        <v>16.600000000000001</v>
      </c>
    </row>
    <row r="1807" spans="1:10" x14ac:dyDescent="0.25">
      <c r="A1807" t="s">
        <v>4332</v>
      </c>
      <c r="B1807" s="3">
        <v>44726</v>
      </c>
      <c r="C1807" t="s">
        <v>2660</v>
      </c>
      <c r="D1807" t="s">
        <v>3508</v>
      </c>
      <c r="E1807">
        <v>3</v>
      </c>
      <c r="F1807" t="s">
        <v>3524</v>
      </c>
      <c r="G1807" t="s">
        <v>3518</v>
      </c>
      <c r="H1807">
        <v>1</v>
      </c>
      <c r="I1807">
        <v>9</v>
      </c>
      <c r="J1807">
        <v>27</v>
      </c>
    </row>
    <row r="1808" spans="1:10" x14ac:dyDescent="0.25">
      <c r="A1808" t="s">
        <v>4333</v>
      </c>
      <c r="B1808" s="3">
        <v>44652</v>
      </c>
      <c r="C1808" t="s">
        <v>1875</v>
      </c>
      <c r="D1808" t="s">
        <v>3496</v>
      </c>
      <c r="E1808">
        <v>3</v>
      </c>
      <c r="F1808" t="s">
        <v>3525</v>
      </c>
      <c r="G1808" t="s">
        <v>3518</v>
      </c>
      <c r="H1808">
        <v>2.5</v>
      </c>
      <c r="I1808">
        <v>29.8</v>
      </c>
      <c r="J1808">
        <v>89.4</v>
      </c>
    </row>
    <row r="1809" spans="1:10" x14ac:dyDescent="0.25">
      <c r="A1809" t="s">
        <v>4334</v>
      </c>
      <c r="B1809" s="3">
        <v>45269</v>
      </c>
      <c r="C1809" t="s">
        <v>652</v>
      </c>
      <c r="D1809" t="s">
        <v>3483</v>
      </c>
      <c r="E1809">
        <v>2</v>
      </c>
      <c r="F1809" t="s">
        <v>3523</v>
      </c>
      <c r="G1809" t="s">
        <v>3519</v>
      </c>
      <c r="H1809">
        <v>0.2</v>
      </c>
      <c r="I1809">
        <v>3.4</v>
      </c>
      <c r="J1809">
        <v>6.8</v>
      </c>
    </row>
    <row r="1810" spans="1:10" x14ac:dyDescent="0.25">
      <c r="A1810" t="s">
        <v>4335</v>
      </c>
      <c r="B1810" s="3">
        <v>45048</v>
      </c>
      <c r="C1810" t="s">
        <v>829</v>
      </c>
      <c r="D1810" t="s">
        <v>3515</v>
      </c>
      <c r="E1810">
        <v>3</v>
      </c>
      <c r="F1810" t="s">
        <v>3526</v>
      </c>
      <c r="G1810" t="s">
        <v>3517</v>
      </c>
      <c r="H1810">
        <v>0.2</v>
      </c>
      <c r="I1810">
        <v>4.5</v>
      </c>
      <c r="J1810">
        <v>13.5</v>
      </c>
    </row>
    <row r="1811" spans="1:10" x14ac:dyDescent="0.25">
      <c r="A1811" t="s">
        <v>4336</v>
      </c>
      <c r="B1811" s="3">
        <v>45333</v>
      </c>
      <c r="C1811" t="s">
        <v>1145</v>
      </c>
      <c r="D1811" t="s">
        <v>3509</v>
      </c>
      <c r="E1811">
        <v>6</v>
      </c>
      <c r="F1811" t="s">
        <v>3524</v>
      </c>
      <c r="G1811" t="s">
        <v>3517</v>
      </c>
      <c r="H1811">
        <v>0.2</v>
      </c>
      <c r="I1811">
        <v>3.6</v>
      </c>
      <c r="J1811">
        <v>21.6</v>
      </c>
    </row>
    <row r="1812" spans="1:10" x14ac:dyDescent="0.25">
      <c r="A1812" t="s">
        <v>4337</v>
      </c>
      <c r="B1812" s="3">
        <v>45200</v>
      </c>
      <c r="C1812" t="s">
        <v>1145</v>
      </c>
      <c r="D1812" t="s">
        <v>3510</v>
      </c>
      <c r="E1812">
        <v>1</v>
      </c>
      <c r="F1812" t="s">
        <v>3524</v>
      </c>
      <c r="G1812" t="s">
        <v>3517</v>
      </c>
      <c r="H1812">
        <v>1</v>
      </c>
      <c r="I1812">
        <v>12</v>
      </c>
      <c r="J1812">
        <v>12</v>
      </c>
    </row>
    <row r="1813" spans="1:10" x14ac:dyDescent="0.25">
      <c r="A1813" t="s">
        <v>4338</v>
      </c>
      <c r="B1813" s="3">
        <v>45385</v>
      </c>
      <c r="C1813" t="s">
        <v>3321</v>
      </c>
      <c r="D1813" t="s">
        <v>3504</v>
      </c>
      <c r="E1813">
        <v>3</v>
      </c>
      <c r="F1813" t="s">
        <v>3524</v>
      </c>
      <c r="G1813" t="s">
        <v>3517</v>
      </c>
      <c r="H1813">
        <v>0.5</v>
      </c>
      <c r="I1813">
        <v>7.2</v>
      </c>
      <c r="J1813">
        <v>21.6</v>
      </c>
    </row>
    <row r="1814" spans="1:10" x14ac:dyDescent="0.25">
      <c r="A1814" t="s">
        <v>4339</v>
      </c>
      <c r="B1814" s="3">
        <v>44662</v>
      </c>
      <c r="C1814" t="s">
        <v>2497</v>
      </c>
      <c r="D1814" t="s">
        <v>3508</v>
      </c>
      <c r="E1814">
        <v>2</v>
      </c>
      <c r="F1814" t="s">
        <v>3524</v>
      </c>
      <c r="G1814" t="s">
        <v>3518</v>
      </c>
      <c r="H1814">
        <v>1</v>
      </c>
      <c r="I1814">
        <v>9</v>
      </c>
      <c r="J1814">
        <v>18</v>
      </c>
    </row>
    <row r="1815" spans="1:10" x14ac:dyDescent="0.25">
      <c r="A1815" t="s">
        <v>4340</v>
      </c>
      <c r="B1815" s="3">
        <v>45247</v>
      </c>
      <c r="C1815" t="s">
        <v>878</v>
      </c>
      <c r="D1815" t="s">
        <v>3485</v>
      </c>
      <c r="E1815">
        <v>4</v>
      </c>
      <c r="F1815" t="s">
        <v>3523</v>
      </c>
      <c r="G1815" t="s">
        <v>3518</v>
      </c>
      <c r="H1815">
        <v>0.2</v>
      </c>
      <c r="I1815">
        <v>3</v>
      </c>
      <c r="J1815">
        <v>12</v>
      </c>
    </row>
    <row r="1816" spans="1:10" x14ac:dyDescent="0.25">
      <c r="A1816" t="s">
        <v>4341</v>
      </c>
      <c r="B1816" s="3">
        <v>44263</v>
      </c>
      <c r="C1816" t="s">
        <v>1523</v>
      </c>
      <c r="D1816" t="s">
        <v>3477</v>
      </c>
      <c r="E1816">
        <v>1</v>
      </c>
      <c r="F1816" t="s">
        <v>3524</v>
      </c>
      <c r="G1816" t="s">
        <v>3519</v>
      </c>
      <c r="H1816">
        <v>0.5</v>
      </c>
      <c r="I1816">
        <v>6</v>
      </c>
      <c r="J1816">
        <v>6</v>
      </c>
    </row>
    <row r="1817" spans="1:10" x14ac:dyDescent="0.25">
      <c r="A1817" t="s">
        <v>4342</v>
      </c>
      <c r="B1817" s="3">
        <v>45362</v>
      </c>
      <c r="C1817" t="s">
        <v>2831</v>
      </c>
      <c r="D1817" t="s">
        <v>3515</v>
      </c>
      <c r="E1817">
        <v>4</v>
      </c>
      <c r="F1817" t="s">
        <v>3526</v>
      </c>
      <c r="G1817" t="s">
        <v>3517</v>
      </c>
      <c r="H1817">
        <v>0.2</v>
      </c>
      <c r="I1817">
        <v>4.5</v>
      </c>
      <c r="J1817">
        <v>18</v>
      </c>
    </row>
    <row r="1818" spans="1:10" x14ac:dyDescent="0.25">
      <c r="A1818" t="s">
        <v>4343</v>
      </c>
      <c r="B1818" s="3">
        <v>45040</v>
      </c>
      <c r="C1818" t="s">
        <v>1803</v>
      </c>
      <c r="D1818" t="s">
        <v>3506</v>
      </c>
      <c r="E1818">
        <v>3</v>
      </c>
      <c r="F1818" t="s">
        <v>3523</v>
      </c>
      <c r="G1818" t="s">
        <v>3519</v>
      </c>
      <c r="H1818">
        <v>2.5</v>
      </c>
      <c r="I1818">
        <v>25.9</v>
      </c>
      <c r="J1818">
        <v>77.7</v>
      </c>
    </row>
    <row r="1819" spans="1:10" x14ac:dyDescent="0.25">
      <c r="A1819" t="s">
        <v>4344</v>
      </c>
      <c r="B1819" s="3">
        <v>44138</v>
      </c>
      <c r="C1819" t="s">
        <v>3112</v>
      </c>
      <c r="D1819" t="s">
        <v>3489</v>
      </c>
      <c r="E1819">
        <v>1</v>
      </c>
      <c r="F1819" t="s">
        <v>3523</v>
      </c>
      <c r="G1819" t="s">
        <v>3518</v>
      </c>
      <c r="H1819">
        <v>0.5</v>
      </c>
      <c r="I1819">
        <v>6</v>
      </c>
      <c r="J1819">
        <v>6</v>
      </c>
    </row>
    <row r="1820" spans="1:10" x14ac:dyDescent="0.25">
      <c r="A1820" t="s">
        <v>4345</v>
      </c>
      <c r="B1820" s="3">
        <v>43851</v>
      </c>
      <c r="C1820" t="s">
        <v>2204</v>
      </c>
      <c r="D1820" t="s">
        <v>3493</v>
      </c>
      <c r="E1820">
        <v>6</v>
      </c>
      <c r="F1820" t="s">
        <v>3525</v>
      </c>
      <c r="G1820" t="s">
        <v>3519</v>
      </c>
      <c r="H1820">
        <v>1</v>
      </c>
      <c r="I1820">
        <v>14.6</v>
      </c>
      <c r="J1820">
        <v>87.6</v>
      </c>
    </row>
    <row r="1821" spans="1:10" x14ac:dyDescent="0.25">
      <c r="A1821" t="s">
        <v>4346</v>
      </c>
      <c r="B1821" s="3">
        <v>45569</v>
      </c>
      <c r="C1821" t="s">
        <v>3118</v>
      </c>
      <c r="D1821" t="s">
        <v>3477</v>
      </c>
      <c r="E1821">
        <v>3</v>
      </c>
      <c r="F1821" t="s">
        <v>3524</v>
      </c>
      <c r="G1821" t="s">
        <v>3519</v>
      </c>
      <c r="H1821">
        <v>0.5</v>
      </c>
      <c r="I1821">
        <v>6</v>
      </c>
      <c r="J1821">
        <v>18</v>
      </c>
    </row>
    <row r="1822" spans="1:10" x14ac:dyDescent="0.25">
      <c r="A1822" t="s">
        <v>4347</v>
      </c>
      <c r="B1822" s="3">
        <v>45606</v>
      </c>
      <c r="C1822" t="s">
        <v>1714</v>
      </c>
      <c r="D1822" t="s">
        <v>3483</v>
      </c>
      <c r="E1822">
        <v>4</v>
      </c>
      <c r="F1822" t="s">
        <v>3523</v>
      </c>
      <c r="G1822" t="s">
        <v>3519</v>
      </c>
      <c r="H1822">
        <v>0.2</v>
      </c>
      <c r="I1822">
        <v>3.4</v>
      </c>
      <c r="J1822">
        <v>13.6</v>
      </c>
    </row>
    <row r="1823" spans="1:10" x14ac:dyDescent="0.25">
      <c r="A1823" t="s">
        <v>4348</v>
      </c>
      <c r="B1823" s="3">
        <v>45379</v>
      </c>
      <c r="C1823" t="s">
        <v>2904</v>
      </c>
      <c r="D1823" t="s">
        <v>3505</v>
      </c>
      <c r="E1823">
        <v>5</v>
      </c>
      <c r="F1823" t="s">
        <v>3524</v>
      </c>
      <c r="G1823" t="s">
        <v>3519</v>
      </c>
      <c r="H1823">
        <v>0.2</v>
      </c>
      <c r="I1823">
        <v>3</v>
      </c>
      <c r="J1823">
        <v>15</v>
      </c>
    </row>
    <row r="1824" spans="1:10" x14ac:dyDescent="0.25">
      <c r="A1824" t="s">
        <v>4349</v>
      </c>
      <c r="B1824" s="3">
        <v>45245</v>
      </c>
      <c r="C1824" t="s">
        <v>3098</v>
      </c>
      <c r="D1824" t="s">
        <v>3497</v>
      </c>
      <c r="E1824">
        <v>4</v>
      </c>
      <c r="F1824" t="s">
        <v>3526</v>
      </c>
      <c r="G1824" t="s">
        <v>3519</v>
      </c>
      <c r="H1824">
        <v>2.5</v>
      </c>
      <c r="I1824">
        <v>31.6</v>
      </c>
      <c r="J1824">
        <v>126.4</v>
      </c>
    </row>
    <row r="1825" spans="1:10" x14ac:dyDescent="0.25">
      <c r="A1825" t="s">
        <v>4350</v>
      </c>
      <c r="B1825" s="3">
        <v>45502</v>
      </c>
      <c r="C1825" t="s">
        <v>1211</v>
      </c>
      <c r="D1825" t="s">
        <v>3469</v>
      </c>
      <c r="E1825">
        <v>3</v>
      </c>
      <c r="F1825" t="s">
        <v>3524</v>
      </c>
      <c r="G1825" t="s">
        <v>3519</v>
      </c>
      <c r="H1825">
        <v>1</v>
      </c>
      <c r="I1825">
        <v>10</v>
      </c>
      <c r="J1825">
        <v>30</v>
      </c>
    </row>
    <row r="1826" spans="1:10" x14ac:dyDescent="0.25">
      <c r="A1826" t="s">
        <v>4351</v>
      </c>
      <c r="B1826" s="3">
        <v>45289</v>
      </c>
      <c r="C1826" t="s">
        <v>3452</v>
      </c>
      <c r="D1826" t="s">
        <v>3504</v>
      </c>
      <c r="E1826">
        <v>2</v>
      </c>
      <c r="F1826" t="s">
        <v>3524</v>
      </c>
      <c r="G1826" t="s">
        <v>3517</v>
      </c>
      <c r="H1826">
        <v>0.5</v>
      </c>
      <c r="I1826">
        <v>7.2</v>
      </c>
      <c r="J1826">
        <v>14.4</v>
      </c>
    </row>
    <row r="1827" spans="1:10" x14ac:dyDescent="0.25">
      <c r="A1827" t="s">
        <v>4352</v>
      </c>
      <c r="B1827" s="3">
        <v>45333</v>
      </c>
      <c r="C1827" t="s">
        <v>3408</v>
      </c>
      <c r="D1827" t="s">
        <v>3499</v>
      </c>
      <c r="E1827">
        <v>6</v>
      </c>
      <c r="F1827" t="s">
        <v>3523</v>
      </c>
      <c r="G1827" t="s">
        <v>3518</v>
      </c>
      <c r="H1827">
        <v>2.5</v>
      </c>
      <c r="I1827">
        <v>22.9</v>
      </c>
      <c r="J1827">
        <v>137.4</v>
      </c>
    </row>
    <row r="1828" spans="1:10" x14ac:dyDescent="0.25">
      <c r="A1828" t="s">
        <v>4353</v>
      </c>
      <c r="B1828" s="3">
        <v>44663</v>
      </c>
      <c r="C1828" t="s">
        <v>1869</v>
      </c>
      <c r="D1828" t="s">
        <v>3500</v>
      </c>
      <c r="E1828">
        <v>4</v>
      </c>
      <c r="F1828" t="s">
        <v>3525</v>
      </c>
      <c r="G1828" t="s">
        <v>3518</v>
      </c>
      <c r="H1828">
        <v>0.5</v>
      </c>
      <c r="I1828">
        <v>7.8</v>
      </c>
      <c r="J1828">
        <v>31.2</v>
      </c>
    </row>
    <row r="1829" spans="1:10" x14ac:dyDescent="0.25">
      <c r="A1829" t="s">
        <v>4354</v>
      </c>
      <c r="B1829" s="3">
        <v>44745</v>
      </c>
      <c r="C1829" t="s">
        <v>1927</v>
      </c>
      <c r="D1829" t="s">
        <v>3504</v>
      </c>
      <c r="E1829">
        <v>4</v>
      </c>
      <c r="F1829" t="s">
        <v>3524</v>
      </c>
      <c r="G1829" t="s">
        <v>3517</v>
      </c>
      <c r="H1829">
        <v>0.5</v>
      </c>
      <c r="I1829">
        <v>7.2</v>
      </c>
      <c r="J1829">
        <v>28.8</v>
      </c>
    </row>
    <row r="1830" spans="1:10" x14ac:dyDescent="0.25">
      <c r="A1830" t="s">
        <v>4355</v>
      </c>
      <c r="B1830" s="3">
        <v>45458</v>
      </c>
      <c r="C1830" t="s">
        <v>3375</v>
      </c>
      <c r="D1830" t="s">
        <v>3491</v>
      </c>
      <c r="E1830">
        <v>6</v>
      </c>
      <c r="F1830" t="s">
        <v>3525</v>
      </c>
      <c r="G1830" t="s">
        <v>3519</v>
      </c>
      <c r="H1830">
        <v>0.5</v>
      </c>
      <c r="I1830">
        <v>8.6999999999999993</v>
      </c>
      <c r="J1830">
        <v>52.2</v>
      </c>
    </row>
    <row r="1831" spans="1:10" x14ac:dyDescent="0.25">
      <c r="A1831" t="s">
        <v>4356</v>
      </c>
      <c r="B1831" s="3">
        <v>45411</v>
      </c>
      <c r="C1831" t="s">
        <v>2843</v>
      </c>
      <c r="D1831" t="s">
        <v>3487</v>
      </c>
      <c r="E1831">
        <v>4</v>
      </c>
      <c r="F1831" t="s">
        <v>3526</v>
      </c>
      <c r="G1831" t="s">
        <v>3519</v>
      </c>
      <c r="H1831">
        <v>0.2</v>
      </c>
      <c r="I1831">
        <v>4.0999999999999996</v>
      </c>
      <c r="J1831">
        <v>16.399999999999999</v>
      </c>
    </row>
    <row r="1832" spans="1:10" x14ac:dyDescent="0.25">
      <c r="A1832" t="s">
        <v>4357</v>
      </c>
      <c r="B1832" s="3">
        <v>44955</v>
      </c>
      <c r="C1832" t="s">
        <v>532</v>
      </c>
      <c r="D1832" t="s">
        <v>3516</v>
      </c>
      <c r="E1832">
        <v>1</v>
      </c>
      <c r="F1832" t="s">
        <v>3526</v>
      </c>
      <c r="G1832" t="s">
        <v>3518</v>
      </c>
      <c r="H1832">
        <v>2.5</v>
      </c>
      <c r="I1832">
        <v>27.9</v>
      </c>
      <c r="J1832">
        <v>27.9</v>
      </c>
    </row>
    <row r="1833" spans="1:10" x14ac:dyDescent="0.25">
      <c r="A1833" t="s">
        <v>4358</v>
      </c>
      <c r="B1833" s="3">
        <v>44937</v>
      </c>
      <c r="C1833" t="s">
        <v>3199</v>
      </c>
      <c r="D1833" t="s">
        <v>3477</v>
      </c>
      <c r="E1833">
        <v>3</v>
      </c>
      <c r="F1833" t="s">
        <v>3524</v>
      </c>
      <c r="G1833" t="s">
        <v>3519</v>
      </c>
      <c r="H1833">
        <v>0.5</v>
      </c>
      <c r="I1833">
        <v>6</v>
      </c>
      <c r="J1833">
        <v>18</v>
      </c>
    </row>
    <row r="1834" spans="1:10" x14ac:dyDescent="0.25">
      <c r="A1834" t="s">
        <v>4359</v>
      </c>
      <c r="B1834" s="3">
        <v>45532</v>
      </c>
      <c r="C1834" t="s">
        <v>704</v>
      </c>
      <c r="D1834" t="s">
        <v>3474</v>
      </c>
      <c r="E1834">
        <v>6</v>
      </c>
      <c r="F1834" t="s">
        <v>3525</v>
      </c>
      <c r="G1834" t="s">
        <v>3518</v>
      </c>
      <c r="H1834">
        <v>1</v>
      </c>
      <c r="I1834">
        <v>13</v>
      </c>
      <c r="J1834">
        <v>78</v>
      </c>
    </row>
    <row r="1835" spans="1:10" x14ac:dyDescent="0.25">
      <c r="A1835" t="s">
        <v>4360</v>
      </c>
      <c r="B1835" s="3">
        <v>44815</v>
      </c>
      <c r="C1835" t="s">
        <v>2254</v>
      </c>
      <c r="D1835" t="s">
        <v>3476</v>
      </c>
      <c r="E1835">
        <v>3</v>
      </c>
      <c r="F1835" t="s">
        <v>3525</v>
      </c>
      <c r="G1835" t="s">
        <v>3517</v>
      </c>
      <c r="H1835">
        <v>0.2</v>
      </c>
      <c r="I1835">
        <v>4.8</v>
      </c>
      <c r="J1835">
        <v>14.4</v>
      </c>
    </row>
    <row r="1836" spans="1:10" x14ac:dyDescent="0.25">
      <c r="A1836" t="s">
        <v>4361</v>
      </c>
      <c r="B1836" s="3">
        <v>45397</v>
      </c>
      <c r="C1836" t="s">
        <v>1613</v>
      </c>
      <c r="D1836" t="s">
        <v>3490</v>
      </c>
      <c r="E1836">
        <v>4</v>
      </c>
      <c r="F1836" t="s">
        <v>3525</v>
      </c>
      <c r="G1836" t="s">
        <v>3519</v>
      </c>
      <c r="H1836">
        <v>0.2</v>
      </c>
      <c r="I1836">
        <v>4.4000000000000004</v>
      </c>
      <c r="J1836">
        <v>17.600000000000001</v>
      </c>
    </row>
    <row r="1837" spans="1:10" x14ac:dyDescent="0.25">
      <c r="A1837" t="s">
        <v>4362</v>
      </c>
      <c r="B1837" s="3">
        <v>45627</v>
      </c>
      <c r="C1837" t="s">
        <v>3139</v>
      </c>
      <c r="D1837" t="s">
        <v>3488</v>
      </c>
      <c r="E1837">
        <v>5</v>
      </c>
      <c r="F1837" t="s">
        <v>3523</v>
      </c>
      <c r="G1837" t="s">
        <v>3519</v>
      </c>
      <c r="H1837">
        <v>0.5</v>
      </c>
      <c r="I1837">
        <v>6.8</v>
      </c>
      <c r="J1837">
        <v>34</v>
      </c>
    </row>
    <row r="1838" spans="1:10" x14ac:dyDescent="0.25">
      <c r="A1838" t="s">
        <v>4363</v>
      </c>
      <c r="B1838" s="3">
        <v>44951</v>
      </c>
      <c r="C1838" t="s">
        <v>2447</v>
      </c>
      <c r="D1838" t="s">
        <v>3505</v>
      </c>
      <c r="E1838">
        <v>1</v>
      </c>
      <c r="F1838" t="s">
        <v>3524</v>
      </c>
      <c r="G1838" t="s">
        <v>3519</v>
      </c>
      <c r="H1838">
        <v>0.2</v>
      </c>
      <c r="I1838">
        <v>3</v>
      </c>
      <c r="J1838">
        <v>3</v>
      </c>
    </row>
    <row r="1839" spans="1:10" x14ac:dyDescent="0.25">
      <c r="A1839" t="s">
        <v>4364</v>
      </c>
      <c r="B1839" s="3">
        <v>44473</v>
      </c>
      <c r="C1839" t="s">
        <v>3098</v>
      </c>
      <c r="D1839" t="s">
        <v>3499</v>
      </c>
      <c r="E1839">
        <v>5</v>
      </c>
      <c r="F1839" t="s">
        <v>3523</v>
      </c>
      <c r="G1839" t="s">
        <v>3518</v>
      </c>
      <c r="H1839">
        <v>2.5</v>
      </c>
      <c r="I1839">
        <v>22.9</v>
      </c>
      <c r="J1839">
        <v>114.5</v>
      </c>
    </row>
    <row r="1840" spans="1:10" x14ac:dyDescent="0.25">
      <c r="A1840" t="s">
        <v>4365</v>
      </c>
      <c r="B1840" s="3">
        <v>45173</v>
      </c>
      <c r="C1840" t="s">
        <v>1582</v>
      </c>
      <c r="D1840" t="s">
        <v>3478</v>
      </c>
      <c r="E1840">
        <v>6</v>
      </c>
      <c r="F1840" t="s">
        <v>3523</v>
      </c>
      <c r="G1840" t="s">
        <v>3518</v>
      </c>
      <c r="H1840">
        <v>1</v>
      </c>
      <c r="I1840">
        <v>10</v>
      </c>
      <c r="J1840">
        <v>60</v>
      </c>
    </row>
    <row r="1841" spans="1:10" x14ac:dyDescent="0.25">
      <c r="A1841" t="s">
        <v>4366</v>
      </c>
      <c r="B1841" s="3">
        <v>45351</v>
      </c>
      <c r="C1841" t="s">
        <v>2602</v>
      </c>
      <c r="D1841" t="s">
        <v>3506</v>
      </c>
      <c r="E1841">
        <v>4</v>
      </c>
      <c r="F1841" t="s">
        <v>3523</v>
      </c>
      <c r="G1841" t="s">
        <v>3519</v>
      </c>
      <c r="H1841">
        <v>2.5</v>
      </c>
      <c r="I1841">
        <v>25.9</v>
      </c>
      <c r="J1841">
        <v>103.6</v>
      </c>
    </row>
    <row r="1842" spans="1:10" x14ac:dyDescent="0.25">
      <c r="A1842" t="s">
        <v>4367</v>
      </c>
      <c r="B1842" s="3">
        <v>43737</v>
      </c>
      <c r="C1842" t="s">
        <v>2391</v>
      </c>
      <c r="D1842" t="s">
        <v>3506</v>
      </c>
      <c r="E1842">
        <v>2</v>
      </c>
      <c r="F1842" t="s">
        <v>3523</v>
      </c>
      <c r="G1842" t="s">
        <v>3519</v>
      </c>
      <c r="H1842">
        <v>2.5</v>
      </c>
      <c r="I1842">
        <v>25.9</v>
      </c>
      <c r="J1842">
        <v>51.8</v>
      </c>
    </row>
    <row r="1843" spans="1:10" x14ac:dyDescent="0.25">
      <c r="A1843" t="s">
        <v>4368</v>
      </c>
      <c r="B1843" s="3">
        <v>44705</v>
      </c>
      <c r="C1843" t="s">
        <v>1785</v>
      </c>
      <c r="D1843" t="s">
        <v>3479</v>
      </c>
      <c r="E1843">
        <v>6</v>
      </c>
      <c r="F1843" t="s">
        <v>3526</v>
      </c>
      <c r="G1843" t="s">
        <v>3517</v>
      </c>
      <c r="H1843">
        <v>2.5</v>
      </c>
      <c r="I1843">
        <v>34.200000000000003</v>
      </c>
      <c r="J1843">
        <v>205.2</v>
      </c>
    </row>
    <row r="1844" spans="1:10" x14ac:dyDescent="0.25">
      <c r="A1844" t="s">
        <v>4369</v>
      </c>
      <c r="B1844" s="3">
        <v>44817</v>
      </c>
      <c r="C1844" t="s">
        <v>1875</v>
      </c>
      <c r="D1844" t="s">
        <v>3500</v>
      </c>
      <c r="E1844">
        <v>5</v>
      </c>
      <c r="F1844" t="s">
        <v>3525</v>
      </c>
      <c r="G1844" t="s">
        <v>3518</v>
      </c>
      <c r="H1844">
        <v>0.5</v>
      </c>
      <c r="I1844">
        <v>7.8</v>
      </c>
      <c r="J1844">
        <v>39</v>
      </c>
    </row>
    <row r="1845" spans="1:10" x14ac:dyDescent="0.25">
      <c r="A1845" t="s">
        <v>4370</v>
      </c>
      <c r="B1845" s="3">
        <v>45216</v>
      </c>
      <c r="C1845" t="s">
        <v>1018</v>
      </c>
      <c r="D1845" t="s">
        <v>3512</v>
      </c>
      <c r="E1845">
        <v>4</v>
      </c>
      <c r="F1845" t="s">
        <v>3525</v>
      </c>
      <c r="G1845" t="s">
        <v>3519</v>
      </c>
      <c r="H1845">
        <v>2.5</v>
      </c>
      <c r="I1845">
        <v>33.5</v>
      </c>
      <c r="J1845">
        <v>134</v>
      </c>
    </row>
    <row r="1846" spans="1:10" x14ac:dyDescent="0.25">
      <c r="A1846" t="s">
        <v>4371</v>
      </c>
      <c r="B1846" s="3">
        <v>45346</v>
      </c>
      <c r="C1846" t="s">
        <v>2772</v>
      </c>
      <c r="D1846" t="s">
        <v>3493</v>
      </c>
      <c r="E1846">
        <v>6</v>
      </c>
      <c r="F1846" t="s">
        <v>3525</v>
      </c>
      <c r="G1846" t="s">
        <v>3519</v>
      </c>
      <c r="H1846">
        <v>1</v>
      </c>
      <c r="I1846">
        <v>14.6</v>
      </c>
      <c r="J1846">
        <v>87.6</v>
      </c>
    </row>
    <row r="1847" spans="1:10" x14ac:dyDescent="0.25">
      <c r="A1847" t="s">
        <v>4372</v>
      </c>
      <c r="B1847" s="3">
        <v>45192</v>
      </c>
      <c r="C1847" t="s">
        <v>2879</v>
      </c>
      <c r="D1847" t="s">
        <v>3481</v>
      </c>
      <c r="E1847">
        <v>6</v>
      </c>
      <c r="F1847" t="s">
        <v>3525</v>
      </c>
      <c r="G1847" t="s">
        <v>3518</v>
      </c>
      <c r="H1847">
        <v>0.2</v>
      </c>
      <c r="I1847">
        <v>3.9</v>
      </c>
      <c r="J1847">
        <v>23.4</v>
      </c>
    </row>
    <row r="1848" spans="1:10" x14ac:dyDescent="0.25">
      <c r="A1848" t="s">
        <v>4373</v>
      </c>
      <c r="B1848" s="3">
        <v>45087</v>
      </c>
      <c r="C1848" t="s">
        <v>1564</v>
      </c>
      <c r="D1848" t="s">
        <v>3497</v>
      </c>
      <c r="E1848">
        <v>2</v>
      </c>
      <c r="F1848" t="s">
        <v>3526</v>
      </c>
      <c r="G1848" t="s">
        <v>3519</v>
      </c>
      <c r="H1848">
        <v>2.5</v>
      </c>
      <c r="I1848">
        <v>31.6</v>
      </c>
      <c r="J1848">
        <v>63.2</v>
      </c>
    </row>
    <row r="1849" spans="1:10" x14ac:dyDescent="0.25">
      <c r="A1849" t="s">
        <v>4374</v>
      </c>
      <c r="B1849" s="3">
        <v>44592</v>
      </c>
      <c r="C1849" t="s">
        <v>3375</v>
      </c>
      <c r="D1849" t="s">
        <v>3497</v>
      </c>
      <c r="E1849">
        <v>2</v>
      </c>
      <c r="F1849" t="s">
        <v>3526</v>
      </c>
      <c r="G1849" t="s">
        <v>3519</v>
      </c>
      <c r="H1849">
        <v>2.5</v>
      </c>
      <c r="I1849">
        <v>31.6</v>
      </c>
      <c r="J1849">
        <v>63.2</v>
      </c>
    </row>
    <row r="1850" spans="1:10" x14ac:dyDescent="0.25">
      <c r="A1850" t="s">
        <v>4375</v>
      </c>
      <c r="B1850" s="3">
        <v>45584</v>
      </c>
      <c r="C1850" t="s">
        <v>1579</v>
      </c>
      <c r="D1850" t="s">
        <v>3501</v>
      </c>
      <c r="E1850">
        <v>2</v>
      </c>
      <c r="F1850" t="s">
        <v>3525</v>
      </c>
      <c r="G1850" t="s">
        <v>3517</v>
      </c>
      <c r="H1850">
        <v>1</v>
      </c>
      <c r="I1850">
        <v>15.9</v>
      </c>
      <c r="J1850">
        <v>31.8</v>
      </c>
    </row>
    <row r="1851" spans="1:10" x14ac:dyDescent="0.25">
      <c r="A1851" t="s">
        <v>4376</v>
      </c>
      <c r="B1851" s="3">
        <v>45541</v>
      </c>
      <c r="C1851" t="s">
        <v>1047</v>
      </c>
      <c r="D1851" t="s">
        <v>3476</v>
      </c>
      <c r="E1851">
        <v>6</v>
      </c>
      <c r="F1851" t="s">
        <v>3525</v>
      </c>
      <c r="G1851" t="s">
        <v>3517</v>
      </c>
      <c r="H1851">
        <v>0.2</v>
      </c>
      <c r="I1851">
        <v>4.8</v>
      </c>
      <c r="J1851">
        <v>28.8</v>
      </c>
    </row>
    <row r="1852" spans="1:10" x14ac:dyDescent="0.25">
      <c r="A1852" t="s">
        <v>4377</v>
      </c>
      <c r="B1852" s="3">
        <v>44779</v>
      </c>
      <c r="C1852" t="s">
        <v>552</v>
      </c>
      <c r="D1852" t="s">
        <v>3484</v>
      </c>
      <c r="E1852">
        <v>3</v>
      </c>
      <c r="F1852" t="s">
        <v>3526</v>
      </c>
      <c r="G1852" t="s">
        <v>3518</v>
      </c>
      <c r="H1852">
        <v>0.2</v>
      </c>
      <c r="I1852">
        <v>3.6</v>
      </c>
      <c r="J1852">
        <v>10.8</v>
      </c>
    </row>
    <row r="1853" spans="1:10" x14ac:dyDescent="0.25">
      <c r="A1853" t="s">
        <v>4378</v>
      </c>
      <c r="B1853" s="3">
        <v>45350</v>
      </c>
      <c r="C1853" t="s">
        <v>890</v>
      </c>
      <c r="D1853" t="s">
        <v>3512</v>
      </c>
      <c r="E1853">
        <v>6</v>
      </c>
      <c r="F1853" t="s">
        <v>3525</v>
      </c>
      <c r="G1853" t="s">
        <v>3519</v>
      </c>
      <c r="H1853">
        <v>2.5</v>
      </c>
      <c r="I1853">
        <v>33.5</v>
      </c>
      <c r="J1853">
        <v>201</v>
      </c>
    </row>
    <row r="1854" spans="1:10" x14ac:dyDescent="0.25">
      <c r="A1854" t="s">
        <v>4379</v>
      </c>
      <c r="B1854" s="3">
        <v>45414</v>
      </c>
      <c r="C1854" t="s">
        <v>1420</v>
      </c>
      <c r="D1854" t="s">
        <v>3508</v>
      </c>
      <c r="E1854">
        <v>6</v>
      </c>
      <c r="F1854" t="s">
        <v>3524</v>
      </c>
      <c r="G1854" t="s">
        <v>3518</v>
      </c>
      <c r="H1854">
        <v>1</v>
      </c>
      <c r="I1854">
        <v>9</v>
      </c>
      <c r="J1854">
        <v>54</v>
      </c>
    </row>
    <row r="1855" spans="1:10" x14ac:dyDescent="0.25">
      <c r="A1855" t="s">
        <v>4380</v>
      </c>
      <c r="B1855" s="3">
        <v>45549</v>
      </c>
      <c r="C1855" t="s">
        <v>1681</v>
      </c>
      <c r="D1855" t="s">
        <v>3479</v>
      </c>
      <c r="E1855">
        <v>3</v>
      </c>
      <c r="F1855" t="s">
        <v>3526</v>
      </c>
      <c r="G1855" t="s">
        <v>3517</v>
      </c>
      <c r="H1855">
        <v>2.5</v>
      </c>
      <c r="I1855">
        <v>34.200000000000003</v>
      </c>
      <c r="J1855">
        <v>102.6</v>
      </c>
    </row>
    <row r="1856" spans="1:10" x14ac:dyDescent="0.25">
      <c r="A1856" t="s">
        <v>4381</v>
      </c>
      <c r="B1856" s="3">
        <v>45342</v>
      </c>
      <c r="C1856" t="s">
        <v>544</v>
      </c>
      <c r="D1856" t="s">
        <v>3472</v>
      </c>
      <c r="E1856">
        <v>3</v>
      </c>
      <c r="F1856" t="s">
        <v>3526</v>
      </c>
      <c r="G1856" t="s">
        <v>3519</v>
      </c>
      <c r="H1856">
        <v>1</v>
      </c>
      <c r="I1856">
        <v>13.8</v>
      </c>
      <c r="J1856">
        <v>41.4</v>
      </c>
    </row>
    <row r="1857" spans="1:10" x14ac:dyDescent="0.25">
      <c r="A1857" t="s">
        <v>4382</v>
      </c>
      <c r="B1857" s="3">
        <v>45344</v>
      </c>
      <c r="C1857" t="s">
        <v>1564</v>
      </c>
      <c r="D1857" t="s">
        <v>3479</v>
      </c>
      <c r="E1857">
        <v>6</v>
      </c>
      <c r="F1857" t="s">
        <v>3526</v>
      </c>
      <c r="G1857" t="s">
        <v>3517</v>
      </c>
      <c r="H1857">
        <v>2.5</v>
      </c>
      <c r="I1857">
        <v>34.200000000000003</v>
      </c>
      <c r="J1857">
        <v>205.2</v>
      </c>
    </row>
    <row r="1858" spans="1:10" x14ac:dyDescent="0.25">
      <c r="A1858" t="s">
        <v>4383</v>
      </c>
      <c r="B1858" s="3">
        <v>45555</v>
      </c>
      <c r="C1858" t="s">
        <v>1652</v>
      </c>
      <c r="D1858" t="s">
        <v>3510</v>
      </c>
      <c r="E1858">
        <v>1</v>
      </c>
      <c r="F1858" t="s">
        <v>3524</v>
      </c>
      <c r="G1858" t="s">
        <v>3517</v>
      </c>
      <c r="H1858">
        <v>1</v>
      </c>
      <c r="I1858">
        <v>12</v>
      </c>
      <c r="J1858">
        <v>12</v>
      </c>
    </row>
    <row r="1859" spans="1:10" x14ac:dyDescent="0.25">
      <c r="A1859" t="s">
        <v>4384</v>
      </c>
      <c r="B1859" s="3">
        <v>43980</v>
      </c>
      <c r="C1859" t="s">
        <v>1699</v>
      </c>
      <c r="D1859" t="s">
        <v>3472</v>
      </c>
      <c r="E1859">
        <v>3</v>
      </c>
      <c r="F1859" t="s">
        <v>3526</v>
      </c>
      <c r="G1859" t="s">
        <v>3519</v>
      </c>
      <c r="H1859">
        <v>1</v>
      </c>
      <c r="I1859">
        <v>13.8</v>
      </c>
      <c r="J1859">
        <v>41.4</v>
      </c>
    </row>
    <row r="1860" spans="1:10" x14ac:dyDescent="0.25">
      <c r="A1860" t="s">
        <v>4385</v>
      </c>
      <c r="B1860" s="3">
        <v>45386</v>
      </c>
      <c r="C1860" t="s">
        <v>2080</v>
      </c>
      <c r="D1860" t="s">
        <v>3509</v>
      </c>
      <c r="E1860">
        <v>4</v>
      </c>
      <c r="F1860" t="s">
        <v>3524</v>
      </c>
      <c r="G1860" t="s">
        <v>3517</v>
      </c>
      <c r="H1860">
        <v>0.2</v>
      </c>
      <c r="I1860">
        <v>3.6</v>
      </c>
      <c r="J1860">
        <v>14.4</v>
      </c>
    </row>
    <row r="1861" spans="1:10" x14ac:dyDescent="0.25">
      <c r="A1861" t="s">
        <v>4386</v>
      </c>
      <c r="B1861" s="3">
        <v>44901</v>
      </c>
      <c r="C1861" t="s">
        <v>1616</v>
      </c>
      <c r="D1861" t="s">
        <v>3515</v>
      </c>
      <c r="E1861">
        <v>6</v>
      </c>
      <c r="F1861" t="s">
        <v>3526</v>
      </c>
      <c r="G1861" t="s">
        <v>3517</v>
      </c>
      <c r="H1861">
        <v>0.2</v>
      </c>
      <c r="I1861">
        <v>4.5</v>
      </c>
      <c r="J1861">
        <v>27</v>
      </c>
    </row>
    <row r="1862" spans="1:10" x14ac:dyDescent="0.25">
      <c r="A1862" t="s">
        <v>4387</v>
      </c>
      <c r="B1862" s="3">
        <v>43795</v>
      </c>
      <c r="C1862" t="s">
        <v>2003</v>
      </c>
      <c r="D1862" t="s">
        <v>3514</v>
      </c>
      <c r="E1862">
        <v>6</v>
      </c>
      <c r="F1862" t="s">
        <v>3526</v>
      </c>
      <c r="G1862" t="s">
        <v>3518</v>
      </c>
      <c r="H1862">
        <v>1</v>
      </c>
      <c r="I1862">
        <v>12.2</v>
      </c>
      <c r="J1862">
        <v>73.2</v>
      </c>
    </row>
    <row r="1863" spans="1:10" x14ac:dyDescent="0.25">
      <c r="A1863" t="s">
        <v>4388</v>
      </c>
      <c r="B1863" s="3">
        <v>43721</v>
      </c>
      <c r="C1863" t="s">
        <v>1687</v>
      </c>
      <c r="D1863" t="s">
        <v>3486</v>
      </c>
      <c r="E1863">
        <v>4</v>
      </c>
      <c r="F1863" t="s">
        <v>3523</v>
      </c>
      <c r="G1863" t="s">
        <v>3519</v>
      </c>
      <c r="H1863">
        <v>1</v>
      </c>
      <c r="I1863">
        <v>11.3</v>
      </c>
      <c r="J1863">
        <v>45.2</v>
      </c>
    </row>
    <row r="1864" spans="1:10" x14ac:dyDescent="0.25">
      <c r="A1864" t="s">
        <v>4389</v>
      </c>
      <c r="B1864" s="3">
        <v>45427</v>
      </c>
      <c r="C1864" t="s">
        <v>2275</v>
      </c>
      <c r="D1864" t="s">
        <v>3501</v>
      </c>
      <c r="E1864">
        <v>6</v>
      </c>
      <c r="F1864" t="s">
        <v>3525</v>
      </c>
      <c r="G1864" t="s">
        <v>3517</v>
      </c>
      <c r="H1864">
        <v>1</v>
      </c>
      <c r="I1864">
        <v>15.9</v>
      </c>
      <c r="J1864">
        <v>95.4</v>
      </c>
    </row>
    <row r="1865" spans="1:10" x14ac:dyDescent="0.25">
      <c r="A1865" t="s">
        <v>4390</v>
      </c>
      <c r="B1865" s="3">
        <v>43686</v>
      </c>
      <c r="C1865" t="s">
        <v>3022</v>
      </c>
      <c r="D1865" t="s">
        <v>3510</v>
      </c>
      <c r="E1865">
        <v>3</v>
      </c>
      <c r="F1865" t="s">
        <v>3524</v>
      </c>
      <c r="G1865" t="s">
        <v>3517</v>
      </c>
      <c r="H1865">
        <v>1</v>
      </c>
      <c r="I1865">
        <v>12</v>
      </c>
      <c r="J1865">
        <v>36</v>
      </c>
    </row>
    <row r="1866" spans="1:10" x14ac:dyDescent="0.25">
      <c r="A1866" t="s">
        <v>4391</v>
      </c>
      <c r="B1866" s="3">
        <v>45433</v>
      </c>
      <c r="C1866" t="s">
        <v>3226</v>
      </c>
      <c r="D1866" t="s">
        <v>3493</v>
      </c>
      <c r="E1866">
        <v>6</v>
      </c>
      <c r="F1866" t="s">
        <v>3525</v>
      </c>
      <c r="G1866" t="s">
        <v>3519</v>
      </c>
      <c r="H1866">
        <v>1</v>
      </c>
      <c r="I1866">
        <v>14.6</v>
      </c>
      <c r="J1866">
        <v>87.6</v>
      </c>
    </row>
    <row r="1867" spans="1:10" x14ac:dyDescent="0.25">
      <c r="A1867" t="s">
        <v>4392</v>
      </c>
      <c r="B1867" s="3">
        <v>45251</v>
      </c>
      <c r="C1867" t="s">
        <v>2053</v>
      </c>
      <c r="D1867" t="s">
        <v>3512</v>
      </c>
      <c r="E1867">
        <v>4</v>
      </c>
      <c r="F1867" t="s">
        <v>3525</v>
      </c>
      <c r="G1867" t="s">
        <v>3519</v>
      </c>
      <c r="H1867">
        <v>2.5</v>
      </c>
      <c r="I1867">
        <v>33.5</v>
      </c>
      <c r="J1867">
        <v>134</v>
      </c>
    </row>
    <row r="1868" spans="1:10" x14ac:dyDescent="0.25">
      <c r="A1868" t="s">
        <v>4393</v>
      </c>
      <c r="B1868" s="3">
        <v>44728</v>
      </c>
      <c r="C1868" t="s">
        <v>1112</v>
      </c>
      <c r="D1868" t="s">
        <v>3487</v>
      </c>
      <c r="E1868">
        <v>3</v>
      </c>
      <c r="F1868" t="s">
        <v>3526</v>
      </c>
      <c r="G1868" t="s">
        <v>3519</v>
      </c>
      <c r="H1868">
        <v>0.2</v>
      </c>
      <c r="I1868">
        <v>4.0999999999999996</v>
      </c>
      <c r="J1868">
        <v>12.3</v>
      </c>
    </row>
    <row r="1869" spans="1:10" x14ac:dyDescent="0.25">
      <c r="A1869" t="s">
        <v>4394</v>
      </c>
      <c r="B1869" s="3">
        <v>45505</v>
      </c>
      <c r="C1869" t="s">
        <v>941</v>
      </c>
      <c r="D1869" t="s">
        <v>3471</v>
      </c>
      <c r="E1869">
        <v>3</v>
      </c>
      <c r="F1869" t="s">
        <v>3523</v>
      </c>
      <c r="G1869" t="s">
        <v>3517</v>
      </c>
      <c r="H1869">
        <v>1</v>
      </c>
      <c r="I1869">
        <v>13</v>
      </c>
      <c r="J1869">
        <v>39</v>
      </c>
    </row>
    <row r="1870" spans="1:10" x14ac:dyDescent="0.25">
      <c r="A1870" t="s">
        <v>4395</v>
      </c>
      <c r="B1870" s="3">
        <v>45330</v>
      </c>
      <c r="C1870" t="s">
        <v>3282</v>
      </c>
      <c r="D1870" t="s">
        <v>3481</v>
      </c>
      <c r="E1870">
        <v>3</v>
      </c>
      <c r="F1870" t="s">
        <v>3525</v>
      </c>
      <c r="G1870" t="s">
        <v>3518</v>
      </c>
      <c r="H1870">
        <v>0.2</v>
      </c>
      <c r="I1870">
        <v>3.9</v>
      </c>
      <c r="J1870">
        <v>11.7</v>
      </c>
    </row>
    <row r="1871" spans="1:10" x14ac:dyDescent="0.25">
      <c r="A1871" t="s">
        <v>4396</v>
      </c>
      <c r="B1871" s="3">
        <v>45208</v>
      </c>
      <c r="C1871" t="s">
        <v>3187</v>
      </c>
      <c r="D1871" t="s">
        <v>3490</v>
      </c>
      <c r="E1871">
        <v>4</v>
      </c>
      <c r="F1871" t="s">
        <v>3525</v>
      </c>
      <c r="G1871" t="s">
        <v>3519</v>
      </c>
      <c r="H1871">
        <v>0.2</v>
      </c>
      <c r="I1871">
        <v>4.4000000000000004</v>
      </c>
      <c r="J1871">
        <v>17.600000000000001</v>
      </c>
    </row>
    <row r="1872" spans="1:10" x14ac:dyDescent="0.25">
      <c r="A1872" t="s">
        <v>4397</v>
      </c>
      <c r="B1872" s="3">
        <v>45108</v>
      </c>
      <c r="C1872" t="s">
        <v>2898</v>
      </c>
      <c r="D1872" t="s">
        <v>3513</v>
      </c>
      <c r="E1872">
        <v>2</v>
      </c>
      <c r="F1872" t="s">
        <v>3523</v>
      </c>
      <c r="G1872" t="s">
        <v>3517</v>
      </c>
      <c r="H1872">
        <v>2.5</v>
      </c>
      <c r="I1872">
        <v>29.8</v>
      </c>
      <c r="J1872">
        <v>59.6</v>
      </c>
    </row>
    <row r="1873" spans="1:10" x14ac:dyDescent="0.25">
      <c r="A1873" t="s">
        <v>4398</v>
      </c>
      <c r="B1873" s="3">
        <v>43538</v>
      </c>
      <c r="C1873" t="s">
        <v>2560</v>
      </c>
      <c r="D1873" t="s">
        <v>3471</v>
      </c>
      <c r="E1873">
        <v>1</v>
      </c>
      <c r="F1873" t="s">
        <v>3523</v>
      </c>
      <c r="G1873" t="s">
        <v>3517</v>
      </c>
      <c r="H1873">
        <v>1</v>
      </c>
      <c r="I1873">
        <v>13</v>
      </c>
      <c r="J1873">
        <v>13</v>
      </c>
    </row>
    <row r="1874" spans="1:10" x14ac:dyDescent="0.25">
      <c r="A1874" t="s">
        <v>4399</v>
      </c>
      <c r="B1874" s="3">
        <v>44656</v>
      </c>
      <c r="C1874" t="s">
        <v>3208</v>
      </c>
      <c r="D1874" t="s">
        <v>3470</v>
      </c>
      <c r="E1874">
        <v>1</v>
      </c>
      <c r="F1874" t="s">
        <v>3526</v>
      </c>
      <c r="G1874" t="s">
        <v>3519</v>
      </c>
      <c r="H1874">
        <v>0.5</v>
      </c>
      <c r="I1874">
        <v>8.3000000000000007</v>
      </c>
      <c r="J1874">
        <v>8.3000000000000007</v>
      </c>
    </row>
    <row r="1875" spans="1:10" x14ac:dyDescent="0.25">
      <c r="A1875" t="s">
        <v>4400</v>
      </c>
      <c r="B1875" s="3">
        <v>44619</v>
      </c>
      <c r="C1875" t="s">
        <v>1275</v>
      </c>
      <c r="D1875" t="s">
        <v>3485</v>
      </c>
      <c r="E1875">
        <v>2</v>
      </c>
      <c r="F1875" t="s">
        <v>3523</v>
      </c>
      <c r="G1875" t="s">
        <v>3518</v>
      </c>
      <c r="H1875">
        <v>0.2</v>
      </c>
      <c r="I1875">
        <v>3</v>
      </c>
      <c r="J1875">
        <v>6</v>
      </c>
    </row>
    <row r="1876" spans="1:10" x14ac:dyDescent="0.25">
      <c r="A1876" t="s">
        <v>4401</v>
      </c>
      <c r="B1876" s="3">
        <v>45310</v>
      </c>
      <c r="C1876" t="s">
        <v>2954</v>
      </c>
      <c r="D1876" t="s">
        <v>3507</v>
      </c>
      <c r="E1876">
        <v>4</v>
      </c>
      <c r="F1876" t="s">
        <v>3526</v>
      </c>
      <c r="G1876" t="s">
        <v>3517</v>
      </c>
      <c r="H1876">
        <v>0.5</v>
      </c>
      <c r="I1876">
        <v>8.9</v>
      </c>
      <c r="J1876">
        <v>35.6</v>
      </c>
    </row>
    <row r="1877" spans="1:10" x14ac:dyDescent="0.25">
      <c r="A1877" t="s">
        <v>4402</v>
      </c>
      <c r="B1877" s="3">
        <v>44123</v>
      </c>
      <c r="C1877" t="s">
        <v>2723</v>
      </c>
      <c r="D1877" t="s">
        <v>3510</v>
      </c>
      <c r="E1877">
        <v>2</v>
      </c>
      <c r="F1877" t="s">
        <v>3524</v>
      </c>
      <c r="G1877" t="s">
        <v>3517</v>
      </c>
      <c r="H1877">
        <v>1</v>
      </c>
      <c r="I1877">
        <v>12</v>
      </c>
      <c r="J1877">
        <v>24</v>
      </c>
    </row>
    <row r="1878" spans="1:10" x14ac:dyDescent="0.25">
      <c r="A1878" t="s">
        <v>4403</v>
      </c>
      <c r="B1878" s="3">
        <v>45089</v>
      </c>
      <c r="C1878" t="s">
        <v>857</v>
      </c>
      <c r="D1878" t="s">
        <v>3469</v>
      </c>
      <c r="E1878">
        <v>6</v>
      </c>
      <c r="F1878" t="s">
        <v>3524</v>
      </c>
      <c r="G1878" t="s">
        <v>3519</v>
      </c>
      <c r="H1878">
        <v>1</v>
      </c>
      <c r="I1878">
        <v>10</v>
      </c>
      <c r="J1878">
        <v>60</v>
      </c>
    </row>
    <row r="1879" spans="1:10" x14ac:dyDescent="0.25">
      <c r="A1879" t="s">
        <v>4404</v>
      </c>
      <c r="B1879" s="3">
        <v>43633</v>
      </c>
      <c r="C1879" t="s">
        <v>595</v>
      </c>
      <c r="D1879" t="s">
        <v>3504</v>
      </c>
      <c r="E1879">
        <v>3</v>
      </c>
      <c r="F1879" t="s">
        <v>3524</v>
      </c>
      <c r="G1879" t="s">
        <v>3517</v>
      </c>
      <c r="H1879">
        <v>0.5</v>
      </c>
      <c r="I1879">
        <v>7.2</v>
      </c>
      <c r="J1879">
        <v>21.6</v>
      </c>
    </row>
    <row r="1880" spans="1:10" x14ac:dyDescent="0.25">
      <c r="A1880" t="s">
        <v>4405</v>
      </c>
      <c r="B1880" s="3">
        <v>45312</v>
      </c>
      <c r="C1880" t="s">
        <v>1523</v>
      </c>
      <c r="D1880" t="s">
        <v>3506</v>
      </c>
      <c r="E1880">
        <v>2</v>
      </c>
      <c r="F1880" t="s">
        <v>3523</v>
      </c>
      <c r="G1880" t="s">
        <v>3519</v>
      </c>
      <c r="H1880">
        <v>2.5</v>
      </c>
      <c r="I1880">
        <v>25.9</v>
      </c>
      <c r="J1880">
        <v>51.8</v>
      </c>
    </row>
    <row r="1881" spans="1:10" x14ac:dyDescent="0.25">
      <c r="A1881" t="s">
        <v>4406</v>
      </c>
      <c r="B1881" s="3">
        <v>45209</v>
      </c>
      <c r="C1881" t="s">
        <v>929</v>
      </c>
      <c r="D1881" t="s">
        <v>3516</v>
      </c>
      <c r="E1881">
        <v>2</v>
      </c>
      <c r="F1881" t="s">
        <v>3526</v>
      </c>
      <c r="G1881" t="s">
        <v>3518</v>
      </c>
      <c r="H1881">
        <v>2.5</v>
      </c>
      <c r="I1881">
        <v>27.9</v>
      </c>
      <c r="J1881">
        <v>55.8</v>
      </c>
    </row>
    <row r="1882" spans="1:10" x14ac:dyDescent="0.25">
      <c r="A1882" t="s">
        <v>4407</v>
      </c>
      <c r="B1882" s="3">
        <v>44756</v>
      </c>
      <c r="C1882" t="s">
        <v>1327</v>
      </c>
      <c r="D1882" t="s">
        <v>3480</v>
      </c>
      <c r="E1882">
        <v>6</v>
      </c>
      <c r="F1882" t="s">
        <v>3524</v>
      </c>
      <c r="G1882" t="s">
        <v>3518</v>
      </c>
      <c r="H1882">
        <v>2.5</v>
      </c>
      <c r="I1882">
        <v>20.6</v>
      </c>
      <c r="J1882">
        <v>123.6</v>
      </c>
    </row>
    <row r="1883" spans="1:10" x14ac:dyDescent="0.25">
      <c r="A1883" t="s">
        <v>4408</v>
      </c>
      <c r="B1883" s="3">
        <v>45231</v>
      </c>
      <c r="C1883" t="s">
        <v>1997</v>
      </c>
      <c r="D1883" t="s">
        <v>3487</v>
      </c>
      <c r="E1883">
        <v>6</v>
      </c>
      <c r="F1883" t="s">
        <v>3526</v>
      </c>
      <c r="G1883" t="s">
        <v>3519</v>
      </c>
      <c r="H1883">
        <v>0.2</v>
      </c>
      <c r="I1883">
        <v>4.0999999999999996</v>
      </c>
      <c r="J1883">
        <v>24.6</v>
      </c>
    </row>
    <row r="1884" spans="1:10" x14ac:dyDescent="0.25">
      <c r="A1884" t="s">
        <v>4409</v>
      </c>
      <c r="B1884" s="3">
        <v>45214</v>
      </c>
      <c r="C1884" t="s">
        <v>3175</v>
      </c>
      <c r="D1884" t="s">
        <v>3505</v>
      </c>
      <c r="E1884">
        <v>5</v>
      </c>
      <c r="F1884" t="s">
        <v>3524</v>
      </c>
      <c r="G1884" t="s">
        <v>3519</v>
      </c>
      <c r="H1884">
        <v>0.2</v>
      </c>
      <c r="I1884">
        <v>3</v>
      </c>
      <c r="J1884">
        <v>15</v>
      </c>
    </row>
    <row r="1885" spans="1:10" x14ac:dyDescent="0.25">
      <c r="A1885" t="s">
        <v>4410</v>
      </c>
      <c r="B1885" s="3">
        <v>44994</v>
      </c>
      <c r="C1885" t="s">
        <v>3261</v>
      </c>
      <c r="D1885" t="s">
        <v>3494</v>
      </c>
      <c r="E1885">
        <v>5</v>
      </c>
      <c r="F1885" t="s">
        <v>3524</v>
      </c>
      <c r="G1885" t="s">
        <v>3518</v>
      </c>
      <c r="H1885">
        <v>0.2</v>
      </c>
      <c r="I1885">
        <v>2.7</v>
      </c>
      <c r="J1885">
        <v>13.5</v>
      </c>
    </row>
    <row r="1886" spans="1:10" x14ac:dyDescent="0.25">
      <c r="A1886" t="s">
        <v>4411</v>
      </c>
      <c r="B1886" s="3">
        <v>45339</v>
      </c>
      <c r="C1886" t="s">
        <v>793</v>
      </c>
      <c r="D1886" t="s">
        <v>3480</v>
      </c>
      <c r="E1886">
        <v>2</v>
      </c>
      <c r="F1886" t="s">
        <v>3524</v>
      </c>
      <c r="G1886" t="s">
        <v>3518</v>
      </c>
      <c r="H1886">
        <v>2.5</v>
      </c>
      <c r="I1886">
        <v>20.6</v>
      </c>
      <c r="J1886">
        <v>41.2</v>
      </c>
    </row>
    <row r="1887" spans="1:10" x14ac:dyDescent="0.25">
      <c r="A1887" t="s">
        <v>4412</v>
      </c>
      <c r="B1887" s="3">
        <v>43692</v>
      </c>
      <c r="C1887" t="s">
        <v>1256</v>
      </c>
      <c r="D1887" t="s">
        <v>3471</v>
      </c>
      <c r="E1887">
        <v>4</v>
      </c>
      <c r="F1887" t="s">
        <v>3523</v>
      </c>
      <c r="G1887" t="s">
        <v>3517</v>
      </c>
      <c r="H1887">
        <v>1</v>
      </c>
      <c r="I1887">
        <v>13</v>
      </c>
      <c r="J1887">
        <v>52</v>
      </c>
    </row>
    <row r="1888" spans="1:10" x14ac:dyDescent="0.25">
      <c r="A1888" t="s">
        <v>4413</v>
      </c>
      <c r="B1888" s="3">
        <v>44429</v>
      </c>
      <c r="C1888" t="s">
        <v>784</v>
      </c>
      <c r="D1888" t="s">
        <v>3477</v>
      </c>
      <c r="E1888">
        <v>5</v>
      </c>
      <c r="F1888" t="s">
        <v>3524</v>
      </c>
      <c r="G1888" t="s">
        <v>3519</v>
      </c>
      <c r="H1888">
        <v>0.5</v>
      </c>
      <c r="I1888">
        <v>6</v>
      </c>
      <c r="J1888">
        <v>30</v>
      </c>
    </row>
    <row r="1889" spans="1:10" x14ac:dyDescent="0.25">
      <c r="A1889" t="s">
        <v>4414</v>
      </c>
      <c r="B1889" s="3">
        <v>45586</v>
      </c>
      <c r="C1889" t="s">
        <v>1190</v>
      </c>
      <c r="D1889" t="s">
        <v>3496</v>
      </c>
      <c r="E1889">
        <v>3</v>
      </c>
      <c r="F1889" t="s">
        <v>3525</v>
      </c>
      <c r="G1889" t="s">
        <v>3518</v>
      </c>
      <c r="H1889">
        <v>2.5</v>
      </c>
      <c r="I1889">
        <v>29.8</v>
      </c>
      <c r="J1889">
        <v>89.4</v>
      </c>
    </row>
    <row r="1890" spans="1:10" x14ac:dyDescent="0.25">
      <c r="A1890" t="s">
        <v>4415</v>
      </c>
      <c r="B1890" s="3">
        <v>45121</v>
      </c>
      <c r="C1890" t="s">
        <v>1559</v>
      </c>
      <c r="D1890" t="s">
        <v>3487</v>
      </c>
      <c r="E1890">
        <v>3</v>
      </c>
      <c r="F1890" t="s">
        <v>3526</v>
      </c>
      <c r="G1890" t="s">
        <v>3519</v>
      </c>
      <c r="H1890">
        <v>0.2</v>
      </c>
      <c r="I1890">
        <v>4.0999999999999996</v>
      </c>
      <c r="J1890">
        <v>12.3</v>
      </c>
    </row>
    <row r="1891" spans="1:10" x14ac:dyDescent="0.25">
      <c r="A1891" t="s">
        <v>4416</v>
      </c>
      <c r="B1891" s="3">
        <v>45545</v>
      </c>
      <c r="C1891" t="s">
        <v>1223</v>
      </c>
      <c r="D1891" t="s">
        <v>3469</v>
      </c>
      <c r="E1891">
        <v>1</v>
      </c>
      <c r="F1891" t="s">
        <v>3524</v>
      </c>
      <c r="G1891" t="s">
        <v>3519</v>
      </c>
      <c r="H1891">
        <v>1</v>
      </c>
      <c r="I1891">
        <v>10</v>
      </c>
      <c r="J1891">
        <v>10</v>
      </c>
    </row>
    <row r="1892" spans="1:10" x14ac:dyDescent="0.25">
      <c r="A1892" t="s">
        <v>4417</v>
      </c>
      <c r="B1892" s="3">
        <v>45427</v>
      </c>
      <c r="C1892" t="s">
        <v>820</v>
      </c>
      <c r="D1892" t="s">
        <v>3476</v>
      </c>
      <c r="E1892">
        <v>4</v>
      </c>
      <c r="F1892" t="s">
        <v>3525</v>
      </c>
      <c r="G1892" t="s">
        <v>3517</v>
      </c>
      <c r="H1892">
        <v>0.2</v>
      </c>
      <c r="I1892">
        <v>4.8</v>
      </c>
      <c r="J1892">
        <v>19.2</v>
      </c>
    </row>
    <row r="1893" spans="1:10" x14ac:dyDescent="0.25">
      <c r="A1893" t="s">
        <v>4418</v>
      </c>
      <c r="B1893" s="3">
        <v>44657</v>
      </c>
      <c r="C1893" t="s">
        <v>3036</v>
      </c>
      <c r="D1893" t="s">
        <v>3490</v>
      </c>
      <c r="E1893">
        <v>5</v>
      </c>
      <c r="F1893" t="s">
        <v>3525</v>
      </c>
      <c r="G1893" t="s">
        <v>3519</v>
      </c>
      <c r="H1893">
        <v>0.2</v>
      </c>
      <c r="I1893">
        <v>4.4000000000000004</v>
      </c>
      <c r="J1893">
        <v>22</v>
      </c>
    </row>
    <row r="1894" spans="1:10" x14ac:dyDescent="0.25">
      <c r="A1894" t="s">
        <v>4419</v>
      </c>
      <c r="B1894" s="3">
        <v>44539</v>
      </c>
      <c r="C1894" t="s">
        <v>2657</v>
      </c>
      <c r="D1894" t="s">
        <v>3516</v>
      </c>
      <c r="E1894">
        <v>6</v>
      </c>
      <c r="F1894" t="s">
        <v>3526</v>
      </c>
      <c r="G1894" t="s">
        <v>3518</v>
      </c>
      <c r="H1894">
        <v>2.5</v>
      </c>
      <c r="I1894">
        <v>27.9</v>
      </c>
      <c r="J1894">
        <v>167.4</v>
      </c>
    </row>
    <row r="1895" spans="1:10" x14ac:dyDescent="0.25">
      <c r="A1895" t="s">
        <v>4420</v>
      </c>
      <c r="B1895" s="3">
        <v>45111</v>
      </c>
      <c r="C1895" t="s">
        <v>1315</v>
      </c>
      <c r="D1895" t="s">
        <v>3486</v>
      </c>
      <c r="E1895">
        <v>3</v>
      </c>
      <c r="F1895" t="s">
        <v>3523</v>
      </c>
      <c r="G1895" t="s">
        <v>3519</v>
      </c>
      <c r="H1895">
        <v>1</v>
      </c>
      <c r="I1895">
        <v>11.3</v>
      </c>
      <c r="J1895">
        <v>33.9</v>
      </c>
    </row>
    <row r="1896" spans="1:10" x14ac:dyDescent="0.25">
      <c r="A1896" t="s">
        <v>4421</v>
      </c>
      <c r="B1896" s="3">
        <v>44900</v>
      </c>
      <c r="C1896" t="s">
        <v>2690</v>
      </c>
      <c r="D1896" t="s">
        <v>3481</v>
      </c>
      <c r="E1896">
        <v>5</v>
      </c>
      <c r="F1896" t="s">
        <v>3525</v>
      </c>
      <c r="G1896" t="s">
        <v>3518</v>
      </c>
      <c r="H1896">
        <v>0.2</v>
      </c>
      <c r="I1896">
        <v>3.9</v>
      </c>
      <c r="J1896">
        <v>19.5</v>
      </c>
    </row>
    <row r="1897" spans="1:10" x14ac:dyDescent="0.25">
      <c r="A1897" t="s">
        <v>4422</v>
      </c>
      <c r="B1897" s="3">
        <v>44399</v>
      </c>
      <c r="C1897" t="s">
        <v>679</v>
      </c>
      <c r="D1897" t="s">
        <v>3470</v>
      </c>
      <c r="E1897">
        <v>5</v>
      </c>
      <c r="F1897" t="s">
        <v>3526</v>
      </c>
      <c r="G1897" t="s">
        <v>3519</v>
      </c>
      <c r="H1897">
        <v>0.5</v>
      </c>
      <c r="I1897">
        <v>8.3000000000000007</v>
      </c>
      <c r="J1897">
        <v>41.5</v>
      </c>
    </row>
    <row r="1898" spans="1:10" x14ac:dyDescent="0.25">
      <c r="A1898" t="s">
        <v>4423</v>
      </c>
      <c r="B1898" s="3">
        <v>43566</v>
      </c>
      <c r="C1898" t="s">
        <v>2251</v>
      </c>
      <c r="D1898" t="s">
        <v>3494</v>
      </c>
      <c r="E1898">
        <v>5</v>
      </c>
      <c r="F1898" t="s">
        <v>3524</v>
      </c>
      <c r="G1898" t="s">
        <v>3518</v>
      </c>
      <c r="H1898">
        <v>0.2</v>
      </c>
      <c r="I1898">
        <v>2.7</v>
      </c>
      <c r="J1898">
        <v>13.5</v>
      </c>
    </row>
    <row r="1899" spans="1:10" x14ac:dyDescent="0.25">
      <c r="A1899" t="s">
        <v>4424</v>
      </c>
      <c r="B1899" s="3">
        <v>45431</v>
      </c>
      <c r="C1899" t="s">
        <v>2882</v>
      </c>
      <c r="D1899" t="s">
        <v>3488</v>
      </c>
      <c r="E1899">
        <v>3</v>
      </c>
      <c r="F1899" t="s">
        <v>3523</v>
      </c>
      <c r="G1899" t="s">
        <v>3519</v>
      </c>
      <c r="H1899">
        <v>0.5</v>
      </c>
      <c r="I1899">
        <v>6.8</v>
      </c>
      <c r="J1899">
        <v>20.399999999999999</v>
      </c>
    </row>
    <row r="1900" spans="1:10" x14ac:dyDescent="0.25">
      <c r="A1900" t="s">
        <v>4425</v>
      </c>
      <c r="B1900" s="3">
        <v>45083</v>
      </c>
      <c r="C1900" t="s">
        <v>890</v>
      </c>
      <c r="D1900" t="s">
        <v>3469</v>
      </c>
      <c r="E1900">
        <v>5</v>
      </c>
      <c r="F1900" t="s">
        <v>3524</v>
      </c>
      <c r="G1900" t="s">
        <v>3519</v>
      </c>
      <c r="H1900">
        <v>1</v>
      </c>
      <c r="I1900">
        <v>10</v>
      </c>
      <c r="J1900">
        <v>50</v>
      </c>
    </row>
    <row r="1901" spans="1:10" x14ac:dyDescent="0.25">
      <c r="A1901" t="s">
        <v>4426</v>
      </c>
      <c r="B1901" s="3">
        <v>43959</v>
      </c>
      <c r="C1901" t="s">
        <v>1047</v>
      </c>
      <c r="D1901" t="s">
        <v>3510</v>
      </c>
      <c r="E1901">
        <v>2</v>
      </c>
      <c r="F1901" t="s">
        <v>3524</v>
      </c>
      <c r="G1901" t="s">
        <v>3517</v>
      </c>
      <c r="H1901">
        <v>1</v>
      </c>
      <c r="I1901">
        <v>12</v>
      </c>
      <c r="J1901">
        <v>24</v>
      </c>
    </row>
    <row r="1902" spans="1:10" x14ac:dyDescent="0.25">
      <c r="A1902" t="s">
        <v>4427</v>
      </c>
      <c r="B1902" s="3">
        <v>45299</v>
      </c>
      <c r="C1902" t="s">
        <v>1056</v>
      </c>
      <c r="D1902" t="s">
        <v>3494</v>
      </c>
      <c r="E1902">
        <v>1</v>
      </c>
      <c r="F1902" t="s">
        <v>3524</v>
      </c>
      <c r="G1902" t="s">
        <v>3518</v>
      </c>
      <c r="H1902">
        <v>0.2</v>
      </c>
      <c r="I1902">
        <v>2.7</v>
      </c>
      <c r="J1902">
        <v>2.7</v>
      </c>
    </row>
    <row r="1903" spans="1:10" x14ac:dyDescent="0.25">
      <c r="A1903" t="s">
        <v>4428</v>
      </c>
      <c r="B1903" s="3">
        <v>44778</v>
      </c>
      <c r="C1903" t="s">
        <v>3157</v>
      </c>
      <c r="D1903" t="s">
        <v>3505</v>
      </c>
      <c r="E1903">
        <v>5</v>
      </c>
      <c r="F1903" t="s">
        <v>3524</v>
      </c>
      <c r="G1903" t="s">
        <v>3519</v>
      </c>
      <c r="H1903">
        <v>0.2</v>
      </c>
      <c r="I1903">
        <v>3</v>
      </c>
      <c r="J1903">
        <v>15</v>
      </c>
    </row>
    <row r="1904" spans="1:10" x14ac:dyDescent="0.25">
      <c r="A1904" t="s">
        <v>4429</v>
      </c>
      <c r="B1904" s="3">
        <v>45073</v>
      </c>
      <c r="C1904" t="s">
        <v>2137</v>
      </c>
      <c r="D1904" t="s">
        <v>3491</v>
      </c>
      <c r="E1904">
        <v>3</v>
      </c>
      <c r="F1904" t="s">
        <v>3525</v>
      </c>
      <c r="G1904" t="s">
        <v>3519</v>
      </c>
      <c r="H1904">
        <v>0.5</v>
      </c>
      <c r="I1904">
        <v>8.6999999999999993</v>
      </c>
      <c r="J1904">
        <v>26.1</v>
      </c>
    </row>
    <row r="1905" spans="1:10" x14ac:dyDescent="0.25">
      <c r="A1905" t="s">
        <v>4430</v>
      </c>
      <c r="B1905" s="3">
        <v>45369</v>
      </c>
      <c r="C1905" t="s">
        <v>1348</v>
      </c>
      <c r="D1905" t="s">
        <v>3506</v>
      </c>
      <c r="E1905">
        <v>2</v>
      </c>
      <c r="F1905" t="s">
        <v>3523</v>
      </c>
      <c r="G1905" t="s">
        <v>3519</v>
      </c>
      <c r="H1905">
        <v>2.5</v>
      </c>
      <c r="I1905">
        <v>25.9</v>
      </c>
      <c r="J1905">
        <v>51.8</v>
      </c>
    </row>
    <row r="1906" spans="1:10" x14ac:dyDescent="0.25">
      <c r="A1906" t="s">
        <v>4431</v>
      </c>
      <c r="B1906" s="3">
        <v>44762</v>
      </c>
      <c r="C1906" t="s">
        <v>763</v>
      </c>
      <c r="D1906" t="s">
        <v>3514</v>
      </c>
      <c r="E1906">
        <v>3</v>
      </c>
      <c r="F1906" t="s">
        <v>3526</v>
      </c>
      <c r="G1906" t="s">
        <v>3518</v>
      </c>
      <c r="H1906">
        <v>1</v>
      </c>
      <c r="I1906">
        <v>12.2</v>
      </c>
      <c r="J1906">
        <v>36.6</v>
      </c>
    </row>
    <row r="1907" spans="1:10" x14ac:dyDescent="0.25">
      <c r="A1907" t="s">
        <v>4432</v>
      </c>
      <c r="B1907" s="3">
        <v>45046</v>
      </c>
      <c r="C1907" t="s">
        <v>2593</v>
      </c>
      <c r="D1907" t="s">
        <v>3505</v>
      </c>
      <c r="E1907">
        <v>3</v>
      </c>
      <c r="F1907" t="s">
        <v>3524</v>
      </c>
      <c r="G1907" t="s">
        <v>3519</v>
      </c>
      <c r="H1907">
        <v>0.2</v>
      </c>
      <c r="I1907">
        <v>3</v>
      </c>
      <c r="J1907">
        <v>9</v>
      </c>
    </row>
    <row r="1908" spans="1:10" x14ac:dyDescent="0.25">
      <c r="A1908" t="s">
        <v>4433</v>
      </c>
      <c r="B1908" s="3">
        <v>44978</v>
      </c>
      <c r="C1908" t="s">
        <v>1000</v>
      </c>
      <c r="D1908" t="s">
        <v>3510</v>
      </c>
      <c r="E1908">
        <v>4</v>
      </c>
      <c r="F1908" t="s">
        <v>3524</v>
      </c>
      <c r="G1908" t="s">
        <v>3517</v>
      </c>
      <c r="H1908">
        <v>1</v>
      </c>
      <c r="I1908">
        <v>12</v>
      </c>
      <c r="J1908">
        <v>48</v>
      </c>
    </row>
    <row r="1909" spans="1:10" x14ac:dyDescent="0.25">
      <c r="A1909" t="s">
        <v>4434</v>
      </c>
      <c r="B1909" s="3">
        <v>44697</v>
      </c>
      <c r="C1909" t="s">
        <v>1112</v>
      </c>
      <c r="D1909" t="s">
        <v>3514</v>
      </c>
      <c r="E1909">
        <v>6</v>
      </c>
      <c r="F1909" t="s">
        <v>3526</v>
      </c>
      <c r="G1909" t="s">
        <v>3518</v>
      </c>
      <c r="H1909">
        <v>1</v>
      </c>
      <c r="I1909">
        <v>12.2</v>
      </c>
      <c r="J1909">
        <v>73.2</v>
      </c>
    </row>
    <row r="1910" spans="1:10" x14ac:dyDescent="0.25">
      <c r="A1910" t="s">
        <v>4435</v>
      </c>
      <c r="B1910" s="3">
        <v>45444</v>
      </c>
      <c r="C1910" t="s">
        <v>1538</v>
      </c>
      <c r="D1910" t="s">
        <v>3513</v>
      </c>
      <c r="E1910">
        <v>5</v>
      </c>
      <c r="F1910" t="s">
        <v>3523</v>
      </c>
      <c r="G1910" t="s">
        <v>3517</v>
      </c>
      <c r="H1910">
        <v>2.5</v>
      </c>
      <c r="I1910">
        <v>29.8</v>
      </c>
      <c r="J1910">
        <v>149</v>
      </c>
    </row>
    <row r="1911" spans="1:10" x14ac:dyDescent="0.25">
      <c r="A1911" t="s">
        <v>4436</v>
      </c>
      <c r="B1911" s="3">
        <v>45495</v>
      </c>
      <c r="C1911" t="s">
        <v>679</v>
      </c>
      <c r="D1911" t="s">
        <v>3473</v>
      </c>
      <c r="E1911">
        <v>2</v>
      </c>
      <c r="F1911" t="s">
        <v>3524</v>
      </c>
      <c r="G1911" t="s">
        <v>3517</v>
      </c>
      <c r="H1911">
        <v>2.5</v>
      </c>
      <c r="I1911">
        <v>27.5</v>
      </c>
      <c r="J1911">
        <v>55</v>
      </c>
    </row>
    <row r="1912" spans="1:10" x14ac:dyDescent="0.25">
      <c r="A1912" t="s">
        <v>4437</v>
      </c>
      <c r="B1912" s="3">
        <v>45651</v>
      </c>
      <c r="C1912" t="s">
        <v>881</v>
      </c>
      <c r="D1912" t="s">
        <v>3513</v>
      </c>
      <c r="E1912">
        <v>6</v>
      </c>
      <c r="F1912" t="s">
        <v>3523</v>
      </c>
      <c r="G1912" t="s">
        <v>3517</v>
      </c>
      <c r="H1912">
        <v>2.5</v>
      </c>
      <c r="I1912">
        <v>29.8</v>
      </c>
      <c r="J1912">
        <v>178.8</v>
      </c>
    </row>
    <row r="1913" spans="1:10" x14ac:dyDescent="0.25">
      <c r="A1913" t="s">
        <v>4438</v>
      </c>
      <c r="B1913" s="3">
        <v>44100</v>
      </c>
      <c r="C1913" t="s">
        <v>1293</v>
      </c>
      <c r="D1913" t="s">
        <v>3483</v>
      </c>
      <c r="E1913">
        <v>4</v>
      </c>
      <c r="F1913" t="s">
        <v>3523</v>
      </c>
      <c r="G1913" t="s">
        <v>3519</v>
      </c>
      <c r="H1913">
        <v>0.2</v>
      </c>
      <c r="I1913">
        <v>3.4</v>
      </c>
      <c r="J1913">
        <v>13.6</v>
      </c>
    </row>
    <row r="1914" spans="1:10" x14ac:dyDescent="0.25">
      <c r="A1914" t="s">
        <v>4439</v>
      </c>
      <c r="B1914" s="3">
        <v>44999</v>
      </c>
      <c r="C1914" t="s">
        <v>3087</v>
      </c>
      <c r="D1914" t="s">
        <v>3493</v>
      </c>
      <c r="E1914">
        <v>6</v>
      </c>
      <c r="F1914" t="s">
        <v>3525</v>
      </c>
      <c r="G1914" t="s">
        <v>3519</v>
      </c>
      <c r="H1914">
        <v>1</v>
      </c>
      <c r="I1914">
        <v>14.6</v>
      </c>
      <c r="J1914">
        <v>87.6</v>
      </c>
    </row>
    <row r="1915" spans="1:10" x14ac:dyDescent="0.25">
      <c r="A1915" t="s">
        <v>4440</v>
      </c>
      <c r="B1915" s="3">
        <v>45168</v>
      </c>
      <c r="C1915" t="s">
        <v>1503</v>
      </c>
      <c r="D1915" t="s">
        <v>3484</v>
      </c>
      <c r="E1915">
        <v>2</v>
      </c>
      <c r="F1915" t="s">
        <v>3526</v>
      </c>
      <c r="G1915" t="s">
        <v>3518</v>
      </c>
      <c r="H1915">
        <v>0.2</v>
      </c>
      <c r="I1915">
        <v>3.6</v>
      </c>
      <c r="J1915">
        <v>7.2</v>
      </c>
    </row>
    <row r="1916" spans="1:10" x14ac:dyDescent="0.25">
      <c r="A1916" t="s">
        <v>4441</v>
      </c>
      <c r="B1916" s="3">
        <v>44043</v>
      </c>
      <c r="C1916" t="s">
        <v>3095</v>
      </c>
      <c r="D1916" t="s">
        <v>3497</v>
      </c>
      <c r="E1916">
        <v>3</v>
      </c>
      <c r="F1916" t="s">
        <v>3526</v>
      </c>
      <c r="G1916" t="s">
        <v>3519</v>
      </c>
      <c r="H1916">
        <v>2.5</v>
      </c>
      <c r="I1916">
        <v>31.6</v>
      </c>
      <c r="J1916">
        <v>94.8</v>
      </c>
    </row>
    <row r="1917" spans="1:10" x14ac:dyDescent="0.25">
      <c r="A1917" t="s">
        <v>4442</v>
      </c>
      <c r="B1917" s="3">
        <v>43610</v>
      </c>
      <c r="C1917" t="s">
        <v>526</v>
      </c>
      <c r="D1917" t="s">
        <v>3511</v>
      </c>
      <c r="E1917">
        <v>1</v>
      </c>
      <c r="F1917" t="s">
        <v>3523</v>
      </c>
      <c r="G1917" t="s">
        <v>3517</v>
      </c>
      <c r="H1917">
        <v>0.5</v>
      </c>
      <c r="I1917">
        <v>7.8</v>
      </c>
      <c r="J1917">
        <v>7.8</v>
      </c>
    </row>
    <row r="1918" spans="1:10" x14ac:dyDescent="0.25">
      <c r="A1918" t="s">
        <v>4443</v>
      </c>
      <c r="B1918" s="3">
        <v>45306</v>
      </c>
      <c r="C1918" t="s">
        <v>2557</v>
      </c>
      <c r="D1918" t="s">
        <v>3484</v>
      </c>
      <c r="E1918">
        <v>2</v>
      </c>
      <c r="F1918" t="s">
        <v>3526</v>
      </c>
      <c r="G1918" t="s">
        <v>3518</v>
      </c>
      <c r="H1918">
        <v>0.2</v>
      </c>
      <c r="I1918">
        <v>3.6</v>
      </c>
      <c r="J1918">
        <v>7.2</v>
      </c>
    </row>
    <row r="1919" spans="1:10" x14ac:dyDescent="0.25">
      <c r="A1919" t="s">
        <v>4444</v>
      </c>
      <c r="B1919" s="3">
        <v>45043</v>
      </c>
      <c r="C1919" t="s">
        <v>2341</v>
      </c>
      <c r="D1919" t="s">
        <v>3482</v>
      </c>
      <c r="E1919">
        <v>6</v>
      </c>
      <c r="F1919" t="s">
        <v>3524</v>
      </c>
      <c r="G1919" t="s">
        <v>3519</v>
      </c>
      <c r="H1919">
        <v>2.5</v>
      </c>
      <c r="I1919">
        <v>22.9</v>
      </c>
      <c r="J1919">
        <v>137.4</v>
      </c>
    </row>
    <row r="1920" spans="1:10" x14ac:dyDescent="0.25">
      <c r="A1920" t="s">
        <v>4445</v>
      </c>
      <c r="B1920" s="3">
        <v>43717</v>
      </c>
      <c r="C1920" t="s">
        <v>2711</v>
      </c>
      <c r="D1920" t="s">
        <v>3508</v>
      </c>
      <c r="E1920">
        <v>3</v>
      </c>
      <c r="F1920" t="s">
        <v>3524</v>
      </c>
      <c r="G1920" t="s">
        <v>3518</v>
      </c>
      <c r="H1920">
        <v>1</v>
      </c>
      <c r="I1920">
        <v>9</v>
      </c>
      <c r="J1920">
        <v>27</v>
      </c>
    </row>
    <row r="1921" spans="1:10" x14ac:dyDescent="0.25">
      <c r="A1921" t="s">
        <v>4446</v>
      </c>
      <c r="B1921" s="3">
        <v>44796</v>
      </c>
      <c r="C1921" t="s">
        <v>1303</v>
      </c>
      <c r="D1921" t="s">
        <v>3472</v>
      </c>
      <c r="E1921">
        <v>1</v>
      </c>
      <c r="F1921" t="s">
        <v>3526</v>
      </c>
      <c r="G1921" t="s">
        <v>3519</v>
      </c>
      <c r="H1921">
        <v>1</v>
      </c>
      <c r="I1921">
        <v>13.8</v>
      </c>
      <c r="J1921">
        <v>13.8</v>
      </c>
    </row>
    <row r="1922" spans="1:10" x14ac:dyDescent="0.25">
      <c r="A1922" t="s">
        <v>4447</v>
      </c>
      <c r="B1922" s="3">
        <v>44576</v>
      </c>
      <c r="C1922" t="s">
        <v>529</v>
      </c>
      <c r="D1922" t="s">
        <v>3491</v>
      </c>
      <c r="E1922">
        <v>4</v>
      </c>
      <c r="F1922" t="s">
        <v>3525</v>
      </c>
      <c r="G1922" t="s">
        <v>3519</v>
      </c>
      <c r="H1922">
        <v>0.5</v>
      </c>
      <c r="I1922">
        <v>8.6999999999999993</v>
      </c>
      <c r="J1922">
        <v>34.799999999999997</v>
      </c>
    </row>
    <row r="1923" spans="1:10" x14ac:dyDescent="0.25">
      <c r="A1923" t="s">
        <v>4448</v>
      </c>
      <c r="B1923" s="3">
        <v>45019</v>
      </c>
      <c r="C1923" t="s">
        <v>1544</v>
      </c>
      <c r="D1923" t="s">
        <v>3488</v>
      </c>
      <c r="E1923">
        <v>6</v>
      </c>
      <c r="F1923" t="s">
        <v>3523</v>
      </c>
      <c r="G1923" t="s">
        <v>3519</v>
      </c>
      <c r="H1923">
        <v>0.5</v>
      </c>
      <c r="I1923">
        <v>6.8</v>
      </c>
      <c r="J1923">
        <v>40.799999999999997</v>
      </c>
    </row>
    <row r="1924" spans="1:10" x14ac:dyDescent="0.25">
      <c r="A1924" t="s">
        <v>4449</v>
      </c>
      <c r="B1924" s="3">
        <v>44295</v>
      </c>
      <c r="C1924" t="s">
        <v>3130</v>
      </c>
      <c r="D1924" t="s">
        <v>3486</v>
      </c>
      <c r="E1924">
        <v>3</v>
      </c>
      <c r="F1924" t="s">
        <v>3523</v>
      </c>
      <c r="G1924" t="s">
        <v>3519</v>
      </c>
      <c r="H1924">
        <v>1</v>
      </c>
      <c r="I1924">
        <v>11.3</v>
      </c>
      <c r="J1924">
        <v>33.9</v>
      </c>
    </row>
    <row r="1925" spans="1:10" x14ac:dyDescent="0.25">
      <c r="A1925" t="s">
        <v>4450</v>
      </c>
      <c r="B1925" s="3">
        <v>44938</v>
      </c>
      <c r="C1925" t="s">
        <v>1256</v>
      </c>
      <c r="D1925" t="s">
        <v>3489</v>
      </c>
      <c r="E1925">
        <v>5</v>
      </c>
      <c r="F1925" t="s">
        <v>3523</v>
      </c>
      <c r="G1925" t="s">
        <v>3518</v>
      </c>
      <c r="H1925">
        <v>0.5</v>
      </c>
      <c r="I1925">
        <v>6</v>
      </c>
      <c r="J1925">
        <v>30</v>
      </c>
    </row>
    <row r="1926" spans="1:10" x14ac:dyDescent="0.25">
      <c r="A1926" t="s">
        <v>4451</v>
      </c>
      <c r="B1926" s="3">
        <v>43845</v>
      </c>
      <c r="C1926" t="s">
        <v>2590</v>
      </c>
      <c r="D1926" t="s">
        <v>3484</v>
      </c>
      <c r="E1926">
        <v>6</v>
      </c>
      <c r="F1926" t="s">
        <v>3526</v>
      </c>
      <c r="G1926" t="s">
        <v>3518</v>
      </c>
      <c r="H1926">
        <v>0.2</v>
      </c>
      <c r="I1926">
        <v>3.6</v>
      </c>
      <c r="J1926">
        <v>21.6</v>
      </c>
    </row>
    <row r="1927" spans="1:10" x14ac:dyDescent="0.25">
      <c r="A1927" t="s">
        <v>4452</v>
      </c>
      <c r="B1927" s="3">
        <v>44919</v>
      </c>
      <c r="C1927" t="s">
        <v>944</v>
      </c>
      <c r="D1927" t="s">
        <v>3510</v>
      </c>
      <c r="E1927">
        <v>2</v>
      </c>
      <c r="F1927" t="s">
        <v>3524</v>
      </c>
      <c r="G1927" t="s">
        <v>3517</v>
      </c>
      <c r="H1927">
        <v>1</v>
      </c>
      <c r="I1927">
        <v>12</v>
      </c>
      <c r="J1927">
        <v>24</v>
      </c>
    </row>
    <row r="1928" spans="1:10" x14ac:dyDescent="0.25">
      <c r="A1928" t="s">
        <v>4453</v>
      </c>
      <c r="B1928" s="3">
        <v>44688</v>
      </c>
      <c r="C1928" t="s">
        <v>1100</v>
      </c>
      <c r="D1928" t="s">
        <v>3485</v>
      </c>
      <c r="E1928">
        <v>5</v>
      </c>
      <c r="F1928" t="s">
        <v>3523</v>
      </c>
      <c r="G1928" t="s">
        <v>3518</v>
      </c>
      <c r="H1928">
        <v>0.2</v>
      </c>
      <c r="I1928">
        <v>3</v>
      </c>
      <c r="J1928">
        <v>15</v>
      </c>
    </row>
    <row r="1929" spans="1:10" x14ac:dyDescent="0.25">
      <c r="A1929" t="s">
        <v>4454</v>
      </c>
      <c r="B1929" s="3">
        <v>45299</v>
      </c>
      <c r="C1929" t="s">
        <v>2846</v>
      </c>
      <c r="D1929" t="s">
        <v>3509</v>
      </c>
      <c r="E1929">
        <v>6</v>
      </c>
      <c r="F1929" t="s">
        <v>3524</v>
      </c>
      <c r="G1929" t="s">
        <v>3517</v>
      </c>
      <c r="H1929">
        <v>0.2</v>
      </c>
      <c r="I1929">
        <v>3.6</v>
      </c>
      <c r="J1929">
        <v>21.6</v>
      </c>
    </row>
    <row r="1930" spans="1:10" x14ac:dyDescent="0.25">
      <c r="A1930" t="s">
        <v>4455</v>
      </c>
      <c r="B1930" s="3">
        <v>45080</v>
      </c>
      <c r="C1930" t="s">
        <v>1021</v>
      </c>
      <c r="D1930" t="s">
        <v>3512</v>
      </c>
      <c r="E1930">
        <v>5</v>
      </c>
      <c r="F1930" t="s">
        <v>3525</v>
      </c>
      <c r="G1930" t="s">
        <v>3519</v>
      </c>
      <c r="H1930">
        <v>2.5</v>
      </c>
      <c r="I1930">
        <v>33.5</v>
      </c>
      <c r="J1930">
        <v>167.5</v>
      </c>
    </row>
    <row r="1931" spans="1:10" x14ac:dyDescent="0.25">
      <c r="A1931" t="s">
        <v>4456</v>
      </c>
      <c r="B1931" s="3">
        <v>44135</v>
      </c>
      <c r="C1931" t="s">
        <v>2633</v>
      </c>
      <c r="D1931" t="s">
        <v>3474</v>
      </c>
      <c r="E1931">
        <v>6</v>
      </c>
      <c r="F1931" t="s">
        <v>3525</v>
      </c>
      <c r="G1931" t="s">
        <v>3518</v>
      </c>
      <c r="H1931">
        <v>1</v>
      </c>
      <c r="I1931">
        <v>13</v>
      </c>
      <c r="J1931">
        <v>78</v>
      </c>
    </row>
    <row r="1932" spans="1:10" x14ac:dyDescent="0.25">
      <c r="A1932" t="s">
        <v>4457</v>
      </c>
      <c r="B1932" s="3">
        <v>43946</v>
      </c>
      <c r="C1932" t="s">
        <v>1390</v>
      </c>
      <c r="D1932" t="s">
        <v>3505</v>
      </c>
      <c r="E1932">
        <v>4</v>
      </c>
      <c r="F1932" t="s">
        <v>3524</v>
      </c>
      <c r="G1932" t="s">
        <v>3519</v>
      </c>
      <c r="H1932">
        <v>0.2</v>
      </c>
      <c r="I1932">
        <v>3</v>
      </c>
      <c r="J1932">
        <v>12</v>
      </c>
    </row>
    <row r="1933" spans="1:10" x14ac:dyDescent="0.25">
      <c r="A1933" t="s">
        <v>4458</v>
      </c>
      <c r="B1933" s="3">
        <v>45020</v>
      </c>
      <c r="C1933" t="s">
        <v>817</v>
      </c>
      <c r="D1933" t="s">
        <v>3484</v>
      </c>
      <c r="E1933">
        <v>4</v>
      </c>
      <c r="F1933" t="s">
        <v>3526</v>
      </c>
      <c r="G1933" t="s">
        <v>3518</v>
      </c>
      <c r="H1933">
        <v>0.2</v>
      </c>
      <c r="I1933">
        <v>3.6</v>
      </c>
      <c r="J1933">
        <v>14.4</v>
      </c>
    </row>
    <row r="1934" spans="1:10" x14ac:dyDescent="0.25">
      <c r="A1934" t="s">
        <v>4459</v>
      </c>
      <c r="B1934" s="3">
        <v>44976</v>
      </c>
      <c r="C1934" t="s">
        <v>2476</v>
      </c>
      <c r="D1934" t="s">
        <v>3490</v>
      </c>
      <c r="E1934">
        <v>5</v>
      </c>
      <c r="F1934" t="s">
        <v>3525</v>
      </c>
      <c r="G1934" t="s">
        <v>3519</v>
      </c>
      <c r="H1934">
        <v>0.2</v>
      </c>
      <c r="I1934">
        <v>4.4000000000000004</v>
      </c>
      <c r="J1934">
        <v>22</v>
      </c>
    </row>
    <row r="1935" spans="1:10" x14ac:dyDescent="0.25">
      <c r="A1935" t="s">
        <v>4460</v>
      </c>
      <c r="B1935" s="3">
        <v>44031</v>
      </c>
      <c r="C1935" t="s">
        <v>3118</v>
      </c>
      <c r="D1935" t="s">
        <v>3474</v>
      </c>
      <c r="E1935">
        <v>6</v>
      </c>
      <c r="F1935" t="s">
        <v>3525</v>
      </c>
      <c r="G1935" t="s">
        <v>3518</v>
      </c>
      <c r="H1935">
        <v>1</v>
      </c>
      <c r="I1935">
        <v>13</v>
      </c>
      <c r="J1935">
        <v>78</v>
      </c>
    </row>
    <row r="1936" spans="1:10" x14ac:dyDescent="0.25">
      <c r="A1936" t="s">
        <v>4461</v>
      </c>
      <c r="B1936" s="3">
        <v>45362</v>
      </c>
      <c r="C1936" t="s">
        <v>2056</v>
      </c>
      <c r="D1936" t="s">
        <v>3497</v>
      </c>
      <c r="E1936">
        <v>2</v>
      </c>
      <c r="F1936" t="s">
        <v>3526</v>
      </c>
      <c r="G1936" t="s">
        <v>3519</v>
      </c>
      <c r="H1936">
        <v>2.5</v>
      </c>
      <c r="I1936">
        <v>31.6</v>
      </c>
      <c r="J1936">
        <v>63.2</v>
      </c>
    </row>
    <row r="1937" spans="1:10" x14ac:dyDescent="0.25">
      <c r="A1937" t="s">
        <v>4462</v>
      </c>
      <c r="B1937" s="3">
        <v>44239</v>
      </c>
      <c r="C1937" t="s">
        <v>1429</v>
      </c>
      <c r="D1937" t="s">
        <v>3482</v>
      </c>
      <c r="E1937">
        <v>3</v>
      </c>
      <c r="F1937" t="s">
        <v>3524</v>
      </c>
      <c r="G1937" t="s">
        <v>3519</v>
      </c>
      <c r="H1937">
        <v>2.5</v>
      </c>
      <c r="I1937">
        <v>22.9</v>
      </c>
      <c r="J1937">
        <v>68.7</v>
      </c>
    </row>
    <row r="1938" spans="1:10" x14ac:dyDescent="0.25">
      <c r="A1938" t="s">
        <v>4463</v>
      </c>
      <c r="B1938" s="3">
        <v>43689</v>
      </c>
      <c r="C1938" t="s">
        <v>2041</v>
      </c>
      <c r="D1938" t="s">
        <v>3500</v>
      </c>
      <c r="E1938">
        <v>2</v>
      </c>
      <c r="F1938" t="s">
        <v>3525</v>
      </c>
      <c r="G1938" t="s">
        <v>3518</v>
      </c>
      <c r="H1938">
        <v>0.5</v>
      </c>
      <c r="I1938">
        <v>7.8</v>
      </c>
      <c r="J1938">
        <v>15.6</v>
      </c>
    </row>
    <row r="1939" spans="1:10" x14ac:dyDescent="0.25">
      <c r="A1939" t="s">
        <v>4464</v>
      </c>
      <c r="B1939" s="3">
        <v>45245</v>
      </c>
      <c r="C1939" t="s">
        <v>2772</v>
      </c>
      <c r="D1939" t="s">
        <v>3483</v>
      </c>
      <c r="E1939">
        <v>5</v>
      </c>
      <c r="F1939" t="s">
        <v>3523</v>
      </c>
      <c r="G1939" t="s">
        <v>3519</v>
      </c>
      <c r="H1939">
        <v>0.2</v>
      </c>
      <c r="I1939">
        <v>3.4</v>
      </c>
      <c r="J1939">
        <v>17</v>
      </c>
    </row>
    <row r="1940" spans="1:10" x14ac:dyDescent="0.25">
      <c r="A1940" t="s">
        <v>4465</v>
      </c>
      <c r="B1940" s="3">
        <v>43617</v>
      </c>
      <c r="C1940" t="s">
        <v>745</v>
      </c>
      <c r="D1940" t="s">
        <v>3490</v>
      </c>
      <c r="E1940">
        <v>6</v>
      </c>
      <c r="F1940" t="s">
        <v>3525</v>
      </c>
      <c r="G1940" t="s">
        <v>3519</v>
      </c>
      <c r="H1940">
        <v>0.2</v>
      </c>
      <c r="I1940">
        <v>4.4000000000000004</v>
      </c>
      <c r="J1940">
        <v>26.4</v>
      </c>
    </row>
    <row r="1941" spans="1:10" x14ac:dyDescent="0.25">
      <c r="A1941" t="s">
        <v>4466</v>
      </c>
      <c r="B1941" s="3">
        <v>45221</v>
      </c>
      <c r="C1941" t="s">
        <v>1006</v>
      </c>
      <c r="D1941" t="s">
        <v>3473</v>
      </c>
      <c r="E1941">
        <v>3</v>
      </c>
      <c r="F1941" t="s">
        <v>3524</v>
      </c>
      <c r="G1941" t="s">
        <v>3517</v>
      </c>
      <c r="H1941">
        <v>2.5</v>
      </c>
      <c r="I1941">
        <v>27.5</v>
      </c>
      <c r="J1941">
        <v>82.5</v>
      </c>
    </row>
    <row r="1942" spans="1:10" x14ac:dyDescent="0.25">
      <c r="A1942" t="s">
        <v>4467</v>
      </c>
      <c r="B1942" s="3">
        <v>44619</v>
      </c>
      <c r="C1942" t="s">
        <v>2587</v>
      </c>
      <c r="D1942" t="s">
        <v>3471</v>
      </c>
      <c r="E1942">
        <v>1</v>
      </c>
      <c r="F1942" t="s">
        <v>3523</v>
      </c>
      <c r="G1942" t="s">
        <v>3517</v>
      </c>
      <c r="H1942">
        <v>1</v>
      </c>
      <c r="I1942">
        <v>13</v>
      </c>
      <c r="J1942">
        <v>13</v>
      </c>
    </row>
    <row r="1943" spans="1:10" x14ac:dyDescent="0.25">
      <c r="A1943" t="s">
        <v>4468</v>
      </c>
      <c r="B1943" s="3">
        <v>43487</v>
      </c>
      <c r="C1943" t="s">
        <v>1544</v>
      </c>
      <c r="D1943" t="s">
        <v>3474</v>
      </c>
      <c r="E1943">
        <v>5</v>
      </c>
      <c r="F1943" t="s">
        <v>3525</v>
      </c>
      <c r="G1943" t="s">
        <v>3518</v>
      </c>
      <c r="H1943">
        <v>1</v>
      </c>
      <c r="I1943">
        <v>13</v>
      </c>
      <c r="J1943">
        <v>65</v>
      </c>
    </row>
    <row r="1944" spans="1:10" x14ac:dyDescent="0.25">
      <c r="A1944" t="s">
        <v>4469</v>
      </c>
      <c r="B1944" s="3">
        <v>45436</v>
      </c>
      <c r="C1944" t="s">
        <v>561</v>
      </c>
      <c r="D1944" t="s">
        <v>3474</v>
      </c>
      <c r="E1944">
        <v>5</v>
      </c>
      <c r="F1944" t="s">
        <v>3525</v>
      </c>
      <c r="G1944" t="s">
        <v>3518</v>
      </c>
      <c r="H1944">
        <v>1</v>
      </c>
      <c r="I1944">
        <v>13</v>
      </c>
      <c r="J1944">
        <v>65</v>
      </c>
    </row>
    <row r="1945" spans="1:10" x14ac:dyDescent="0.25">
      <c r="A1945" t="s">
        <v>4470</v>
      </c>
      <c r="B1945" s="3">
        <v>44064</v>
      </c>
      <c r="C1945" t="s">
        <v>1976</v>
      </c>
      <c r="D1945" t="s">
        <v>3504</v>
      </c>
      <c r="E1945">
        <v>5</v>
      </c>
      <c r="F1945" t="s">
        <v>3524</v>
      </c>
      <c r="G1945" t="s">
        <v>3517</v>
      </c>
      <c r="H1945">
        <v>0.5</v>
      </c>
      <c r="I1945">
        <v>7.2</v>
      </c>
      <c r="J1945">
        <v>36</v>
      </c>
    </row>
    <row r="1946" spans="1:10" x14ac:dyDescent="0.25">
      <c r="A1946" t="s">
        <v>4471</v>
      </c>
      <c r="B1946" s="3">
        <v>44951</v>
      </c>
      <c r="C1946" t="s">
        <v>3446</v>
      </c>
      <c r="D1946" t="s">
        <v>3485</v>
      </c>
      <c r="E1946">
        <v>3</v>
      </c>
      <c r="F1946" t="s">
        <v>3523</v>
      </c>
      <c r="G1946" t="s">
        <v>3518</v>
      </c>
      <c r="H1946">
        <v>0.2</v>
      </c>
      <c r="I1946">
        <v>3</v>
      </c>
      <c r="J1946">
        <v>9</v>
      </c>
    </row>
    <row r="1947" spans="1:10" x14ac:dyDescent="0.25">
      <c r="A1947" t="s">
        <v>4472</v>
      </c>
      <c r="B1947" s="3">
        <v>44623</v>
      </c>
      <c r="C1947" t="s">
        <v>2849</v>
      </c>
      <c r="D1947" t="s">
        <v>3499</v>
      </c>
      <c r="E1947">
        <v>2</v>
      </c>
      <c r="F1947" t="s">
        <v>3523</v>
      </c>
      <c r="G1947" t="s">
        <v>3518</v>
      </c>
      <c r="H1947">
        <v>2.5</v>
      </c>
      <c r="I1947">
        <v>22.9</v>
      </c>
      <c r="J1947">
        <v>45.8</v>
      </c>
    </row>
    <row r="1948" spans="1:10" x14ac:dyDescent="0.25">
      <c r="A1948" t="s">
        <v>4473</v>
      </c>
      <c r="B1948" s="3">
        <v>45094</v>
      </c>
      <c r="C1948" t="s">
        <v>2831</v>
      </c>
      <c r="D1948" t="s">
        <v>3512</v>
      </c>
      <c r="E1948">
        <v>4</v>
      </c>
      <c r="F1948" t="s">
        <v>3525</v>
      </c>
      <c r="G1948" t="s">
        <v>3519</v>
      </c>
      <c r="H1948">
        <v>2.5</v>
      </c>
      <c r="I1948">
        <v>33.5</v>
      </c>
      <c r="J1948">
        <v>134</v>
      </c>
    </row>
    <row r="1949" spans="1:10" x14ac:dyDescent="0.25">
      <c r="A1949" t="s">
        <v>4474</v>
      </c>
      <c r="B1949" s="3">
        <v>45413</v>
      </c>
      <c r="C1949" t="s">
        <v>2201</v>
      </c>
      <c r="D1949" t="s">
        <v>3508</v>
      </c>
      <c r="E1949">
        <v>2</v>
      </c>
      <c r="F1949" t="s">
        <v>3524</v>
      </c>
      <c r="G1949" t="s">
        <v>3518</v>
      </c>
      <c r="H1949">
        <v>1</v>
      </c>
      <c r="I1949">
        <v>9</v>
      </c>
      <c r="J1949">
        <v>18</v>
      </c>
    </row>
    <row r="1950" spans="1:10" x14ac:dyDescent="0.25">
      <c r="A1950" t="s">
        <v>4475</v>
      </c>
      <c r="B1950" s="3">
        <v>45047</v>
      </c>
      <c r="C1950" t="s">
        <v>1863</v>
      </c>
      <c r="D1950" t="s">
        <v>3515</v>
      </c>
      <c r="E1950">
        <v>1</v>
      </c>
      <c r="F1950" t="s">
        <v>3526</v>
      </c>
      <c r="G1950" t="s">
        <v>3517</v>
      </c>
      <c r="H1950">
        <v>0.2</v>
      </c>
      <c r="I1950">
        <v>4.5</v>
      </c>
      <c r="J1950">
        <v>4.5</v>
      </c>
    </row>
    <row r="1951" spans="1:10" x14ac:dyDescent="0.25">
      <c r="A1951" t="s">
        <v>4476</v>
      </c>
      <c r="B1951" s="3">
        <v>45633</v>
      </c>
      <c r="C1951" t="s">
        <v>3429</v>
      </c>
      <c r="D1951" t="s">
        <v>3490</v>
      </c>
      <c r="E1951">
        <v>1</v>
      </c>
      <c r="F1951" t="s">
        <v>3525</v>
      </c>
      <c r="G1951" t="s">
        <v>3519</v>
      </c>
      <c r="H1951">
        <v>0.2</v>
      </c>
      <c r="I1951">
        <v>4.4000000000000004</v>
      </c>
      <c r="J1951">
        <v>4.4000000000000004</v>
      </c>
    </row>
    <row r="1952" spans="1:10" x14ac:dyDescent="0.25">
      <c r="A1952" t="s">
        <v>4477</v>
      </c>
      <c r="B1952" s="3">
        <v>45614</v>
      </c>
      <c r="C1952" t="s">
        <v>2311</v>
      </c>
      <c r="D1952" t="s">
        <v>3475</v>
      </c>
      <c r="E1952">
        <v>6</v>
      </c>
      <c r="F1952" t="s">
        <v>3526</v>
      </c>
      <c r="G1952" t="s">
        <v>3518</v>
      </c>
      <c r="H1952">
        <v>0.5</v>
      </c>
      <c r="I1952">
        <v>7.3</v>
      </c>
      <c r="J1952">
        <v>43.8</v>
      </c>
    </row>
    <row r="1953" spans="1:10" x14ac:dyDescent="0.25">
      <c r="A1953" t="s">
        <v>4478</v>
      </c>
      <c r="B1953" s="3">
        <v>44733</v>
      </c>
      <c r="C1953" t="s">
        <v>1091</v>
      </c>
      <c r="D1953" t="s">
        <v>3477</v>
      </c>
      <c r="E1953">
        <v>2</v>
      </c>
      <c r="F1953" t="s">
        <v>3524</v>
      </c>
      <c r="G1953" t="s">
        <v>3519</v>
      </c>
      <c r="H1953">
        <v>0.5</v>
      </c>
      <c r="I1953">
        <v>6</v>
      </c>
      <c r="J1953">
        <v>12</v>
      </c>
    </row>
    <row r="1954" spans="1:10" x14ac:dyDescent="0.25">
      <c r="A1954" t="s">
        <v>4479</v>
      </c>
      <c r="B1954" s="3">
        <v>45397</v>
      </c>
      <c r="C1954" t="s">
        <v>3151</v>
      </c>
      <c r="D1954" t="s">
        <v>3471</v>
      </c>
      <c r="E1954">
        <v>6</v>
      </c>
      <c r="F1954" t="s">
        <v>3523</v>
      </c>
      <c r="G1954" t="s">
        <v>3517</v>
      </c>
      <c r="H1954">
        <v>1</v>
      </c>
      <c r="I1954">
        <v>13</v>
      </c>
      <c r="J1954">
        <v>78</v>
      </c>
    </row>
    <row r="1955" spans="1:10" x14ac:dyDescent="0.25">
      <c r="A1955" t="s">
        <v>4480</v>
      </c>
      <c r="B1955" s="3">
        <v>44827</v>
      </c>
      <c r="C1955" t="s">
        <v>2189</v>
      </c>
      <c r="D1955" t="s">
        <v>3497</v>
      </c>
      <c r="E1955">
        <v>5</v>
      </c>
      <c r="F1955" t="s">
        <v>3526</v>
      </c>
      <c r="G1955" t="s">
        <v>3519</v>
      </c>
      <c r="H1955">
        <v>2.5</v>
      </c>
      <c r="I1955">
        <v>31.6</v>
      </c>
      <c r="J1955">
        <v>158</v>
      </c>
    </row>
    <row r="1956" spans="1:10" x14ac:dyDescent="0.25">
      <c r="A1956" t="s">
        <v>4481</v>
      </c>
      <c r="B1956" s="3">
        <v>45639</v>
      </c>
      <c r="C1956" t="s">
        <v>2915</v>
      </c>
      <c r="D1956" t="s">
        <v>3497</v>
      </c>
      <c r="E1956">
        <v>3</v>
      </c>
      <c r="F1956" t="s">
        <v>3526</v>
      </c>
      <c r="G1956" t="s">
        <v>3519</v>
      </c>
      <c r="H1956">
        <v>2.5</v>
      </c>
      <c r="I1956">
        <v>31.6</v>
      </c>
      <c r="J1956">
        <v>94.8</v>
      </c>
    </row>
    <row r="1957" spans="1:10" x14ac:dyDescent="0.25">
      <c r="A1957" t="s">
        <v>4482</v>
      </c>
      <c r="B1957" s="3">
        <v>44752</v>
      </c>
      <c r="C1957" t="s">
        <v>906</v>
      </c>
      <c r="D1957" t="s">
        <v>3505</v>
      </c>
      <c r="E1957">
        <v>6</v>
      </c>
      <c r="F1957" t="s">
        <v>3524</v>
      </c>
      <c r="G1957" t="s">
        <v>3519</v>
      </c>
      <c r="H1957">
        <v>0.2</v>
      </c>
      <c r="I1957">
        <v>3</v>
      </c>
      <c r="J1957">
        <v>18</v>
      </c>
    </row>
    <row r="1958" spans="1:10" x14ac:dyDescent="0.25">
      <c r="A1958" t="s">
        <v>4483</v>
      </c>
      <c r="B1958" s="3">
        <v>43476</v>
      </c>
      <c r="C1958" t="s">
        <v>953</v>
      </c>
      <c r="D1958" t="s">
        <v>3480</v>
      </c>
      <c r="E1958">
        <v>1</v>
      </c>
      <c r="F1958" t="s">
        <v>3524</v>
      </c>
      <c r="G1958" t="s">
        <v>3518</v>
      </c>
      <c r="H1958">
        <v>2.5</v>
      </c>
      <c r="I1958">
        <v>20.6</v>
      </c>
      <c r="J1958">
        <v>20.6</v>
      </c>
    </row>
    <row r="1959" spans="1:10" x14ac:dyDescent="0.25">
      <c r="A1959" t="s">
        <v>4484</v>
      </c>
      <c r="B1959" s="3">
        <v>45322</v>
      </c>
      <c r="C1959" t="s">
        <v>829</v>
      </c>
      <c r="D1959" t="s">
        <v>3484</v>
      </c>
      <c r="E1959">
        <v>5</v>
      </c>
      <c r="F1959" t="s">
        <v>3526</v>
      </c>
      <c r="G1959" t="s">
        <v>3518</v>
      </c>
      <c r="H1959">
        <v>0.2</v>
      </c>
      <c r="I1959">
        <v>3.6</v>
      </c>
      <c r="J1959">
        <v>18</v>
      </c>
    </row>
    <row r="1960" spans="1:10" x14ac:dyDescent="0.25">
      <c r="A1960" t="s">
        <v>4485</v>
      </c>
      <c r="B1960" s="3">
        <v>43792</v>
      </c>
      <c r="C1960" t="s">
        <v>1726</v>
      </c>
      <c r="D1960" t="s">
        <v>3472</v>
      </c>
      <c r="E1960">
        <v>2</v>
      </c>
      <c r="F1960" t="s">
        <v>3526</v>
      </c>
      <c r="G1960" t="s">
        <v>3519</v>
      </c>
      <c r="H1960">
        <v>1</v>
      </c>
      <c r="I1960">
        <v>13.8</v>
      </c>
      <c r="J1960">
        <v>27.6</v>
      </c>
    </row>
    <row r="1961" spans="1:10" x14ac:dyDescent="0.25">
      <c r="A1961" t="s">
        <v>4486</v>
      </c>
      <c r="B1961" s="3">
        <v>44316</v>
      </c>
      <c r="C1961" t="s">
        <v>1761</v>
      </c>
      <c r="D1961" t="s">
        <v>3506</v>
      </c>
      <c r="E1961">
        <v>3</v>
      </c>
      <c r="F1961" t="s">
        <v>3523</v>
      </c>
      <c r="G1961" t="s">
        <v>3519</v>
      </c>
      <c r="H1961">
        <v>2.5</v>
      </c>
      <c r="I1961">
        <v>25.9</v>
      </c>
      <c r="J1961">
        <v>77.7</v>
      </c>
    </row>
    <row r="1962" spans="1:10" x14ac:dyDescent="0.25">
      <c r="A1962" t="s">
        <v>4487</v>
      </c>
      <c r="B1962" s="3">
        <v>45104</v>
      </c>
      <c r="C1962" t="s">
        <v>1875</v>
      </c>
      <c r="D1962" t="s">
        <v>3476</v>
      </c>
      <c r="E1962">
        <v>2</v>
      </c>
      <c r="F1962" t="s">
        <v>3525</v>
      </c>
      <c r="G1962" t="s">
        <v>3517</v>
      </c>
      <c r="H1962">
        <v>0.2</v>
      </c>
      <c r="I1962">
        <v>4.8</v>
      </c>
      <c r="J1962">
        <v>9.6</v>
      </c>
    </row>
    <row r="1963" spans="1:10" x14ac:dyDescent="0.25">
      <c r="A1963" t="s">
        <v>4488</v>
      </c>
      <c r="B1963" s="3">
        <v>45563</v>
      </c>
      <c r="C1963" t="s">
        <v>848</v>
      </c>
      <c r="D1963" t="s">
        <v>3486</v>
      </c>
      <c r="E1963">
        <v>3</v>
      </c>
      <c r="F1963" t="s">
        <v>3523</v>
      </c>
      <c r="G1963" t="s">
        <v>3519</v>
      </c>
      <c r="H1963">
        <v>1</v>
      </c>
      <c r="I1963">
        <v>11.3</v>
      </c>
      <c r="J1963">
        <v>33.9</v>
      </c>
    </row>
    <row r="1964" spans="1:10" x14ac:dyDescent="0.25">
      <c r="A1964" t="s">
        <v>4489</v>
      </c>
      <c r="B1964" s="3">
        <v>44422</v>
      </c>
      <c r="C1964" t="s">
        <v>918</v>
      </c>
      <c r="D1964" t="s">
        <v>3500</v>
      </c>
      <c r="E1964">
        <v>5</v>
      </c>
      <c r="F1964" t="s">
        <v>3525</v>
      </c>
      <c r="G1964" t="s">
        <v>3518</v>
      </c>
      <c r="H1964">
        <v>0.5</v>
      </c>
      <c r="I1964">
        <v>7.8</v>
      </c>
      <c r="J1964">
        <v>39</v>
      </c>
    </row>
    <row r="1965" spans="1:10" x14ac:dyDescent="0.25">
      <c r="A1965" t="s">
        <v>4490</v>
      </c>
      <c r="B1965" s="3">
        <v>45106</v>
      </c>
      <c r="C1965" t="s">
        <v>2408</v>
      </c>
      <c r="D1965" t="s">
        <v>3474</v>
      </c>
      <c r="E1965">
        <v>1</v>
      </c>
      <c r="F1965" t="s">
        <v>3525</v>
      </c>
      <c r="G1965" t="s">
        <v>3518</v>
      </c>
      <c r="H1965">
        <v>1</v>
      </c>
      <c r="I1965">
        <v>13</v>
      </c>
      <c r="J1965">
        <v>13</v>
      </c>
    </row>
    <row r="1966" spans="1:10" x14ac:dyDescent="0.25">
      <c r="A1966" t="s">
        <v>4491</v>
      </c>
      <c r="B1966" s="3">
        <v>44180</v>
      </c>
      <c r="C1966" t="s">
        <v>1948</v>
      </c>
      <c r="D1966" t="s">
        <v>3511</v>
      </c>
      <c r="E1966">
        <v>6</v>
      </c>
      <c r="F1966" t="s">
        <v>3523</v>
      </c>
      <c r="G1966" t="s">
        <v>3517</v>
      </c>
      <c r="H1966">
        <v>0.5</v>
      </c>
      <c r="I1966">
        <v>7.8</v>
      </c>
      <c r="J1966">
        <v>46.8</v>
      </c>
    </row>
    <row r="1967" spans="1:10" x14ac:dyDescent="0.25">
      <c r="A1967" t="s">
        <v>4492</v>
      </c>
      <c r="B1967" s="3">
        <v>45255</v>
      </c>
      <c r="C1967" t="s">
        <v>3351</v>
      </c>
      <c r="D1967" t="s">
        <v>3503</v>
      </c>
      <c r="E1967">
        <v>5</v>
      </c>
      <c r="F1967" t="s">
        <v>3524</v>
      </c>
      <c r="G1967" t="s">
        <v>3518</v>
      </c>
      <c r="H1967">
        <v>0.5</v>
      </c>
      <c r="I1967">
        <v>5.4</v>
      </c>
      <c r="J1967">
        <v>27</v>
      </c>
    </row>
    <row r="1968" spans="1:10" x14ac:dyDescent="0.25">
      <c r="A1968" t="s">
        <v>4493</v>
      </c>
      <c r="B1968" s="3">
        <v>44987</v>
      </c>
      <c r="C1968" t="s">
        <v>1265</v>
      </c>
      <c r="D1968" t="s">
        <v>3477</v>
      </c>
      <c r="E1968">
        <v>5</v>
      </c>
      <c r="F1968" t="s">
        <v>3524</v>
      </c>
      <c r="G1968" t="s">
        <v>3519</v>
      </c>
      <c r="H1968">
        <v>0.5</v>
      </c>
      <c r="I1968">
        <v>6</v>
      </c>
      <c r="J1968">
        <v>30</v>
      </c>
    </row>
    <row r="1969" spans="1:10" x14ac:dyDescent="0.25">
      <c r="A1969" t="s">
        <v>4494</v>
      </c>
      <c r="B1969" s="3">
        <v>45289</v>
      </c>
      <c r="C1969" t="s">
        <v>2645</v>
      </c>
      <c r="D1969" t="s">
        <v>3498</v>
      </c>
      <c r="E1969">
        <v>6</v>
      </c>
      <c r="F1969" t="s">
        <v>3523</v>
      </c>
      <c r="G1969" t="s">
        <v>3517</v>
      </c>
      <c r="H1969">
        <v>0.2</v>
      </c>
      <c r="I1969">
        <v>3.9</v>
      </c>
      <c r="J1969">
        <v>23.4</v>
      </c>
    </row>
    <row r="1970" spans="1:10" x14ac:dyDescent="0.25">
      <c r="A1970" t="s">
        <v>4495</v>
      </c>
      <c r="B1970" s="3">
        <v>44222</v>
      </c>
      <c r="C1970" t="s">
        <v>1378</v>
      </c>
      <c r="D1970" t="s">
        <v>3507</v>
      </c>
      <c r="E1970">
        <v>3</v>
      </c>
      <c r="F1970" t="s">
        <v>3526</v>
      </c>
      <c r="G1970" t="s">
        <v>3517</v>
      </c>
      <c r="H1970">
        <v>0.5</v>
      </c>
      <c r="I1970">
        <v>8.9</v>
      </c>
      <c r="J1970">
        <v>26.7</v>
      </c>
    </row>
    <row r="1971" spans="1:10" x14ac:dyDescent="0.25">
      <c r="A1971" t="s">
        <v>4496</v>
      </c>
      <c r="B1971" s="3">
        <v>44817</v>
      </c>
      <c r="C1971" t="s">
        <v>1893</v>
      </c>
      <c r="D1971" t="s">
        <v>3498</v>
      </c>
      <c r="E1971">
        <v>2</v>
      </c>
      <c r="F1971" t="s">
        <v>3523</v>
      </c>
      <c r="G1971" t="s">
        <v>3517</v>
      </c>
      <c r="H1971">
        <v>0.2</v>
      </c>
      <c r="I1971">
        <v>3.9</v>
      </c>
      <c r="J1971">
        <v>7.8</v>
      </c>
    </row>
    <row r="1972" spans="1:10" x14ac:dyDescent="0.25">
      <c r="A1972" t="s">
        <v>4497</v>
      </c>
      <c r="B1972" s="3">
        <v>44806</v>
      </c>
      <c r="C1972" t="s">
        <v>655</v>
      </c>
      <c r="D1972" t="s">
        <v>3516</v>
      </c>
      <c r="E1972">
        <v>1</v>
      </c>
      <c r="F1972" t="s">
        <v>3526</v>
      </c>
      <c r="G1972" t="s">
        <v>3518</v>
      </c>
      <c r="H1972">
        <v>2.5</v>
      </c>
      <c r="I1972">
        <v>27.9</v>
      </c>
      <c r="J1972">
        <v>27.9</v>
      </c>
    </row>
    <row r="1973" spans="1:10" x14ac:dyDescent="0.25">
      <c r="A1973" t="s">
        <v>4498</v>
      </c>
      <c r="B1973" s="3">
        <v>44092</v>
      </c>
      <c r="C1973" t="s">
        <v>3282</v>
      </c>
      <c r="D1973" t="s">
        <v>3474</v>
      </c>
      <c r="E1973">
        <v>6</v>
      </c>
      <c r="F1973" t="s">
        <v>3525</v>
      </c>
      <c r="G1973" t="s">
        <v>3518</v>
      </c>
      <c r="H1973">
        <v>1</v>
      </c>
      <c r="I1973">
        <v>13</v>
      </c>
      <c r="J1973">
        <v>78</v>
      </c>
    </row>
    <row r="1974" spans="1:10" x14ac:dyDescent="0.25">
      <c r="A1974" t="s">
        <v>4499</v>
      </c>
      <c r="B1974" s="3">
        <v>45549</v>
      </c>
      <c r="C1974" t="s">
        <v>2137</v>
      </c>
      <c r="D1974" t="s">
        <v>3495</v>
      </c>
      <c r="E1974">
        <v>2</v>
      </c>
      <c r="F1974" t="s">
        <v>3525</v>
      </c>
      <c r="G1974" t="s">
        <v>3517</v>
      </c>
      <c r="H1974">
        <v>2.5</v>
      </c>
      <c r="I1974">
        <v>36.5</v>
      </c>
      <c r="J1974">
        <v>73</v>
      </c>
    </row>
    <row r="1975" spans="1:10" x14ac:dyDescent="0.25">
      <c r="A1975" t="s">
        <v>4500</v>
      </c>
      <c r="B1975" s="3">
        <v>45506</v>
      </c>
      <c r="C1975" t="s">
        <v>2372</v>
      </c>
      <c r="D1975" t="s">
        <v>3472</v>
      </c>
      <c r="E1975">
        <v>4</v>
      </c>
      <c r="F1975" t="s">
        <v>3526</v>
      </c>
      <c r="G1975" t="s">
        <v>3519</v>
      </c>
      <c r="H1975">
        <v>1</v>
      </c>
      <c r="I1975">
        <v>13.8</v>
      </c>
      <c r="J1975">
        <v>55.2</v>
      </c>
    </row>
    <row r="1976" spans="1:10" x14ac:dyDescent="0.25">
      <c r="A1976" t="s">
        <v>4501</v>
      </c>
      <c r="B1976" s="3">
        <v>45216</v>
      </c>
      <c r="C1976" t="s">
        <v>2840</v>
      </c>
      <c r="D1976" t="s">
        <v>3498</v>
      </c>
      <c r="E1976">
        <v>1</v>
      </c>
      <c r="F1976" t="s">
        <v>3523</v>
      </c>
      <c r="G1976" t="s">
        <v>3517</v>
      </c>
      <c r="H1976">
        <v>0.2</v>
      </c>
      <c r="I1976">
        <v>3.9</v>
      </c>
      <c r="J1976">
        <v>3.9</v>
      </c>
    </row>
    <row r="1977" spans="1:10" x14ac:dyDescent="0.25">
      <c r="A1977" t="s">
        <v>4502</v>
      </c>
      <c r="B1977" s="3">
        <v>45401</v>
      </c>
      <c r="C1977" t="s">
        <v>2545</v>
      </c>
      <c r="D1977" t="s">
        <v>3483</v>
      </c>
      <c r="E1977">
        <v>4</v>
      </c>
      <c r="F1977" t="s">
        <v>3523</v>
      </c>
      <c r="G1977" t="s">
        <v>3519</v>
      </c>
      <c r="H1977">
        <v>0.2</v>
      </c>
      <c r="I1977">
        <v>3.4</v>
      </c>
      <c r="J1977">
        <v>13.6</v>
      </c>
    </row>
    <row r="1978" spans="1:10" x14ac:dyDescent="0.25">
      <c r="A1978" t="s">
        <v>4503</v>
      </c>
      <c r="B1978" s="3">
        <v>44710</v>
      </c>
      <c r="C1978" t="s">
        <v>1115</v>
      </c>
      <c r="D1978" t="s">
        <v>3482</v>
      </c>
      <c r="E1978">
        <v>3</v>
      </c>
      <c r="F1978" t="s">
        <v>3524</v>
      </c>
      <c r="G1978" t="s">
        <v>3519</v>
      </c>
      <c r="H1978">
        <v>2.5</v>
      </c>
      <c r="I1978">
        <v>22.9</v>
      </c>
      <c r="J1978">
        <v>68.7</v>
      </c>
    </row>
    <row r="1979" spans="1:10" x14ac:dyDescent="0.25">
      <c r="A1979" t="s">
        <v>4504</v>
      </c>
      <c r="B1979" s="3">
        <v>43729</v>
      </c>
      <c r="C1979" t="s">
        <v>1238</v>
      </c>
      <c r="D1979" t="s">
        <v>3505</v>
      </c>
      <c r="E1979">
        <v>4</v>
      </c>
      <c r="F1979" t="s">
        <v>3524</v>
      </c>
      <c r="G1979" t="s">
        <v>3519</v>
      </c>
      <c r="H1979">
        <v>0.2</v>
      </c>
      <c r="I1979">
        <v>3</v>
      </c>
      <c r="J1979">
        <v>12</v>
      </c>
    </row>
    <row r="1980" spans="1:10" x14ac:dyDescent="0.25">
      <c r="A1980" t="s">
        <v>4505</v>
      </c>
      <c r="B1980" s="3">
        <v>44931</v>
      </c>
      <c r="C1980" t="s">
        <v>2663</v>
      </c>
      <c r="D1980" t="s">
        <v>3482</v>
      </c>
      <c r="E1980">
        <v>6</v>
      </c>
      <c r="F1980" t="s">
        <v>3524</v>
      </c>
      <c r="G1980" t="s">
        <v>3519</v>
      </c>
      <c r="H1980">
        <v>2.5</v>
      </c>
      <c r="I1980">
        <v>22.9</v>
      </c>
      <c r="J1980">
        <v>137.4</v>
      </c>
    </row>
    <row r="1981" spans="1:10" x14ac:dyDescent="0.25">
      <c r="A1981" t="s">
        <v>4506</v>
      </c>
      <c r="B1981" s="3">
        <v>44916</v>
      </c>
      <c r="C1981" t="s">
        <v>793</v>
      </c>
      <c r="D1981" t="s">
        <v>3504</v>
      </c>
      <c r="E1981">
        <v>2</v>
      </c>
      <c r="F1981" t="s">
        <v>3524</v>
      </c>
      <c r="G1981" t="s">
        <v>3517</v>
      </c>
      <c r="H1981">
        <v>0.5</v>
      </c>
      <c r="I1981">
        <v>7.2</v>
      </c>
      <c r="J1981">
        <v>14.4</v>
      </c>
    </row>
    <row r="1982" spans="1:10" x14ac:dyDescent="0.25">
      <c r="A1982" t="s">
        <v>4507</v>
      </c>
      <c r="B1982" s="3">
        <v>45459</v>
      </c>
      <c r="C1982" t="s">
        <v>1217</v>
      </c>
      <c r="D1982" t="s">
        <v>3495</v>
      </c>
      <c r="E1982">
        <v>5</v>
      </c>
      <c r="F1982" t="s">
        <v>3525</v>
      </c>
      <c r="G1982" t="s">
        <v>3517</v>
      </c>
      <c r="H1982">
        <v>2.5</v>
      </c>
      <c r="I1982">
        <v>36.5</v>
      </c>
      <c r="J1982">
        <v>182.5</v>
      </c>
    </row>
    <row r="1983" spans="1:10" x14ac:dyDescent="0.25">
      <c r="A1983" t="s">
        <v>4508</v>
      </c>
      <c r="B1983" s="3">
        <v>45340</v>
      </c>
      <c r="C1983" t="s">
        <v>2381</v>
      </c>
      <c r="D1983" t="s">
        <v>3506</v>
      </c>
      <c r="E1983">
        <v>4</v>
      </c>
      <c r="F1983" t="s">
        <v>3523</v>
      </c>
      <c r="G1983" t="s">
        <v>3519</v>
      </c>
      <c r="H1983">
        <v>2.5</v>
      </c>
      <c r="I1983">
        <v>25.9</v>
      </c>
      <c r="J1983">
        <v>103.6</v>
      </c>
    </row>
    <row r="1984" spans="1:10" x14ac:dyDescent="0.25">
      <c r="A1984" t="s">
        <v>4509</v>
      </c>
      <c r="B1984" s="3">
        <v>43972</v>
      </c>
      <c r="C1984" t="s">
        <v>3393</v>
      </c>
      <c r="D1984" t="s">
        <v>3503</v>
      </c>
      <c r="E1984">
        <v>6</v>
      </c>
      <c r="F1984" t="s">
        <v>3524</v>
      </c>
      <c r="G1984" t="s">
        <v>3518</v>
      </c>
      <c r="H1984">
        <v>0.5</v>
      </c>
      <c r="I1984">
        <v>5.4</v>
      </c>
      <c r="J1984">
        <v>32.4</v>
      </c>
    </row>
    <row r="1985" spans="1:10" x14ac:dyDescent="0.25">
      <c r="A1985" t="s">
        <v>4510</v>
      </c>
      <c r="B1985" s="3">
        <v>44190</v>
      </c>
      <c r="C1985" t="s">
        <v>1969</v>
      </c>
      <c r="D1985" t="s">
        <v>3478</v>
      </c>
      <c r="E1985">
        <v>2</v>
      </c>
      <c r="F1985" t="s">
        <v>3523</v>
      </c>
      <c r="G1985" t="s">
        <v>3518</v>
      </c>
      <c r="H1985">
        <v>1</v>
      </c>
      <c r="I1985">
        <v>10</v>
      </c>
      <c r="J1985">
        <v>20</v>
      </c>
    </row>
    <row r="1986" spans="1:10" x14ac:dyDescent="0.25">
      <c r="A1986" t="s">
        <v>4511</v>
      </c>
      <c r="B1986" s="3">
        <v>45214</v>
      </c>
      <c r="C1986" t="s">
        <v>1247</v>
      </c>
      <c r="D1986" t="s">
        <v>3510</v>
      </c>
      <c r="E1986">
        <v>6</v>
      </c>
      <c r="F1986" t="s">
        <v>3524</v>
      </c>
      <c r="G1986" t="s">
        <v>3517</v>
      </c>
      <c r="H1986">
        <v>1</v>
      </c>
      <c r="I1986">
        <v>12</v>
      </c>
      <c r="J1986">
        <v>72</v>
      </c>
    </row>
    <row r="1987" spans="1:10" x14ac:dyDescent="0.25">
      <c r="A1987" t="s">
        <v>4512</v>
      </c>
      <c r="B1987" s="3">
        <v>43519</v>
      </c>
      <c r="C1987" t="s">
        <v>2278</v>
      </c>
      <c r="D1987" t="s">
        <v>3496</v>
      </c>
      <c r="E1987">
        <v>4</v>
      </c>
      <c r="F1987" t="s">
        <v>3525</v>
      </c>
      <c r="G1987" t="s">
        <v>3518</v>
      </c>
      <c r="H1987">
        <v>2.5</v>
      </c>
      <c r="I1987">
        <v>29.8</v>
      </c>
      <c r="J1987">
        <v>119.2</v>
      </c>
    </row>
    <row r="1988" spans="1:10" x14ac:dyDescent="0.25">
      <c r="A1988" t="s">
        <v>4513</v>
      </c>
      <c r="B1988" s="3">
        <v>44984</v>
      </c>
      <c r="C1988" t="s">
        <v>2618</v>
      </c>
      <c r="D1988" t="s">
        <v>3500</v>
      </c>
      <c r="E1988">
        <v>5</v>
      </c>
      <c r="F1988" t="s">
        <v>3525</v>
      </c>
      <c r="G1988" t="s">
        <v>3518</v>
      </c>
      <c r="H1988">
        <v>0.5</v>
      </c>
      <c r="I1988">
        <v>7.8</v>
      </c>
      <c r="J1988">
        <v>39</v>
      </c>
    </row>
    <row r="1989" spans="1:10" x14ac:dyDescent="0.25">
      <c r="A1989" t="s">
        <v>4514</v>
      </c>
      <c r="B1989" s="3">
        <v>45253</v>
      </c>
      <c r="C1989" t="s">
        <v>2699</v>
      </c>
      <c r="D1989" t="s">
        <v>3509</v>
      </c>
      <c r="E1989">
        <v>3</v>
      </c>
      <c r="F1989" t="s">
        <v>3524</v>
      </c>
      <c r="G1989" t="s">
        <v>3517</v>
      </c>
      <c r="H1989">
        <v>0.2</v>
      </c>
      <c r="I1989">
        <v>3.6</v>
      </c>
      <c r="J1989">
        <v>10.8</v>
      </c>
    </row>
    <row r="1990" spans="1:10" x14ac:dyDescent="0.25">
      <c r="A1990" t="s">
        <v>4515</v>
      </c>
      <c r="B1990" s="3">
        <v>45583</v>
      </c>
      <c r="C1990" t="s">
        <v>1041</v>
      </c>
      <c r="D1990" t="s">
        <v>3515</v>
      </c>
      <c r="E1990">
        <v>6</v>
      </c>
      <c r="F1990" t="s">
        <v>3526</v>
      </c>
      <c r="G1990" t="s">
        <v>3517</v>
      </c>
      <c r="H1990">
        <v>0.2</v>
      </c>
      <c r="I1990">
        <v>4.5</v>
      </c>
      <c r="J1990">
        <v>27</v>
      </c>
    </row>
    <row r="1991" spans="1:10" x14ac:dyDescent="0.25">
      <c r="A1991" t="s">
        <v>4516</v>
      </c>
      <c r="B1991" s="3">
        <v>45521</v>
      </c>
      <c r="C1991" t="s">
        <v>614</v>
      </c>
      <c r="D1991" t="s">
        <v>3480</v>
      </c>
      <c r="E1991">
        <v>3</v>
      </c>
      <c r="F1991" t="s">
        <v>3524</v>
      </c>
      <c r="G1991" t="s">
        <v>3518</v>
      </c>
      <c r="H1991">
        <v>2.5</v>
      </c>
      <c r="I1991">
        <v>20.6</v>
      </c>
      <c r="J1991">
        <v>61.8</v>
      </c>
    </row>
    <row r="1992" spans="1:10" x14ac:dyDescent="0.25">
      <c r="A1992" t="s">
        <v>4517</v>
      </c>
      <c r="B1992" s="3">
        <v>45158</v>
      </c>
      <c r="C1992" t="s">
        <v>3208</v>
      </c>
      <c r="D1992" t="s">
        <v>3488</v>
      </c>
      <c r="E1992">
        <v>2</v>
      </c>
      <c r="F1992" t="s">
        <v>3523</v>
      </c>
      <c r="G1992" t="s">
        <v>3519</v>
      </c>
      <c r="H1992">
        <v>0.5</v>
      </c>
      <c r="I1992">
        <v>6.8</v>
      </c>
      <c r="J1992">
        <v>13.6</v>
      </c>
    </row>
    <row r="1993" spans="1:10" x14ac:dyDescent="0.25">
      <c r="A1993" t="s">
        <v>4518</v>
      </c>
      <c r="B1993" s="3">
        <v>44864</v>
      </c>
      <c r="C1993" t="s">
        <v>1259</v>
      </c>
      <c r="D1993" t="s">
        <v>3474</v>
      </c>
      <c r="E1993">
        <v>1</v>
      </c>
      <c r="F1993" t="s">
        <v>3525</v>
      </c>
      <c r="G1993" t="s">
        <v>3518</v>
      </c>
      <c r="H1993">
        <v>1</v>
      </c>
      <c r="I1993">
        <v>13</v>
      </c>
      <c r="J1993">
        <v>13</v>
      </c>
    </row>
    <row r="1994" spans="1:10" x14ac:dyDescent="0.25">
      <c r="A1994" t="s">
        <v>4519</v>
      </c>
      <c r="B1994" s="3">
        <v>45016</v>
      </c>
      <c r="C1994" t="s">
        <v>2813</v>
      </c>
      <c r="D1994" t="s">
        <v>3510</v>
      </c>
      <c r="E1994">
        <v>3</v>
      </c>
      <c r="F1994" t="s">
        <v>3524</v>
      </c>
      <c r="G1994" t="s">
        <v>3517</v>
      </c>
      <c r="H1994">
        <v>1</v>
      </c>
      <c r="I1994">
        <v>12</v>
      </c>
      <c r="J1994">
        <v>36</v>
      </c>
    </row>
    <row r="1995" spans="1:10" x14ac:dyDescent="0.25">
      <c r="A1995" t="s">
        <v>4520</v>
      </c>
      <c r="B1995" s="3">
        <v>43631</v>
      </c>
      <c r="C1995" t="s">
        <v>1921</v>
      </c>
      <c r="D1995" t="s">
        <v>3472</v>
      </c>
      <c r="E1995">
        <v>5</v>
      </c>
      <c r="F1995" t="s">
        <v>3526</v>
      </c>
      <c r="G1995" t="s">
        <v>3519</v>
      </c>
      <c r="H1995">
        <v>1</v>
      </c>
      <c r="I1995">
        <v>13.8</v>
      </c>
      <c r="J1995">
        <v>69</v>
      </c>
    </row>
    <row r="1996" spans="1:10" x14ac:dyDescent="0.25">
      <c r="A1996" t="s">
        <v>4521</v>
      </c>
      <c r="B1996" s="3">
        <v>45316</v>
      </c>
      <c r="C1996" t="s">
        <v>2816</v>
      </c>
      <c r="D1996" t="s">
        <v>3492</v>
      </c>
      <c r="E1996">
        <v>2</v>
      </c>
      <c r="F1996" t="s">
        <v>3525</v>
      </c>
      <c r="G1996" t="s">
        <v>3517</v>
      </c>
      <c r="H1996">
        <v>0.5</v>
      </c>
      <c r="I1996">
        <v>9.5</v>
      </c>
      <c r="J1996">
        <v>19</v>
      </c>
    </row>
    <row r="1997" spans="1:10" x14ac:dyDescent="0.25">
      <c r="A1997" t="s">
        <v>4522</v>
      </c>
      <c r="B1997" s="3">
        <v>43662</v>
      </c>
      <c r="C1997" t="s">
        <v>1663</v>
      </c>
      <c r="D1997" t="s">
        <v>3507</v>
      </c>
      <c r="E1997">
        <v>4</v>
      </c>
      <c r="F1997" t="s">
        <v>3526</v>
      </c>
      <c r="G1997" t="s">
        <v>3517</v>
      </c>
      <c r="H1997">
        <v>0.5</v>
      </c>
      <c r="I1997">
        <v>8.9</v>
      </c>
      <c r="J1997">
        <v>35.6</v>
      </c>
    </row>
    <row r="1998" spans="1:10" x14ac:dyDescent="0.25">
      <c r="A1998" t="s">
        <v>4523</v>
      </c>
      <c r="B1998" s="3">
        <v>44577</v>
      </c>
      <c r="C1998" t="s">
        <v>2666</v>
      </c>
      <c r="D1998" t="s">
        <v>3505</v>
      </c>
      <c r="E1998">
        <v>6</v>
      </c>
      <c r="F1998" t="s">
        <v>3524</v>
      </c>
      <c r="G1998" t="s">
        <v>3519</v>
      </c>
      <c r="H1998">
        <v>0.2</v>
      </c>
      <c r="I1998">
        <v>3</v>
      </c>
      <c r="J1998">
        <v>18</v>
      </c>
    </row>
    <row r="1999" spans="1:10" x14ac:dyDescent="0.25">
      <c r="A1999" t="s">
        <v>4524</v>
      </c>
      <c r="B1999" s="3">
        <v>45426</v>
      </c>
      <c r="C1999" t="s">
        <v>1660</v>
      </c>
      <c r="D1999" t="s">
        <v>3469</v>
      </c>
      <c r="E1999">
        <v>5</v>
      </c>
      <c r="F1999" t="s">
        <v>3524</v>
      </c>
      <c r="G1999" t="s">
        <v>3519</v>
      </c>
      <c r="H1999">
        <v>1</v>
      </c>
      <c r="I1999">
        <v>10</v>
      </c>
      <c r="J1999">
        <v>50</v>
      </c>
    </row>
    <row r="2000" spans="1:10" x14ac:dyDescent="0.25">
      <c r="A2000" t="s">
        <v>4525</v>
      </c>
      <c r="B2000" s="3">
        <v>45214</v>
      </c>
      <c r="C2000" t="s">
        <v>745</v>
      </c>
      <c r="D2000" t="s">
        <v>3480</v>
      </c>
      <c r="E2000">
        <v>6</v>
      </c>
      <c r="F2000" t="s">
        <v>3524</v>
      </c>
      <c r="G2000" t="s">
        <v>3518</v>
      </c>
      <c r="H2000">
        <v>2.5</v>
      </c>
      <c r="I2000">
        <v>20.6</v>
      </c>
      <c r="J2000">
        <v>123.6</v>
      </c>
    </row>
    <row r="2001" spans="1:10" x14ac:dyDescent="0.25">
      <c r="A2001" t="s">
        <v>4526</v>
      </c>
      <c r="B2001" s="3">
        <v>45095</v>
      </c>
      <c r="C2001" t="s">
        <v>1103</v>
      </c>
      <c r="D2001" t="s">
        <v>3474</v>
      </c>
      <c r="E2001">
        <v>1</v>
      </c>
      <c r="F2001" t="s">
        <v>3525</v>
      </c>
      <c r="G2001" t="s">
        <v>3518</v>
      </c>
      <c r="H2001">
        <v>1</v>
      </c>
      <c r="I2001">
        <v>13</v>
      </c>
      <c r="J2001">
        <v>13</v>
      </c>
    </row>
    <row r="2002" spans="1:10" x14ac:dyDescent="0.25">
      <c r="A2002" t="s">
        <v>4527</v>
      </c>
      <c r="B2002" s="3">
        <v>44426</v>
      </c>
      <c r="C2002" t="s">
        <v>1112</v>
      </c>
      <c r="D2002" t="s">
        <v>3502</v>
      </c>
      <c r="E2002">
        <v>6</v>
      </c>
      <c r="F2002" t="s">
        <v>3526</v>
      </c>
      <c r="G2002" t="s">
        <v>3517</v>
      </c>
      <c r="H2002">
        <v>1</v>
      </c>
      <c r="I2002">
        <v>14.9</v>
      </c>
      <c r="J2002">
        <v>89.4</v>
      </c>
    </row>
    <row r="2003" spans="1:10" x14ac:dyDescent="0.25">
      <c r="A2003" t="s">
        <v>4528</v>
      </c>
      <c r="B2003" s="3">
        <v>45078</v>
      </c>
      <c r="C2003" t="s">
        <v>1669</v>
      </c>
      <c r="D2003" t="s">
        <v>3514</v>
      </c>
      <c r="E2003">
        <v>4</v>
      </c>
      <c r="F2003" t="s">
        <v>3526</v>
      </c>
      <c r="G2003" t="s">
        <v>3518</v>
      </c>
      <c r="H2003">
        <v>1</v>
      </c>
      <c r="I2003">
        <v>12.2</v>
      </c>
      <c r="J2003">
        <v>48.8</v>
      </c>
    </row>
    <row r="2004" spans="1:10" x14ac:dyDescent="0.25">
      <c r="A2004" t="s">
        <v>4529</v>
      </c>
      <c r="B2004" s="3">
        <v>45449</v>
      </c>
      <c r="C2004" t="s">
        <v>1788</v>
      </c>
      <c r="D2004" t="s">
        <v>3494</v>
      </c>
      <c r="E2004">
        <v>3</v>
      </c>
      <c r="F2004" t="s">
        <v>3524</v>
      </c>
      <c r="G2004" t="s">
        <v>3518</v>
      </c>
      <c r="H2004">
        <v>0.2</v>
      </c>
      <c r="I2004">
        <v>2.7</v>
      </c>
      <c r="J2004">
        <v>8.1</v>
      </c>
    </row>
    <row r="2005" spans="1:10" x14ac:dyDescent="0.25">
      <c r="A2005" t="s">
        <v>4530</v>
      </c>
      <c r="B2005" s="3">
        <v>45610</v>
      </c>
      <c r="C2005" t="s">
        <v>1021</v>
      </c>
      <c r="D2005" t="s">
        <v>3516</v>
      </c>
      <c r="E2005">
        <v>6</v>
      </c>
      <c r="F2005" t="s">
        <v>3526</v>
      </c>
      <c r="G2005" t="s">
        <v>3518</v>
      </c>
      <c r="H2005">
        <v>2.5</v>
      </c>
      <c r="I2005">
        <v>27.9</v>
      </c>
      <c r="J2005">
        <v>167.4</v>
      </c>
    </row>
    <row r="2006" spans="1:10" x14ac:dyDescent="0.25">
      <c r="A2006" t="s">
        <v>4531</v>
      </c>
      <c r="B2006" s="3">
        <v>45021</v>
      </c>
      <c r="C2006" t="s">
        <v>614</v>
      </c>
      <c r="D2006" t="s">
        <v>3475</v>
      </c>
      <c r="E2006">
        <v>3</v>
      </c>
      <c r="F2006" t="s">
        <v>3526</v>
      </c>
      <c r="G2006" t="s">
        <v>3518</v>
      </c>
      <c r="H2006">
        <v>0.5</v>
      </c>
      <c r="I2006">
        <v>7.3</v>
      </c>
      <c r="J2006">
        <v>21.9</v>
      </c>
    </row>
    <row r="2007" spans="1:10" x14ac:dyDescent="0.25">
      <c r="A2007" t="s">
        <v>4532</v>
      </c>
      <c r="B2007" s="3">
        <v>44390</v>
      </c>
      <c r="C2007" t="s">
        <v>3426</v>
      </c>
      <c r="D2007" t="s">
        <v>3509</v>
      </c>
      <c r="E2007">
        <v>3</v>
      </c>
      <c r="F2007" t="s">
        <v>3524</v>
      </c>
      <c r="G2007" t="s">
        <v>3517</v>
      </c>
      <c r="H2007">
        <v>0.2</v>
      </c>
      <c r="I2007">
        <v>3.6</v>
      </c>
      <c r="J2007">
        <v>10.8</v>
      </c>
    </row>
    <row r="2008" spans="1:10" x14ac:dyDescent="0.25">
      <c r="A2008" t="s">
        <v>4533</v>
      </c>
      <c r="B2008" s="3">
        <v>43744</v>
      </c>
      <c r="C2008" t="s">
        <v>2198</v>
      </c>
      <c r="D2008" t="s">
        <v>3510</v>
      </c>
      <c r="E2008">
        <v>1</v>
      </c>
      <c r="F2008" t="s">
        <v>3524</v>
      </c>
      <c r="G2008" t="s">
        <v>3517</v>
      </c>
      <c r="H2008">
        <v>1</v>
      </c>
      <c r="I2008">
        <v>12</v>
      </c>
      <c r="J2008">
        <v>12</v>
      </c>
    </row>
    <row r="2009" spans="1:10" x14ac:dyDescent="0.25">
      <c r="A2009" t="s">
        <v>4534</v>
      </c>
      <c r="B2009" s="3">
        <v>45126</v>
      </c>
      <c r="C2009" t="s">
        <v>1833</v>
      </c>
      <c r="D2009" t="s">
        <v>3504</v>
      </c>
      <c r="E2009">
        <v>6</v>
      </c>
      <c r="F2009" t="s">
        <v>3524</v>
      </c>
      <c r="G2009" t="s">
        <v>3517</v>
      </c>
      <c r="H2009">
        <v>0.5</v>
      </c>
      <c r="I2009">
        <v>7.2</v>
      </c>
      <c r="J2009">
        <v>43.2</v>
      </c>
    </row>
    <row r="2010" spans="1:10" x14ac:dyDescent="0.25">
      <c r="A2010" t="s">
        <v>4535</v>
      </c>
      <c r="B2010" s="3">
        <v>45099</v>
      </c>
      <c r="C2010" t="s">
        <v>1597</v>
      </c>
      <c r="D2010" t="s">
        <v>3503</v>
      </c>
      <c r="E2010">
        <v>6</v>
      </c>
      <c r="F2010" t="s">
        <v>3524</v>
      </c>
      <c r="G2010" t="s">
        <v>3518</v>
      </c>
      <c r="H2010">
        <v>0.5</v>
      </c>
      <c r="I2010">
        <v>5.4</v>
      </c>
      <c r="J2010">
        <v>32.4</v>
      </c>
    </row>
    <row r="2011" spans="1:10" x14ac:dyDescent="0.25">
      <c r="A2011" t="s">
        <v>4536</v>
      </c>
      <c r="B2011" s="3">
        <v>44615</v>
      </c>
      <c r="C2011" t="s">
        <v>2372</v>
      </c>
      <c r="D2011" t="s">
        <v>3473</v>
      </c>
      <c r="E2011">
        <v>1</v>
      </c>
      <c r="F2011" t="s">
        <v>3524</v>
      </c>
      <c r="G2011" t="s">
        <v>3517</v>
      </c>
      <c r="H2011">
        <v>2.5</v>
      </c>
      <c r="I2011">
        <v>27.5</v>
      </c>
      <c r="J2011">
        <v>27.5</v>
      </c>
    </row>
    <row r="2012" spans="1:10" x14ac:dyDescent="0.25">
      <c r="A2012" t="s">
        <v>4537</v>
      </c>
      <c r="B2012" s="3">
        <v>45036</v>
      </c>
      <c r="C2012" t="s">
        <v>1118</v>
      </c>
      <c r="D2012" t="s">
        <v>3487</v>
      </c>
      <c r="E2012">
        <v>6</v>
      </c>
      <c r="F2012" t="s">
        <v>3526</v>
      </c>
      <c r="G2012" t="s">
        <v>3519</v>
      </c>
      <c r="H2012">
        <v>0.2</v>
      </c>
      <c r="I2012">
        <v>4.0999999999999996</v>
      </c>
      <c r="J2012">
        <v>24.6</v>
      </c>
    </row>
    <row r="2013" spans="1:10" x14ac:dyDescent="0.25">
      <c r="A2013" t="s">
        <v>4538</v>
      </c>
      <c r="B2013" s="3">
        <v>45553</v>
      </c>
      <c r="C2013" t="s">
        <v>1675</v>
      </c>
      <c r="D2013" t="s">
        <v>3497</v>
      </c>
      <c r="E2013">
        <v>2</v>
      </c>
      <c r="F2013" t="s">
        <v>3526</v>
      </c>
      <c r="G2013" t="s">
        <v>3519</v>
      </c>
      <c r="H2013">
        <v>2.5</v>
      </c>
      <c r="I2013">
        <v>31.6</v>
      </c>
      <c r="J2013">
        <v>63.2</v>
      </c>
    </row>
    <row r="2014" spans="1:10" x14ac:dyDescent="0.25">
      <c r="A2014" t="s">
        <v>4539</v>
      </c>
      <c r="B2014" s="3">
        <v>45203</v>
      </c>
      <c r="C2014" t="s">
        <v>3252</v>
      </c>
      <c r="D2014" t="s">
        <v>3473</v>
      </c>
      <c r="E2014">
        <v>3</v>
      </c>
      <c r="F2014" t="s">
        <v>3524</v>
      </c>
      <c r="G2014" t="s">
        <v>3517</v>
      </c>
      <c r="H2014">
        <v>2.5</v>
      </c>
      <c r="I2014">
        <v>27.5</v>
      </c>
      <c r="J2014">
        <v>82.5</v>
      </c>
    </row>
    <row r="2015" spans="1:10" x14ac:dyDescent="0.25">
      <c r="A2015" t="s">
        <v>4540</v>
      </c>
      <c r="B2015" s="3">
        <v>45232</v>
      </c>
      <c r="C2015" t="s">
        <v>685</v>
      </c>
      <c r="D2015" t="s">
        <v>3469</v>
      </c>
      <c r="E2015">
        <v>4</v>
      </c>
      <c r="F2015" t="s">
        <v>3524</v>
      </c>
      <c r="G2015" t="s">
        <v>3519</v>
      </c>
      <c r="H2015">
        <v>1</v>
      </c>
      <c r="I2015">
        <v>10</v>
      </c>
      <c r="J2015">
        <v>40</v>
      </c>
    </row>
    <row r="2016" spans="1:10" x14ac:dyDescent="0.25">
      <c r="A2016" t="s">
        <v>4541</v>
      </c>
      <c r="B2016" s="3">
        <v>45352</v>
      </c>
      <c r="C2016" t="s">
        <v>1115</v>
      </c>
      <c r="D2016" t="s">
        <v>3476</v>
      </c>
      <c r="E2016">
        <v>6</v>
      </c>
      <c r="F2016" t="s">
        <v>3525</v>
      </c>
      <c r="G2016" t="s">
        <v>3517</v>
      </c>
      <c r="H2016">
        <v>0.2</v>
      </c>
      <c r="I2016">
        <v>4.8</v>
      </c>
      <c r="J2016">
        <v>28.8</v>
      </c>
    </row>
    <row r="2017" spans="1:10" x14ac:dyDescent="0.25">
      <c r="A2017" t="s">
        <v>4542</v>
      </c>
      <c r="B2017" s="3">
        <v>45191</v>
      </c>
      <c r="C2017" t="s">
        <v>2233</v>
      </c>
      <c r="D2017" t="s">
        <v>3481</v>
      </c>
      <c r="E2017">
        <v>1</v>
      </c>
      <c r="F2017" t="s">
        <v>3525</v>
      </c>
      <c r="G2017" t="s">
        <v>3518</v>
      </c>
      <c r="H2017">
        <v>0.2</v>
      </c>
      <c r="I2017">
        <v>3.9</v>
      </c>
      <c r="J2017">
        <v>3.9</v>
      </c>
    </row>
    <row r="2018" spans="1:10" x14ac:dyDescent="0.25">
      <c r="A2018" t="s">
        <v>4543</v>
      </c>
      <c r="B2018" s="3">
        <v>45143</v>
      </c>
      <c r="C2018" t="s">
        <v>3378</v>
      </c>
      <c r="D2018" t="s">
        <v>3506</v>
      </c>
      <c r="E2018">
        <v>3</v>
      </c>
      <c r="F2018" t="s">
        <v>3523</v>
      </c>
      <c r="G2018" t="s">
        <v>3519</v>
      </c>
      <c r="H2018">
        <v>2.5</v>
      </c>
      <c r="I2018">
        <v>25.9</v>
      </c>
      <c r="J2018">
        <v>77.7</v>
      </c>
    </row>
    <row r="2019" spans="1:10" x14ac:dyDescent="0.25">
      <c r="A2019" t="s">
        <v>4544</v>
      </c>
      <c r="B2019" s="3">
        <v>44688</v>
      </c>
      <c r="C2019" t="s">
        <v>1845</v>
      </c>
      <c r="D2019" t="s">
        <v>3508</v>
      </c>
      <c r="E2019">
        <v>2</v>
      </c>
      <c r="F2019" t="s">
        <v>3524</v>
      </c>
      <c r="G2019" t="s">
        <v>3518</v>
      </c>
      <c r="H2019">
        <v>1</v>
      </c>
      <c r="I2019">
        <v>9</v>
      </c>
      <c r="J2019">
        <v>18</v>
      </c>
    </row>
    <row r="2020" spans="1:10" x14ac:dyDescent="0.25">
      <c r="A2020" t="s">
        <v>4545</v>
      </c>
      <c r="B2020" s="3">
        <v>43831</v>
      </c>
      <c r="C2020" t="s">
        <v>974</v>
      </c>
      <c r="D2020" t="s">
        <v>3475</v>
      </c>
      <c r="E2020">
        <v>1</v>
      </c>
      <c r="F2020" t="s">
        <v>3526</v>
      </c>
      <c r="G2020" t="s">
        <v>3518</v>
      </c>
      <c r="H2020">
        <v>0.5</v>
      </c>
      <c r="I2020">
        <v>7.3</v>
      </c>
      <c r="J2020">
        <v>7.3</v>
      </c>
    </row>
    <row r="2021" spans="1:10" x14ac:dyDescent="0.25">
      <c r="A2021" t="s">
        <v>4546</v>
      </c>
      <c r="B2021" s="3">
        <v>43574</v>
      </c>
      <c r="C2021" t="s">
        <v>2308</v>
      </c>
      <c r="D2021" t="s">
        <v>3476</v>
      </c>
      <c r="E2021">
        <v>6</v>
      </c>
      <c r="F2021" t="s">
        <v>3525</v>
      </c>
      <c r="G2021" t="s">
        <v>3517</v>
      </c>
      <c r="H2021">
        <v>0.2</v>
      </c>
      <c r="I2021">
        <v>4.8</v>
      </c>
      <c r="J2021">
        <v>28.8</v>
      </c>
    </row>
    <row r="2022" spans="1:10" x14ac:dyDescent="0.25">
      <c r="A2022" t="s">
        <v>4547</v>
      </c>
      <c r="B2022" s="3">
        <v>44503</v>
      </c>
      <c r="C2022" t="s">
        <v>2933</v>
      </c>
      <c r="D2022" t="s">
        <v>3486</v>
      </c>
      <c r="E2022">
        <v>1</v>
      </c>
      <c r="F2022" t="s">
        <v>3523</v>
      </c>
      <c r="G2022" t="s">
        <v>3519</v>
      </c>
      <c r="H2022">
        <v>1</v>
      </c>
      <c r="I2022">
        <v>11.3</v>
      </c>
      <c r="J2022">
        <v>11.3</v>
      </c>
    </row>
    <row r="2023" spans="1:10" x14ac:dyDescent="0.25">
      <c r="A2023" t="s">
        <v>4548</v>
      </c>
      <c r="B2023" s="3">
        <v>43845</v>
      </c>
      <c r="C2023" t="s">
        <v>2602</v>
      </c>
      <c r="D2023" t="s">
        <v>3505</v>
      </c>
      <c r="E2023">
        <v>3</v>
      </c>
      <c r="F2023" t="s">
        <v>3524</v>
      </c>
      <c r="G2023" t="s">
        <v>3519</v>
      </c>
      <c r="H2023">
        <v>0.2</v>
      </c>
      <c r="I2023">
        <v>3</v>
      </c>
      <c r="J2023">
        <v>9</v>
      </c>
    </row>
    <row r="2024" spans="1:10" x14ac:dyDescent="0.25">
      <c r="A2024" t="s">
        <v>4549</v>
      </c>
      <c r="B2024" s="3">
        <v>44421</v>
      </c>
      <c r="C2024" t="s">
        <v>2215</v>
      </c>
      <c r="D2024" t="s">
        <v>3514</v>
      </c>
      <c r="E2024">
        <v>5</v>
      </c>
      <c r="F2024" t="s">
        <v>3526</v>
      </c>
      <c r="G2024" t="s">
        <v>3518</v>
      </c>
      <c r="H2024">
        <v>1</v>
      </c>
      <c r="I2024">
        <v>12.2</v>
      </c>
      <c r="J2024">
        <v>61</v>
      </c>
    </row>
    <row r="2025" spans="1:10" x14ac:dyDescent="0.25">
      <c r="A2025" t="s">
        <v>4550</v>
      </c>
      <c r="B2025" s="3">
        <v>45306</v>
      </c>
      <c r="C2025" t="s">
        <v>595</v>
      </c>
      <c r="D2025" t="s">
        <v>3516</v>
      </c>
      <c r="E2025">
        <v>1</v>
      </c>
      <c r="F2025" t="s">
        <v>3526</v>
      </c>
      <c r="G2025" t="s">
        <v>3518</v>
      </c>
      <c r="H2025">
        <v>2.5</v>
      </c>
      <c r="I2025">
        <v>27.9</v>
      </c>
      <c r="J2025">
        <v>27.9</v>
      </c>
    </row>
    <row r="2026" spans="1:10" x14ac:dyDescent="0.25">
      <c r="A2026" t="s">
        <v>4551</v>
      </c>
      <c r="B2026" s="3">
        <v>44920</v>
      </c>
      <c r="C2026" t="s">
        <v>2702</v>
      </c>
      <c r="D2026" t="s">
        <v>3500</v>
      </c>
      <c r="E2026">
        <v>4</v>
      </c>
      <c r="F2026" t="s">
        <v>3525</v>
      </c>
      <c r="G2026" t="s">
        <v>3518</v>
      </c>
      <c r="H2026">
        <v>0.5</v>
      </c>
      <c r="I2026">
        <v>7.8</v>
      </c>
      <c r="J2026">
        <v>31.2</v>
      </c>
    </row>
    <row r="2027" spans="1:10" x14ac:dyDescent="0.25">
      <c r="A2027" t="s">
        <v>4552</v>
      </c>
      <c r="B2027" s="3">
        <v>45412</v>
      </c>
      <c r="C2027" t="s">
        <v>2207</v>
      </c>
      <c r="D2027" t="s">
        <v>3492</v>
      </c>
      <c r="E2027">
        <v>5</v>
      </c>
      <c r="F2027" t="s">
        <v>3525</v>
      </c>
      <c r="G2027" t="s">
        <v>3517</v>
      </c>
      <c r="H2027">
        <v>0.5</v>
      </c>
      <c r="I2027">
        <v>9.5</v>
      </c>
      <c r="J2027">
        <v>47.5</v>
      </c>
    </row>
    <row r="2028" spans="1:10" x14ac:dyDescent="0.25">
      <c r="A2028" t="s">
        <v>4553</v>
      </c>
      <c r="B2028" s="3">
        <v>45310</v>
      </c>
      <c r="C2028" t="s">
        <v>863</v>
      </c>
      <c r="D2028" t="s">
        <v>3473</v>
      </c>
      <c r="E2028">
        <v>5</v>
      </c>
      <c r="F2028" t="s">
        <v>3524</v>
      </c>
      <c r="G2028" t="s">
        <v>3517</v>
      </c>
      <c r="H2028">
        <v>2.5</v>
      </c>
      <c r="I2028">
        <v>27.5</v>
      </c>
      <c r="J2028">
        <v>137.5</v>
      </c>
    </row>
    <row r="2029" spans="1:10" x14ac:dyDescent="0.25">
      <c r="A2029" t="s">
        <v>4554</v>
      </c>
      <c r="B2029" s="3">
        <v>44905</v>
      </c>
      <c r="C2029" t="s">
        <v>1945</v>
      </c>
      <c r="D2029" t="s">
        <v>3469</v>
      </c>
      <c r="E2029">
        <v>3</v>
      </c>
      <c r="F2029" t="s">
        <v>3524</v>
      </c>
      <c r="G2029" t="s">
        <v>3519</v>
      </c>
      <c r="H2029">
        <v>1</v>
      </c>
      <c r="I2029">
        <v>10</v>
      </c>
      <c r="J2029">
        <v>30</v>
      </c>
    </row>
    <row r="2030" spans="1:10" x14ac:dyDescent="0.25">
      <c r="A2030" t="s">
        <v>4555</v>
      </c>
      <c r="B2030" s="3">
        <v>44905</v>
      </c>
      <c r="C2030" t="s">
        <v>3051</v>
      </c>
      <c r="D2030" t="s">
        <v>3516</v>
      </c>
      <c r="E2030">
        <v>6</v>
      </c>
      <c r="F2030" t="s">
        <v>3526</v>
      </c>
      <c r="G2030" t="s">
        <v>3518</v>
      </c>
      <c r="H2030">
        <v>2.5</v>
      </c>
      <c r="I2030">
        <v>27.9</v>
      </c>
      <c r="J2030">
        <v>167.4</v>
      </c>
    </row>
    <row r="2031" spans="1:10" x14ac:dyDescent="0.25">
      <c r="A2031" t="s">
        <v>4556</v>
      </c>
      <c r="B2031" s="3">
        <v>44715</v>
      </c>
      <c r="C2031" t="s">
        <v>3464</v>
      </c>
      <c r="D2031" t="s">
        <v>3508</v>
      </c>
      <c r="E2031">
        <v>3</v>
      </c>
      <c r="F2031" t="s">
        <v>3524</v>
      </c>
      <c r="G2031" t="s">
        <v>3518</v>
      </c>
      <c r="H2031">
        <v>1</v>
      </c>
      <c r="I2031">
        <v>9</v>
      </c>
      <c r="J2031">
        <v>27</v>
      </c>
    </row>
    <row r="2032" spans="1:10" x14ac:dyDescent="0.25">
      <c r="A2032" t="s">
        <v>4557</v>
      </c>
      <c r="B2032" s="3">
        <v>45032</v>
      </c>
      <c r="C2032" t="s">
        <v>1761</v>
      </c>
      <c r="D2032" t="s">
        <v>3469</v>
      </c>
      <c r="E2032">
        <v>3</v>
      </c>
      <c r="F2032" t="s">
        <v>3524</v>
      </c>
      <c r="G2032" t="s">
        <v>3519</v>
      </c>
      <c r="H2032">
        <v>1</v>
      </c>
      <c r="I2032">
        <v>10</v>
      </c>
      <c r="J2032">
        <v>30</v>
      </c>
    </row>
    <row r="2033" spans="1:10" x14ac:dyDescent="0.25">
      <c r="A2033" t="s">
        <v>4558</v>
      </c>
      <c r="B2033" s="3">
        <v>45487</v>
      </c>
      <c r="C2033" t="s">
        <v>1836</v>
      </c>
      <c r="D2033" t="s">
        <v>3495</v>
      </c>
      <c r="E2033">
        <v>4</v>
      </c>
      <c r="F2033" t="s">
        <v>3525</v>
      </c>
      <c r="G2033" t="s">
        <v>3517</v>
      </c>
      <c r="H2033">
        <v>2.5</v>
      </c>
      <c r="I2033">
        <v>36.5</v>
      </c>
      <c r="J2033">
        <v>146</v>
      </c>
    </row>
    <row r="2034" spans="1:10" x14ac:dyDescent="0.25">
      <c r="A2034" t="s">
        <v>4559</v>
      </c>
      <c r="B2034" s="3">
        <v>45363</v>
      </c>
      <c r="C2034" t="s">
        <v>2633</v>
      </c>
      <c r="D2034" t="s">
        <v>3496</v>
      </c>
      <c r="E2034">
        <v>6</v>
      </c>
      <c r="F2034" t="s">
        <v>3525</v>
      </c>
      <c r="G2034" t="s">
        <v>3518</v>
      </c>
      <c r="H2034">
        <v>2.5</v>
      </c>
      <c r="I2034">
        <v>29.8</v>
      </c>
      <c r="J2034">
        <v>178.8</v>
      </c>
    </row>
    <row r="2035" spans="1:10" x14ac:dyDescent="0.25">
      <c r="A2035" t="s">
        <v>4560</v>
      </c>
      <c r="B2035" s="3">
        <v>44735</v>
      </c>
      <c r="C2035" t="s">
        <v>3178</v>
      </c>
      <c r="D2035" t="s">
        <v>3471</v>
      </c>
      <c r="E2035">
        <v>6</v>
      </c>
      <c r="F2035" t="s">
        <v>3523</v>
      </c>
      <c r="G2035" t="s">
        <v>3517</v>
      </c>
      <c r="H2035">
        <v>1</v>
      </c>
      <c r="I2035">
        <v>13</v>
      </c>
      <c r="J2035">
        <v>78</v>
      </c>
    </row>
    <row r="2036" spans="1:10" x14ac:dyDescent="0.25">
      <c r="A2036" t="s">
        <v>4561</v>
      </c>
      <c r="B2036" s="3">
        <v>45575</v>
      </c>
      <c r="C2036" t="s">
        <v>1705</v>
      </c>
      <c r="D2036" t="s">
        <v>3482</v>
      </c>
      <c r="E2036">
        <v>3</v>
      </c>
      <c r="F2036" t="s">
        <v>3524</v>
      </c>
      <c r="G2036" t="s">
        <v>3519</v>
      </c>
      <c r="H2036">
        <v>2.5</v>
      </c>
      <c r="I2036">
        <v>22.9</v>
      </c>
      <c r="J2036">
        <v>68.7</v>
      </c>
    </row>
    <row r="2037" spans="1:10" x14ac:dyDescent="0.25">
      <c r="A2037" t="s">
        <v>4562</v>
      </c>
      <c r="B2037" s="3">
        <v>45274</v>
      </c>
      <c r="C2037" t="s">
        <v>1743</v>
      </c>
      <c r="D2037" t="s">
        <v>3501</v>
      </c>
      <c r="E2037">
        <v>2</v>
      </c>
      <c r="F2037" t="s">
        <v>3525</v>
      </c>
      <c r="G2037" t="s">
        <v>3517</v>
      </c>
      <c r="H2037">
        <v>1</v>
      </c>
      <c r="I2037">
        <v>15.9</v>
      </c>
      <c r="J2037">
        <v>31.8</v>
      </c>
    </row>
    <row r="2038" spans="1:10" x14ac:dyDescent="0.25">
      <c r="A2038" t="s">
        <v>4563</v>
      </c>
      <c r="B2038" s="3">
        <v>45476</v>
      </c>
      <c r="C2038" t="s">
        <v>3390</v>
      </c>
      <c r="D2038" t="s">
        <v>3499</v>
      </c>
      <c r="E2038">
        <v>2</v>
      </c>
      <c r="F2038" t="s">
        <v>3523</v>
      </c>
      <c r="G2038" t="s">
        <v>3518</v>
      </c>
      <c r="H2038">
        <v>2.5</v>
      </c>
      <c r="I2038">
        <v>22.9</v>
      </c>
      <c r="J2038">
        <v>45.8</v>
      </c>
    </row>
    <row r="2039" spans="1:10" x14ac:dyDescent="0.25">
      <c r="A2039" t="s">
        <v>4564</v>
      </c>
      <c r="B2039" s="3">
        <v>45144</v>
      </c>
      <c r="C2039" t="s">
        <v>1863</v>
      </c>
      <c r="D2039" t="s">
        <v>3497</v>
      </c>
      <c r="E2039">
        <v>1</v>
      </c>
      <c r="F2039" t="s">
        <v>3526</v>
      </c>
      <c r="G2039" t="s">
        <v>3519</v>
      </c>
      <c r="H2039">
        <v>2.5</v>
      </c>
      <c r="I2039">
        <v>31.6</v>
      </c>
      <c r="J2039">
        <v>31.6</v>
      </c>
    </row>
    <row r="2040" spans="1:10" x14ac:dyDescent="0.25">
      <c r="A2040" t="s">
        <v>4565</v>
      </c>
      <c r="B2040" s="3">
        <v>45392</v>
      </c>
      <c r="C2040" t="s">
        <v>1711</v>
      </c>
      <c r="D2040" t="s">
        <v>3491</v>
      </c>
      <c r="E2040">
        <v>3</v>
      </c>
      <c r="F2040" t="s">
        <v>3525</v>
      </c>
      <c r="G2040" t="s">
        <v>3519</v>
      </c>
      <c r="H2040">
        <v>0.5</v>
      </c>
      <c r="I2040">
        <v>8.6999999999999993</v>
      </c>
      <c r="J2040">
        <v>26.1</v>
      </c>
    </row>
    <row r="2041" spans="1:10" x14ac:dyDescent="0.25">
      <c r="A2041" t="s">
        <v>4566</v>
      </c>
      <c r="B2041" s="3">
        <v>45468</v>
      </c>
      <c r="C2041" t="s">
        <v>2089</v>
      </c>
      <c r="D2041" t="s">
        <v>3481</v>
      </c>
      <c r="E2041">
        <v>5</v>
      </c>
      <c r="F2041" t="s">
        <v>3525</v>
      </c>
      <c r="G2041" t="s">
        <v>3518</v>
      </c>
      <c r="H2041">
        <v>0.2</v>
      </c>
      <c r="I2041">
        <v>3.9</v>
      </c>
      <c r="J2041">
        <v>19.5</v>
      </c>
    </row>
    <row r="2042" spans="1:10" x14ac:dyDescent="0.25">
      <c r="A2042" t="s">
        <v>4567</v>
      </c>
      <c r="B2042" s="3">
        <v>44788</v>
      </c>
      <c r="C2042" t="s">
        <v>2362</v>
      </c>
      <c r="D2042" t="s">
        <v>3502</v>
      </c>
      <c r="E2042">
        <v>4</v>
      </c>
      <c r="F2042" t="s">
        <v>3526</v>
      </c>
      <c r="G2042" t="s">
        <v>3517</v>
      </c>
      <c r="H2042">
        <v>1</v>
      </c>
      <c r="I2042">
        <v>14.9</v>
      </c>
      <c r="J2042">
        <v>59.6</v>
      </c>
    </row>
    <row r="2043" spans="1:10" x14ac:dyDescent="0.25">
      <c r="A2043" t="s">
        <v>4568</v>
      </c>
      <c r="B2043" s="3">
        <v>45249</v>
      </c>
      <c r="C2043" t="s">
        <v>1106</v>
      </c>
      <c r="D2043" t="s">
        <v>3491</v>
      </c>
      <c r="E2043">
        <v>2</v>
      </c>
      <c r="F2043" t="s">
        <v>3525</v>
      </c>
      <c r="G2043" t="s">
        <v>3519</v>
      </c>
      <c r="H2043">
        <v>0.5</v>
      </c>
      <c r="I2043">
        <v>8.6999999999999993</v>
      </c>
      <c r="J2043">
        <v>17.399999999999999</v>
      </c>
    </row>
    <row r="2044" spans="1:10" x14ac:dyDescent="0.25">
      <c r="A2044" t="s">
        <v>4569</v>
      </c>
      <c r="B2044" s="3">
        <v>45189</v>
      </c>
      <c r="C2044" t="s">
        <v>2654</v>
      </c>
      <c r="D2044" t="s">
        <v>3480</v>
      </c>
      <c r="E2044">
        <v>1</v>
      </c>
      <c r="F2044" t="s">
        <v>3524</v>
      </c>
      <c r="G2044" t="s">
        <v>3518</v>
      </c>
      <c r="H2044">
        <v>2.5</v>
      </c>
      <c r="I2044">
        <v>20.6</v>
      </c>
      <c r="J2044">
        <v>20.6</v>
      </c>
    </row>
    <row r="2045" spans="1:10" x14ac:dyDescent="0.25">
      <c r="A2045" t="s">
        <v>4570</v>
      </c>
      <c r="B2045" s="3">
        <v>44703</v>
      </c>
      <c r="C2045" t="s">
        <v>1893</v>
      </c>
      <c r="D2045" t="s">
        <v>3488</v>
      </c>
      <c r="E2045">
        <v>3</v>
      </c>
      <c r="F2045" t="s">
        <v>3523</v>
      </c>
      <c r="G2045" t="s">
        <v>3519</v>
      </c>
      <c r="H2045">
        <v>0.5</v>
      </c>
      <c r="I2045">
        <v>6.8</v>
      </c>
      <c r="J2045">
        <v>20.399999999999999</v>
      </c>
    </row>
    <row r="2046" spans="1:10" x14ac:dyDescent="0.25">
      <c r="A2046" t="s">
        <v>4571</v>
      </c>
      <c r="B2046" s="3">
        <v>45044</v>
      </c>
      <c r="C2046" t="s">
        <v>3351</v>
      </c>
      <c r="D2046" t="s">
        <v>3516</v>
      </c>
      <c r="E2046">
        <v>4</v>
      </c>
      <c r="F2046" t="s">
        <v>3526</v>
      </c>
      <c r="G2046" t="s">
        <v>3518</v>
      </c>
      <c r="H2046">
        <v>2.5</v>
      </c>
      <c r="I2046">
        <v>27.9</v>
      </c>
      <c r="J2046">
        <v>111.6</v>
      </c>
    </row>
    <row r="2047" spans="1:10" x14ac:dyDescent="0.25">
      <c r="A2047" t="s">
        <v>4572</v>
      </c>
      <c r="B2047" s="3">
        <v>45424</v>
      </c>
      <c r="C2047" t="s">
        <v>2143</v>
      </c>
      <c r="D2047" t="s">
        <v>3488</v>
      </c>
      <c r="E2047">
        <v>2</v>
      </c>
      <c r="F2047" t="s">
        <v>3523</v>
      </c>
      <c r="G2047" t="s">
        <v>3519</v>
      </c>
      <c r="H2047">
        <v>0.5</v>
      </c>
      <c r="I2047">
        <v>6.8</v>
      </c>
      <c r="J2047">
        <v>13.6</v>
      </c>
    </row>
    <row r="2048" spans="1:10" x14ac:dyDescent="0.25">
      <c r="A2048" t="s">
        <v>4573</v>
      </c>
      <c r="B2048" s="3">
        <v>44611</v>
      </c>
      <c r="C2048" t="s">
        <v>2006</v>
      </c>
      <c r="D2048" t="s">
        <v>3484</v>
      </c>
      <c r="E2048">
        <v>3</v>
      </c>
      <c r="F2048" t="s">
        <v>3526</v>
      </c>
      <c r="G2048" t="s">
        <v>3518</v>
      </c>
      <c r="H2048">
        <v>0.2</v>
      </c>
      <c r="I2048">
        <v>3.6</v>
      </c>
      <c r="J2048">
        <v>10.8</v>
      </c>
    </row>
    <row r="2049" spans="1:10" x14ac:dyDescent="0.25">
      <c r="A2049" t="s">
        <v>4574</v>
      </c>
      <c r="B2049" s="3">
        <v>43809</v>
      </c>
      <c r="C2049" t="s">
        <v>2891</v>
      </c>
      <c r="D2049" t="s">
        <v>3510</v>
      </c>
      <c r="E2049">
        <v>4</v>
      </c>
      <c r="F2049" t="s">
        <v>3524</v>
      </c>
      <c r="G2049" t="s">
        <v>3517</v>
      </c>
      <c r="H2049">
        <v>1</v>
      </c>
      <c r="I2049">
        <v>12</v>
      </c>
      <c r="J2049">
        <v>48</v>
      </c>
    </row>
    <row r="2050" spans="1:10" x14ac:dyDescent="0.25">
      <c r="A2050" t="s">
        <v>4575</v>
      </c>
      <c r="B2050" s="3">
        <v>45642</v>
      </c>
      <c r="C2050" t="s">
        <v>1366</v>
      </c>
      <c r="D2050" t="s">
        <v>3479</v>
      </c>
      <c r="E2050">
        <v>5</v>
      </c>
      <c r="F2050" t="s">
        <v>3526</v>
      </c>
      <c r="G2050" t="s">
        <v>3517</v>
      </c>
      <c r="H2050">
        <v>2.5</v>
      </c>
      <c r="I2050">
        <v>34.200000000000003</v>
      </c>
      <c r="J2050">
        <v>171</v>
      </c>
    </row>
    <row r="2051" spans="1:10" x14ac:dyDescent="0.25">
      <c r="A2051" t="s">
        <v>4576</v>
      </c>
      <c r="B2051" s="3">
        <v>45126</v>
      </c>
      <c r="C2051" t="s">
        <v>3007</v>
      </c>
      <c r="D2051" t="s">
        <v>3501</v>
      </c>
      <c r="E2051">
        <v>3</v>
      </c>
      <c r="F2051" t="s">
        <v>3525</v>
      </c>
      <c r="G2051" t="s">
        <v>3517</v>
      </c>
      <c r="H2051">
        <v>1</v>
      </c>
      <c r="I2051">
        <v>15.9</v>
      </c>
      <c r="J2051">
        <v>47.7</v>
      </c>
    </row>
    <row r="2052" spans="1:10" x14ac:dyDescent="0.25">
      <c r="A2052" t="s">
        <v>4577</v>
      </c>
      <c r="B2052" s="3">
        <v>45108</v>
      </c>
      <c r="C2052" t="s">
        <v>2044</v>
      </c>
      <c r="D2052" t="s">
        <v>3489</v>
      </c>
      <c r="E2052">
        <v>2</v>
      </c>
      <c r="F2052" t="s">
        <v>3523</v>
      </c>
      <c r="G2052" t="s">
        <v>3518</v>
      </c>
      <c r="H2052">
        <v>0.5</v>
      </c>
      <c r="I2052">
        <v>6</v>
      </c>
      <c r="J2052">
        <v>12</v>
      </c>
    </row>
    <row r="2053" spans="1:10" x14ac:dyDescent="0.25">
      <c r="A2053" t="s">
        <v>4578</v>
      </c>
      <c r="B2053" s="3">
        <v>43681</v>
      </c>
      <c r="C2053" t="s">
        <v>679</v>
      </c>
      <c r="D2053" t="s">
        <v>3479</v>
      </c>
      <c r="E2053">
        <v>5</v>
      </c>
      <c r="F2053" t="s">
        <v>3526</v>
      </c>
      <c r="G2053" t="s">
        <v>3517</v>
      </c>
      <c r="H2053">
        <v>2.5</v>
      </c>
      <c r="I2053">
        <v>34.200000000000003</v>
      </c>
      <c r="J2053">
        <v>171</v>
      </c>
    </row>
    <row r="2054" spans="1:10" x14ac:dyDescent="0.25">
      <c r="A2054" t="s">
        <v>4579</v>
      </c>
      <c r="B2054" s="3">
        <v>45637</v>
      </c>
      <c r="C2054" t="s">
        <v>1884</v>
      </c>
      <c r="D2054" t="s">
        <v>3489</v>
      </c>
      <c r="E2054">
        <v>4</v>
      </c>
      <c r="F2054" t="s">
        <v>3523</v>
      </c>
      <c r="G2054" t="s">
        <v>3518</v>
      </c>
      <c r="H2054">
        <v>0.5</v>
      </c>
      <c r="I2054">
        <v>6</v>
      </c>
      <c r="J2054">
        <v>24</v>
      </c>
    </row>
    <row r="2055" spans="1:10" x14ac:dyDescent="0.25">
      <c r="A2055" t="s">
        <v>4580</v>
      </c>
      <c r="B2055" s="3">
        <v>45159</v>
      </c>
      <c r="C2055" t="s">
        <v>3004</v>
      </c>
      <c r="D2055" t="s">
        <v>3508</v>
      </c>
      <c r="E2055">
        <v>6</v>
      </c>
      <c r="F2055" t="s">
        <v>3524</v>
      </c>
      <c r="G2055" t="s">
        <v>3518</v>
      </c>
      <c r="H2055">
        <v>1</v>
      </c>
      <c r="I2055">
        <v>9</v>
      </c>
      <c r="J2055">
        <v>54</v>
      </c>
    </row>
    <row r="2056" spans="1:10" x14ac:dyDescent="0.25">
      <c r="A2056" t="s">
        <v>4581</v>
      </c>
      <c r="B2056" s="3">
        <v>44983</v>
      </c>
      <c r="C2056" t="s">
        <v>778</v>
      </c>
      <c r="D2056" t="s">
        <v>3481</v>
      </c>
      <c r="E2056">
        <v>2</v>
      </c>
      <c r="F2056" t="s">
        <v>3525</v>
      </c>
      <c r="G2056" t="s">
        <v>3518</v>
      </c>
      <c r="H2056">
        <v>0.2</v>
      </c>
      <c r="I2056">
        <v>3.9</v>
      </c>
      <c r="J2056">
        <v>7.8</v>
      </c>
    </row>
    <row r="2057" spans="1:10" x14ac:dyDescent="0.25">
      <c r="A2057" t="s">
        <v>4582</v>
      </c>
      <c r="B2057" s="3">
        <v>44693</v>
      </c>
      <c r="C2057" t="s">
        <v>3290</v>
      </c>
      <c r="D2057" t="s">
        <v>3491</v>
      </c>
      <c r="E2057">
        <v>1</v>
      </c>
      <c r="F2057" t="s">
        <v>3525</v>
      </c>
      <c r="G2057" t="s">
        <v>3519</v>
      </c>
      <c r="H2057">
        <v>0.5</v>
      </c>
      <c r="I2057">
        <v>8.6999999999999993</v>
      </c>
      <c r="J2057">
        <v>8.6999999999999993</v>
      </c>
    </row>
    <row r="2058" spans="1:10" x14ac:dyDescent="0.25">
      <c r="A2058" t="s">
        <v>4583</v>
      </c>
      <c r="B2058" s="3">
        <v>45100</v>
      </c>
      <c r="C2058" t="s">
        <v>1655</v>
      </c>
      <c r="D2058" t="s">
        <v>3486</v>
      </c>
      <c r="E2058">
        <v>2</v>
      </c>
      <c r="F2058" t="s">
        <v>3523</v>
      </c>
      <c r="G2058" t="s">
        <v>3519</v>
      </c>
      <c r="H2058">
        <v>1</v>
      </c>
      <c r="I2058">
        <v>11.3</v>
      </c>
      <c r="J2058">
        <v>22.6</v>
      </c>
    </row>
    <row r="2059" spans="1:10" x14ac:dyDescent="0.25">
      <c r="A2059" t="s">
        <v>4584</v>
      </c>
      <c r="B2059" s="3">
        <v>44650</v>
      </c>
      <c r="C2059" t="s">
        <v>890</v>
      </c>
      <c r="D2059" t="s">
        <v>3469</v>
      </c>
      <c r="E2059">
        <v>6</v>
      </c>
      <c r="F2059" t="s">
        <v>3524</v>
      </c>
      <c r="G2059" t="s">
        <v>3519</v>
      </c>
      <c r="H2059">
        <v>1</v>
      </c>
      <c r="I2059">
        <v>10</v>
      </c>
      <c r="J2059">
        <v>60</v>
      </c>
    </row>
    <row r="2060" spans="1:10" x14ac:dyDescent="0.25">
      <c r="A2060" t="s">
        <v>4585</v>
      </c>
      <c r="B2060" s="3">
        <v>44616</v>
      </c>
      <c r="C2060" t="s">
        <v>2621</v>
      </c>
      <c r="D2060" t="s">
        <v>3483</v>
      </c>
      <c r="E2060">
        <v>6</v>
      </c>
      <c r="F2060" t="s">
        <v>3523</v>
      </c>
      <c r="G2060" t="s">
        <v>3519</v>
      </c>
      <c r="H2060">
        <v>0.2</v>
      </c>
      <c r="I2060">
        <v>3.4</v>
      </c>
      <c r="J2060">
        <v>20.399999999999999</v>
      </c>
    </row>
    <row r="2061" spans="1:10" x14ac:dyDescent="0.25">
      <c r="A2061" t="s">
        <v>4586</v>
      </c>
      <c r="B2061" s="3">
        <v>45306</v>
      </c>
      <c r="C2061" t="s">
        <v>3384</v>
      </c>
      <c r="D2061" t="s">
        <v>3473</v>
      </c>
      <c r="E2061">
        <v>1</v>
      </c>
      <c r="F2061" t="s">
        <v>3524</v>
      </c>
      <c r="G2061" t="s">
        <v>3517</v>
      </c>
      <c r="H2061">
        <v>2.5</v>
      </c>
      <c r="I2061">
        <v>27.5</v>
      </c>
      <c r="J2061">
        <v>27.5</v>
      </c>
    </row>
    <row r="2062" spans="1:10" x14ac:dyDescent="0.25">
      <c r="A2062" t="s">
        <v>4587</v>
      </c>
      <c r="B2062" s="3">
        <v>44285</v>
      </c>
      <c r="C2062" t="s">
        <v>1607</v>
      </c>
      <c r="D2062" t="s">
        <v>3491</v>
      </c>
      <c r="E2062">
        <v>4</v>
      </c>
      <c r="F2062" t="s">
        <v>3525</v>
      </c>
      <c r="G2062" t="s">
        <v>3519</v>
      </c>
      <c r="H2062">
        <v>0.5</v>
      </c>
      <c r="I2062">
        <v>8.6999999999999993</v>
      </c>
      <c r="J2062">
        <v>34.799999999999997</v>
      </c>
    </row>
    <row r="2063" spans="1:10" x14ac:dyDescent="0.25">
      <c r="A2063" t="s">
        <v>4588</v>
      </c>
      <c r="B2063" s="3">
        <v>45594</v>
      </c>
      <c r="C2063" t="s">
        <v>1357</v>
      </c>
      <c r="D2063" t="s">
        <v>3503</v>
      </c>
      <c r="E2063">
        <v>5</v>
      </c>
      <c r="F2063" t="s">
        <v>3524</v>
      </c>
      <c r="G2063" t="s">
        <v>3518</v>
      </c>
      <c r="H2063">
        <v>0.5</v>
      </c>
      <c r="I2063">
        <v>5.4</v>
      </c>
      <c r="J2063">
        <v>27</v>
      </c>
    </row>
    <row r="2064" spans="1:10" x14ac:dyDescent="0.25">
      <c r="A2064" t="s">
        <v>4589</v>
      </c>
      <c r="B2064" s="3">
        <v>44283</v>
      </c>
      <c r="C2064" t="s">
        <v>3396</v>
      </c>
      <c r="D2064" t="s">
        <v>3506</v>
      </c>
      <c r="E2064">
        <v>4</v>
      </c>
      <c r="F2064" t="s">
        <v>3523</v>
      </c>
      <c r="G2064" t="s">
        <v>3519</v>
      </c>
      <c r="H2064">
        <v>2.5</v>
      </c>
      <c r="I2064">
        <v>25.9</v>
      </c>
      <c r="J2064">
        <v>103.6</v>
      </c>
    </row>
    <row r="2065" spans="1:10" x14ac:dyDescent="0.25">
      <c r="A2065" t="s">
        <v>4590</v>
      </c>
      <c r="B2065" s="3">
        <v>45551</v>
      </c>
      <c r="C2065" t="s">
        <v>3139</v>
      </c>
      <c r="D2065" t="s">
        <v>3484</v>
      </c>
      <c r="E2065">
        <v>4</v>
      </c>
      <c r="F2065" t="s">
        <v>3526</v>
      </c>
      <c r="G2065" t="s">
        <v>3518</v>
      </c>
      <c r="H2065">
        <v>0.2</v>
      </c>
      <c r="I2065">
        <v>3.6</v>
      </c>
      <c r="J2065">
        <v>14.4</v>
      </c>
    </row>
    <row r="2066" spans="1:10" x14ac:dyDescent="0.25">
      <c r="A2066" t="s">
        <v>4591</v>
      </c>
      <c r="B2066" s="3">
        <v>45245</v>
      </c>
      <c r="C2066" t="s">
        <v>2957</v>
      </c>
      <c r="D2066" t="s">
        <v>3493</v>
      </c>
      <c r="E2066">
        <v>6</v>
      </c>
      <c r="F2066" t="s">
        <v>3525</v>
      </c>
      <c r="G2066" t="s">
        <v>3519</v>
      </c>
      <c r="H2066">
        <v>1</v>
      </c>
      <c r="I2066">
        <v>14.6</v>
      </c>
      <c r="J2066">
        <v>87.6</v>
      </c>
    </row>
    <row r="2067" spans="1:10" x14ac:dyDescent="0.25">
      <c r="A2067" t="s">
        <v>4592</v>
      </c>
      <c r="B2067" s="3">
        <v>44751</v>
      </c>
      <c r="C2067" t="s">
        <v>863</v>
      </c>
      <c r="D2067" t="s">
        <v>3500</v>
      </c>
      <c r="E2067">
        <v>5</v>
      </c>
      <c r="F2067" t="s">
        <v>3525</v>
      </c>
      <c r="G2067" t="s">
        <v>3518</v>
      </c>
      <c r="H2067">
        <v>0.5</v>
      </c>
      <c r="I2067">
        <v>7.8</v>
      </c>
      <c r="J2067">
        <v>39</v>
      </c>
    </row>
    <row r="2068" spans="1:10" x14ac:dyDescent="0.25">
      <c r="A2068" t="s">
        <v>4593</v>
      </c>
      <c r="B2068" s="3">
        <v>45340</v>
      </c>
      <c r="C2068" t="s">
        <v>1908</v>
      </c>
      <c r="D2068" t="s">
        <v>3469</v>
      </c>
      <c r="E2068">
        <v>5</v>
      </c>
      <c r="F2068" t="s">
        <v>3524</v>
      </c>
      <c r="G2068" t="s">
        <v>3519</v>
      </c>
      <c r="H2068">
        <v>1</v>
      </c>
      <c r="I2068">
        <v>10</v>
      </c>
      <c r="J2068">
        <v>50</v>
      </c>
    </row>
    <row r="2069" spans="1:10" x14ac:dyDescent="0.25">
      <c r="A2069" t="s">
        <v>4594</v>
      </c>
      <c r="B2069" s="3">
        <v>44704</v>
      </c>
      <c r="C2069" t="s">
        <v>1211</v>
      </c>
      <c r="D2069" t="s">
        <v>3477</v>
      </c>
      <c r="E2069">
        <v>1</v>
      </c>
      <c r="F2069" t="s">
        <v>3524</v>
      </c>
      <c r="G2069" t="s">
        <v>3519</v>
      </c>
      <c r="H2069">
        <v>0.5</v>
      </c>
      <c r="I2069">
        <v>6</v>
      </c>
      <c r="J2069">
        <v>6</v>
      </c>
    </row>
    <row r="2070" spans="1:10" x14ac:dyDescent="0.25">
      <c r="A2070" t="s">
        <v>4595</v>
      </c>
      <c r="B2070" s="3">
        <v>44642</v>
      </c>
      <c r="C2070" t="s">
        <v>1324</v>
      </c>
      <c r="D2070" t="s">
        <v>3508</v>
      </c>
      <c r="E2070">
        <v>4</v>
      </c>
      <c r="F2070" t="s">
        <v>3524</v>
      </c>
      <c r="G2070" t="s">
        <v>3518</v>
      </c>
      <c r="H2070">
        <v>1</v>
      </c>
      <c r="I2070">
        <v>9</v>
      </c>
      <c r="J2070">
        <v>36</v>
      </c>
    </row>
    <row r="2071" spans="1:10" x14ac:dyDescent="0.25">
      <c r="A2071" t="s">
        <v>4596</v>
      </c>
      <c r="B2071" s="3">
        <v>44571</v>
      </c>
      <c r="C2071" t="s">
        <v>2000</v>
      </c>
      <c r="D2071" t="s">
        <v>3475</v>
      </c>
      <c r="E2071">
        <v>3</v>
      </c>
      <c r="F2071" t="s">
        <v>3526</v>
      </c>
      <c r="G2071" t="s">
        <v>3518</v>
      </c>
      <c r="H2071">
        <v>0.5</v>
      </c>
      <c r="I2071">
        <v>7.3</v>
      </c>
      <c r="J2071">
        <v>21.9</v>
      </c>
    </row>
    <row r="2072" spans="1:10" x14ac:dyDescent="0.25">
      <c r="A2072" t="s">
        <v>4597</v>
      </c>
      <c r="B2072" s="3">
        <v>43827</v>
      </c>
      <c r="C2072" t="s">
        <v>2221</v>
      </c>
      <c r="D2072" t="s">
        <v>3475</v>
      </c>
      <c r="E2072">
        <v>1</v>
      </c>
      <c r="F2072" t="s">
        <v>3526</v>
      </c>
      <c r="G2072" t="s">
        <v>3518</v>
      </c>
      <c r="H2072">
        <v>0.5</v>
      </c>
      <c r="I2072">
        <v>7.3</v>
      </c>
      <c r="J2072">
        <v>7.3</v>
      </c>
    </row>
    <row r="2073" spans="1:10" x14ac:dyDescent="0.25">
      <c r="A2073" t="s">
        <v>4598</v>
      </c>
      <c r="B2073" s="3">
        <v>45515</v>
      </c>
      <c r="C2073" t="s">
        <v>728</v>
      </c>
      <c r="D2073" t="s">
        <v>3488</v>
      </c>
      <c r="E2073">
        <v>4</v>
      </c>
      <c r="F2073" t="s">
        <v>3523</v>
      </c>
      <c r="G2073" t="s">
        <v>3519</v>
      </c>
      <c r="H2073">
        <v>0.5</v>
      </c>
      <c r="I2073">
        <v>6.8</v>
      </c>
      <c r="J2073">
        <v>27.2</v>
      </c>
    </row>
    <row r="2074" spans="1:10" x14ac:dyDescent="0.25">
      <c r="A2074" t="s">
        <v>4599</v>
      </c>
      <c r="B2074" s="3">
        <v>44599</v>
      </c>
      <c r="C2074" t="s">
        <v>487</v>
      </c>
      <c r="D2074" t="s">
        <v>3510</v>
      </c>
      <c r="E2074">
        <v>5</v>
      </c>
      <c r="F2074" t="s">
        <v>3524</v>
      </c>
      <c r="G2074" t="s">
        <v>3517</v>
      </c>
      <c r="H2074">
        <v>1</v>
      </c>
      <c r="I2074">
        <v>12</v>
      </c>
      <c r="J2074">
        <v>60</v>
      </c>
    </row>
    <row r="2075" spans="1:10" x14ac:dyDescent="0.25">
      <c r="A2075" t="s">
        <v>4600</v>
      </c>
      <c r="B2075" s="3">
        <v>44022</v>
      </c>
      <c r="C2075" t="s">
        <v>1384</v>
      </c>
      <c r="D2075" t="s">
        <v>3470</v>
      </c>
      <c r="E2075">
        <v>5</v>
      </c>
      <c r="F2075" t="s">
        <v>3526</v>
      </c>
      <c r="G2075" t="s">
        <v>3519</v>
      </c>
      <c r="H2075">
        <v>0.5</v>
      </c>
      <c r="I2075">
        <v>8.3000000000000007</v>
      </c>
      <c r="J2075">
        <v>41.5</v>
      </c>
    </row>
    <row r="2076" spans="1:10" x14ac:dyDescent="0.25">
      <c r="A2076" t="s">
        <v>4601</v>
      </c>
      <c r="B2076" s="3">
        <v>44787</v>
      </c>
      <c r="C2076" t="s">
        <v>1652</v>
      </c>
      <c r="D2076" t="s">
        <v>3509</v>
      </c>
      <c r="E2076">
        <v>1</v>
      </c>
      <c r="F2076" t="s">
        <v>3524</v>
      </c>
      <c r="G2076" t="s">
        <v>3517</v>
      </c>
      <c r="H2076">
        <v>0.2</v>
      </c>
      <c r="I2076">
        <v>3.6</v>
      </c>
      <c r="J2076">
        <v>3.6</v>
      </c>
    </row>
    <row r="2077" spans="1:10" x14ac:dyDescent="0.25">
      <c r="A2077" t="s">
        <v>4602</v>
      </c>
      <c r="B2077" s="3">
        <v>43759</v>
      </c>
      <c r="C2077" t="s">
        <v>1652</v>
      </c>
      <c r="D2077" t="s">
        <v>3490</v>
      </c>
      <c r="E2077">
        <v>2</v>
      </c>
      <c r="F2077" t="s">
        <v>3525</v>
      </c>
      <c r="G2077" t="s">
        <v>3519</v>
      </c>
      <c r="H2077">
        <v>0.2</v>
      </c>
      <c r="I2077">
        <v>4.4000000000000004</v>
      </c>
      <c r="J2077">
        <v>8.8000000000000007</v>
      </c>
    </row>
    <row r="2078" spans="1:10" x14ac:dyDescent="0.25">
      <c r="A2078" t="s">
        <v>4603</v>
      </c>
      <c r="B2078" s="3">
        <v>45508</v>
      </c>
      <c r="C2078" t="s">
        <v>1449</v>
      </c>
      <c r="D2078" t="s">
        <v>3476</v>
      </c>
      <c r="E2078">
        <v>1</v>
      </c>
      <c r="F2078" t="s">
        <v>3525</v>
      </c>
      <c r="G2078" t="s">
        <v>3517</v>
      </c>
      <c r="H2078">
        <v>0.2</v>
      </c>
      <c r="I2078">
        <v>4.8</v>
      </c>
      <c r="J2078">
        <v>4.8</v>
      </c>
    </row>
    <row r="2079" spans="1:10" x14ac:dyDescent="0.25">
      <c r="A2079" t="s">
        <v>4604</v>
      </c>
      <c r="B2079" s="3">
        <v>43477</v>
      </c>
      <c r="C2079" t="s">
        <v>704</v>
      </c>
      <c r="D2079" t="s">
        <v>3474</v>
      </c>
      <c r="E2079">
        <v>4</v>
      </c>
      <c r="F2079" t="s">
        <v>3525</v>
      </c>
      <c r="G2079" t="s">
        <v>3518</v>
      </c>
      <c r="H2079">
        <v>1</v>
      </c>
      <c r="I2079">
        <v>13</v>
      </c>
      <c r="J2079">
        <v>52</v>
      </c>
    </row>
    <row r="2080" spans="1:10" x14ac:dyDescent="0.25">
      <c r="A2080" t="s">
        <v>4605</v>
      </c>
      <c r="B2080" s="3">
        <v>45560</v>
      </c>
      <c r="C2080" t="s">
        <v>1828</v>
      </c>
      <c r="D2080" t="s">
        <v>3470</v>
      </c>
      <c r="E2080">
        <v>3</v>
      </c>
      <c r="F2080" t="s">
        <v>3526</v>
      </c>
      <c r="G2080" t="s">
        <v>3519</v>
      </c>
      <c r="H2080">
        <v>0.5</v>
      </c>
      <c r="I2080">
        <v>8.3000000000000007</v>
      </c>
      <c r="J2080">
        <v>24.9</v>
      </c>
    </row>
    <row r="2081" spans="1:10" x14ac:dyDescent="0.25">
      <c r="A2081" t="s">
        <v>4606</v>
      </c>
      <c r="B2081" s="3">
        <v>44819</v>
      </c>
      <c r="C2081" t="s">
        <v>1115</v>
      </c>
      <c r="D2081" t="s">
        <v>3470</v>
      </c>
      <c r="E2081">
        <v>4</v>
      </c>
      <c r="F2081" t="s">
        <v>3526</v>
      </c>
      <c r="G2081" t="s">
        <v>3519</v>
      </c>
      <c r="H2081">
        <v>0.5</v>
      </c>
      <c r="I2081">
        <v>8.3000000000000007</v>
      </c>
      <c r="J2081">
        <v>33.200000000000003</v>
      </c>
    </row>
    <row r="2082" spans="1:10" x14ac:dyDescent="0.25">
      <c r="A2082" t="s">
        <v>4607</v>
      </c>
      <c r="B2082" s="3">
        <v>45521</v>
      </c>
      <c r="C2082" t="s">
        <v>1187</v>
      </c>
      <c r="D2082" t="s">
        <v>3494</v>
      </c>
      <c r="E2082">
        <v>2</v>
      </c>
      <c r="F2082" t="s">
        <v>3524</v>
      </c>
      <c r="G2082" t="s">
        <v>3518</v>
      </c>
      <c r="H2082">
        <v>0.2</v>
      </c>
      <c r="I2082">
        <v>2.7</v>
      </c>
      <c r="J2082">
        <v>5.4</v>
      </c>
    </row>
    <row r="2083" spans="1:10" x14ac:dyDescent="0.25">
      <c r="A2083" t="s">
        <v>4608</v>
      </c>
      <c r="B2083" s="3">
        <v>43655</v>
      </c>
      <c r="C2083" t="s">
        <v>3387</v>
      </c>
      <c r="D2083" t="s">
        <v>3515</v>
      </c>
      <c r="E2083">
        <v>6</v>
      </c>
      <c r="F2083" t="s">
        <v>3526</v>
      </c>
      <c r="G2083" t="s">
        <v>3517</v>
      </c>
      <c r="H2083">
        <v>0.2</v>
      </c>
      <c r="I2083">
        <v>4.5</v>
      </c>
      <c r="J2083">
        <v>27</v>
      </c>
    </row>
    <row r="2084" spans="1:10" x14ac:dyDescent="0.25">
      <c r="A2084" t="s">
        <v>4609</v>
      </c>
      <c r="B2084" s="3">
        <v>44054</v>
      </c>
      <c r="C2084" t="s">
        <v>2378</v>
      </c>
      <c r="D2084" t="s">
        <v>3507</v>
      </c>
      <c r="E2084">
        <v>5</v>
      </c>
      <c r="F2084" t="s">
        <v>3526</v>
      </c>
      <c r="G2084" t="s">
        <v>3517</v>
      </c>
      <c r="H2084">
        <v>0.5</v>
      </c>
      <c r="I2084">
        <v>8.9</v>
      </c>
      <c r="J2084">
        <v>44.5</v>
      </c>
    </row>
    <row r="2085" spans="1:10" x14ac:dyDescent="0.25">
      <c r="A2085" t="s">
        <v>4610</v>
      </c>
      <c r="B2085" s="3">
        <v>45097</v>
      </c>
      <c r="C2085" t="s">
        <v>1696</v>
      </c>
      <c r="D2085" t="s">
        <v>3516</v>
      </c>
      <c r="E2085">
        <v>4</v>
      </c>
      <c r="F2085" t="s">
        <v>3526</v>
      </c>
      <c r="G2085" t="s">
        <v>3518</v>
      </c>
      <c r="H2085">
        <v>2.5</v>
      </c>
      <c r="I2085">
        <v>27.9</v>
      </c>
      <c r="J2085">
        <v>111.6</v>
      </c>
    </row>
    <row r="2086" spans="1:10" x14ac:dyDescent="0.25">
      <c r="A2086" t="s">
        <v>4611</v>
      </c>
      <c r="B2086" s="3">
        <v>45277</v>
      </c>
      <c r="C2086" t="s">
        <v>3464</v>
      </c>
      <c r="D2086" t="s">
        <v>3510</v>
      </c>
      <c r="E2086">
        <v>2</v>
      </c>
      <c r="F2086" t="s">
        <v>3524</v>
      </c>
      <c r="G2086" t="s">
        <v>3517</v>
      </c>
      <c r="H2086">
        <v>1</v>
      </c>
      <c r="I2086">
        <v>12</v>
      </c>
      <c r="J2086">
        <v>24</v>
      </c>
    </row>
    <row r="2087" spans="1:10" x14ac:dyDescent="0.25">
      <c r="A2087" t="s">
        <v>4612</v>
      </c>
      <c r="B2087" s="3">
        <v>45383</v>
      </c>
      <c r="C2087" t="s">
        <v>2795</v>
      </c>
      <c r="D2087" t="s">
        <v>3488</v>
      </c>
      <c r="E2087">
        <v>1</v>
      </c>
      <c r="F2087" t="s">
        <v>3523</v>
      </c>
      <c r="G2087" t="s">
        <v>3519</v>
      </c>
      <c r="H2087">
        <v>0.5</v>
      </c>
      <c r="I2087">
        <v>6.8</v>
      </c>
      <c r="J2087">
        <v>6.8</v>
      </c>
    </row>
    <row r="2088" spans="1:10" x14ac:dyDescent="0.25">
      <c r="A2088" t="s">
        <v>4613</v>
      </c>
      <c r="B2088" s="3">
        <v>45328</v>
      </c>
      <c r="C2088" t="s">
        <v>1452</v>
      </c>
      <c r="D2088" t="s">
        <v>3495</v>
      </c>
      <c r="E2088">
        <v>5</v>
      </c>
      <c r="F2088" t="s">
        <v>3525</v>
      </c>
      <c r="G2088" t="s">
        <v>3517</v>
      </c>
      <c r="H2088">
        <v>2.5</v>
      </c>
      <c r="I2088">
        <v>36.5</v>
      </c>
      <c r="J2088">
        <v>182.5</v>
      </c>
    </row>
    <row r="2089" spans="1:10" x14ac:dyDescent="0.25">
      <c r="A2089" t="s">
        <v>4614</v>
      </c>
      <c r="B2089" s="3">
        <v>45128</v>
      </c>
      <c r="C2089" t="s">
        <v>2633</v>
      </c>
      <c r="D2089" t="s">
        <v>3478</v>
      </c>
      <c r="E2089">
        <v>1</v>
      </c>
      <c r="F2089" t="s">
        <v>3523</v>
      </c>
      <c r="G2089" t="s">
        <v>3518</v>
      </c>
      <c r="H2089">
        <v>1</v>
      </c>
      <c r="I2089">
        <v>10</v>
      </c>
      <c r="J2089">
        <v>10</v>
      </c>
    </row>
    <row r="2090" spans="1:10" x14ac:dyDescent="0.25">
      <c r="A2090" t="s">
        <v>4615</v>
      </c>
      <c r="B2090" s="3">
        <v>44860</v>
      </c>
      <c r="C2090" t="s">
        <v>2353</v>
      </c>
      <c r="D2090" t="s">
        <v>3490</v>
      </c>
      <c r="E2090">
        <v>5</v>
      </c>
      <c r="F2090" t="s">
        <v>3525</v>
      </c>
      <c r="G2090" t="s">
        <v>3519</v>
      </c>
      <c r="H2090">
        <v>0.2</v>
      </c>
      <c r="I2090">
        <v>4.4000000000000004</v>
      </c>
      <c r="J2090">
        <v>22</v>
      </c>
    </row>
    <row r="2091" spans="1:10" x14ac:dyDescent="0.25">
      <c r="A2091" t="s">
        <v>4616</v>
      </c>
      <c r="B2091" s="3">
        <v>44741</v>
      </c>
      <c r="C2091" t="s">
        <v>3106</v>
      </c>
      <c r="D2091" t="s">
        <v>3481</v>
      </c>
      <c r="E2091">
        <v>1</v>
      </c>
      <c r="F2091" t="s">
        <v>3525</v>
      </c>
      <c r="G2091" t="s">
        <v>3518</v>
      </c>
      <c r="H2091">
        <v>0.2</v>
      </c>
      <c r="I2091">
        <v>3.9</v>
      </c>
      <c r="J2091">
        <v>3.9</v>
      </c>
    </row>
    <row r="2092" spans="1:10" x14ac:dyDescent="0.25">
      <c r="A2092" t="s">
        <v>4617</v>
      </c>
      <c r="B2092" s="3">
        <v>43764</v>
      </c>
      <c r="C2092" t="s">
        <v>1232</v>
      </c>
      <c r="D2092" t="s">
        <v>3492</v>
      </c>
      <c r="E2092">
        <v>5</v>
      </c>
      <c r="F2092" t="s">
        <v>3525</v>
      </c>
      <c r="G2092" t="s">
        <v>3517</v>
      </c>
      <c r="H2092">
        <v>0.5</v>
      </c>
      <c r="I2092">
        <v>9.5</v>
      </c>
      <c r="J2092">
        <v>47.5</v>
      </c>
    </row>
    <row r="2093" spans="1:10" x14ac:dyDescent="0.25">
      <c r="A2093" t="s">
        <v>4618</v>
      </c>
      <c r="B2093" s="3">
        <v>45083</v>
      </c>
      <c r="C2093" t="s">
        <v>1265</v>
      </c>
      <c r="D2093" t="s">
        <v>3496</v>
      </c>
      <c r="E2093">
        <v>3</v>
      </c>
      <c r="F2093" t="s">
        <v>3525</v>
      </c>
      <c r="G2093" t="s">
        <v>3518</v>
      </c>
      <c r="H2093">
        <v>2.5</v>
      </c>
      <c r="I2093">
        <v>29.8</v>
      </c>
      <c r="J2093">
        <v>89.4</v>
      </c>
    </row>
    <row r="2094" spans="1:10" x14ac:dyDescent="0.25">
      <c r="A2094" t="s">
        <v>4619</v>
      </c>
      <c r="B2094" s="3">
        <v>43790</v>
      </c>
      <c r="C2094" t="s">
        <v>1018</v>
      </c>
      <c r="D2094" t="s">
        <v>3512</v>
      </c>
      <c r="E2094">
        <v>4</v>
      </c>
      <c r="F2094" t="s">
        <v>3525</v>
      </c>
      <c r="G2094" t="s">
        <v>3519</v>
      </c>
      <c r="H2094">
        <v>2.5</v>
      </c>
      <c r="I2094">
        <v>33.5</v>
      </c>
      <c r="J2094">
        <v>134</v>
      </c>
    </row>
    <row r="2095" spans="1:10" x14ac:dyDescent="0.25">
      <c r="A2095" t="s">
        <v>4620</v>
      </c>
      <c r="B2095" s="3">
        <v>45300</v>
      </c>
      <c r="C2095" t="s">
        <v>751</v>
      </c>
      <c r="D2095" t="s">
        <v>3498</v>
      </c>
      <c r="E2095">
        <v>3</v>
      </c>
      <c r="F2095" t="s">
        <v>3523</v>
      </c>
      <c r="G2095" t="s">
        <v>3517</v>
      </c>
      <c r="H2095">
        <v>0.2</v>
      </c>
      <c r="I2095">
        <v>3.9</v>
      </c>
      <c r="J2095">
        <v>11.7</v>
      </c>
    </row>
    <row r="2096" spans="1:10" x14ac:dyDescent="0.25">
      <c r="A2096" t="s">
        <v>4621</v>
      </c>
      <c r="B2096" s="3">
        <v>45275</v>
      </c>
      <c r="C2096" t="s">
        <v>2966</v>
      </c>
      <c r="D2096" t="s">
        <v>3495</v>
      </c>
      <c r="E2096">
        <v>4</v>
      </c>
      <c r="F2096" t="s">
        <v>3525</v>
      </c>
      <c r="G2096" t="s">
        <v>3517</v>
      </c>
      <c r="H2096">
        <v>2.5</v>
      </c>
      <c r="I2096">
        <v>36.5</v>
      </c>
      <c r="J2096">
        <v>146</v>
      </c>
    </row>
    <row r="2097" spans="1:10" x14ac:dyDescent="0.25">
      <c r="A2097" t="s">
        <v>4622</v>
      </c>
      <c r="B2097" s="3">
        <v>45287</v>
      </c>
      <c r="C2097" t="s">
        <v>2971</v>
      </c>
      <c r="D2097" t="s">
        <v>3490</v>
      </c>
      <c r="E2097">
        <v>1</v>
      </c>
      <c r="F2097" t="s">
        <v>3525</v>
      </c>
      <c r="G2097" t="s">
        <v>3519</v>
      </c>
      <c r="H2097">
        <v>0.2</v>
      </c>
      <c r="I2097">
        <v>4.4000000000000004</v>
      </c>
      <c r="J2097">
        <v>4.4000000000000004</v>
      </c>
    </row>
    <row r="2098" spans="1:10" x14ac:dyDescent="0.25">
      <c r="A2098" t="s">
        <v>4623</v>
      </c>
      <c r="B2098" s="3">
        <v>45162</v>
      </c>
      <c r="C2098" t="s">
        <v>1449</v>
      </c>
      <c r="D2098" t="s">
        <v>3495</v>
      </c>
      <c r="E2098">
        <v>1</v>
      </c>
      <c r="F2098" t="s">
        <v>3525</v>
      </c>
      <c r="G2098" t="s">
        <v>3517</v>
      </c>
      <c r="H2098">
        <v>2.5</v>
      </c>
      <c r="I2098">
        <v>36.5</v>
      </c>
      <c r="J2098">
        <v>36.5</v>
      </c>
    </row>
    <row r="2099" spans="1:10" x14ac:dyDescent="0.25">
      <c r="A2099" t="s">
        <v>4624</v>
      </c>
      <c r="B2099" s="3">
        <v>45006</v>
      </c>
      <c r="C2099" t="s">
        <v>1015</v>
      </c>
      <c r="D2099" t="s">
        <v>3510</v>
      </c>
      <c r="E2099">
        <v>3</v>
      </c>
      <c r="F2099" t="s">
        <v>3524</v>
      </c>
      <c r="G2099" t="s">
        <v>3517</v>
      </c>
      <c r="H2099">
        <v>1</v>
      </c>
      <c r="I2099">
        <v>12</v>
      </c>
      <c r="J2099">
        <v>36</v>
      </c>
    </row>
    <row r="2100" spans="1:10" x14ac:dyDescent="0.25">
      <c r="A2100" t="s">
        <v>4625</v>
      </c>
      <c r="B2100" s="3">
        <v>44581</v>
      </c>
      <c r="C2100" t="s">
        <v>2359</v>
      </c>
      <c r="D2100" t="s">
        <v>3482</v>
      </c>
      <c r="E2100">
        <v>5</v>
      </c>
      <c r="F2100" t="s">
        <v>3524</v>
      </c>
      <c r="G2100" t="s">
        <v>3519</v>
      </c>
      <c r="H2100">
        <v>2.5</v>
      </c>
      <c r="I2100">
        <v>22.9</v>
      </c>
      <c r="J2100">
        <v>114.5</v>
      </c>
    </row>
    <row r="2101" spans="1:10" x14ac:dyDescent="0.25">
      <c r="A2101" t="s">
        <v>4626</v>
      </c>
      <c r="B2101" s="3">
        <v>45358</v>
      </c>
      <c r="C2101" t="s">
        <v>1666</v>
      </c>
      <c r="D2101" t="s">
        <v>3472</v>
      </c>
      <c r="E2101">
        <v>3</v>
      </c>
      <c r="F2101" t="s">
        <v>3526</v>
      </c>
      <c r="G2101" t="s">
        <v>3519</v>
      </c>
      <c r="H2101">
        <v>1</v>
      </c>
      <c r="I2101">
        <v>13.8</v>
      </c>
      <c r="J2101">
        <v>41.4</v>
      </c>
    </row>
    <row r="2102" spans="1:10" x14ac:dyDescent="0.25">
      <c r="A2102" t="s">
        <v>4627</v>
      </c>
      <c r="B2102" s="3">
        <v>44805</v>
      </c>
      <c r="C2102" t="s">
        <v>3115</v>
      </c>
      <c r="D2102" t="s">
        <v>3477</v>
      </c>
      <c r="E2102">
        <v>2</v>
      </c>
      <c r="F2102" t="s">
        <v>3524</v>
      </c>
      <c r="G2102" t="s">
        <v>3519</v>
      </c>
      <c r="H2102">
        <v>0.5</v>
      </c>
      <c r="I2102">
        <v>6</v>
      </c>
      <c r="J2102">
        <v>12</v>
      </c>
    </row>
    <row r="2103" spans="1:10" x14ac:dyDescent="0.25">
      <c r="A2103" t="s">
        <v>4628</v>
      </c>
      <c r="B2103" s="3">
        <v>44854</v>
      </c>
      <c r="C2103" t="s">
        <v>1166</v>
      </c>
      <c r="D2103" t="s">
        <v>3504</v>
      </c>
      <c r="E2103">
        <v>4</v>
      </c>
      <c r="F2103" t="s">
        <v>3524</v>
      </c>
      <c r="G2103" t="s">
        <v>3517</v>
      </c>
      <c r="H2103">
        <v>0.5</v>
      </c>
      <c r="I2103">
        <v>7.2</v>
      </c>
      <c r="J2103">
        <v>28.8</v>
      </c>
    </row>
    <row r="2104" spans="1:10" x14ac:dyDescent="0.25">
      <c r="A2104" t="s">
        <v>4629</v>
      </c>
      <c r="B2104" s="3">
        <v>43633</v>
      </c>
      <c r="C2104" t="s">
        <v>1047</v>
      </c>
      <c r="D2104" t="s">
        <v>3506</v>
      </c>
      <c r="E2104">
        <v>4</v>
      </c>
      <c r="F2104" t="s">
        <v>3523</v>
      </c>
      <c r="G2104" t="s">
        <v>3519</v>
      </c>
      <c r="H2104">
        <v>2.5</v>
      </c>
      <c r="I2104">
        <v>25.9</v>
      </c>
      <c r="J2104">
        <v>103.6</v>
      </c>
    </row>
    <row r="2105" spans="1:10" x14ac:dyDescent="0.25">
      <c r="A2105" t="s">
        <v>4630</v>
      </c>
      <c r="B2105" s="3">
        <v>43823</v>
      </c>
      <c r="C2105" t="s">
        <v>1797</v>
      </c>
      <c r="D2105" t="s">
        <v>3491</v>
      </c>
      <c r="E2105">
        <v>4</v>
      </c>
      <c r="F2105" t="s">
        <v>3525</v>
      </c>
      <c r="G2105" t="s">
        <v>3519</v>
      </c>
      <c r="H2105">
        <v>0.5</v>
      </c>
      <c r="I2105">
        <v>8.6999999999999993</v>
      </c>
      <c r="J2105">
        <v>34.799999999999997</v>
      </c>
    </row>
    <row r="2106" spans="1:10" x14ac:dyDescent="0.25">
      <c r="A2106" t="s">
        <v>4631</v>
      </c>
      <c r="B2106" s="3">
        <v>44693</v>
      </c>
      <c r="C2106" t="s">
        <v>538</v>
      </c>
      <c r="D2106" t="s">
        <v>3473</v>
      </c>
      <c r="E2106">
        <v>5</v>
      </c>
      <c r="F2106" t="s">
        <v>3524</v>
      </c>
      <c r="G2106" t="s">
        <v>3517</v>
      </c>
      <c r="H2106">
        <v>2.5</v>
      </c>
      <c r="I2106">
        <v>27.5</v>
      </c>
      <c r="J2106">
        <v>137.5</v>
      </c>
    </row>
    <row r="2107" spans="1:10" x14ac:dyDescent="0.25">
      <c r="A2107" t="s">
        <v>4632</v>
      </c>
      <c r="B2107" s="3">
        <v>44793</v>
      </c>
      <c r="C2107" t="s">
        <v>2128</v>
      </c>
      <c r="D2107" t="s">
        <v>3476</v>
      </c>
      <c r="E2107">
        <v>1</v>
      </c>
      <c r="F2107" t="s">
        <v>3525</v>
      </c>
      <c r="G2107" t="s">
        <v>3517</v>
      </c>
      <c r="H2107">
        <v>0.2</v>
      </c>
      <c r="I2107">
        <v>4.8</v>
      </c>
      <c r="J2107">
        <v>4.8</v>
      </c>
    </row>
    <row r="2108" spans="1:10" x14ac:dyDescent="0.25">
      <c r="A2108" t="s">
        <v>4633</v>
      </c>
      <c r="B2108" s="3">
        <v>45185</v>
      </c>
      <c r="C2108" t="s">
        <v>658</v>
      </c>
      <c r="D2108" t="s">
        <v>3516</v>
      </c>
      <c r="E2108">
        <v>2</v>
      </c>
      <c r="F2108" t="s">
        <v>3526</v>
      </c>
      <c r="G2108" t="s">
        <v>3518</v>
      </c>
      <c r="H2108">
        <v>2.5</v>
      </c>
      <c r="I2108">
        <v>27.9</v>
      </c>
      <c r="J2108">
        <v>55.8</v>
      </c>
    </row>
    <row r="2109" spans="1:10" x14ac:dyDescent="0.25">
      <c r="A2109" t="s">
        <v>4634</v>
      </c>
      <c r="B2109" s="3">
        <v>44784</v>
      </c>
      <c r="C2109" t="s">
        <v>704</v>
      </c>
      <c r="D2109" t="s">
        <v>3510</v>
      </c>
      <c r="E2109">
        <v>5</v>
      </c>
      <c r="F2109" t="s">
        <v>3524</v>
      </c>
      <c r="G2109" t="s">
        <v>3517</v>
      </c>
      <c r="H2109">
        <v>1</v>
      </c>
      <c r="I2109">
        <v>12</v>
      </c>
      <c r="J2109">
        <v>60</v>
      </c>
    </row>
    <row r="2110" spans="1:10" x14ac:dyDescent="0.25">
      <c r="A2110" t="s">
        <v>4635</v>
      </c>
      <c r="B2110" s="3">
        <v>44273</v>
      </c>
      <c r="C2110" t="s">
        <v>2041</v>
      </c>
      <c r="D2110" t="s">
        <v>3502</v>
      </c>
      <c r="E2110">
        <v>3</v>
      </c>
      <c r="F2110" t="s">
        <v>3526</v>
      </c>
      <c r="G2110" t="s">
        <v>3517</v>
      </c>
      <c r="H2110">
        <v>1</v>
      </c>
      <c r="I2110">
        <v>14.9</v>
      </c>
      <c r="J2110">
        <v>44.7</v>
      </c>
    </row>
    <row r="2111" spans="1:10" x14ac:dyDescent="0.25">
      <c r="A2111" t="s">
        <v>4636</v>
      </c>
      <c r="B2111" s="3">
        <v>44954</v>
      </c>
      <c r="C2111" t="s">
        <v>769</v>
      </c>
      <c r="D2111" t="s">
        <v>3495</v>
      </c>
      <c r="E2111">
        <v>1</v>
      </c>
      <c r="F2111" t="s">
        <v>3525</v>
      </c>
      <c r="G2111" t="s">
        <v>3517</v>
      </c>
      <c r="H2111">
        <v>2.5</v>
      </c>
      <c r="I2111">
        <v>36.5</v>
      </c>
      <c r="J2111">
        <v>36.5</v>
      </c>
    </row>
    <row r="2112" spans="1:10" x14ac:dyDescent="0.25">
      <c r="A2112" t="s">
        <v>4637</v>
      </c>
      <c r="B2112" s="3">
        <v>45032</v>
      </c>
      <c r="C2112" t="s">
        <v>688</v>
      </c>
      <c r="D2112" t="s">
        <v>3493</v>
      </c>
      <c r="E2112">
        <v>4</v>
      </c>
      <c r="F2112" t="s">
        <v>3525</v>
      </c>
      <c r="G2112" t="s">
        <v>3519</v>
      </c>
      <c r="H2112">
        <v>1</v>
      </c>
      <c r="I2112">
        <v>14.6</v>
      </c>
      <c r="J2112">
        <v>58.4</v>
      </c>
    </row>
    <row r="2113" spans="1:10" x14ac:dyDescent="0.25">
      <c r="A2113" t="s">
        <v>4638</v>
      </c>
      <c r="B2113" s="3">
        <v>44509</v>
      </c>
      <c r="C2113" t="s">
        <v>2047</v>
      </c>
      <c r="D2113" t="s">
        <v>3510</v>
      </c>
      <c r="E2113">
        <v>3</v>
      </c>
      <c r="F2113" t="s">
        <v>3524</v>
      </c>
      <c r="G2113" t="s">
        <v>3517</v>
      </c>
      <c r="H2113">
        <v>1</v>
      </c>
      <c r="I2113">
        <v>12</v>
      </c>
      <c r="J2113">
        <v>36</v>
      </c>
    </row>
    <row r="2114" spans="1:10" x14ac:dyDescent="0.25">
      <c r="A2114" t="s">
        <v>4639</v>
      </c>
      <c r="B2114" s="3">
        <v>45400</v>
      </c>
      <c r="C2114" t="s">
        <v>1166</v>
      </c>
      <c r="D2114" t="s">
        <v>3473</v>
      </c>
      <c r="E2114">
        <v>3</v>
      </c>
      <c r="F2114" t="s">
        <v>3524</v>
      </c>
      <c r="G2114" t="s">
        <v>3517</v>
      </c>
      <c r="H2114">
        <v>2.5</v>
      </c>
      <c r="I2114">
        <v>27.5</v>
      </c>
      <c r="J2114">
        <v>82.5</v>
      </c>
    </row>
    <row r="2115" spans="1:10" x14ac:dyDescent="0.25">
      <c r="A2115" t="s">
        <v>4640</v>
      </c>
      <c r="B2115" s="3">
        <v>44862</v>
      </c>
      <c r="C2115" t="s">
        <v>1660</v>
      </c>
      <c r="D2115" t="s">
        <v>3473</v>
      </c>
      <c r="E2115">
        <v>4</v>
      </c>
      <c r="F2115" t="s">
        <v>3524</v>
      </c>
      <c r="G2115" t="s">
        <v>3517</v>
      </c>
      <c r="H2115">
        <v>2.5</v>
      </c>
      <c r="I2115">
        <v>27.5</v>
      </c>
      <c r="J2115">
        <v>110</v>
      </c>
    </row>
    <row r="2116" spans="1:10" x14ac:dyDescent="0.25">
      <c r="A2116" t="s">
        <v>4641</v>
      </c>
      <c r="B2116" s="3">
        <v>45327</v>
      </c>
      <c r="C2116" t="s">
        <v>3276</v>
      </c>
      <c r="D2116" t="s">
        <v>3490</v>
      </c>
      <c r="E2116">
        <v>5</v>
      </c>
      <c r="F2116" t="s">
        <v>3525</v>
      </c>
      <c r="G2116" t="s">
        <v>3519</v>
      </c>
      <c r="H2116">
        <v>0.2</v>
      </c>
      <c r="I2116">
        <v>4.4000000000000004</v>
      </c>
      <c r="J2116">
        <v>22</v>
      </c>
    </row>
    <row r="2117" spans="1:10" x14ac:dyDescent="0.25">
      <c r="A2117" t="s">
        <v>4642</v>
      </c>
      <c r="B2117" s="3">
        <v>44934</v>
      </c>
      <c r="C2117" t="s">
        <v>1902</v>
      </c>
      <c r="D2117" t="s">
        <v>3501</v>
      </c>
      <c r="E2117">
        <v>6</v>
      </c>
      <c r="F2117" t="s">
        <v>3525</v>
      </c>
      <c r="G2117" t="s">
        <v>3517</v>
      </c>
      <c r="H2117">
        <v>1</v>
      </c>
      <c r="I2117">
        <v>15.9</v>
      </c>
      <c r="J2117">
        <v>95.4</v>
      </c>
    </row>
    <row r="2118" spans="1:10" x14ac:dyDescent="0.25">
      <c r="A2118" t="s">
        <v>4643</v>
      </c>
      <c r="B2118" s="3">
        <v>44722</v>
      </c>
      <c r="C2118" t="s">
        <v>1429</v>
      </c>
      <c r="D2118" t="s">
        <v>3495</v>
      </c>
      <c r="E2118">
        <v>3</v>
      </c>
      <c r="F2118" t="s">
        <v>3525</v>
      </c>
      <c r="G2118" t="s">
        <v>3517</v>
      </c>
      <c r="H2118">
        <v>2.5</v>
      </c>
      <c r="I2118">
        <v>36.5</v>
      </c>
      <c r="J2118">
        <v>109.5</v>
      </c>
    </row>
    <row r="2119" spans="1:10" x14ac:dyDescent="0.25">
      <c r="A2119" t="s">
        <v>4644</v>
      </c>
      <c r="B2119" s="3">
        <v>45651</v>
      </c>
      <c r="C2119" t="s">
        <v>3154</v>
      </c>
      <c r="D2119" t="s">
        <v>3492</v>
      </c>
      <c r="E2119">
        <v>5</v>
      </c>
      <c r="F2119" t="s">
        <v>3525</v>
      </c>
      <c r="G2119" t="s">
        <v>3517</v>
      </c>
      <c r="H2119">
        <v>0.5</v>
      </c>
      <c r="I2119">
        <v>9.5</v>
      </c>
      <c r="J2119">
        <v>47.5</v>
      </c>
    </row>
    <row r="2120" spans="1:10" x14ac:dyDescent="0.25">
      <c r="A2120" t="s">
        <v>4645</v>
      </c>
      <c r="B2120" s="3">
        <v>45304</v>
      </c>
      <c r="C2120" t="s">
        <v>2530</v>
      </c>
      <c r="D2120" t="s">
        <v>3499</v>
      </c>
      <c r="E2120">
        <v>6</v>
      </c>
      <c r="F2120" t="s">
        <v>3523</v>
      </c>
      <c r="G2120" t="s">
        <v>3518</v>
      </c>
      <c r="H2120">
        <v>2.5</v>
      </c>
      <c r="I2120">
        <v>22.9</v>
      </c>
      <c r="J2120">
        <v>137.4</v>
      </c>
    </row>
    <row r="2121" spans="1:10" x14ac:dyDescent="0.25">
      <c r="A2121" t="s">
        <v>4646</v>
      </c>
      <c r="B2121" s="3">
        <v>45134</v>
      </c>
      <c r="C2121" t="s">
        <v>1991</v>
      </c>
      <c r="D2121" t="s">
        <v>3503</v>
      </c>
      <c r="E2121">
        <v>2</v>
      </c>
      <c r="F2121" t="s">
        <v>3524</v>
      </c>
      <c r="G2121" t="s">
        <v>3518</v>
      </c>
      <c r="H2121">
        <v>0.5</v>
      </c>
      <c r="I2121">
        <v>5.4</v>
      </c>
      <c r="J2121">
        <v>10.8</v>
      </c>
    </row>
    <row r="2122" spans="1:10" x14ac:dyDescent="0.25">
      <c r="A2122" t="s">
        <v>4647</v>
      </c>
      <c r="B2122" s="3">
        <v>45223</v>
      </c>
      <c r="C2122" t="s">
        <v>610</v>
      </c>
      <c r="D2122" t="s">
        <v>3512</v>
      </c>
      <c r="E2122">
        <v>1</v>
      </c>
      <c r="F2122" t="s">
        <v>3525</v>
      </c>
      <c r="G2122" t="s">
        <v>3519</v>
      </c>
      <c r="H2122">
        <v>2.5</v>
      </c>
      <c r="I2122">
        <v>33.5</v>
      </c>
      <c r="J2122">
        <v>33.5</v>
      </c>
    </row>
    <row r="2123" spans="1:10" x14ac:dyDescent="0.25">
      <c r="A2123" t="s">
        <v>4648</v>
      </c>
      <c r="B2123" s="3">
        <v>45286</v>
      </c>
      <c r="C2123" t="s">
        <v>2432</v>
      </c>
      <c r="D2123" t="s">
        <v>3496</v>
      </c>
      <c r="E2123">
        <v>5</v>
      </c>
      <c r="F2123" t="s">
        <v>3525</v>
      </c>
      <c r="G2123" t="s">
        <v>3518</v>
      </c>
      <c r="H2123">
        <v>2.5</v>
      </c>
      <c r="I2123">
        <v>29.8</v>
      </c>
      <c r="J2123">
        <v>149</v>
      </c>
    </row>
    <row r="2124" spans="1:10" x14ac:dyDescent="0.25">
      <c r="A2124" t="s">
        <v>4649</v>
      </c>
      <c r="B2124" s="3">
        <v>44234</v>
      </c>
      <c r="C2124" t="s">
        <v>3467</v>
      </c>
      <c r="D2124" t="s">
        <v>3493</v>
      </c>
      <c r="E2124">
        <v>6</v>
      </c>
      <c r="F2124" t="s">
        <v>3525</v>
      </c>
      <c r="G2124" t="s">
        <v>3519</v>
      </c>
      <c r="H2124">
        <v>1</v>
      </c>
      <c r="I2124">
        <v>14.6</v>
      </c>
      <c r="J2124">
        <v>87.6</v>
      </c>
    </row>
    <row r="2125" spans="1:10" x14ac:dyDescent="0.25">
      <c r="A2125" t="s">
        <v>4650</v>
      </c>
      <c r="B2125" s="3">
        <v>45555</v>
      </c>
      <c r="C2125" t="s">
        <v>2849</v>
      </c>
      <c r="D2125" t="s">
        <v>3472</v>
      </c>
      <c r="E2125">
        <v>4</v>
      </c>
      <c r="F2125" t="s">
        <v>3526</v>
      </c>
      <c r="G2125" t="s">
        <v>3519</v>
      </c>
      <c r="H2125">
        <v>1</v>
      </c>
      <c r="I2125">
        <v>13.8</v>
      </c>
      <c r="J2125">
        <v>55.2</v>
      </c>
    </row>
    <row r="2126" spans="1:10" x14ac:dyDescent="0.25">
      <c r="A2126" t="s">
        <v>4651</v>
      </c>
      <c r="B2126" s="3">
        <v>44439</v>
      </c>
      <c r="C2126" t="s">
        <v>1106</v>
      </c>
      <c r="D2126" t="s">
        <v>3512</v>
      </c>
      <c r="E2126">
        <v>1</v>
      </c>
      <c r="F2126" t="s">
        <v>3525</v>
      </c>
      <c r="G2126" t="s">
        <v>3519</v>
      </c>
      <c r="H2126">
        <v>2.5</v>
      </c>
      <c r="I2126">
        <v>33.5</v>
      </c>
      <c r="J2126">
        <v>33.5</v>
      </c>
    </row>
    <row r="2127" spans="1:10" x14ac:dyDescent="0.25">
      <c r="A2127" t="s">
        <v>4652</v>
      </c>
      <c r="B2127" s="3">
        <v>45369</v>
      </c>
      <c r="C2127" t="s">
        <v>2305</v>
      </c>
      <c r="D2127" t="s">
        <v>3510</v>
      </c>
      <c r="E2127">
        <v>3</v>
      </c>
      <c r="F2127" t="s">
        <v>3524</v>
      </c>
      <c r="G2127" t="s">
        <v>3517</v>
      </c>
      <c r="H2127">
        <v>1</v>
      </c>
      <c r="I2127">
        <v>12</v>
      </c>
      <c r="J2127">
        <v>36</v>
      </c>
    </row>
    <row r="2128" spans="1:10" x14ac:dyDescent="0.25">
      <c r="A2128" t="s">
        <v>4653</v>
      </c>
      <c r="B2128" s="3">
        <v>44263</v>
      </c>
      <c r="C2128" t="s">
        <v>2245</v>
      </c>
      <c r="D2128" t="s">
        <v>3477</v>
      </c>
      <c r="E2128">
        <v>6</v>
      </c>
      <c r="F2128" t="s">
        <v>3524</v>
      </c>
      <c r="G2128" t="s">
        <v>3519</v>
      </c>
      <c r="H2128">
        <v>0.5</v>
      </c>
      <c r="I2128">
        <v>6</v>
      </c>
      <c r="J2128">
        <v>36</v>
      </c>
    </row>
    <row r="2129" spans="1:10" x14ac:dyDescent="0.25">
      <c r="A2129" t="s">
        <v>4654</v>
      </c>
      <c r="B2129" s="3">
        <v>45564</v>
      </c>
      <c r="C2129" t="s">
        <v>1131</v>
      </c>
      <c r="D2129" t="s">
        <v>3502</v>
      </c>
      <c r="E2129">
        <v>5</v>
      </c>
      <c r="F2129" t="s">
        <v>3526</v>
      </c>
      <c r="G2129" t="s">
        <v>3517</v>
      </c>
      <c r="H2129">
        <v>1</v>
      </c>
      <c r="I2129">
        <v>14.9</v>
      </c>
      <c r="J2129">
        <v>74.5</v>
      </c>
    </row>
    <row r="2130" spans="1:10" x14ac:dyDescent="0.25">
      <c r="A2130" t="s">
        <v>4655</v>
      </c>
      <c r="B2130" s="3">
        <v>45284</v>
      </c>
      <c r="C2130" t="s">
        <v>3273</v>
      </c>
      <c r="D2130" t="s">
        <v>3485</v>
      </c>
      <c r="E2130">
        <v>1</v>
      </c>
      <c r="F2130" t="s">
        <v>3523</v>
      </c>
      <c r="G2130" t="s">
        <v>3518</v>
      </c>
      <c r="H2130">
        <v>0.2</v>
      </c>
      <c r="I2130">
        <v>3</v>
      </c>
      <c r="J2130">
        <v>3</v>
      </c>
    </row>
    <row r="2131" spans="1:10" x14ac:dyDescent="0.25">
      <c r="A2131" t="s">
        <v>4656</v>
      </c>
      <c r="B2131" s="3">
        <v>44994</v>
      </c>
      <c r="C2131" t="s">
        <v>793</v>
      </c>
      <c r="D2131" t="s">
        <v>3470</v>
      </c>
      <c r="E2131">
        <v>2</v>
      </c>
      <c r="F2131" t="s">
        <v>3526</v>
      </c>
      <c r="G2131" t="s">
        <v>3519</v>
      </c>
      <c r="H2131">
        <v>0.5</v>
      </c>
      <c r="I2131">
        <v>8.3000000000000007</v>
      </c>
      <c r="J2131">
        <v>16.600000000000001</v>
      </c>
    </row>
    <row r="2132" spans="1:10" x14ac:dyDescent="0.25">
      <c r="A2132" t="s">
        <v>4657</v>
      </c>
      <c r="B2132" s="3">
        <v>45303</v>
      </c>
      <c r="C2132" t="s">
        <v>3429</v>
      </c>
      <c r="D2132" t="s">
        <v>3515</v>
      </c>
      <c r="E2132">
        <v>5</v>
      </c>
      <c r="F2132" t="s">
        <v>3526</v>
      </c>
      <c r="G2132" t="s">
        <v>3517</v>
      </c>
      <c r="H2132">
        <v>0.2</v>
      </c>
      <c r="I2132">
        <v>4.5</v>
      </c>
      <c r="J2132">
        <v>22.5</v>
      </c>
    </row>
    <row r="2133" spans="1:10" x14ac:dyDescent="0.25">
      <c r="A2133" t="s">
        <v>4658</v>
      </c>
      <c r="B2133" s="3">
        <v>45603</v>
      </c>
      <c r="C2133" t="s">
        <v>2149</v>
      </c>
      <c r="D2133" t="s">
        <v>3509</v>
      </c>
      <c r="E2133">
        <v>3</v>
      </c>
      <c r="F2133" t="s">
        <v>3524</v>
      </c>
      <c r="G2133" t="s">
        <v>3517</v>
      </c>
      <c r="H2133">
        <v>0.2</v>
      </c>
      <c r="I2133">
        <v>3.6</v>
      </c>
      <c r="J2133">
        <v>10.8</v>
      </c>
    </row>
    <row r="2134" spans="1:10" x14ac:dyDescent="0.25">
      <c r="A2134" t="s">
        <v>4659</v>
      </c>
      <c r="B2134" s="3">
        <v>45438</v>
      </c>
      <c r="C2134" t="s">
        <v>2530</v>
      </c>
      <c r="D2134" t="s">
        <v>3483</v>
      </c>
      <c r="E2134">
        <v>6</v>
      </c>
      <c r="F2134" t="s">
        <v>3523</v>
      </c>
      <c r="G2134" t="s">
        <v>3519</v>
      </c>
      <c r="H2134">
        <v>0.2</v>
      </c>
      <c r="I2134">
        <v>3.4</v>
      </c>
      <c r="J2134">
        <v>20.399999999999999</v>
      </c>
    </row>
    <row r="2135" spans="1:10" x14ac:dyDescent="0.25">
      <c r="A2135" t="s">
        <v>4660</v>
      </c>
      <c r="B2135" s="3">
        <v>45067</v>
      </c>
      <c r="C2135" t="s">
        <v>3187</v>
      </c>
      <c r="D2135" t="s">
        <v>3475</v>
      </c>
      <c r="E2135">
        <v>6</v>
      </c>
      <c r="F2135" t="s">
        <v>3526</v>
      </c>
      <c r="G2135" t="s">
        <v>3518</v>
      </c>
      <c r="H2135">
        <v>0.5</v>
      </c>
      <c r="I2135">
        <v>7.3</v>
      </c>
      <c r="J2135">
        <v>43.8</v>
      </c>
    </row>
    <row r="2136" spans="1:10" x14ac:dyDescent="0.25">
      <c r="A2136" t="s">
        <v>4661</v>
      </c>
      <c r="B2136" s="3">
        <v>44956</v>
      </c>
      <c r="C2136" t="s">
        <v>2615</v>
      </c>
      <c r="D2136" t="s">
        <v>3512</v>
      </c>
      <c r="E2136">
        <v>3</v>
      </c>
      <c r="F2136" t="s">
        <v>3525</v>
      </c>
      <c r="G2136" t="s">
        <v>3519</v>
      </c>
      <c r="H2136">
        <v>2.5</v>
      </c>
      <c r="I2136">
        <v>33.5</v>
      </c>
      <c r="J2136">
        <v>100.5</v>
      </c>
    </row>
    <row r="2137" spans="1:10" x14ac:dyDescent="0.25">
      <c r="A2137" t="s">
        <v>4662</v>
      </c>
      <c r="B2137" s="3">
        <v>45164</v>
      </c>
      <c r="C2137" t="s">
        <v>2198</v>
      </c>
      <c r="D2137" t="s">
        <v>3477</v>
      </c>
      <c r="E2137">
        <v>3</v>
      </c>
      <c r="F2137" t="s">
        <v>3524</v>
      </c>
      <c r="G2137" t="s">
        <v>3519</v>
      </c>
      <c r="H2137">
        <v>0.5</v>
      </c>
      <c r="I2137">
        <v>6</v>
      </c>
      <c r="J2137">
        <v>18</v>
      </c>
    </row>
    <row r="2138" spans="1:10" x14ac:dyDescent="0.25">
      <c r="A2138" t="s">
        <v>4663</v>
      </c>
      <c r="B2138" s="3">
        <v>45645</v>
      </c>
      <c r="C2138" t="s">
        <v>1669</v>
      </c>
      <c r="D2138" t="s">
        <v>3509</v>
      </c>
      <c r="E2138">
        <v>5</v>
      </c>
      <c r="F2138" t="s">
        <v>3524</v>
      </c>
      <c r="G2138" t="s">
        <v>3517</v>
      </c>
      <c r="H2138">
        <v>0.2</v>
      </c>
      <c r="I2138">
        <v>3.6</v>
      </c>
      <c r="J2138">
        <v>18</v>
      </c>
    </row>
    <row r="2139" spans="1:10" x14ac:dyDescent="0.25">
      <c r="A2139" t="s">
        <v>4664</v>
      </c>
      <c r="B2139" s="3">
        <v>45341</v>
      </c>
      <c r="C2139" t="s">
        <v>2314</v>
      </c>
      <c r="D2139" t="s">
        <v>3514</v>
      </c>
      <c r="E2139">
        <v>4</v>
      </c>
      <c r="F2139" t="s">
        <v>3526</v>
      </c>
      <c r="G2139" t="s">
        <v>3518</v>
      </c>
      <c r="H2139">
        <v>1</v>
      </c>
      <c r="I2139">
        <v>12.2</v>
      </c>
      <c r="J2139">
        <v>48.8</v>
      </c>
    </row>
    <row r="2140" spans="1:10" x14ac:dyDescent="0.25">
      <c r="A2140" t="s">
        <v>4665</v>
      </c>
      <c r="B2140" s="3">
        <v>45630</v>
      </c>
      <c r="C2140" t="s">
        <v>2278</v>
      </c>
      <c r="D2140" t="s">
        <v>3490</v>
      </c>
      <c r="E2140">
        <v>5</v>
      </c>
      <c r="F2140" t="s">
        <v>3525</v>
      </c>
      <c r="G2140" t="s">
        <v>3519</v>
      </c>
      <c r="H2140">
        <v>0.2</v>
      </c>
      <c r="I2140">
        <v>4.4000000000000004</v>
      </c>
      <c r="J2140">
        <v>22</v>
      </c>
    </row>
    <row r="2141" spans="1:10" x14ac:dyDescent="0.25">
      <c r="A2141" t="s">
        <v>4666</v>
      </c>
      <c r="B2141" s="3">
        <v>43497</v>
      </c>
      <c r="C2141" t="s">
        <v>1366</v>
      </c>
      <c r="D2141" t="s">
        <v>3502</v>
      </c>
      <c r="E2141">
        <v>2</v>
      </c>
      <c r="F2141" t="s">
        <v>3526</v>
      </c>
      <c r="G2141" t="s">
        <v>3517</v>
      </c>
      <c r="H2141">
        <v>1</v>
      </c>
      <c r="I2141">
        <v>14.9</v>
      </c>
      <c r="J2141">
        <v>29.8</v>
      </c>
    </row>
    <row r="2142" spans="1:10" x14ac:dyDescent="0.25">
      <c r="A2142" t="s">
        <v>4667</v>
      </c>
      <c r="B2142" s="3">
        <v>44665</v>
      </c>
      <c r="C2142" t="s">
        <v>3429</v>
      </c>
      <c r="D2142" t="s">
        <v>3474</v>
      </c>
      <c r="E2142">
        <v>2</v>
      </c>
      <c r="F2142" t="s">
        <v>3525</v>
      </c>
      <c r="G2142" t="s">
        <v>3518</v>
      </c>
      <c r="H2142">
        <v>1</v>
      </c>
      <c r="I2142">
        <v>13</v>
      </c>
      <c r="J2142">
        <v>26</v>
      </c>
    </row>
    <row r="2143" spans="1:10" x14ac:dyDescent="0.25">
      <c r="A2143" t="s">
        <v>4668</v>
      </c>
      <c r="B2143" s="3">
        <v>44815</v>
      </c>
      <c r="C2143" t="s">
        <v>1293</v>
      </c>
      <c r="D2143" t="s">
        <v>3490</v>
      </c>
      <c r="E2143">
        <v>4</v>
      </c>
      <c r="F2143" t="s">
        <v>3525</v>
      </c>
      <c r="G2143" t="s">
        <v>3519</v>
      </c>
      <c r="H2143">
        <v>0.2</v>
      </c>
      <c r="I2143">
        <v>4.4000000000000004</v>
      </c>
      <c r="J2143">
        <v>17.600000000000001</v>
      </c>
    </row>
    <row r="2144" spans="1:10" x14ac:dyDescent="0.25">
      <c r="A2144" t="s">
        <v>4669</v>
      </c>
      <c r="B2144" s="3">
        <v>44640</v>
      </c>
      <c r="C2144" t="s">
        <v>1806</v>
      </c>
      <c r="D2144" t="s">
        <v>3478</v>
      </c>
      <c r="E2144">
        <v>2</v>
      </c>
      <c r="F2144" t="s">
        <v>3523</v>
      </c>
      <c r="G2144" t="s">
        <v>3518</v>
      </c>
      <c r="H2144">
        <v>1</v>
      </c>
      <c r="I2144">
        <v>10</v>
      </c>
      <c r="J2144">
        <v>20</v>
      </c>
    </row>
    <row r="2145" spans="1:10" x14ac:dyDescent="0.25">
      <c r="A2145" t="s">
        <v>4670</v>
      </c>
      <c r="B2145" s="3">
        <v>45448</v>
      </c>
      <c r="C2145" t="s">
        <v>1411</v>
      </c>
      <c r="D2145" t="s">
        <v>3494</v>
      </c>
      <c r="E2145">
        <v>5</v>
      </c>
      <c r="F2145" t="s">
        <v>3524</v>
      </c>
      <c r="G2145" t="s">
        <v>3518</v>
      </c>
      <c r="H2145">
        <v>0.2</v>
      </c>
      <c r="I2145">
        <v>2.7</v>
      </c>
      <c r="J2145">
        <v>13.5</v>
      </c>
    </row>
    <row r="2146" spans="1:10" x14ac:dyDescent="0.25">
      <c r="A2146" t="s">
        <v>4671</v>
      </c>
      <c r="B2146" s="3">
        <v>44574</v>
      </c>
      <c r="C2146" t="s">
        <v>2308</v>
      </c>
      <c r="D2146" t="s">
        <v>3486</v>
      </c>
      <c r="E2146">
        <v>5</v>
      </c>
      <c r="F2146" t="s">
        <v>3523</v>
      </c>
      <c r="G2146" t="s">
        <v>3519</v>
      </c>
      <c r="H2146">
        <v>1</v>
      </c>
      <c r="I2146">
        <v>11.3</v>
      </c>
      <c r="J2146">
        <v>56.5</v>
      </c>
    </row>
    <row r="2147" spans="1:10" x14ac:dyDescent="0.25">
      <c r="A2147" t="s">
        <v>4672</v>
      </c>
      <c r="B2147" s="3">
        <v>44664</v>
      </c>
      <c r="C2147" t="s">
        <v>3160</v>
      </c>
      <c r="D2147" t="s">
        <v>3490</v>
      </c>
      <c r="E2147">
        <v>4</v>
      </c>
      <c r="F2147" t="s">
        <v>3525</v>
      </c>
      <c r="G2147" t="s">
        <v>3519</v>
      </c>
      <c r="H2147">
        <v>0.2</v>
      </c>
      <c r="I2147">
        <v>4.4000000000000004</v>
      </c>
      <c r="J2147">
        <v>17.600000000000001</v>
      </c>
    </row>
    <row r="2148" spans="1:10" x14ac:dyDescent="0.25">
      <c r="A2148" t="s">
        <v>4673</v>
      </c>
      <c r="B2148" s="3">
        <v>45649</v>
      </c>
      <c r="C2148" t="s">
        <v>1278</v>
      </c>
      <c r="D2148" t="s">
        <v>3476</v>
      </c>
      <c r="E2148">
        <v>3</v>
      </c>
      <c r="F2148" t="s">
        <v>3525</v>
      </c>
      <c r="G2148" t="s">
        <v>3517</v>
      </c>
      <c r="H2148">
        <v>0.2</v>
      </c>
      <c r="I2148">
        <v>4.8</v>
      </c>
      <c r="J2148">
        <v>14.4</v>
      </c>
    </row>
    <row r="2149" spans="1:10" x14ac:dyDescent="0.25">
      <c r="A2149" t="s">
        <v>4674</v>
      </c>
      <c r="B2149" s="3">
        <v>45026</v>
      </c>
      <c r="C2149" t="s">
        <v>664</v>
      </c>
      <c r="D2149" t="s">
        <v>3488</v>
      </c>
      <c r="E2149">
        <v>3</v>
      </c>
      <c r="F2149" t="s">
        <v>3523</v>
      </c>
      <c r="G2149" t="s">
        <v>3519</v>
      </c>
      <c r="H2149">
        <v>0.5</v>
      </c>
      <c r="I2149">
        <v>6.8</v>
      </c>
      <c r="J2149">
        <v>20.399999999999999</v>
      </c>
    </row>
    <row r="2150" spans="1:10" x14ac:dyDescent="0.25">
      <c r="A2150" t="s">
        <v>4675</v>
      </c>
      <c r="B2150" s="3">
        <v>45331</v>
      </c>
      <c r="C2150" t="s">
        <v>2891</v>
      </c>
      <c r="D2150" t="s">
        <v>3488</v>
      </c>
      <c r="E2150">
        <v>4</v>
      </c>
      <c r="F2150" t="s">
        <v>3523</v>
      </c>
      <c r="G2150" t="s">
        <v>3519</v>
      </c>
      <c r="H2150">
        <v>0.5</v>
      </c>
      <c r="I2150">
        <v>6.8</v>
      </c>
      <c r="J2150">
        <v>27.2</v>
      </c>
    </row>
    <row r="2151" spans="1:10" x14ac:dyDescent="0.25">
      <c r="A2151" t="s">
        <v>4676</v>
      </c>
      <c r="B2151" s="3">
        <v>45638</v>
      </c>
      <c r="C2151" t="s">
        <v>3378</v>
      </c>
      <c r="D2151" t="s">
        <v>3474</v>
      </c>
      <c r="E2151">
        <v>5</v>
      </c>
      <c r="F2151" t="s">
        <v>3525</v>
      </c>
      <c r="G2151" t="s">
        <v>3518</v>
      </c>
      <c r="H2151">
        <v>1</v>
      </c>
      <c r="I2151">
        <v>13</v>
      </c>
      <c r="J2151">
        <v>65</v>
      </c>
    </row>
    <row r="2152" spans="1:10" x14ac:dyDescent="0.25">
      <c r="A2152" t="s">
        <v>4677</v>
      </c>
      <c r="B2152" s="3">
        <v>44649</v>
      </c>
      <c r="C2152" t="s">
        <v>1567</v>
      </c>
      <c r="D2152" t="s">
        <v>3475</v>
      </c>
      <c r="E2152">
        <v>1</v>
      </c>
      <c r="F2152" t="s">
        <v>3526</v>
      </c>
      <c r="G2152" t="s">
        <v>3518</v>
      </c>
      <c r="H2152">
        <v>0.5</v>
      </c>
      <c r="I2152">
        <v>7.3</v>
      </c>
      <c r="J2152">
        <v>7.3</v>
      </c>
    </row>
    <row r="2153" spans="1:10" x14ac:dyDescent="0.25">
      <c r="A2153" t="s">
        <v>4678</v>
      </c>
      <c r="B2153" s="3">
        <v>45111</v>
      </c>
      <c r="C2153" t="s">
        <v>2660</v>
      </c>
      <c r="D2153" t="s">
        <v>3471</v>
      </c>
      <c r="E2153">
        <v>2</v>
      </c>
      <c r="F2153" t="s">
        <v>3523</v>
      </c>
      <c r="G2153" t="s">
        <v>3517</v>
      </c>
      <c r="H2153">
        <v>1</v>
      </c>
      <c r="I2153">
        <v>13</v>
      </c>
      <c r="J2153">
        <v>26</v>
      </c>
    </row>
    <row r="2154" spans="1:10" x14ac:dyDescent="0.25">
      <c r="A2154" t="s">
        <v>4679</v>
      </c>
      <c r="B2154" s="3">
        <v>44353</v>
      </c>
      <c r="C2154" t="s">
        <v>3066</v>
      </c>
      <c r="D2154" t="s">
        <v>3510</v>
      </c>
      <c r="E2154">
        <v>2</v>
      </c>
      <c r="F2154" t="s">
        <v>3524</v>
      </c>
      <c r="G2154" t="s">
        <v>3517</v>
      </c>
      <c r="H2154">
        <v>1</v>
      </c>
      <c r="I2154">
        <v>12</v>
      </c>
      <c r="J2154">
        <v>24</v>
      </c>
    </row>
    <row r="2155" spans="1:10" x14ac:dyDescent="0.25">
      <c r="A2155" t="s">
        <v>4680</v>
      </c>
      <c r="B2155" s="3">
        <v>44114</v>
      </c>
      <c r="C2155" t="s">
        <v>2494</v>
      </c>
      <c r="D2155" t="s">
        <v>3505</v>
      </c>
      <c r="E2155">
        <v>1</v>
      </c>
      <c r="F2155" t="s">
        <v>3524</v>
      </c>
      <c r="G2155" t="s">
        <v>3519</v>
      </c>
      <c r="H2155">
        <v>0.2</v>
      </c>
      <c r="I2155">
        <v>3</v>
      </c>
      <c r="J2155">
        <v>3</v>
      </c>
    </row>
    <row r="2156" spans="1:10" x14ac:dyDescent="0.25">
      <c r="A2156" t="s">
        <v>4681</v>
      </c>
      <c r="B2156" s="3">
        <v>45640</v>
      </c>
      <c r="C2156" t="s">
        <v>1556</v>
      </c>
      <c r="D2156" t="s">
        <v>3490</v>
      </c>
      <c r="E2156">
        <v>1</v>
      </c>
      <c r="F2156" t="s">
        <v>3525</v>
      </c>
      <c r="G2156" t="s">
        <v>3519</v>
      </c>
      <c r="H2156">
        <v>0.2</v>
      </c>
      <c r="I2156">
        <v>4.4000000000000004</v>
      </c>
      <c r="J2156">
        <v>4.4000000000000004</v>
      </c>
    </row>
    <row r="2157" spans="1:10" x14ac:dyDescent="0.25">
      <c r="A2157" t="s">
        <v>4682</v>
      </c>
      <c r="B2157" s="3">
        <v>44905</v>
      </c>
      <c r="C2157" t="s">
        <v>2435</v>
      </c>
      <c r="D2157" t="s">
        <v>3475</v>
      </c>
      <c r="E2157">
        <v>2</v>
      </c>
      <c r="F2157" t="s">
        <v>3526</v>
      </c>
      <c r="G2157" t="s">
        <v>3518</v>
      </c>
      <c r="H2157">
        <v>0.5</v>
      </c>
      <c r="I2157">
        <v>7.3</v>
      </c>
      <c r="J2157">
        <v>14.6</v>
      </c>
    </row>
    <row r="2158" spans="1:10" x14ac:dyDescent="0.25">
      <c r="A2158" t="s">
        <v>4683</v>
      </c>
      <c r="B2158" s="3">
        <v>45002</v>
      </c>
      <c r="C2158" t="s">
        <v>742</v>
      </c>
      <c r="D2158" t="s">
        <v>3513</v>
      </c>
      <c r="E2158">
        <v>2</v>
      </c>
      <c r="F2158" t="s">
        <v>3523</v>
      </c>
      <c r="G2158" t="s">
        <v>3517</v>
      </c>
      <c r="H2158">
        <v>2.5</v>
      </c>
      <c r="I2158">
        <v>29.8</v>
      </c>
      <c r="J2158">
        <v>59.6</v>
      </c>
    </row>
    <row r="2159" spans="1:10" x14ac:dyDescent="0.25">
      <c r="A2159" t="s">
        <v>4684</v>
      </c>
      <c r="B2159" s="3">
        <v>44317</v>
      </c>
      <c r="C2159" t="s">
        <v>1723</v>
      </c>
      <c r="D2159" t="s">
        <v>3484</v>
      </c>
      <c r="E2159">
        <v>1</v>
      </c>
      <c r="F2159" t="s">
        <v>3526</v>
      </c>
      <c r="G2159" t="s">
        <v>3518</v>
      </c>
      <c r="H2159">
        <v>0.2</v>
      </c>
      <c r="I2159">
        <v>3.6</v>
      </c>
      <c r="J2159">
        <v>3.6</v>
      </c>
    </row>
    <row r="2160" spans="1:10" x14ac:dyDescent="0.25">
      <c r="A2160" t="s">
        <v>4685</v>
      </c>
      <c r="B2160" s="3">
        <v>44732</v>
      </c>
      <c r="C2160" t="s">
        <v>2954</v>
      </c>
      <c r="D2160" t="s">
        <v>3505</v>
      </c>
      <c r="E2160">
        <v>2</v>
      </c>
      <c r="F2160" t="s">
        <v>3524</v>
      </c>
      <c r="G2160" t="s">
        <v>3519</v>
      </c>
      <c r="H2160">
        <v>0.2</v>
      </c>
      <c r="I2160">
        <v>3</v>
      </c>
      <c r="J2160">
        <v>6</v>
      </c>
    </row>
    <row r="2161" spans="1:10" x14ac:dyDescent="0.25">
      <c r="A2161" t="s">
        <v>4686</v>
      </c>
      <c r="B2161" s="3">
        <v>44949</v>
      </c>
      <c r="C2161" t="s">
        <v>541</v>
      </c>
      <c r="D2161" t="s">
        <v>3505</v>
      </c>
      <c r="E2161">
        <v>2</v>
      </c>
      <c r="F2161" t="s">
        <v>3524</v>
      </c>
      <c r="G2161" t="s">
        <v>3519</v>
      </c>
      <c r="H2161">
        <v>0.2</v>
      </c>
      <c r="I2161">
        <v>3</v>
      </c>
      <c r="J2161">
        <v>6</v>
      </c>
    </row>
    <row r="2162" spans="1:10" x14ac:dyDescent="0.25">
      <c r="A2162" t="s">
        <v>4687</v>
      </c>
      <c r="B2162" s="3">
        <v>45588</v>
      </c>
      <c r="C2162" t="s">
        <v>1384</v>
      </c>
      <c r="D2162" t="s">
        <v>3472</v>
      </c>
      <c r="E2162">
        <v>2</v>
      </c>
      <c r="F2162" t="s">
        <v>3526</v>
      </c>
      <c r="G2162" t="s">
        <v>3519</v>
      </c>
      <c r="H2162">
        <v>1</v>
      </c>
      <c r="I2162">
        <v>13.8</v>
      </c>
      <c r="J2162">
        <v>27.6</v>
      </c>
    </row>
    <row r="2163" spans="1:10" x14ac:dyDescent="0.25">
      <c r="A2163" t="s">
        <v>4688</v>
      </c>
      <c r="B2163" s="3">
        <v>44375</v>
      </c>
      <c r="C2163" t="s">
        <v>890</v>
      </c>
      <c r="D2163" t="s">
        <v>3485</v>
      </c>
      <c r="E2163">
        <v>4</v>
      </c>
      <c r="F2163" t="s">
        <v>3523</v>
      </c>
      <c r="G2163" t="s">
        <v>3518</v>
      </c>
      <c r="H2163">
        <v>0.2</v>
      </c>
      <c r="I2163">
        <v>3</v>
      </c>
      <c r="J2163">
        <v>12</v>
      </c>
    </row>
    <row r="2164" spans="1:10" x14ac:dyDescent="0.25">
      <c r="A2164" t="s">
        <v>4689</v>
      </c>
      <c r="B2164" s="3">
        <v>45625</v>
      </c>
      <c r="C2164" t="s">
        <v>829</v>
      </c>
      <c r="D2164" t="s">
        <v>3504</v>
      </c>
      <c r="E2164">
        <v>1</v>
      </c>
      <c r="F2164" t="s">
        <v>3524</v>
      </c>
      <c r="G2164" t="s">
        <v>3517</v>
      </c>
      <c r="H2164">
        <v>0.5</v>
      </c>
      <c r="I2164">
        <v>7.2</v>
      </c>
      <c r="J2164">
        <v>7.2</v>
      </c>
    </row>
    <row r="2165" spans="1:10" x14ac:dyDescent="0.25">
      <c r="A2165" t="s">
        <v>4690</v>
      </c>
      <c r="B2165" s="3">
        <v>43806</v>
      </c>
      <c r="C2165" t="s">
        <v>3106</v>
      </c>
      <c r="D2165" t="s">
        <v>3495</v>
      </c>
      <c r="E2165">
        <v>4</v>
      </c>
      <c r="F2165" t="s">
        <v>3525</v>
      </c>
      <c r="G2165" t="s">
        <v>3517</v>
      </c>
      <c r="H2165">
        <v>2.5</v>
      </c>
      <c r="I2165">
        <v>36.5</v>
      </c>
      <c r="J2165">
        <v>146</v>
      </c>
    </row>
    <row r="2166" spans="1:10" x14ac:dyDescent="0.25">
      <c r="A2166" t="s">
        <v>4691</v>
      </c>
      <c r="B2166" s="3">
        <v>43493</v>
      </c>
      <c r="C2166" t="s">
        <v>1300</v>
      </c>
      <c r="D2166" t="s">
        <v>3495</v>
      </c>
      <c r="E2166">
        <v>4</v>
      </c>
      <c r="F2166" t="s">
        <v>3525</v>
      </c>
      <c r="G2166" t="s">
        <v>3517</v>
      </c>
      <c r="H2166">
        <v>2.5</v>
      </c>
      <c r="I2166">
        <v>36.5</v>
      </c>
      <c r="J2166">
        <v>146</v>
      </c>
    </row>
    <row r="2167" spans="1:10" x14ac:dyDescent="0.25">
      <c r="A2167" t="s">
        <v>4692</v>
      </c>
      <c r="B2167" s="3">
        <v>45109</v>
      </c>
      <c r="C2167" t="s">
        <v>1640</v>
      </c>
      <c r="D2167" t="s">
        <v>3487</v>
      </c>
      <c r="E2167">
        <v>6</v>
      </c>
      <c r="F2167" t="s">
        <v>3526</v>
      </c>
      <c r="G2167" t="s">
        <v>3519</v>
      </c>
      <c r="H2167">
        <v>0.2</v>
      </c>
      <c r="I2167">
        <v>4.0999999999999996</v>
      </c>
      <c r="J2167">
        <v>24.6</v>
      </c>
    </row>
    <row r="2168" spans="1:10" x14ac:dyDescent="0.25">
      <c r="A2168" t="s">
        <v>4693</v>
      </c>
      <c r="B2168" s="3">
        <v>43880</v>
      </c>
      <c r="C2168" t="s">
        <v>1806</v>
      </c>
      <c r="D2168" t="s">
        <v>3497</v>
      </c>
      <c r="E2168">
        <v>1</v>
      </c>
      <c r="F2168" t="s">
        <v>3526</v>
      </c>
      <c r="G2168" t="s">
        <v>3519</v>
      </c>
      <c r="H2168">
        <v>2.5</v>
      </c>
      <c r="I2168">
        <v>31.6</v>
      </c>
      <c r="J2168">
        <v>31.6</v>
      </c>
    </row>
    <row r="2169" spans="1:10" x14ac:dyDescent="0.25">
      <c r="A2169" t="s">
        <v>4694</v>
      </c>
      <c r="B2169" s="3">
        <v>44338</v>
      </c>
      <c r="C2169" t="s">
        <v>1573</v>
      </c>
      <c r="D2169" t="s">
        <v>3512</v>
      </c>
      <c r="E2169">
        <v>1</v>
      </c>
      <c r="F2169" t="s">
        <v>3525</v>
      </c>
      <c r="G2169" t="s">
        <v>3519</v>
      </c>
      <c r="H2169">
        <v>2.5</v>
      </c>
      <c r="I2169">
        <v>33.5</v>
      </c>
      <c r="J2169">
        <v>33.5</v>
      </c>
    </row>
    <row r="2170" spans="1:10" x14ac:dyDescent="0.25">
      <c r="A2170" t="s">
        <v>4695</v>
      </c>
      <c r="B2170" s="3">
        <v>44042</v>
      </c>
      <c r="C2170" t="s">
        <v>1452</v>
      </c>
      <c r="D2170" t="s">
        <v>3496</v>
      </c>
      <c r="E2170">
        <v>6</v>
      </c>
      <c r="F2170" t="s">
        <v>3525</v>
      </c>
      <c r="G2170" t="s">
        <v>3518</v>
      </c>
      <c r="H2170">
        <v>2.5</v>
      </c>
      <c r="I2170">
        <v>29.8</v>
      </c>
      <c r="J2170">
        <v>178.8</v>
      </c>
    </row>
    <row r="2171" spans="1:10" x14ac:dyDescent="0.25">
      <c r="A2171" t="s">
        <v>4696</v>
      </c>
      <c r="B2171" s="3">
        <v>44798</v>
      </c>
      <c r="C2171" t="s">
        <v>2296</v>
      </c>
      <c r="D2171" t="s">
        <v>3512</v>
      </c>
      <c r="E2171">
        <v>4</v>
      </c>
      <c r="F2171" t="s">
        <v>3525</v>
      </c>
      <c r="G2171" t="s">
        <v>3519</v>
      </c>
      <c r="H2171">
        <v>2.5</v>
      </c>
      <c r="I2171">
        <v>33.5</v>
      </c>
      <c r="J2171">
        <v>134</v>
      </c>
    </row>
    <row r="2172" spans="1:10" x14ac:dyDescent="0.25">
      <c r="A2172" t="s">
        <v>4697</v>
      </c>
      <c r="B2172" s="3">
        <v>44655</v>
      </c>
      <c r="C2172" t="s">
        <v>947</v>
      </c>
      <c r="D2172" t="s">
        <v>3509</v>
      </c>
      <c r="E2172">
        <v>4</v>
      </c>
      <c r="F2172" t="s">
        <v>3524</v>
      </c>
      <c r="G2172" t="s">
        <v>3517</v>
      </c>
      <c r="H2172">
        <v>0.2</v>
      </c>
      <c r="I2172">
        <v>3.6</v>
      </c>
      <c r="J2172">
        <v>14.4</v>
      </c>
    </row>
    <row r="2173" spans="1:10" x14ac:dyDescent="0.25">
      <c r="A2173" t="s">
        <v>4698</v>
      </c>
      <c r="B2173" s="3">
        <v>44020</v>
      </c>
      <c r="C2173" t="s">
        <v>2618</v>
      </c>
      <c r="D2173" t="s">
        <v>3480</v>
      </c>
      <c r="E2173">
        <v>5</v>
      </c>
      <c r="F2173" t="s">
        <v>3524</v>
      </c>
      <c r="G2173" t="s">
        <v>3518</v>
      </c>
      <c r="H2173">
        <v>2.5</v>
      </c>
      <c r="I2173">
        <v>20.6</v>
      </c>
      <c r="J2173">
        <v>103</v>
      </c>
    </row>
    <row r="2174" spans="1:10" x14ac:dyDescent="0.25">
      <c r="A2174" t="s">
        <v>4699</v>
      </c>
      <c r="B2174" s="3">
        <v>45193</v>
      </c>
      <c r="C2174" t="s">
        <v>1494</v>
      </c>
      <c r="D2174" t="s">
        <v>3513</v>
      </c>
      <c r="E2174">
        <v>2</v>
      </c>
      <c r="F2174" t="s">
        <v>3523</v>
      </c>
      <c r="G2174" t="s">
        <v>3517</v>
      </c>
      <c r="H2174">
        <v>2.5</v>
      </c>
      <c r="I2174">
        <v>29.8</v>
      </c>
      <c r="J2174">
        <v>59.6</v>
      </c>
    </row>
    <row r="2175" spans="1:10" x14ac:dyDescent="0.25">
      <c r="A2175" t="s">
        <v>4700</v>
      </c>
      <c r="B2175" s="3">
        <v>44403</v>
      </c>
      <c r="C2175" t="s">
        <v>1523</v>
      </c>
      <c r="D2175" t="s">
        <v>3505</v>
      </c>
      <c r="E2175">
        <v>4</v>
      </c>
      <c r="F2175" t="s">
        <v>3524</v>
      </c>
      <c r="G2175" t="s">
        <v>3519</v>
      </c>
      <c r="H2175">
        <v>0.2</v>
      </c>
      <c r="I2175">
        <v>3</v>
      </c>
      <c r="J2175">
        <v>12</v>
      </c>
    </row>
    <row r="2176" spans="1:10" x14ac:dyDescent="0.25">
      <c r="A2176" t="s">
        <v>4701</v>
      </c>
      <c r="B2176" s="3">
        <v>44534</v>
      </c>
      <c r="C2176" t="s">
        <v>2843</v>
      </c>
      <c r="D2176" t="s">
        <v>3514</v>
      </c>
      <c r="E2176">
        <v>3</v>
      </c>
      <c r="F2176" t="s">
        <v>3526</v>
      </c>
      <c r="G2176" t="s">
        <v>3518</v>
      </c>
      <c r="H2176">
        <v>1</v>
      </c>
      <c r="I2176">
        <v>12.2</v>
      </c>
      <c r="J2176">
        <v>36.6</v>
      </c>
    </row>
    <row r="2177" spans="1:10" x14ac:dyDescent="0.25">
      <c r="A2177" t="s">
        <v>4702</v>
      </c>
      <c r="B2177" s="3">
        <v>45245</v>
      </c>
      <c r="C2177" t="s">
        <v>3458</v>
      </c>
      <c r="D2177" t="s">
        <v>3496</v>
      </c>
      <c r="E2177">
        <v>4</v>
      </c>
      <c r="F2177" t="s">
        <v>3525</v>
      </c>
      <c r="G2177" t="s">
        <v>3518</v>
      </c>
      <c r="H2177">
        <v>2.5</v>
      </c>
      <c r="I2177">
        <v>29.8</v>
      </c>
      <c r="J2177">
        <v>119.2</v>
      </c>
    </row>
    <row r="2178" spans="1:10" x14ac:dyDescent="0.25">
      <c r="A2178" t="s">
        <v>4703</v>
      </c>
      <c r="B2178" s="3">
        <v>44270</v>
      </c>
      <c r="C2178" t="s">
        <v>2356</v>
      </c>
      <c r="D2178" t="s">
        <v>3510</v>
      </c>
      <c r="E2178">
        <v>6</v>
      </c>
      <c r="F2178" t="s">
        <v>3524</v>
      </c>
      <c r="G2178" t="s">
        <v>3517</v>
      </c>
      <c r="H2178">
        <v>1</v>
      </c>
      <c r="I2178">
        <v>12</v>
      </c>
      <c r="J2178">
        <v>72</v>
      </c>
    </row>
    <row r="2179" spans="1:10" x14ac:dyDescent="0.25">
      <c r="A2179" t="s">
        <v>4704</v>
      </c>
      <c r="B2179" s="3">
        <v>45570</v>
      </c>
      <c r="C2179" t="s">
        <v>2509</v>
      </c>
      <c r="D2179" t="s">
        <v>3481</v>
      </c>
      <c r="E2179">
        <v>3</v>
      </c>
      <c r="F2179" t="s">
        <v>3525</v>
      </c>
      <c r="G2179" t="s">
        <v>3518</v>
      </c>
      <c r="H2179">
        <v>0.2</v>
      </c>
      <c r="I2179">
        <v>3.9</v>
      </c>
      <c r="J2179">
        <v>11.7</v>
      </c>
    </row>
    <row r="2180" spans="1:10" x14ac:dyDescent="0.25">
      <c r="A2180" t="s">
        <v>4705</v>
      </c>
      <c r="B2180" s="3">
        <v>45015</v>
      </c>
      <c r="C2180" t="s">
        <v>3449</v>
      </c>
      <c r="D2180" t="s">
        <v>3473</v>
      </c>
      <c r="E2180">
        <v>2</v>
      </c>
      <c r="F2180" t="s">
        <v>3524</v>
      </c>
      <c r="G2180" t="s">
        <v>3517</v>
      </c>
      <c r="H2180">
        <v>2.5</v>
      </c>
      <c r="I2180">
        <v>27.5</v>
      </c>
      <c r="J2180">
        <v>55</v>
      </c>
    </row>
    <row r="2181" spans="1:10" x14ac:dyDescent="0.25">
      <c r="A2181" t="s">
        <v>4706</v>
      </c>
      <c r="B2181" s="3">
        <v>44698</v>
      </c>
      <c r="C2181" t="s">
        <v>1708</v>
      </c>
      <c r="D2181" t="s">
        <v>3488</v>
      </c>
      <c r="E2181">
        <v>4</v>
      </c>
      <c r="F2181" t="s">
        <v>3523</v>
      </c>
      <c r="G2181" t="s">
        <v>3519</v>
      </c>
      <c r="H2181">
        <v>0.5</v>
      </c>
      <c r="I2181">
        <v>6.8</v>
      </c>
      <c r="J2181">
        <v>27.2</v>
      </c>
    </row>
    <row r="2182" spans="1:10" x14ac:dyDescent="0.25">
      <c r="A2182" t="s">
        <v>4707</v>
      </c>
      <c r="B2182" s="3">
        <v>45292</v>
      </c>
      <c r="C2182" t="s">
        <v>2948</v>
      </c>
      <c r="D2182" t="s">
        <v>3513</v>
      </c>
      <c r="E2182">
        <v>3</v>
      </c>
      <c r="F2182" t="s">
        <v>3523</v>
      </c>
      <c r="G2182" t="s">
        <v>3517</v>
      </c>
      <c r="H2182">
        <v>2.5</v>
      </c>
      <c r="I2182">
        <v>29.8</v>
      </c>
      <c r="J2182">
        <v>89.4</v>
      </c>
    </row>
    <row r="2183" spans="1:10" x14ac:dyDescent="0.25">
      <c r="A2183" t="s">
        <v>4708</v>
      </c>
      <c r="B2183" s="3">
        <v>45014</v>
      </c>
      <c r="C2183" t="s">
        <v>1556</v>
      </c>
      <c r="D2183" t="s">
        <v>3473</v>
      </c>
      <c r="E2183">
        <v>2</v>
      </c>
      <c r="F2183" t="s">
        <v>3524</v>
      </c>
      <c r="G2183" t="s">
        <v>3517</v>
      </c>
      <c r="H2183">
        <v>2.5</v>
      </c>
      <c r="I2183">
        <v>27.5</v>
      </c>
      <c r="J2183">
        <v>55</v>
      </c>
    </row>
    <row r="2184" spans="1:10" x14ac:dyDescent="0.25">
      <c r="A2184" t="s">
        <v>4709</v>
      </c>
      <c r="B2184" s="3">
        <v>44971</v>
      </c>
      <c r="C2184" t="s">
        <v>981</v>
      </c>
      <c r="D2184" t="s">
        <v>3482</v>
      </c>
      <c r="E2184">
        <v>5</v>
      </c>
      <c r="F2184" t="s">
        <v>3524</v>
      </c>
      <c r="G2184" t="s">
        <v>3519</v>
      </c>
      <c r="H2184">
        <v>2.5</v>
      </c>
      <c r="I2184">
        <v>22.9</v>
      </c>
      <c r="J2184">
        <v>114.5</v>
      </c>
    </row>
    <row r="2185" spans="1:10" x14ac:dyDescent="0.25">
      <c r="A2185" t="s">
        <v>4710</v>
      </c>
      <c r="B2185" s="3">
        <v>45467</v>
      </c>
      <c r="C2185" t="s">
        <v>1559</v>
      </c>
      <c r="D2185" t="s">
        <v>3512</v>
      </c>
      <c r="E2185">
        <v>4</v>
      </c>
      <c r="F2185" t="s">
        <v>3525</v>
      </c>
      <c r="G2185" t="s">
        <v>3519</v>
      </c>
      <c r="H2185">
        <v>2.5</v>
      </c>
      <c r="I2185">
        <v>33.5</v>
      </c>
      <c r="J2185">
        <v>134</v>
      </c>
    </row>
    <row r="2186" spans="1:10" x14ac:dyDescent="0.25">
      <c r="A2186" t="s">
        <v>4711</v>
      </c>
      <c r="B2186" s="3">
        <v>44088</v>
      </c>
      <c r="C2186" t="s">
        <v>1797</v>
      </c>
      <c r="D2186" t="s">
        <v>3513</v>
      </c>
      <c r="E2186">
        <v>3</v>
      </c>
      <c r="F2186" t="s">
        <v>3523</v>
      </c>
      <c r="G2186" t="s">
        <v>3517</v>
      </c>
      <c r="H2186">
        <v>2.5</v>
      </c>
      <c r="I2186">
        <v>29.8</v>
      </c>
      <c r="J2186">
        <v>89.4</v>
      </c>
    </row>
    <row r="2187" spans="1:10" x14ac:dyDescent="0.25">
      <c r="A2187" t="s">
        <v>4712</v>
      </c>
      <c r="B2187" s="3">
        <v>44718</v>
      </c>
      <c r="C2187" t="s">
        <v>2137</v>
      </c>
      <c r="D2187" t="s">
        <v>3499</v>
      </c>
      <c r="E2187">
        <v>5</v>
      </c>
      <c r="F2187" t="s">
        <v>3523</v>
      </c>
      <c r="G2187" t="s">
        <v>3518</v>
      </c>
      <c r="H2187">
        <v>2.5</v>
      </c>
      <c r="I2187">
        <v>22.9</v>
      </c>
      <c r="J2187">
        <v>114.5</v>
      </c>
    </row>
    <row r="2188" spans="1:10" x14ac:dyDescent="0.25">
      <c r="A2188" t="s">
        <v>4713</v>
      </c>
      <c r="B2188" s="3">
        <v>43529</v>
      </c>
      <c r="C2188" t="s">
        <v>1819</v>
      </c>
      <c r="D2188" t="s">
        <v>3486</v>
      </c>
      <c r="E2188">
        <v>5</v>
      </c>
      <c r="F2188" t="s">
        <v>3523</v>
      </c>
      <c r="G2188" t="s">
        <v>3519</v>
      </c>
      <c r="H2188">
        <v>1</v>
      </c>
      <c r="I2188">
        <v>11.3</v>
      </c>
      <c r="J2188">
        <v>56.5</v>
      </c>
    </row>
    <row r="2189" spans="1:10" x14ac:dyDescent="0.25">
      <c r="A2189" t="s">
        <v>4714</v>
      </c>
      <c r="B2189" s="3">
        <v>44876</v>
      </c>
      <c r="C2189" t="s">
        <v>2789</v>
      </c>
      <c r="D2189" t="s">
        <v>3510</v>
      </c>
      <c r="E2189">
        <v>6</v>
      </c>
      <c r="F2189" t="s">
        <v>3524</v>
      </c>
      <c r="G2189" t="s">
        <v>3517</v>
      </c>
      <c r="H2189">
        <v>1</v>
      </c>
      <c r="I2189">
        <v>12</v>
      </c>
      <c r="J2189">
        <v>72</v>
      </c>
    </row>
    <row r="2190" spans="1:10" x14ac:dyDescent="0.25">
      <c r="A2190" t="s">
        <v>4715</v>
      </c>
      <c r="B2190" s="3">
        <v>45153</v>
      </c>
      <c r="C2190" t="s">
        <v>881</v>
      </c>
      <c r="D2190" t="s">
        <v>3511</v>
      </c>
      <c r="E2190">
        <v>1</v>
      </c>
      <c r="F2190" t="s">
        <v>3523</v>
      </c>
      <c r="G2190" t="s">
        <v>3517</v>
      </c>
      <c r="H2190">
        <v>0.5</v>
      </c>
      <c r="I2190">
        <v>7.8</v>
      </c>
      <c r="J2190">
        <v>7.8</v>
      </c>
    </row>
    <row r="2191" spans="1:10" x14ac:dyDescent="0.25">
      <c r="A2191" t="s">
        <v>4716</v>
      </c>
      <c r="B2191" s="3">
        <v>44689</v>
      </c>
      <c r="C2191" t="s">
        <v>1776</v>
      </c>
      <c r="D2191" t="s">
        <v>3497</v>
      </c>
      <c r="E2191">
        <v>2</v>
      </c>
      <c r="F2191" t="s">
        <v>3526</v>
      </c>
      <c r="G2191" t="s">
        <v>3519</v>
      </c>
      <c r="H2191">
        <v>2.5</v>
      </c>
      <c r="I2191">
        <v>31.6</v>
      </c>
      <c r="J2191">
        <v>63.2</v>
      </c>
    </row>
    <row r="2192" spans="1:10" x14ac:dyDescent="0.25">
      <c r="A2192" t="s">
        <v>4717</v>
      </c>
      <c r="B2192" s="3">
        <v>45052</v>
      </c>
      <c r="C2192" t="s">
        <v>695</v>
      </c>
      <c r="D2192" t="s">
        <v>3484</v>
      </c>
      <c r="E2192">
        <v>5</v>
      </c>
      <c r="F2192" t="s">
        <v>3526</v>
      </c>
      <c r="G2192" t="s">
        <v>3518</v>
      </c>
      <c r="H2192">
        <v>0.2</v>
      </c>
      <c r="I2192">
        <v>3.6</v>
      </c>
      <c r="J2192">
        <v>18</v>
      </c>
    </row>
    <row r="2193" spans="1:10" x14ac:dyDescent="0.25">
      <c r="A2193" t="s">
        <v>4718</v>
      </c>
      <c r="B2193" s="3">
        <v>45095</v>
      </c>
      <c r="C2193" t="s">
        <v>1137</v>
      </c>
      <c r="D2193" t="s">
        <v>3495</v>
      </c>
      <c r="E2193">
        <v>5</v>
      </c>
      <c r="F2193" t="s">
        <v>3525</v>
      </c>
      <c r="G2193" t="s">
        <v>3517</v>
      </c>
      <c r="H2193">
        <v>2.5</v>
      </c>
      <c r="I2193">
        <v>36.5</v>
      </c>
      <c r="J2193">
        <v>182.5</v>
      </c>
    </row>
    <row r="2194" spans="1:10" x14ac:dyDescent="0.25">
      <c r="A2194" t="s">
        <v>4719</v>
      </c>
      <c r="B2194" s="3">
        <v>43560</v>
      </c>
      <c r="C2194" t="s">
        <v>1588</v>
      </c>
      <c r="D2194" t="s">
        <v>3472</v>
      </c>
      <c r="E2194">
        <v>5</v>
      </c>
      <c r="F2194" t="s">
        <v>3526</v>
      </c>
      <c r="G2194" t="s">
        <v>3519</v>
      </c>
      <c r="H2194">
        <v>1</v>
      </c>
      <c r="I2194">
        <v>13.8</v>
      </c>
      <c r="J2194">
        <v>69</v>
      </c>
    </row>
    <row r="2195" spans="1:10" x14ac:dyDescent="0.25">
      <c r="A2195" t="s">
        <v>4720</v>
      </c>
      <c r="B2195" s="3">
        <v>44840</v>
      </c>
      <c r="C2195" t="s">
        <v>1794</v>
      </c>
      <c r="D2195" t="s">
        <v>3482</v>
      </c>
      <c r="E2195">
        <v>4</v>
      </c>
      <c r="F2195" t="s">
        <v>3524</v>
      </c>
      <c r="G2195" t="s">
        <v>3519</v>
      </c>
      <c r="H2195">
        <v>2.5</v>
      </c>
      <c r="I2195">
        <v>22.9</v>
      </c>
      <c r="J2195">
        <v>91.6</v>
      </c>
    </row>
    <row r="2196" spans="1:10" x14ac:dyDescent="0.25">
      <c r="A2196" t="s">
        <v>4721</v>
      </c>
      <c r="B2196" s="3">
        <v>44917</v>
      </c>
      <c r="C2196" t="s">
        <v>1050</v>
      </c>
      <c r="D2196" t="s">
        <v>3475</v>
      </c>
      <c r="E2196">
        <v>4</v>
      </c>
      <c r="F2196" t="s">
        <v>3526</v>
      </c>
      <c r="G2196" t="s">
        <v>3518</v>
      </c>
      <c r="H2196">
        <v>0.5</v>
      </c>
      <c r="I2196">
        <v>7.3</v>
      </c>
      <c r="J2196">
        <v>29.2</v>
      </c>
    </row>
    <row r="2197" spans="1:10" x14ac:dyDescent="0.25">
      <c r="A2197" t="s">
        <v>4722</v>
      </c>
      <c r="B2197" s="3">
        <v>44394</v>
      </c>
      <c r="C2197" t="s">
        <v>1029</v>
      </c>
      <c r="D2197" t="s">
        <v>3508</v>
      </c>
      <c r="E2197">
        <v>5</v>
      </c>
      <c r="F2197" t="s">
        <v>3524</v>
      </c>
      <c r="G2197" t="s">
        <v>3518</v>
      </c>
      <c r="H2197">
        <v>1</v>
      </c>
      <c r="I2197">
        <v>9</v>
      </c>
      <c r="J2197">
        <v>45</v>
      </c>
    </row>
    <row r="2198" spans="1:10" x14ac:dyDescent="0.25">
      <c r="A2198" t="s">
        <v>4723</v>
      </c>
      <c r="B2198" s="3">
        <v>45180</v>
      </c>
      <c r="C2198" t="s">
        <v>1857</v>
      </c>
      <c r="D2198" t="s">
        <v>3496</v>
      </c>
      <c r="E2198">
        <v>4</v>
      </c>
      <c r="F2198" t="s">
        <v>3525</v>
      </c>
      <c r="G2198" t="s">
        <v>3518</v>
      </c>
      <c r="H2198">
        <v>2.5</v>
      </c>
      <c r="I2198">
        <v>29.8</v>
      </c>
      <c r="J2198">
        <v>119.2</v>
      </c>
    </row>
    <row r="2199" spans="1:10" x14ac:dyDescent="0.25">
      <c r="A2199" t="s">
        <v>4724</v>
      </c>
      <c r="B2199" s="3">
        <v>44059</v>
      </c>
      <c r="C2199" t="s">
        <v>1208</v>
      </c>
      <c r="D2199" t="s">
        <v>3472</v>
      </c>
      <c r="E2199">
        <v>4</v>
      </c>
      <c r="F2199" t="s">
        <v>3526</v>
      </c>
      <c r="G2199" t="s">
        <v>3519</v>
      </c>
      <c r="H2199">
        <v>1</v>
      </c>
      <c r="I2199">
        <v>13.8</v>
      </c>
      <c r="J2199">
        <v>55.2</v>
      </c>
    </row>
    <row r="2200" spans="1:10" x14ac:dyDescent="0.25">
      <c r="A2200" t="s">
        <v>4725</v>
      </c>
      <c r="B2200" s="3">
        <v>45475</v>
      </c>
      <c r="C2200" t="s">
        <v>1312</v>
      </c>
      <c r="D2200" t="s">
        <v>3475</v>
      </c>
      <c r="E2200">
        <v>6</v>
      </c>
      <c r="F2200" t="s">
        <v>3526</v>
      </c>
      <c r="G2200" t="s">
        <v>3518</v>
      </c>
      <c r="H2200">
        <v>0.5</v>
      </c>
      <c r="I2200">
        <v>7.3</v>
      </c>
      <c r="J2200">
        <v>43.8</v>
      </c>
    </row>
    <row r="2201" spans="1:10" x14ac:dyDescent="0.25">
      <c r="A2201" t="s">
        <v>4726</v>
      </c>
      <c r="B2201" s="3">
        <v>43949</v>
      </c>
      <c r="C2201" t="s">
        <v>2745</v>
      </c>
      <c r="D2201" t="s">
        <v>3483</v>
      </c>
      <c r="E2201">
        <v>3</v>
      </c>
      <c r="F2201" t="s">
        <v>3523</v>
      </c>
      <c r="G2201" t="s">
        <v>3519</v>
      </c>
      <c r="H2201">
        <v>0.2</v>
      </c>
      <c r="I2201">
        <v>3.4</v>
      </c>
      <c r="J2201">
        <v>10.199999999999999</v>
      </c>
    </row>
    <row r="2202" spans="1:10" x14ac:dyDescent="0.25">
      <c r="A2202" t="s">
        <v>4727</v>
      </c>
      <c r="B2202" s="3">
        <v>43793</v>
      </c>
      <c r="C2202" t="s">
        <v>1773</v>
      </c>
      <c r="D2202" t="s">
        <v>3506</v>
      </c>
      <c r="E2202">
        <v>4</v>
      </c>
      <c r="F2202" t="s">
        <v>3523</v>
      </c>
      <c r="G2202" t="s">
        <v>3519</v>
      </c>
      <c r="H2202">
        <v>2.5</v>
      </c>
      <c r="I2202">
        <v>25.9</v>
      </c>
      <c r="J2202">
        <v>103.6</v>
      </c>
    </row>
    <row r="2203" spans="1:10" x14ac:dyDescent="0.25">
      <c r="A2203" t="s">
        <v>4728</v>
      </c>
      <c r="B2203" s="3">
        <v>45549</v>
      </c>
      <c r="C2203" t="s">
        <v>3303</v>
      </c>
      <c r="D2203" t="s">
        <v>3493</v>
      </c>
      <c r="E2203">
        <v>3</v>
      </c>
      <c r="F2203" t="s">
        <v>3525</v>
      </c>
      <c r="G2203" t="s">
        <v>3519</v>
      </c>
      <c r="H2203">
        <v>1</v>
      </c>
      <c r="I2203">
        <v>14.6</v>
      </c>
      <c r="J2203">
        <v>43.8</v>
      </c>
    </row>
    <row r="2204" spans="1:10" x14ac:dyDescent="0.25">
      <c r="A2204" t="s">
        <v>4729</v>
      </c>
      <c r="B2204" s="3">
        <v>45159</v>
      </c>
      <c r="C2204" t="s">
        <v>3423</v>
      </c>
      <c r="D2204" t="s">
        <v>3474</v>
      </c>
      <c r="E2204">
        <v>2</v>
      </c>
      <c r="F2204" t="s">
        <v>3525</v>
      </c>
      <c r="G2204" t="s">
        <v>3518</v>
      </c>
      <c r="H2204">
        <v>1</v>
      </c>
      <c r="I2204">
        <v>13</v>
      </c>
      <c r="J2204">
        <v>26</v>
      </c>
    </row>
    <row r="2205" spans="1:10" x14ac:dyDescent="0.25">
      <c r="A2205" t="s">
        <v>4730</v>
      </c>
      <c r="B2205" s="3">
        <v>45213</v>
      </c>
      <c r="C2205" t="s">
        <v>2642</v>
      </c>
      <c r="D2205" t="s">
        <v>3509</v>
      </c>
      <c r="E2205">
        <v>2</v>
      </c>
      <c r="F2205" t="s">
        <v>3524</v>
      </c>
      <c r="G2205" t="s">
        <v>3517</v>
      </c>
      <c r="H2205">
        <v>0.2</v>
      </c>
      <c r="I2205">
        <v>3.6</v>
      </c>
      <c r="J2205">
        <v>7.2</v>
      </c>
    </row>
    <row r="2206" spans="1:10" x14ac:dyDescent="0.25">
      <c r="A2206" t="s">
        <v>4731</v>
      </c>
      <c r="B2206" s="3">
        <v>45008</v>
      </c>
      <c r="C2206" t="s">
        <v>1053</v>
      </c>
      <c r="D2206" t="s">
        <v>3487</v>
      </c>
      <c r="E2206">
        <v>3</v>
      </c>
      <c r="F2206" t="s">
        <v>3526</v>
      </c>
      <c r="G2206" t="s">
        <v>3519</v>
      </c>
      <c r="H2206">
        <v>0.2</v>
      </c>
      <c r="I2206">
        <v>4.0999999999999996</v>
      </c>
      <c r="J2206">
        <v>12.3</v>
      </c>
    </row>
    <row r="2207" spans="1:10" x14ac:dyDescent="0.25">
      <c r="A2207" t="s">
        <v>4732</v>
      </c>
      <c r="B2207" s="3">
        <v>45376</v>
      </c>
      <c r="C2207" t="s">
        <v>1384</v>
      </c>
      <c r="D2207" t="s">
        <v>3471</v>
      </c>
      <c r="E2207">
        <v>1</v>
      </c>
      <c r="F2207" t="s">
        <v>3523</v>
      </c>
      <c r="G2207" t="s">
        <v>3517</v>
      </c>
      <c r="H2207">
        <v>1</v>
      </c>
      <c r="I2207">
        <v>13</v>
      </c>
      <c r="J2207">
        <v>13</v>
      </c>
    </row>
    <row r="2208" spans="1:10" x14ac:dyDescent="0.25">
      <c r="A2208" t="s">
        <v>4733</v>
      </c>
      <c r="B2208" s="3">
        <v>45575</v>
      </c>
      <c r="C2208" t="s">
        <v>2323</v>
      </c>
      <c r="D2208" t="s">
        <v>3506</v>
      </c>
      <c r="E2208">
        <v>2</v>
      </c>
      <c r="F2208" t="s">
        <v>3523</v>
      </c>
      <c r="G2208" t="s">
        <v>3519</v>
      </c>
      <c r="H2208">
        <v>2.5</v>
      </c>
      <c r="I2208">
        <v>25.9</v>
      </c>
      <c r="J2208">
        <v>51.8</v>
      </c>
    </row>
    <row r="2209" spans="1:10" x14ac:dyDescent="0.25">
      <c r="A2209" t="s">
        <v>4734</v>
      </c>
      <c r="B2209" s="3">
        <v>44195</v>
      </c>
      <c r="C2209" t="s">
        <v>2960</v>
      </c>
      <c r="D2209" t="s">
        <v>3481</v>
      </c>
      <c r="E2209">
        <v>5</v>
      </c>
      <c r="F2209" t="s">
        <v>3525</v>
      </c>
      <c r="G2209" t="s">
        <v>3518</v>
      </c>
      <c r="H2209">
        <v>0.2</v>
      </c>
      <c r="I2209">
        <v>3.9</v>
      </c>
      <c r="J2209">
        <v>19.5</v>
      </c>
    </row>
    <row r="2210" spans="1:10" x14ac:dyDescent="0.25">
      <c r="A2210" t="s">
        <v>4735</v>
      </c>
      <c r="B2210" s="3">
        <v>44907</v>
      </c>
      <c r="C2210" t="s">
        <v>2251</v>
      </c>
      <c r="D2210" t="s">
        <v>3502</v>
      </c>
      <c r="E2210">
        <v>5</v>
      </c>
      <c r="F2210" t="s">
        <v>3526</v>
      </c>
      <c r="G2210" t="s">
        <v>3517</v>
      </c>
      <c r="H2210">
        <v>1</v>
      </c>
      <c r="I2210">
        <v>14.9</v>
      </c>
      <c r="J2210">
        <v>74.5</v>
      </c>
    </row>
    <row r="2211" spans="1:10" x14ac:dyDescent="0.25">
      <c r="A2211" t="s">
        <v>4736</v>
      </c>
      <c r="B2211" s="3">
        <v>44661</v>
      </c>
      <c r="C2211" t="s">
        <v>3369</v>
      </c>
      <c r="D2211" t="s">
        <v>3497</v>
      </c>
      <c r="E2211">
        <v>6</v>
      </c>
      <c r="F2211" t="s">
        <v>3526</v>
      </c>
      <c r="G2211" t="s">
        <v>3519</v>
      </c>
      <c r="H2211">
        <v>2.5</v>
      </c>
      <c r="I2211">
        <v>31.6</v>
      </c>
      <c r="J2211">
        <v>189.6</v>
      </c>
    </row>
    <row r="2212" spans="1:10" x14ac:dyDescent="0.25">
      <c r="A2212" t="s">
        <v>4737</v>
      </c>
      <c r="B2212" s="3">
        <v>45082</v>
      </c>
      <c r="C2212" t="s">
        <v>2948</v>
      </c>
      <c r="D2212" t="s">
        <v>3515</v>
      </c>
      <c r="E2212">
        <v>4</v>
      </c>
      <c r="F2212" t="s">
        <v>3526</v>
      </c>
      <c r="G2212" t="s">
        <v>3517</v>
      </c>
      <c r="H2212">
        <v>0.2</v>
      </c>
      <c r="I2212">
        <v>4.5</v>
      </c>
      <c r="J2212">
        <v>18</v>
      </c>
    </row>
    <row r="2213" spans="1:10" x14ac:dyDescent="0.25">
      <c r="A2213" t="s">
        <v>4738</v>
      </c>
      <c r="B2213" s="3">
        <v>43737</v>
      </c>
      <c r="C2213" t="s">
        <v>860</v>
      </c>
      <c r="D2213" t="s">
        <v>3477</v>
      </c>
      <c r="E2213">
        <v>2</v>
      </c>
      <c r="F2213" t="s">
        <v>3524</v>
      </c>
      <c r="G2213" t="s">
        <v>3519</v>
      </c>
      <c r="H2213">
        <v>0.5</v>
      </c>
      <c r="I2213">
        <v>6</v>
      </c>
      <c r="J2213">
        <v>12</v>
      </c>
    </row>
    <row r="2214" spans="1:10" x14ac:dyDescent="0.25">
      <c r="A2214" t="s">
        <v>4739</v>
      </c>
      <c r="B2214" s="3">
        <v>45504</v>
      </c>
      <c r="C2214" t="s">
        <v>2769</v>
      </c>
      <c r="D2214" t="s">
        <v>3510</v>
      </c>
      <c r="E2214">
        <v>4</v>
      </c>
      <c r="F2214" t="s">
        <v>3524</v>
      </c>
      <c r="G2214" t="s">
        <v>3517</v>
      </c>
      <c r="H2214">
        <v>1</v>
      </c>
      <c r="I2214">
        <v>12</v>
      </c>
      <c r="J2214">
        <v>48</v>
      </c>
    </row>
    <row r="2215" spans="1:10" x14ac:dyDescent="0.25">
      <c r="A2215" t="s">
        <v>4740</v>
      </c>
      <c r="B2215" s="3">
        <v>45459</v>
      </c>
      <c r="C2215" t="s">
        <v>857</v>
      </c>
      <c r="D2215" t="s">
        <v>3503</v>
      </c>
      <c r="E2215">
        <v>6</v>
      </c>
      <c r="F2215" t="s">
        <v>3524</v>
      </c>
      <c r="G2215" t="s">
        <v>3518</v>
      </c>
      <c r="H2215">
        <v>0.5</v>
      </c>
      <c r="I2215">
        <v>5.4</v>
      </c>
      <c r="J2215">
        <v>32.4</v>
      </c>
    </row>
    <row r="2216" spans="1:10" x14ac:dyDescent="0.25">
      <c r="A2216" t="s">
        <v>4741</v>
      </c>
      <c r="B2216" s="3">
        <v>44798</v>
      </c>
      <c r="C2216" t="s">
        <v>1290</v>
      </c>
      <c r="D2216" t="s">
        <v>3483</v>
      </c>
      <c r="E2216">
        <v>3</v>
      </c>
      <c r="F2216" t="s">
        <v>3523</v>
      </c>
      <c r="G2216" t="s">
        <v>3519</v>
      </c>
      <c r="H2216">
        <v>0.2</v>
      </c>
      <c r="I2216">
        <v>3.4</v>
      </c>
      <c r="J2216">
        <v>10.199999999999999</v>
      </c>
    </row>
    <row r="2217" spans="1:10" x14ac:dyDescent="0.25">
      <c r="A2217" t="s">
        <v>4742</v>
      </c>
      <c r="B2217" s="3">
        <v>44425</v>
      </c>
      <c r="C2217" t="s">
        <v>1755</v>
      </c>
      <c r="D2217" t="s">
        <v>3496</v>
      </c>
      <c r="E2217">
        <v>5</v>
      </c>
      <c r="F2217" t="s">
        <v>3525</v>
      </c>
      <c r="G2217" t="s">
        <v>3518</v>
      </c>
      <c r="H2217">
        <v>2.5</v>
      </c>
      <c r="I2217">
        <v>29.8</v>
      </c>
      <c r="J2217">
        <v>149</v>
      </c>
    </row>
    <row r="2218" spans="1:10" x14ac:dyDescent="0.25">
      <c r="A2218" t="s">
        <v>4743</v>
      </c>
      <c r="B2218" s="3">
        <v>44613</v>
      </c>
      <c r="C2218" t="s">
        <v>1405</v>
      </c>
      <c r="D2218" t="s">
        <v>3475</v>
      </c>
      <c r="E2218">
        <v>4</v>
      </c>
      <c r="F2218" t="s">
        <v>3526</v>
      </c>
      <c r="G2218" t="s">
        <v>3518</v>
      </c>
      <c r="H2218">
        <v>0.5</v>
      </c>
      <c r="I2218">
        <v>7.3</v>
      </c>
      <c r="J2218">
        <v>29.2</v>
      </c>
    </row>
    <row r="2219" spans="1:10" x14ac:dyDescent="0.25">
      <c r="A2219" t="s">
        <v>4744</v>
      </c>
      <c r="B2219" s="3">
        <v>44899</v>
      </c>
      <c r="C2219" t="s">
        <v>3252</v>
      </c>
      <c r="D2219" t="s">
        <v>3510</v>
      </c>
      <c r="E2219">
        <v>4</v>
      </c>
      <c r="F2219" t="s">
        <v>3524</v>
      </c>
      <c r="G2219" t="s">
        <v>3517</v>
      </c>
      <c r="H2219">
        <v>1</v>
      </c>
      <c r="I2219">
        <v>12</v>
      </c>
      <c r="J2219">
        <v>48</v>
      </c>
    </row>
    <row r="2220" spans="1:10" x14ac:dyDescent="0.25">
      <c r="A2220" t="s">
        <v>4745</v>
      </c>
      <c r="B2220" s="3">
        <v>44789</v>
      </c>
      <c r="C2220" t="s">
        <v>2904</v>
      </c>
      <c r="D2220" t="s">
        <v>3488</v>
      </c>
      <c r="E2220">
        <v>5</v>
      </c>
      <c r="F2220" t="s">
        <v>3523</v>
      </c>
      <c r="G2220" t="s">
        <v>3519</v>
      </c>
      <c r="H2220">
        <v>0.5</v>
      </c>
      <c r="I2220">
        <v>6.8</v>
      </c>
      <c r="J2220">
        <v>34</v>
      </c>
    </row>
    <row r="2221" spans="1:10" x14ac:dyDescent="0.25">
      <c r="A2221" t="s">
        <v>4746</v>
      </c>
      <c r="B2221" s="3">
        <v>44839</v>
      </c>
      <c r="C2221" t="s">
        <v>1339</v>
      </c>
      <c r="D2221" t="s">
        <v>3477</v>
      </c>
      <c r="E2221">
        <v>3</v>
      </c>
      <c r="F2221" t="s">
        <v>3524</v>
      </c>
      <c r="G2221" t="s">
        <v>3519</v>
      </c>
      <c r="H2221">
        <v>0.5</v>
      </c>
      <c r="I2221">
        <v>6</v>
      </c>
      <c r="J2221">
        <v>18</v>
      </c>
    </row>
    <row r="2222" spans="1:10" x14ac:dyDescent="0.25">
      <c r="A2222" t="s">
        <v>4747</v>
      </c>
      <c r="B2222" s="3">
        <v>44951</v>
      </c>
      <c r="C2222" t="s">
        <v>2131</v>
      </c>
      <c r="D2222" t="s">
        <v>3494</v>
      </c>
      <c r="E2222">
        <v>6</v>
      </c>
      <c r="F2222" t="s">
        <v>3524</v>
      </c>
      <c r="G2222" t="s">
        <v>3518</v>
      </c>
      <c r="H2222">
        <v>0.2</v>
      </c>
      <c r="I2222">
        <v>2.7</v>
      </c>
      <c r="J2222">
        <v>16.2</v>
      </c>
    </row>
    <row r="2223" spans="1:10" x14ac:dyDescent="0.25">
      <c r="A2223" t="s">
        <v>4748</v>
      </c>
      <c r="B2223" s="3">
        <v>44014</v>
      </c>
      <c r="C2223" t="s">
        <v>742</v>
      </c>
      <c r="D2223" t="s">
        <v>3489</v>
      </c>
      <c r="E2223">
        <v>6</v>
      </c>
      <c r="F2223" t="s">
        <v>3523</v>
      </c>
      <c r="G2223" t="s">
        <v>3518</v>
      </c>
      <c r="H2223">
        <v>0.5</v>
      </c>
      <c r="I2223">
        <v>6</v>
      </c>
      <c r="J2223">
        <v>36</v>
      </c>
    </row>
    <row r="2224" spans="1:10" x14ac:dyDescent="0.25">
      <c r="A2224" t="s">
        <v>4749</v>
      </c>
      <c r="B2224" s="3">
        <v>45366</v>
      </c>
      <c r="C2224" t="s">
        <v>505</v>
      </c>
      <c r="D2224" t="s">
        <v>3471</v>
      </c>
      <c r="E2224">
        <v>2</v>
      </c>
      <c r="F2224" t="s">
        <v>3523</v>
      </c>
      <c r="G2224" t="s">
        <v>3517</v>
      </c>
      <c r="H2224">
        <v>1</v>
      </c>
      <c r="I2224">
        <v>13</v>
      </c>
      <c r="J2224">
        <v>26</v>
      </c>
    </row>
    <row r="2225" spans="1:10" x14ac:dyDescent="0.25">
      <c r="A2225" t="s">
        <v>4750</v>
      </c>
      <c r="B2225" s="3">
        <v>44856</v>
      </c>
      <c r="C2225" t="s">
        <v>1482</v>
      </c>
      <c r="D2225" t="s">
        <v>3513</v>
      </c>
      <c r="E2225">
        <v>3</v>
      </c>
      <c r="F2225" t="s">
        <v>3523</v>
      </c>
      <c r="G2225" t="s">
        <v>3517</v>
      </c>
      <c r="H2225">
        <v>2.5</v>
      </c>
      <c r="I2225">
        <v>29.8</v>
      </c>
      <c r="J2225">
        <v>89.4</v>
      </c>
    </row>
    <row r="2226" spans="1:10" x14ac:dyDescent="0.25">
      <c r="A2226" t="s">
        <v>4751</v>
      </c>
      <c r="B2226" s="3">
        <v>45435</v>
      </c>
      <c r="C2226" t="s">
        <v>2024</v>
      </c>
      <c r="D2226" t="s">
        <v>3484</v>
      </c>
      <c r="E2226">
        <v>3</v>
      </c>
      <c r="F2226" t="s">
        <v>3526</v>
      </c>
      <c r="G2226" t="s">
        <v>3518</v>
      </c>
      <c r="H2226">
        <v>0.2</v>
      </c>
      <c r="I2226">
        <v>3.6</v>
      </c>
      <c r="J2226">
        <v>10.8</v>
      </c>
    </row>
    <row r="2227" spans="1:10" x14ac:dyDescent="0.25">
      <c r="A2227" t="s">
        <v>4752</v>
      </c>
      <c r="B2227" s="3">
        <v>45157</v>
      </c>
      <c r="C2227" t="s">
        <v>3432</v>
      </c>
      <c r="D2227" t="s">
        <v>3510</v>
      </c>
      <c r="E2227">
        <v>5</v>
      </c>
      <c r="F2227" t="s">
        <v>3524</v>
      </c>
      <c r="G2227" t="s">
        <v>3517</v>
      </c>
      <c r="H2227">
        <v>1</v>
      </c>
      <c r="I2227">
        <v>12</v>
      </c>
      <c r="J2227">
        <v>60</v>
      </c>
    </row>
    <row r="2228" spans="1:10" x14ac:dyDescent="0.25">
      <c r="A2228" t="s">
        <v>4753</v>
      </c>
      <c r="B2228" s="3">
        <v>43517</v>
      </c>
      <c r="C2228" t="s">
        <v>2654</v>
      </c>
      <c r="D2228" t="s">
        <v>3493</v>
      </c>
      <c r="E2228">
        <v>2</v>
      </c>
      <c r="F2228" t="s">
        <v>3525</v>
      </c>
      <c r="G2228" t="s">
        <v>3519</v>
      </c>
      <c r="H2228">
        <v>1</v>
      </c>
      <c r="I2228">
        <v>14.6</v>
      </c>
      <c r="J2228">
        <v>29.2</v>
      </c>
    </row>
    <row r="2229" spans="1:10" x14ac:dyDescent="0.25">
      <c r="A2229" t="s">
        <v>4754</v>
      </c>
      <c r="B2229" s="3">
        <v>44692</v>
      </c>
      <c r="C2229" t="s">
        <v>3084</v>
      </c>
      <c r="D2229" t="s">
        <v>3499</v>
      </c>
      <c r="E2229">
        <v>4</v>
      </c>
      <c r="F2229" t="s">
        <v>3523</v>
      </c>
      <c r="G2229" t="s">
        <v>3518</v>
      </c>
      <c r="H2229">
        <v>2.5</v>
      </c>
      <c r="I2229">
        <v>22.9</v>
      </c>
      <c r="J2229">
        <v>91.6</v>
      </c>
    </row>
    <row r="2230" spans="1:10" x14ac:dyDescent="0.25">
      <c r="A2230" t="s">
        <v>4755</v>
      </c>
      <c r="B2230" s="3">
        <v>43570</v>
      </c>
      <c r="C2230" t="s">
        <v>1761</v>
      </c>
      <c r="D2230" t="s">
        <v>3499</v>
      </c>
      <c r="E2230">
        <v>2</v>
      </c>
      <c r="F2230" t="s">
        <v>3523</v>
      </c>
      <c r="G2230" t="s">
        <v>3518</v>
      </c>
      <c r="H2230">
        <v>2.5</v>
      </c>
      <c r="I2230">
        <v>22.9</v>
      </c>
      <c r="J2230">
        <v>45.8</v>
      </c>
    </row>
    <row r="2231" spans="1:10" x14ac:dyDescent="0.25">
      <c r="A2231" t="s">
        <v>4756</v>
      </c>
      <c r="B2231" s="3">
        <v>43942</v>
      </c>
      <c r="C2231" t="s">
        <v>3300</v>
      </c>
      <c r="D2231" t="s">
        <v>3476</v>
      </c>
      <c r="E2231">
        <v>2</v>
      </c>
      <c r="F2231" t="s">
        <v>3525</v>
      </c>
      <c r="G2231" t="s">
        <v>3517</v>
      </c>
      <c r="H2231">
        <v>0.2</v>
      </c>
      <c r="I2231">
        <v>4.8</v>
      </c>
      <c r="J2231">
        <v>9.6</v>
      </c>
    </row>
    <row r="2232" spans="1:10" x14ac:dyDescent="0.25">
      <c r="A2232" t="s">
        <v>4757</v>
      </c>
      <c r="B2232" s="3">
        <v>45246</v>
      </c>
      <c r="C2232" t="s">
        <v>691</v>
      </c>
      <c r="D2232" t="s">
        <v>3503</v>
      </c>
      <c r="E2232">
        <v>3</v>
      </c>
      <c r="F2232" t="s">
        <v>3524</v>
      </c>
      <c r="G2232" t="s">
        <v>3518</v>
      </c>
      <c r="H2232">
        <v>0.5</v>
      </c>
      <c r="I2232">
        <v>5.4</v>
      </c>
      <c r="J2232">
        <v>16.2</v>
      </c>
    </row>
    <row r="2233" spans="1:10" x14ac:dyDescent="0.25">
      <c r="A2233" t="s">
        <v>4758</v>
      </c>
      <c r="B2233" s="3">
        <v>43982</v>
      </c>
      <c r="C2233" t="s">
        <v>1290</v>
      </c>
      <c r="D2233" t="s">
        <v>3479</v>
      </c>
      <c r="E2233">
        <v>1</v>
      </c>
      <c r="F2233" t="s">
        <v>3526</v>
      </c>
      <c r="G2233" t="s">
        <v>3517</v>
      </c>
      <c r="H2233">
        <v>2.5</v>
      </c>
      <c r="I2233">
        <v>34.200000000000003</v>
      </c>
      <c r="J2233">
        <v>34.200000000000003</v>
      </c>
    </row>
    <row r="2234" spans="1:10" x14ac:dyDescent="0.25">
      <c r="A2234" t="s">
        <v>4759</v>
      </c>
      <c r="B2234" s="3">
        <v>44954</v>
      </c>
      <c r="C2234" t="s">
        <v>1082</v>
      </c>
      <c r="D2234" t="s">
        <v>3502</v>
      </c>
      <c r="E2234">
        <v>6</v>
      </c>
      <c r="F2234" t="s">
        <v>3526</v>
      </c>
      <c r="G2234" t="s">
        <v>3517</v>
      </c>
      <c r="H2234">
        <v>1</v>
      </c>
      <c r="I2234">
        <v>14.9</v>
      </c>
      <c r="J2234">
        <v>89.4</v>
      </c>
    </row>
    <row r="2235" spans="1:10" x14ac:dyDescent="0.25">
      <c r="A2235" t="s">
        <v>4760</v>
      </c>
      <c r="B2235" s="3">
        <v>45417</v>
      </c>
      <c r="C2235" t="s">
        <v>2125</v>
      </c>
      <c r="D2235" t="s">
        <v>3492</v>
      </c>
      <c r="E2235">
        <v>3</v>
      </c>
      <c r="F2235" t="s">
        <v>3525</v>
      </c>
      <c r="G2235" t="s">
        <v>3517</v>
      </c>
      <c r="H2235">
        <v>0.5</v>
      </c>
      <c r="I2235">
        <v>9.5</v>
      </c>
      <c r="J2235">
        <v>28.5</v>
      </c>
    </row>
    <row r="2236" spans="1:10" x14ac:dyDescent="0.25">
      <c r="A2236" t="s">
        <v>4761</v>
      </c>
      <c r="B2236" s="3">
        <v>45453</v>
      </c>
      <c r="C2236" t="s">
        <v>1957</v>
      </c>
      <c r="D2236" t="s">
        <v>3488</v>
      </c>
      <c r="E2236">
        <v>3</v>
      </c>
      <c r="F2236" t="s">
        <v>3523</v>
      </c>
      <c r="G2236" t="s">
        <v>3519</v>
      </c>
      <c r="H2236">
        <v>0.5</v>
      </c>
      <c r="I2236">
        <v>6.8</v>
      </c>
      <c r="J2236">
        <v>20.399999999999999</v>
      </c>
    </row>
    <row r="2237" spans="1:10" x14ac:dyDescent="0.25">
      <c r="A2237" t="s">
        <v>4762</v>
      </c>
      <c r="B2237" s="3">
        <v>43780</v>
      </c>
      <c r="C2237" t="s">
        <v>2742</v>
      </c>
      <c r="D2237" t="s">
        <v>3491</v>
      </c>
      <c r="E2237">
        <v>1</v>
      </c>
      <c r="F2237" t="s">
        <v>3525</v>
      </c>
      <c r="G2237" t="s">
        <v>3519</v>
      </c>
      <c r="H2237">
        <v>0.5</v>
      </c>
      <c r="I2237">
        <v>8.6999999999999993</v>
      </c>
      <c r="J2237">
        <v>8.6999999999999993</v>
      </c>
    </row>
    <row r="2238" spans="1:10" x14ac:dyDescent="0.25">
      <c r="A2238" t="s">
        <v>4763</v>
      </c>
      <c r="B2238" s="3">
        <v>44719</v>
      </c>
      <c r="C2238" t="s">
        <v>3330</v>
      </c>
      <c r="D2238" t="s">
        <v>3490</v>
      </c>
      <c r="E2238">
        <v>2</v>
      </c>
      <c r="F2238" t="s">
        <v>3525</v>
      </c>
      <c r="G2238" t="s">
        <v>3519</v>
      </c>
      <c r="H2238">
        <v>0.2</v>
      </c>
      <c r="I2238">
        <v>4.4000000000000004</v>
      </c>
      <c r="J2238">
        <v>8.8000000000000007</v>
      </c>
    </row>
    <row r="2239" spans="1:10" x14ac:dyDescent="0.25">
      <c r="A2239" t="s">
        <v>4764</v>
      </c>
      <c r="B2239" s="3">
        <v>45573</v>
      </c>
      <c r="C2239" t="s">
        <v>2338</v>
      </c>
      <c r="D2239" t="s">
        <v>3512</v>
      </c>
      <c r="E2239">
        <v>2</v>
      </c>
      <c r="F2239" t="s">
        <v>3525</v>
      </c>
      <c r="G2239" t="s">
        <v>3519</v>
      </c>
      <c r="H2239">
        <v>2.5</v>
      </c>
      <c r="I2239">
        <v>33.5</v>
      </c>
      <c r="J2239">
        <v>67</v>
      </c>
    </row>
    <row r="2240" spans="1:10" x14ac:dyDescent="0.25">
      <c r="A2240" t="s">
        <v>4765</v>
      </c>
      <c r="B2240" s="3">
        <v>44924</v>
      </c>
      <c r="C2240" t="s">
        <v>1579</v>
      </c>
      <c r="D2240" t="s">
        <v>3479</v>
      </c>
      <c r="E2240">
        <v>3</v>
      </c>
      <c r="F2240" t="s">
        <v>3526</v>
      </c>
      <c r="G2240" t="s">
        <v>3517</v>
      </c>
      <c r="H2240">
        <v>2.5</v>
      </c>
      <c r="I2240">
        <v>34.200000000000003</v>
      </c>
      <c r="J2240">
        <v>102.6</v>
      </c>
    </row>
    <row r="2241" spans="1:10" x14ac:dyDescent="0.25">
      <c r="A2241" t="s">
        <v>4766</v>
      </c>
      <c r="B2241" s="3">
        <v>45614</v>
      </c>
      <c r="C2241" t="s">
        <v>2885</v>
      </c>
      <c r="D2241" t="s">
        <v>3495</v>
      </c>
      <c r="E2241">
        <v>5</v>
      </c>
      <c r="F2241" t="s">
        <v>3525</v>
      </c>
      <c r="G2241" t="s">
        <v>3517</v>
      </c>
      <c r="H2241">
        <v>2.5</v>
      </c>
      <c r="I2241">
        <v>36.5</v>
      </c>
      <c r="J2241">
        <v>182.5</v>
      </c>
    </row>
    <row r="2242" spans="1:10" x14ac:dyDescent="0.25">
      <c r="A2242" t="s">
        <v>4767</v>
      </c>
      <c r="B2242" s="3">
        <v>45382</v>
      </c>
      <c r="C2242" t="s">
        <v>2158</v>
      </c>
      <c r="D2242" t="s">
        <v>3511</v>
      </c>
      <c r="E2242">
        <v>5</v>
      </c>
      <c r="F2242" t="s">
        <v>3523</v>
      </c>
      <c r="G2242" t="s">
        <v>3517</v>
      </c>
      <c r="H2242">
        <v>0.5</v>
      </c>
      <c r="I2242">
        <v>7.8</v>
      </c>
      <c r="J2242">
        <v>39</v>
      </c>
    </row>
    <row r="2243" spans="1:10" x14ac:dyDescent="0.25">
      <c r="A2243" t="s">
        <v>4768</v>
      </c>
      <c r="B2243" s="3">
        <v>45198</v>
      </c>
      <c r="C2243" t="s">
        <v>1473</v>
      </c>
      <c r="D2243" t="s">
        <v>3469</v>
      </c>
      <c r="E2243">
        <v>5</v>
      </c>
      <c r="F2243" t="s">
        <v>3524</v>
      </c>
      <c r="G2243" t="s">
        <v>3519</v>
      </c>
      <c r="H2243">
        <v>1</v>
      </c>
      <c r="I2243">
        <v>10</v>
      </c>
      <c r="J2243">
        <v>50</v>
      </c>
    </row>
    <row r="2244" spans="1:10" x14ac:dyDescent="0.25">
      <c r="A2244" t="s">
        <v>4769</v>
      </c>
      <c r="B2244" s="3">
        <v>44211</v>
      </c>
      <c r="C2244" t="s">
        <v>2305</v>
      </c>
      <c r="D2244" t="s">
        <v>3512</v>
      </c>
      <c r="E2244">
        <v>3</v>
      </c>
      <c r="F2244" t="s">
        <v>3525</v>
      </c>
      <c r="G2244" t="s">
        <v>3519</v>
      </c>
      <c r="H2244">
        <v>2.5</v>
      </c>
      <c r="I2244">
        <v>33.5</v>
      </c>
      <c r="J2244">
        <v>100.5</v>
      </c>
    </row>
    <row r="2245" spans="1:10" x14ac:dyDescent="0.25">
      <c r="A2245" t="s">
        <v>4770</v>
      </c>
      <c r="B2245" s="3">
        <v>45307</v>
      </c>
      <c r="C2245" t="s">
        <v>1262</v>
      </c>
      <c r="D2245" t="s">
        <v>3512</v>
      </c>
      <c r="E2245">
        <v>6</v>
      </c>
      <c r="F2245" t="s">
        <v>3525</v>
      </c>
      <c r="G2245" t="s">
        <v>3519</v>
      </c>
      <c r="H2245">
        <v>2.5</v>
      </c>
      <c r="I2245">
        <v>33.5</v>
      </c>
      <c r="J2245">
        <v>201</v>
      </c>
    </row>
    <row r="2246" spans="1:10" x14ac:dyDescent="0.25">
      <c r="A2246" t="s">
        <v>4771</v>
      </c>
      <c r="B2246" s="3">
        <v>44672</v>
      </c>
      <c r="C2246" t="s">
        <v>3270</v>
      </c>
      <c r="D2246" t="s">
        <v>3476</v>
      </c>
      <c r="E2246">
        <v>4</v>
      </c>
      <c r="F2246" t="s">
        <v>3525</v>
      </c>
      <c r="G2246" t="s">
        <v>3517</v>
      </c>
      <c r="H2246">
        <v>0.2</v>
      </c>
      <c r="I2246">
        <v>4.8</v>
      </c>
      <c r="J2246">
        <v>19.2</v>
      </c>
    </row>
    <row r="2247" spans="1:10" x14ac:dyDescent="0.25">
      <c r="A2247" t="s">
        <v>4772</v>
      </c>
      <c r="B2247" s="3">
        <v>45643</v>
      </c>
      <c r="C2247" t="s">
        <v>1402</v>
      </c>
      <c r="D2247" t="s">
        <v>3475</v>
      </c>
      <c r="E2247">
        <v>4</v>
      </c>
      <c r="F2247" t="s">
        <v>3526</v>
      </c>
      <c r="G2247" t="s">
        <v>3518</v>
      </c>
      <c r="H2247">
        <v>0.5</v>
      </c>
      <c r="I2247">
        <v>7.3</v>
      </c>
      <c r="J2247">
        <v>29.2</v>
      </c>
    </row>
    <row r="2248" spans="1:10" x14ac:dyDescent="0.25">
      <c r="A2248" t="s">
        <v>4773</v>
      </c>
      <c r="B2248" s="3">
        <v>45299</v>
      </c>
      <c r="C2248" t="s">
        <v>3101</v>
      </c>
      <c r="D2248" t="s">
        <v>3485</v>
      </c>
      <c r="E2248">
        <v>3</v>
      </c>
      <c r="F2248" t="s">
        <v>3523</v>
      </c>
      <c r="G2248" t="s">
        <v>3518</v>
      </c>
      <c r="H2248">
        <v>0.2</v>
      </c>
      <c r="I2248">
        <v>3</v>
      </c>
      <c r="J2248">
        <v>9</v>
      </c>
    </row>
    <row r="2249" spans="1:10" x14ac:dyDescent="0.25">
      <c r="A2249" t="s">
        <v>4774</v>
      </c>
      <c r="B2249" s="3">
        <v>45473</v>
      </c>
      <c r="C2249" t="s">
        <v>1275</v>
      </c>
      <c r="D2249" t="s">
        <v>3478</v>
      </c>
      <c r="E2249">
        <v>4</v>
      </c>
      <c r="F2249" t="s">
        <v>3523</v>
      </c>
      <c r="G2249" t="s">
        <v>3518</v>
      </c>
      <c r="H2249">
        <v>1</v>
      </c>
      <c r="I2249">
        <v>10</v>
      </c>
      <c r="J2249">
        <v>40</v>
      </c>
    </row>
    <row r="2250" spans="1:10" x14ac:dyDescent="0.25">
      <c r="A2250" t="s">
        <v>4775</v>
      </c>
      <c r="B2250" s="3">
        <v>45377</v>
      </c>
      <c r="C2250" t="s">
        <v>552</v>
      </c>
      <c r="D2250" t="s">
        <v>3493</v>
      </c>
      <c r="E2250">
        <v>2</v>
      </c>
      <c r="F2250" t="s">
        <v>3525</v>
      </c>
      <c r="G2250" t="s">
        <v>3519</v>
      </c>
      <c r="H2250">
        <v>1</v>
      </c>
      <c r="I2250">
        <v>14.6</v>
      </c>
      <c r="J2250">
        <v>29.2</v>
      </c>
    </row>
    <row r="2251" spans="1:10" x14ac:dyDescent="0.25">
      <c r="A2251" t="s">
        <v>4776</v>
      </c>
      <c r="B2251" s="3">
        <v>44836</v>
      </c>
      <c r="C2251" t="s">
        <v>2314</v>
      </c>
      <c r="D2251" t="s">
        <v>3491</v>
      </c>
      <c r="E2251">
        <v>3</v>
      </c>
      <c r="F2251" t="s">
        <v>3525</v>
      </c>
      <c r="G2251" t="s">
        <v>3519</v>
      </c>
      <c r="H2251">
        <v>0.5</v>
      </c>
      <c r="I2251">
        <v>8.6999999999999993</v>
      </c>
      <c r="J2251">
        <v>26.1</v>
      </c>
    </row>
    <row r="2252" spans="1:10" x14ac:dyDescent="0.25">
      <c r="A2252" t="s">
        <v>4777</v>
      </c>
      <c r="B2252" s="3">
        <v>44123</v>
      </c>
      <c r="C2252" t="s">
        <v>497</v>
      </c>
      <c r="D2252" t="s">
        <v>3503</v>
      </c>
      <c r="E2252">
        <v>1</v>
      </c>
      <c r="F2252" t="s">
        <v>3524</v>
      </c>
      <c r="G2252" t="s">
        <v>3518</v>
      </c>
      <c r="H2252">
        <v>0.5</v>
      </c>
      <c r="I2252">
        <v>5.4</v>
      </c>
      <c r="J2252">
        <v>5.4</v>
      </c>
    </row>
    <row r="2253" spans="1:10" x14ac:dyDescent="0.25">
      <c r="A2253" t="s">
        <v>4778</v>
      </c>
      <c r="B2253" s="3">
        <v>45214</v>
      </c>
      <c r="C2253" t="s">
        <v>1954</v>
      </c>
      <c r="D2253" t="s">
        <v>3510</v>
      </c>
      <c r="E2253">
        <v>6</v>
      </c>
      <c r="F2253" t="s">
        <v>3524</v>
      </c>
      <c r="G2253" t="s">
        <v>3517</v>
      </c>
      <c r="H2253">
        <v>1</v>
      </c>
      <c r="I2253">
        <v>12</v>
      </c>
      <c r="J2253">
        <v>72</v>
      </c>
    </row>
    <row r="2254" spans="1:10" x14ac:dyDescent="0.25">
      <c r="A2254" t="s">
        <v>4779</v>
      </c>
      <c r="B2254" s="3">
        <v>44199</v>
      </c>
      <c r="C2254" t="s">
        <v>2998</v>
      </c>
      <c r="D2254" t="s">
        <v>3477</v>
      </c>
      <c r="E2254">
        <v>3</v>
      </c>
      <c r="F2254" t="s">
        <v>3524</v>
      </c>
      <c r="G2254" t="s">
        <v>3519</v>
      </c>
      <c r="H2254">
        <v>0.5</v>
      </c>
      <c r="I2254">
        <v>6</v>
      </c>
      <c r="J2254">
        <v>18</v>
      </c>
    </row>
    <row r="2255" spans="1:10" x14ac:dyDescent="0.25">
      <c r="A2255" t="s">
        <v>4780</v>
      </c>
      <c r="B2255" s="3">
        <v>44492</v>
      </c>
      <c r="C2255" t="s">
        <v>796</v>
      </c>
      <c r="D2255" t="s">
        <v>3488</v>
      </c>
      <c r="E2255">
        <v>4</v>
      </c>
      <c r="F2255" t="s">
        <v>3523</v>
      </c>
      <c r="G2255" t="s">
        <v>3519</v>
      </c>
      <c r="H2255">
        <v>0.5</v>
      </c>
      <c r="I2255">
        <v>6.8</v>
      </c>
      <c r="J2255">
        <v>27.2</v>
      </c>
    </row>
    <row r="2256" spans="1:10" x14ac:dyDescent="0.25">
      <c r="A2256" t="s">
        <v>4781</v>
      </c>
      <c r="B2256" s="3">
        <v>44828</v>
      </c>
      <c r="C2256" t="s">
        <v>2675</v>
      </c>
      <c r="D2256" t="s">
        <v>3502</v>
      </c>
      <c r="E2256">
        <v>3</v>
      </c>
      <c r="F2256" t="s">
        <v>3526</v>
      </c>
      <c r="G2256" t="s">
        <v>3517</v>
      </c>
      <c r="H2256">
        <v>1</v>
      </c>
      <c r="I2256">
        <v>14.9</v>
      </c>
      <c r="J2256">
        <v>44.7</v>
      </c>
    </row>
    <row r="2257" spans="1:10" x14ac:dyDescent="0.25">
      <c r="A2257" t="s">
        <v>4782</v>
      </c>
      <c r="B2257" s="3">
        <v>45142</v>
      </c>
      <c r="C2257" t="s">
        <v>3452</v>
      </c>
      <c r="D2257" t="s">
        <v>3487</v>
      </c>
      <c r="E2257">
        <v>6</v>
      </c>
      <c r="F2257" t="s">
        <v>3526</v>
      </c>
      <c r="G2257" t="s">
        <v>3519</v>
      </c>
      <c r="H2257">
        <v>0.2</v>
      </c>
      <c r="I2257">
        <v>4.0999999999999996</v>
      </c>
      <c r="J2257">
        <v>24.6</v>
      </c>
    </row>
    <row r="2258" spans="1:10" x14ac:dyDescent="0.25">
      <c r="A2258" t="s">
        <v>4783</v>
      </c>
      <c r="B2258" s="3">
        <v>45382</v>
      </c>
      <c r="C2258" t="s">
        <v>2372</v>
      </c>
      <c r="D2258" t="s">
        <v>3512</v>
      </c>
      <c r="E2258">
        <v>2</v>
      </c>
      <c r="F2258" t="s">
        <v>3525</v>
      </c>
      <c r="G2258" t="s">
        <v>3519</v>
      </c>
      <c r="H2258">
        <v>2.5</v>
      </c>
      <c r="I2258">
        <v>33.5</v>
      </c>
      <c r="J2258">
        <v>67</v>
      </c>
    </row>
    <row r="2259" spans="1:10" x14ac:dyDescent="0.25">
      <c r="A2259" t="s">
        <v>4784</v>
      </c>
      <c r="B2259" s="3">
        <v>44268</v>
      </c>
      <c r="C2259" t="s">
        <v>1223</v>
      </c>
      <c r="D2259" t="s">
        <v>3495</v>
      </c>
      <c r="E2259">
        <v>3</v>
      </c>
      <c r="F2259" t="s">
        <v>3525</v>
      </c>
      <c r="G2259" t="s">
        <v>3517</v>
      </c>
      <c r="H2259">
        <v>2.5</v>
      </c>
      <c r="I2259">
        <v>36.5</v>
      </c>
      <c r="J2259">
        <v>109.5</v>
      </c>
    </row>
    <row r="2260" spans="1:10" x14ac:dyDescent="0.25">
      <c r="A2260" t="s">
        <v>4785</v>
      </c>
      <c r="B2260" s="3">
        <v>45276</v>
      </c>
      <c r="C2260" t="s">
        <v>1309</v>
      </c>
      <c r="D2260" t="s">
        <v>3516</v>
      </c>
      <c r="E2260">
        <v>3</v>
      </c>
      <c r="F2260" t="s">
        <v>3526</v>
      </c>
      <c r="G2260" t="s">
        <v>3518</v>
      </c>
      <c r="H2260">
        <v>2.5</v>
      </c>
      <c r="I2260">
        <v>27.9</v>
      </c>
      <c r="J2260">
        <v>83.7</v>
      </c>
    </row>
    <row r="2261" spans="1:10" x14ac:dyDescent="0.25">
      <c r="A2261" t="s">
        <v>4786</v>
      </c>
      <c r="B2261" s="3">
        <v>44703</v>
      </c>
      <c r="C2261" t="s">
        <v>3318</v>
      </c>
      <c r="D2261" t="s">
        <v>3469</v>
      </c>
      <c r="E2261">
        <v>5</v>
      </c>
      <c r="F2261" t="s">
        <v>3524</v>
      </c>
      <c r="G2261" t="s">
        <v>3519</v>
      </c>
      <c r="H2261">
        <v>1</v>
      </c>
      <c r="I2261">
        <v>10</v>
      </c>
      <c r="J2261">
        <v>50</v>
      </c>
    </row>
    <row r="2262" spans="1:10" x14ac:dyDescent="0.25">
      <c r="A2262" t="s">
        <v>4787</v>
      </c>
      <c r="B2262" s="3">
        <v>45464</v>
      </c>
      <c r="C2262" t="s">
        <v>1018</v>
      </c>
      <c r="D2262" t="s">
        <v>3471</v>
      </c>
      <c r="E2262">
        <v>4</v>
      </c>
      <c r="F2262" t="s">
        <v>3523</v>
      </c>
      <c r="G2262" t="s">
        <v>3517</v>
      </c>
      <c r="H2262">
        <v>1</v>
      </c>
      <c r="I2262">
        <v>13</v>
      </c>
      <c r="J2262">
        <v>52</v>
      </c>
    </row>
    <row r="2263" spans="1:10" x14ac:dyDescent="0.25">
      <c r="A2263" t="s">
        <v>4788</v>
      </c>
      <c r="B2263" s="3">
        <v>43587</v>
      </c>
      <c r="C2263" t="s">
        <v>838</v>
      </c>
      <c r="D2263" t="s">
        <v>3471</v>
      </c>
      <c r="E2263">
        <v>4</v>
      </c>
      <c r="F2263" t="s">
        <v>3523</v>
      </c>
      <c r="G2263" t="s">
        <v>3517</v>
      </c>
      <c r="H2263">
        <v>1</v>
      </c>
      <c r="I2263">
        <v>13</v>
      </c>
      <c r="J2263">
        <v>52</v>
      </c>
    </row>
    <row r="2264" spans="1:10" x14ac:dyDescent="0.25">
      <c r="A2264" t="s">
        <v>4789</v>
      </c>
      <c r="B2264" s="3">
        <v>45372</v>
      </c>
      <c r="C2264" t="s">
        <v>1003</v>
      </c>
      <c r="D2264" t="s">
        <v>3503</v>
      </c>
      <c r="E2264">
        <v>3</v>
      </c>
      <c r="F2264" t="s">
        <v>3524</v>
      </c>
      <c r="G2264" t="s">
        <v>3518</v>
      </c>
      <c r="H2264">
        <v>0.5</v>
      </c>
      <c r="I2264">
        <v>5.4</v>
      </c>
      <c r="J2264">
        <v>16.2</v>
      </c>
    </row>
    <row r="2265" spans="1:10" x14ac:dyDescent="0.25">
      <c r="A2265" t="s">
        <v>4790</v>
      </c>
      <c r="B2265" s="3">
        <v>44239</v>
      </c>
      <c r="C2265" t="s">
        <v>869</v>
      </c>
      <c r="D2265" t="s">
        <v>3503</v>
      </c>
      <c r="E2265">
        <v>3</v>
      </c>
      <c r="F2265" t="s">
        <v>3524</v>
      </c>
      <c r="G2265" t="s">
        <v>3518</v>
      </c>
      <c r="H2265">
        <v>0.5</v>
      </c>
      <c r="I2265">
        <v>5.4</v>
      </c>
      <c r="J2265">
        <v>16.2</v>
      </c>
    </row>
    <row r="2266" spans="1:10" x14ac:dyDescent="0.25">
      <c r="A2266" t="s">
        <v>4791</v>
      </c>
      <c r="B2266" s="3">
        <v>45054</v>
      </c>
      <c r="C2266" t="s">
        <v>1976</v>
      </c>
      <c r="D2266" t="s">
        <v>3500</v>
      </c>
      <c r="E2266">
        <v>5</v>
      </c>
      <c r="F2266" t="s">
        <v>3525</v>
      </c>
      <c r="G2266" t="s">
        <v>3518</v>
      </c>
      <c r="H2266">
        <v>0.5</v>
      </c>
      <c r="I2266">
        <v>7.8</v>
      </c>
      <c r="J2266">
        <v>39</v>
      </c>
    </row>
    <row r="2267" spans="1:10" x14ac:dyDescent="0.25">
      <c r="A2267" t="s">
        <v>4792</v>
      </c>
      <c r="B2267" s="3">
        <v>44626</v>
      </c>
      <c r="C2267" t="s">
        <v>2284</v>
      </c>
      <c r="D2267" t="s">
        <v>3486</v>
      </c>
      <c r="E2267">
        <v>2</v>
      </c>
      <c r="F2267" t="s">
        <v>3523</v>
      </c>
      <c r="G2267" t="s">
        <v>3519</v>
      </c>
      <c r="H2267">
        <v>1</v>
      </c>
      <c r="I2267">
        <v>11.3</v>
      </c>
      <c r="J2267">
        <v>22.6</v>
      </c>
    </row>
    <row r="2268" spans="1:10" x14ac:dyDescent="0.25">
      <c r="A2268" t="s">
        <v>4793</v>
      </c>
      <c r="B2268" s="3">
        <v>45332</v>
      </c>
      <c r="C2268" t="s">
        <v>3363</v>
      </c>
      <c r="D2268" t="s">
        <v>3509</v>
      </c>
      <c r="E2268">
        <v>5</v>
      </c>
      <c r="F2268" t="s">
        <v>3524</v>
      </c>
      <c r="G2268" t="s">
        <v>3517</v>
      </c>
      <c r="H2268">
        <v>0.2</v>
      </c>
      <c r="I2268">
        <v>3.6</v>
      </c>
      <c r="J2268">
        <v>18</v>
      </c>
    </row>
    <row r="2269" spans="1:10" x14ac:dyDescent="0.25">
      <c r="A2269" t="s">
        <v>4794</v>
      </c>
      <c r="B2269" s="3">
        <v>45224</v>
      </c>
      <c r="C2269" t="s">
        <v>3019</v>
      </c>
      <c r="D2269" t="s">
        <v>3471</v>
      </c>
      <c r="E2269">
        <v>5</v>
      </c>
      <c r="F2269" t="s">
        <v>3523</v>
      </c>
      <c r="G2269" t="s">
        <v>3517</v>
      </c>
      <c r="H2269">
        <v>1</v>
      </c>
      <c r="I2269">
        <v>13</v>
      </c>
      <c r="J2269">
        <v>65</v>
      </c>
    </row>
    <row r="2270" spans="1:10" x14ac:dyDescent="0.25">
      <c r="A2270" t="s">
        <v>4795</v>
      </c>
      <c r="B2270" s="3">
        <v>44211</v>
      </c>
      <c r="C2270" t="s">
        <v>3199</v>
      </c>
      <c r="D2270" t="s">
        <v>3489</v>
      </c>
      <c r="E2270">
        <v>6</v>
      </c>
      <c r="F2270" t="s">
        <v>3523</v>
      </c>
      <c r="G2270" t="s">
        <v>3518</v>
      </c>
      <c r="H2270">
        <v>0.5</v>
      </c>
      <c r="I2270">
        <v>6</v>
      </c>
      <c r="J2270">
        <v>36</v>
      </c>
    </row>
    <row r="2271" spans="1:10" x14ac:dyDescent="0.25">
      <c r="A2271" t="s">
        <v>4796</v>
      </c>
      <c r="B2271" s="3">
        <v>45037</v>
      </c>
      <c r="C2271" t="s">
        <v>902</v>
      </c>
      <c r="D2271" t="s">
        <v>3498</v>
      </c>
      <c r="E2271">
        <v>1</v>
      </c>
      <c r="F2271" t="s">
        <v>3523</v>
      </c>
      <c r="G2271" t="s">
        <v>3517</v>
      </c>
      <c r="H2271">
        <v>0.2</v>
      </c>
      <c r="I2271">
        <v>3.9</v>
      </c>
      <c r="J2271">
        <v>3.9</v>
      </c>
    </row>
    <row r="2272" spans="1:10" x14ac:dyDescent="0.25">
      <c r="A2272" t="s">
        <v>4797</v>
      </c>
      <c r="B2272" s="3">
        <v>45649</v>
      </c>
      <c r="C2272" t="s">
        <v>820</v>
      </c>
      <c r="D2272" t="s">
        <v>3506</v>
      </c>
      <c r="E2272">
        <v>2</v>
      </c>
      <c r="F2272" t="s">
        <v>3523</v>
      </c>
      <c r="G2272" t="s">
        <v>3519</v>
      </c>
      <c r="H2272">
        <v>2.5</v>
      </c>
      <c r="I2272">
        <v>25.9</v>
      </c>
      <c r="J2272">
        <v>51.8</v>
      </c>
    </row>
    <row r="2273" spans="1:10" x14ac:dyDescent="0.25">
      <c r="A2273" t="s">
        <v>4798</v>
      </c>
      <c r="B2273" s="3">
        <v>44763</v>
      </c>
      <c r="C2273" t="s">
        <v>725</v>
      </c>
      <c r="D2273" t="s">
        <v>3493</v>
      </c>
      <c r="E2273">
        <v>2</v>
      </c>
      <c r="F2273" t="s">
        <v>3525</v>
      </c>
      <c r="G2273" t="s">
        <v>3519</v>
      </c>
      <c r="H2273">
        <v>1</v>
      </c>
      <c r="I2273">
        <v>14.6</v>
      </c>
      <c r="J2273">
        <v>29.2</v>
      </c>
    </row>
    <row r="2274" spans="1:10" x14ac:dyDescent="0.25">
      <c r="A2274" t="s">
        <v>4799</v>
      </c>
      <c r="B2274" s="3">
        <v>45368</v>
      </c>
      <c r="C2274" t="s">
        <v>1607</v>
      </c>
      <c r="D2274" t="s">
        <v>3482</v>
      </c>
      <c r="E2274">
        <v>3</v>
      </c>
      <c r="F2274" t="s">
        <v>3524</v>
      </c>
      <c r="G2274" t="s">
        <v>3519</v>
      </c>
      <c r="H2274">
        <v>2.5</v>
      </c>
      <c r="I2274">
        <v>22.9</v>
      </c>
      <c r="J2274">
        <v>68.7</v>
      </c>
    </row>
    <row r="2275" spans="1:10" x14ac:dyDescent="0.25">
      <c r="A2275" t="s">
        <v>4800</v>
      </c>
      <c r="B2275" s="3">
        <v>44675</v>
      </c>
      <c r="C2275" t="s">
        <v>2587</v>
      </c>
      <c r="D2275" t="s">
        <v>3510</v>
      </c>
      <c r="E2275">
        <v>5</v>
      </c>
      <c r="F2275" t="s">
        <v>3524</v>
      </c>
      <c r="G2275" t="s">
        <v>3517</v>
      </c>
      <c r="H2275">
        <v>1</v>
      </c>
      <c r="I2275">
        <v>12</v>
      </c>
      <c r="J2275">
        <v>60</v>
      </c>
    </row>
    <row r="2276" spans="1:10" x14ac:dyDescent="0.25">
      <c r="A2276" t="s">
        <v>4801</v>
      </c>
      <c r="B2276" s="3">
        <v>45200</v>
      </c>
      <c r="C2276" t="s">
        <v>769</v>
      </c>
      <c r="D2276" t="s">
        <v>3473</v>
      </c>
      <c r="E2276">
        <v>4</v>
      </c>
      <c r="F2276" t="s">
        <v>3524</v>
      </c>
      <c r="G2276" t="s">
        <v>3517</v>
      </c>
      <c r="H2276">
        <v>2.5</v>
      </c>
      <c r="I2276">
        <v>27.5</v>
      </c>
      <c r="J2276">
        <v>110</v>
      </c>
    </row>
    <row r="2277" spans="1:10" x14ac:dyDescent="0.25">
      <c r="A2277" t="s">
        <v>4802</v>
      </c>
      <c r="B2277" s="3">
        <v>45613</v>
      </c>
      <c r="C2277" t="s">
        <v>535</v>
      </c>
      <c r="D2277" t="s">
        <v>3506</v>
      </c>
      <c r="E2277">
        <v>6</v>
      </c>
      <c r="F2277" t="s">
        <v>3523</v>
      </c>
      <c r="G2277" t="s">
        <v>3519</v>
      </c>
      <c r="H2277">
        <v>2.5</v>
      </c>
      <c r="I2277">
        <v>25.9</v>
      </c>
      <c r="J2277">
        <v>155.4</v>
      </c>
    </row>
    <row r="2278" spans="1:10" x14ac:dyDescent="0.25">
      <c r="A2278" t="s">
        <v>4803</v>
      </c>
      <c r="B2278" s="3">
        <v>45474</v>
      </c>
      <c r="C2278" t="s">
        <v>3184</v>
      </c>
      <c r="D2278" t="s">
        <v>3480</v>
      </c>
      <c r="E2278">
        <v>1</v>
      </c>
      <c r="F2278" t="s">
        <v>3524</v>
      </c>
      <c r="G2278" t="s">
        <v>3518</v>
      </c>
      <c r="H2278">
        <v>2.5</v>
      </c>
      <c r="I2278">
        <v>20.6</v>
      </c>
      <c r="J2278">
        <v>20.6</v>
      </c>
    </row>
    <row r="2279" spans="1:10" x14ac:dyDescent="0.25">
      <c r="A2279" t="s">
        <v>4804</v>
      </c>
      <c r="B2279" s="3">
        <v>44140</v>
      </c>
      <c r="C2279" t="s">
        <v>1982</v>
      </c>
      <c r="D2279" t="s">
        <v>3472</v>
      </c>
      <c r="E2279">
        <v>5</v>
      </c>
      <c r="F2279" t="s">
        <v>3526</v>
      </c>
      <c r="G2279" t="s">
        <v>3519</v>
      </c>
      <c r="H2279">
        <v>1</v>
      </c>
      <c r="I2279">
        <v>13.8</v>
      </c>
      <c r="J2279">
        <v>69</v>
      </c>
    </row>
    <row r="2280" spans="1:10" x14ac:dyDescent="0.25">
      <c r="A2280" t="s">
        <v>4805</v>
      </c>
      <c r="B2280" s="3">
        <v>44444</v>
      </c>
      <c r="C2280" t="s">
        <v>649</v>
      </c>
      <c r="D2280" t="s">
        <v>3515</v>
      </c>
      <c r="E2280">
        <v>4</v>
      </c>
      <c r="F2280" t="s">
        <v>3526</v>
      </c>
      <c r="G2280" t="s">
        <v>3517</v>
      </c>
      <c r="H2280">
        <v>0.2</v>
      </c>
      <c r="I2280">
        <v>4.5</v>
      </c>
      <c r="J2280">
        <v>18</v>
      </c>
    </row>
    <row r="2281" spans="1:10" x14ac:dyDescent="0.25">
      <c r="A2281" t="s">
        <v>4806</v>
      </c>
      <c r="B2281" s="3">
        <v>45279</v>
      </c>
      <c r="C2281" t="s">
        <v>2727</v>
      </c>
      <c r="D2281" t="s">
        <v>3504</v>
      </c>
      <c r="E2281">
        <v>5</v>
      </c>
      <c r="F2281" t="s">
        <v>3524</v>
      </c>
      <c r="G2281" t="s">
        <v>3517</v>
      </c>
      <c r="H2281">
        <v>0.5</v>
      </c>
      <c r="I2281">
        <v>7.2</v>
      </c>
      <c r="J2281">
        <v>36</v>
      </c>
    </row>
    <row r="2282" spans="1:10" x14ac:dyDescent="0.25">
      <c r="A2282" t="s">
        <v>4807</v>
      </c>
      <c r="B2282" s="3">
        <v>44784</v>
      </c>
      <c r="C2282" t="s">
        <v>1570</v>
      </c>
      <c r="D2282" t="s">
        <v>3480</v>
      </c>
      <c r="E2282">
        <v>5</v>
      </c>
      <c r="F2282" t="s">
        <v>3524</v>
      </c>
      <c r="G2282" t="s">
        <v>3518</v>
      </c>
      <c r="H2282">
        <v>2.5</v>
      </c>
      <c r="I2282">
        <v>20.6</v>
      </c>
      <c r="J2282">
        <v>103</v>
      </c>
    </row>
    <row r="2283" spans="1:10" x14ac:dyDescent="0.25">
      <c r="A2283" t="s">
        <v>4808</v>
      </c>
      <c r="B2283" s="3">
        <v>45173</v>
      </c>
      <c r="C2283" t="s">
        <v>2518</v>
      </c>
      <c r="D2283" t="s">
        <v>3472</v>
      </c>
      <c r="E2283">
        <v>3</v>
      </c>
      <c r="F2283" t="s">
        <v>3526</v>
      </c>
      <c r="G2283" t="s">
        <v>3519</v>
      </c>
      <c r="H2283">
        <v>1</v>
      </c>
      <c r="I2283">
        <v>13.8</v>
      </c>
      <c r="J2283">
        <v>41.4</v>
      </c>
    </row>
    <row r="2284" spans="1:10" x14ac:dyDescent="0.25">
      <c r="A2284" t="s">
        <v>4809</v>
      </c>
      <c r="B2284" s="3">
        <v>45223</v>
      </c>
      <c r="C2284" t="s">
        <v>2350</v>
      </c>
      <c r="D2284" t="s">
        <v>3474</v>
      </c>
      <c r="E2284">
        <v>2</v>
      </c>
      <c r="F2284" t="s">
        <v>3525</v>
      </c>
      <c r="G2284" t="s">
        <v>3518</v>
      </c>
      <c r="H2284">
        <v>1</v>
      </c>
      <c r="I2284">
        <v>13</v>
      </c>
      <c r="J2284">
        <v>26</v>
      </c>
    </row>
    <row r="2285" spans="1:10" x14ac:dyDescent="0.25">
      <c r="A2285" t="s">
        <v>4810</v>
      </c>
      <c r="B2285" s="3">
        <v>43498</v>
      </c>
      <c r="C2285" t="s">
        <v>3045</v>
      </c>
      <c r="D2285" t="s">
        <v>3470</v>
      </c>
      <c r="E2285">
        <v>5</v>
      </c>
      <c r="F2285" t="s">
        <v>3526</v>
      </c>
      <c r="G2285" t="s">
        <v>3519</v>
      </c>
      <c r="H2285">
        <v>0.5</v>
      </c>
      <c r="I2285">
        <v>8.3000000000000007</v>
      </c>
      <c r="J2285">
        <v>41.5</v>
      </c>
    </row>
    <row r="2286" spans="1:10" x14ac:dyDescent="0.25">
      <c r="A2286" t="s">
        <v>4811</v>
      </c>
      <c r="B2286" s="3">
        <v>45419</v>
      </c>
      <c r="C2286" t="s">
        <v>2242</v>
      </c>
      <c r="D2286" t="s">
        <v>3515</v>
      </c>
      <c r="E2286">
        <v>6</v>
      </c>
      <c r="F2286" t="s">
        <v>3526</v>
      </c>
      <c r="G2286" t="s">
        <v>3517</v>
      </c>
      <c r="H2286">
        <v>0.2</v>
      </c>
      <c r="I2286">
        <v>4.5</v>
      </c>
      <c r="J2286">
        <v>27</v>
      </c>
    </row>
    <row r="2287" spans="1:10" x14ac:dyDescent="0.25">
      <c r="A2287" t="s">
        <v>4812</v>
      </c>
      <c r="B2287" s="3">
        <v>44241</v>
      </c>
      <c r="C2287" t="s">
        <v>2630</v>
      </c>
      <c r="D2287" t="s">
        <v>3503</v>
      </c>
      <c r="E2287">
        <v>6</v>
      </c>
      <c r="F2287" t="s">
        <v>3524</v>
      </c>
      <c r="G2287" t="s">
        <v>3518</v>
      </c>
      <c r="H2287">
        <v>0.5</v>
      </c>
      <c r="I2287">
        <v>5.4</v>
      </c>
      <c r="J2287">
        <v>32.4</v>
      </c>
    </row>
    <row r="2288" spans="1:10" x14ac:dyDescent="0.25">
      <c r="A2288" t="s">
        <v>4813</v>
      </c>
      <c r="B2288" s="3">
        <v>45061</v>
      </c>
      <c r="C2288" t="s">
        <v>2560</v>
      </c>
      <c r="D2288" t="s">
        <v>3495</v>
      </c>
      <c r="E2288">
        <v>5</v>
      </c>
      <c r="F2288" t="s">
        <v>3525</v>
      </c>
      <c r="G2288" t="s">
        <v>3517</v>
      </c>
      <c r="H2288">
        <v>2.5</v>
      </c>
      <c r="I2288">
        <v>36.5</v>
      </c>
      <c r="J2288">
        <v>182.5</v>
      </c>
    </row>
    <row r="2289" spans="1:10" x14ac:dyDescent="0.25">
      <c r="A2289" t="s">
        <v>4814</v>
      </c>
      <c r="B2289" s="3">
        <v>45257</v>
      </c>
      <c r="C2289" t="s">
        <v>1131</v>
      </c>
      <c r="D2289" t="s">
        <v>3505</v>
      </c>
      <c r="E2289">
        <v>1</v>
      </c>
      <c r="F2289" t="s">
        <v>3524</v>
      </c>
      <c r="G2289" t="s">
        <v>3519</v>
      </c>
      <c r="H2289">
        <v>0.2</v>
      </c>
      <c r="I2289">
        <v>3</v>
      </c>
      <c r="J2289">
        <v>3</v>
      </c>
    </row>
    <row r="2290" spans="1:10" x14ac:dyDescent="0.25">
      <c r="A2290" t="s">
        <v>4815</v>
      </c>
      <c r="B2290" s="3">
        <v>45210</v>
      </c>
      <c r="C2290" t="s">
        <v>1637</v>
      </c>
      <c r="D2290" t="s">
        <v>3477</v>
      </c>
      <c r="E2290">
        <v>3</v>
      </c>
      <c r="F2290" t="s">
        <v>3524</v>
      </c>
      <c r="G2290" t="s">
        <v>3519</v>
      </c>
      <c r="H2290">
        <v>0.5</v>
      </c>
      <c r="I2290">
        <v>6</v>
      </c>
      <c r="J2290">
        <v>18</v>
      </c>
    </row>
    <row r="2291" spans="1:10" x14ac:dyDescent="0.25">
      <c r="A2291" t="s">
        <v>4816</v>
      </c>
      <c r="B2291" s="3">
        <v>44271</v>
      </c>
      <c r="C2291" t="s">
        <v>2995</v>
      </c>
      <c r="D2291" t="s">
        <v>3501</v>
      </c>
      <c r="E2291">
        <v>3</v>
      </c>
      <c r="F2291" t="s">
        <v>3525</v>
      </c>
      <c r="G2291" t="s">
        <v>3517</v>
      </c>
      <c r="H2291">
        <v>1</v>
      </c>
      <c r="I2291">
        <v>15.9</v>
      </c>
      <c r="J2291">
        <v>47.7</v>
      </c>
    </row>
    <row r="2292" spans="1:10" x14ac:dyDescent="0.25">
      <c r="A2292" t="s">
        <v>4817</v>
      </c>
      <c r="B2292" s="3">
        <v>44779</v>
      </c>
      <c r="C2292" t="s">
        <v>2798</v>
      </c>
      <c r="D2292" t="s">
        <v>3510</v>
      </c>
      <c r="E2292">
        <v>5</v>
      </c>
      <c r="F2292" t="s">
        <v>3524</v>
      </c>
      <c r="G2292" t="s">
        <v>3517</v>
      </c>
      <c r="H2292">
        <v>1</v>
      </c>
      <c r="I2292">
        <v>12</v>
      </c>
      <c r="J2292">
        <v>60</v>
      </c>
    </row>
    <row r="2293" spans="1:10" x14ac:dyDescent="0.25">
      <c r="A2293" t="s">
        <v>4818</v>
      </c>
      <c r="B2293" s="3">
        <v>45064</v>
      </c>
      <c r="C2293" t="s">
        <v>2290</v>
      </c>
      <c r="D2293" t="s">
        <v>3511</v>
      </c>
      <c r="E2293">
        <v>4</v>
      </c>
      <c r="F2293" t="s">
        <v>3523</v>
      </c>
      <c r="G2293" t="s">
        <v>3517</v>
      </c>
      <c r="H2293">
        <v>0.5</v>
      </c>
      <c r="I2293">
        <v>7.8</v>
      </c>
      <c r="J2293">
        <v>31.2</v>
      </c>
    </row>
    <row r="2294" spans="1:10" x14ac:dyDescent="0.25">
      <c r="A2294" t="s">
        <v>4819</v>
      </c>
      <c r="B2294" s="3">
        <v>45657</v>
      </c>
      <c r="C2294" t="s">
        <v>2071</v>
      </c>
      <c r="D2294" t="s">
        <v>3497</v>
      </c>
      <c r="E2294">
        <v>6</v>
      </c>
      <c r="F2294" t="s">
        <v>3526</v>
      </c>
      <c r="G2294" t="s">
        <v>3519</v>
      </c>
      <c r="H2294">
        <v>2.5</v>
      </c>
      <c r="I2294">
        <v>31.6</v>
      </c>
      <c r="J2294">
        <v>189.6</v>
      </c>
    </row>
    <row r="2295" spans="1:10" x14ac:dyDescent="0.25">
      <c r="A2295" t="s">
        <v>4820</v>
      </c>
      <c r="B2295" s="3">
        <v>44816</v>
      </c>
      <c r="C2295" t="s">
        <v>3214</v>
      </c>
      <c r="D2295" t="s">
        <v>3502</v>
      </c>
      <c r="E2295">
        <v>1</v>
      </c>
      <c r="F2295" t="s">
        <v>3526</v>
      </c>
      <c r="G2295" t="s">
        <v>3517</v>
      </c>
      <c r="H2295">
        <v>1</v>
      </c>
      <c r="I2295">
        <v>14.9</v>
      </c>
      <c r="J2295">
        <v>14.9</v>
      </c>
    </row>
    <row r="2296" spans="1:10" x14ac:dyDescent="0.25">
      <c r="A2296" t="s">
        <v>4821</v>
      </c>
      <c r="B2296" s="3">
        <v>43746</v>
      </c>
      <c r="C2296" t="s">
        <v>2375</v>
      </c>
      <c r="D2296" t="s">
        <v>3511</v>
      </c>
      <c r="E2296">
        <v>6</v>
      </c>
      <c r="F2296" t="s">
        <v>3523</v>
      </c>
      <c r="G2296" t="s">
        <v>3517</v>
      </c>
      <c r="H2296">
        <v>0.5</v>
      </c>
      <c r="I2296">
        <v>7.8</v>
      </c>
      <c r="J2296">
        <v>46.8</v>
      </c>
    </row>
    <row r="2297" spans="1:10" x14ac:dyDescent="0.25">
      <c r="A2297" t="s">
        <v>4822</v>
      </c>
      <c r="B2297" s="3">
        <v>45422</v>
      </c>
      <c r="C2297" t="s">
        <v>1160</v>
      </c>
      <c r="D2297" t="s">
        <v>3507</v>
      </c>
      <c r="E2297">
        <v>2</v>
      </c>
      <c r="F2297" t="s">
        <v>3526</v>
      </c>
      <c r="G2297" t="s">
        <v>3517</v>
      </c>
      <c r="H2297">
        <v>0.5</v>
      </c>
      <c r="I2297">
        <v>8.9</v>
      </c>
      <c r="J2297">
        <v>17.8</v>
      </c>
    </row>
    <row r="2298" spans="1:10" x14ac:dyDescent="0.25">
      <c r="A2298" t="s">
        <v>4823</v>
      </c>
      <c r="B2298" s="3">
        <v>44779</v>
      </c>
      <c r="C2298" t="s">
        <v>1032</v>
      </c>
      <c r="D2298" t="s">
        <v>3492</v>
      </c>
      <c r="E2298">
        <v>4</v>
      </c>
      <c r="F2298" t="s">
        <v>3525</v>
      </c>
      <c r="G2298" t="s">
        <v>3517</v>
      </c>
      <c r="H2298">
        <v>0.5</v>
      </c>
      <c r="I2298">
        <v>9.5</v>
      </c>
      <c r="J2298">
        <v>38</v>
      </c>
    </row>
    <row r="2299" spans="1:10" x14ac:dyDescent="0.25">
      <c r="A2299" t="s">
        <v>4824</v>
      </c>
      <c r="B2299" s="3">
        <v>44760</v>
      </c>
      <c r="C2299" t="s">
        <v>3432</v>
      </c>
      <c r="D2299" t="s">
        <v>3492</v>
      </c>
      <c r="E2299">
        <v>3</v>
      </c>
      <c r="F2299" t="s">
        <v>3525</v>
      </c>
      <c r="G2299" t="s">
        <v>3517</v>
      </c>
      <c r="H2299">
        <v>0.5</v>
      </c>
      <c r="I2299">
        <v>9.5</v>
      </c>
      <c r="J2299">
        <v>28.5</v>
      </c>
    </row>
    <row r="2300" spans="1:10" x14ac:dyDescent="0.25">
      <c r="A2300" t="s">
        <v>4825</v>
      </c>
      <c r="B2300" s="3">
        <v>45639</v>
      </c>
      <c r="C2300" t="s">
        <v>1610</v>
      </c>
      <c r="D2300" t="s">
        <v>3491</v>
      </c>
      <c r="E2300">
        <v>3</v>
      </c>
      <c r="F2300" t="s">
        <v>3525</v>
      </c>
      <c r="G2300" t="s">
        <v>3519</v>
      </c>
      <c r="H2300">
        <v>0.5</v>
      </c>
      <c r="I2300">
        <v>8.6999999999999993</v>
      </c>
      <c r="J2300">
        <v>26.1</v>
      </c>
    </row>
    <row r="2301" spans="1:10" x14ac:dyDescent="0.25">
      <c r="A2301" t="s">
        <v>4826</v>
      </c>
      <c r="B2301" s="3">
        <v>45008</v>
      </c>
      <c r="C2301" t="s">
        <v>3351</v>
      </c>
      <c r="D2301" t="s">
        <v>3510</v>
      </c>
      <c r="E2301">
        <v>5</v>
      </c>
      <c r="F2301" t="s">
        <v>3524</v>
      </c>
      <c r="G2301" t="s">
        <v>3517</v>
      </c>
      <c r="H2301">
        <v>1</v>
      </c>
      <c r="I2301">
        <v>12</v>
      </c>
      <c r="J2301">
        <v>60</v>
      </c>
    </row>
    <row r="2302" spans="1:10" x14ac:dyDescent="0.25">
      <c r="A2302" t="s">
        <v>4827</v>
      </c>
      <c r="B2302" s="3">
        <v>45599</v>
      </c>
      <c r="C2302" t="s">
        <v>2687</v>
      </c>
      <c r="D2302" t="s">
        <v>3508</v>
      </c>
      <c r="E2302">
        <v>2</v>
      </c>
      <c r="F2302" t="s">
        <v>3524</v>
      </c>
      <c r="G2302" t="s">
        <v>3518</v>
      </c>
      <c r="H2302">
        <v>1</v>
      </c>
      <c r="I2302">
        <v>9</v>
      </c>
      <c r="J2302">
        <v>18</v>
      </c>
    </row>
    <row r="2303" spans="1:10" x14ac:dyDescent="0.25">
      <c r="A2303" t="s">
        <v>4828</v>
      </c>
      <c r="B2303" s="3">
        <v>44263</v>
      </c>
      <c r="C2303" t="s">
        <v>2299</v>
      </c>
      <c r="D2303" t="s">
        <v>3472</v>
      </c>
      <c r="E2303">
        <v>6</v>
      </c>
      <c r="F2303" t="s">
        <v>3526</v>
      </c>
      <c r="G2303" t="s">
        <v>3519</v>
      </c>
      <c r="H2303">
        <v>1</v>
      </c>
      <c r="I2303">
        <v>13.8</v>
      </c>
      <c r="J2303">
        <v>82.8</v>
      </c>
    </row>
    <row r="2304" spans="1:10" x14ac:dyDescent="0.25">
      <c r="A2304" t="s">
        <v>4829</v>
      </c>
      <c r="B2304" s="3">
        <v>44767</v>
      </c>
      <c r="C2304" t="s">
        <v>881</v>
      </c>
      <c r="D2304" t="s">
        <v>3513</v>
      </c>
      <c r="E2304">
        <v>2</v>
      </c>
      <c r="F2304" t="s">
        <v>3523</v>
      </c>
      <c r="G2304" t="s">
        <v>3517</v>
      </c>
      <c r="H2304">
        <v>2.5</v>
      </c>
      <c r="I2304">
        <v>29.8</v>
      </c>
      <c r="J2304">
        <v>59.6</v>
      </c>
    </row>
    <row r="2305" spans="1:10" x14ac:dyDescent="0.25">
      <c r="A2305" t="s">
        <v>4830</v>
      </c>
      <c r="B2305" s="3">
        <v>45342</v>
      </c>
      <c r="C2305" t="s">
        <v>2110</v>
      </c>
      <c r="D2305" t="s">
        <v>3475</v>
      </c>
      <c r="E2305">
        <v>1</v>
      </c>
      <c r="F2305" t="s">
        <v>3526</v>
      </c>
      <c r="G2305" t="s">
        <v>3518</v>
      </c>
      <c r="H2305">
        <v>0.5</v>
      </c>
      <c r="I2305">
        <v>7.3</v>
      </c>
      <c r="J2305">
        <v>7.3</v>
      </c>
    </row>
    <row r="2306" spans="1:10" x14ac:dyDescent="0.25">
      <c r="A2306" t="s">
        <v>4831</v>
      </c>
      <c r="B2306" s="3">
        <v>43795</v>
      </c>
      <c r="C2306" t="s">
        <v>3092</v>
      </c>
      <c r="D2306" t="s">
        <v>3485</v>
      </c>
      <c r="E2306">
        <v>2</v>
      </c>
      <c r="F2306" t="s">
        <v>3523</v>
      </c>
      <c r="G2306" t="s">
        <v>3518</v>
      </c>
      <c r="H2306">
        <v>0.2</v>
      </c>
      <c r="I2306">
        <v>3</v>
      </c>
      <c r="J2306">
        <v>6</v>
      </c>
    </row>
    <row r="2307" spans="1:10" x14ac:dyDescent="0.25">
      <c r="A2307" t="s">
        <v>4832</v>
      </c>
      <c r="B2307" s="3">
        <v>45171</v>
      </c>
      <c r="C2307" t="s">
        <v>1125</v>
      </c>
      <c r="D2307" t="s">
        <v>3495</v>
      </c>
      <c r="E2307">
        <v>1</v>
      </c>
      <c r="F2307" t="s">
        <v>3525</v>
      </c>
      <c r="G2307" t="s">
        <v>3517</v>
      </c>
      <c r="H2307">
        <v>2.5</v>
      </c>
      <c r="I2307">
        <v>36.5</v>
      </c>
      <c r="J2307">
        <v>36.5</v>
      </c>
    </row>
    <row r="2308" spans="1:10" x14ac:dyDescent="0.25">
      <c r="A2308" t="s">
        <v>4833</v>
      </c>
      <c r="B2308" s="3">
        <v>44094</v>
      </c>
      <c r="C2308" t="s">
        <v>3196</v>
      </c>
      <c r="D2308" t="s">
        <v>3501</v>
      </c>
      <c r="E2308">
        <v>2</v>
      </c>
      <c r="F2308" t="s">
        <v>3525</v>
      </c>
      <c r="G2308" t="s">
        <v>3517</v>
      </c>
      <c r="H2308">
        <v>1</v>
      </c>
      <c r="I2308">
        <v>15.9</v>
      </c>
      <c r="J2308">
        <v>31.8</v>
      </c>
    </row>
    <row r="2309" spans="1:10" x14ac:dyDescent="0.25">
      <c r="A2309" t="s">
        <v>4834</v>
      </c>
      <c r="B2309" s="3">
        <v>45561</v>
      </c>
      <c r="C2309" t="s">
        <v>1951</v>
      </c>
      <c r="D2309" t="s">
        <v>3512</v>
      </c>
      <c r="E2309">
        <v>1</v>
      </c>
      <c r="F2309" t="s">
        <v>3525</v>
      </c>
      <c r="G2309" t="s">
        <v>3519</v>
      </c>
      <c r="H2309">
        <v>2.5</v>
      </c>
      <c r="I2309">
        <v>33.5</v>
      </c>
      <c r="J2309">
        <v>33.5</v>
      </c>
    </row>
    <row r="2310" spans="1:10" x14ac:dyDescent="0.25">
      <c r="A2310" t="s">
        <v>4835</v>
      </c>
      <c r="B2310" s="3">
        <v>44759</v>
      </c>
      <c r="C2310" t="s">
        <v>1041</v>
      </c>
      <c r="D2310" t="s">
        <v>3508</v>
      </c>
      <c r="E2310">
        <v>3</v>
      </c>
      <c r="F2310" t="s">
        <v>3524</v>
      </c>
      <c r="G2310" t="s">
        <v>3518</v>
      </c>
      <c r="H2310">
        <v>1</v>
      </c>
      <c r="I2310">
        <v>9</v>
      </c>
      <c r="J2310">
        <v>27</v>
      </c>
    </row>
    <row r="2311" spans="1:10" x14ac:dyDescent="0.25">
      <c r="A2311" t="s">
        <v>4836</v>
      </c>
      <c r="B2311" s="3">
        <v>45498</v>
      </c>
      <c r="C2311" t="s">
        <v>1163</v>
      </c>
      <c r="D2311" t="s">
        <v>3501</v>
      </c>
      <c r="E2311">
        <v>5</v>
      </c>
      <c r="F2311" t="s">
        <v>3525</v>
      </c>
      <c r="G2311" t="s">
        <v>3517</v>
      </c>
      <c r="H2311">
        <v>1</v>
      </c>
      <c r="I2311">
        <v>15.9</v>
      </c>
      <c r="J2311">
        <v>79.5</v>
      </c>
    </row>
    <row r="2312" spans="1:10" x14ac:dyDescent="0.25">
      <c r="A2312" t="s">
        <v>4837</v>
      </c>
      <c r="B2312" s="3">
        <v>45012</v>
      </c>
      <c r="C2312" t="s">
        <v>2284</v>
      </c>
      <c r="D2312" t="s">
        <v>3501</v>
      </c>
      <c r="E2312">
        <v>4</v>
      </c>
      <c r="F2312" t="s">
        <v>3525</v>
      </c>
      <c r="G2312" t="s">
        <v>3517</v>
      </c>
      <c r="H2312">
        <v>1</v>
      </c>
      <c r="I2312">
        <v>15.9</v>
      </c>
      <c r="J2312">
        <v>63.6</v>
      </c>
    </row>
    <row r="2313" spans="1:10" x14ac:dyDescent="0.25">
      <c r="A2313" t="s">
        <v>4838</v>
      </c>
      <c r="B2313" s="3">
        <v>44989</v>
      </c>
      <c r="C2313" t="s">
        <v>1526</v>
      </c>
      <c r="D2313" t="s">
        <v>3471</v>
      </c>
      <c r="E2313">
        <v>4</v>
      </c>
      <c r="F2313" t="s">
        <v>3523</v>
      </c>
      <c r="G2313" t="s">
        <v>3517</v>
      </c>
      <c r="H2313">
        <v>1</v>
      </c>
      <c r="I2313">
        <v>13</v>
      </c>
      <c r="J2313">
        <v>52</v>
      </c>
    </row>
    <row r="2314" spans="1:10" x14ac:dyDescent="0.25">
      <c r="A2314" t="s">
        <v>4839</v>
      </c>
      <c r="B2314" s="3">
        <v>45068</v>
      </c>
      <c r="C2314" t="s">
        <v>3007</v>
      </c>
      <c r="D2314" t="s">
        <v>3505</v>
      </c>
      <c r="E2314">
        <v>3</v>
      </c>
      <c r="F2314" t="s">
        <v>3524</v>
      </c>
      <c r="G2314" t="s">
        <v>3519</v>
      </c>
      <c r="H2314">
        <v>0.2</v>
      </c>
      <c r="I2314">
        <v>3</v>
      </c>
      <c r="J2314">
        <v>9</v>
      </c>
    </row>
    <row r="2315" spans="1:10" x14ac:dyDescent="0.25">
      <c r="A2315" t="s">
        <v>4840</v>
      </c>
      <c r="B2315" s="3">
        <v>44838</v>
      </c>
      <c r="C2315" t="s">
        <v>2036</v>
      </c>
      <c r="D2315" t="s">
        <v>3496</v>
      </c>
      <c r="E2315">
        <v>1</v>
      </c>
      <c r="F2315" t="s">
        <v>3525</v>
      </c>
      <c r="G2315" t="s">
        <v>3518</v>
      </c>
      <c r="H2315">
        <v>2.5</v>
      </c>
      <c r="I2315">
        <v>29.8</v>
      </c>
      <c r="J2315">
        <v>29.8</v>
      </c>
    </row>
    <row r="2316" spans="1:10" x14ac:dyDescent="0.25">
      <c r="A2316" t="s">
        <v>4841</v>
      </c>
      <c r="B2316" s="3">
        <v>43975</v>
      </c>
      <c r="C2316" t="s">
        <v>1214</v>
      </c>
      <c r="D2316" t="s">
        <v>3499</v>
      </c>
      <c r="E2316">
        <v>4</v>
      </c>
      <c r="F2316" t="s">
        <v>3523</v>
      </c>
      <c r="G2316" t="s">
        <v>3518</v>
      </c>
      <c r="H2316">
        <v>2.5</v>
      </c>
      <c r="I2316">
        <v>22.9</v>
      </c>
      <c r="J2316">
        <v>91.6</v>
      </c>
    </row>
    <row r="2317" spans="1:10" x14ac:dyDescent="0.25">
      <c r="A2317" t="s">
        <v>4842</v>
      </c>
      <c r="B2317" s="3">
        <v>45359</v>
      </c>
      <c r="C2317" t="s">
        <v>1062</v>
      </c>
      <c r="D2317" t="s">
        <v>3496</v>
      </c>
      <c r="E2317">
        <v>5</v>
      </c>
      <c r="F2317" t="s">
        <v>3525</v>
      </c>
      <c r="G2317" t="s">
        <v>3518</v>
      </c>
      <c r="H2317">
        <v>2.5</v>
      </c>
      <c r="I2317">
        <v>29.8</v>
      </c>
      <c r="J2317">
        <v>149</v>
      </c>
    </row>
    <row r="2318" spans="1:10" x14ac:dyDescent="0.25">
      <c r="A2318" t="s">
        <v>4843</v>
      </c>
      <c r="B2318" s="3">
        <v>45436</v>
      </c>
      <c r="C2318" t="s">
        <v>984</v>
      </c>
      <c r="D2318" t="s">
        <v>3469</v>
      </c>
      <c r="E2318">
        <v>6</v>
      </c>
      <c r="F2318" t="s">
        <v>3524</v>
      </c>
      <c r="G2318" t="s">
        <v>3519</v>
      </c>
      <c r="H2318">
        <v>1</v>
      </c>
      <c r="I2318">
        <v>10</v>
      </c>
      <c r="J2318">
        <v>60</v>
      </c>
    </row>
    <row r="2319" spans="1:10" x14ac:dyDescent="0.25">
      <c r="A2319" t="s">
        <v>4844</v>
      </c>
      <c r="B2319" s="3">
        <v>45019</v>
      </c>
      <c r="C2319" t="s">
        <v>661</v>
      </c>
      <c r="D2319" t="s">
        <v>3504</v>
      </c>
      <c r="E2319">
        <v>6</v>
      </c>
      <c r="F2319" t="s">
        <v>3524</v>
      </c>
      <c r="G2319" t="s">
        <v>3517</v>
      </c>
      <c r="H2319">
        <v>0.5</v>
      </c>
      <c r="I2319">
        <v>7.2</v>
      </c>
      <c r="J2319">
        <v>43.2</v>
      </c>
    </row>
    <row r="2320" spans="1:10" x14ac:dyDescent="0.25">
      <c r="A2320" t="s">
        <v>4845</v>
      </c>
      <c r="B2320" s="3">
        <v>45110</v>
      </c>
      <c r="C2320" t="s">
        <v>1994</v>
      </c>
      <c r="D2320" t="s">
        <v>3472</v>
      </c>
      <c r="E2320">
        <v>6</v>
      </c>
      <c r="F2320" t="s">
        <v>3526</v>
      </c>
      <c r="G2320" t="s">
        <v>3519</v>
      </c>
      <c r="H2320">
        <v>1</v>
      </c>
      <c r="I2320">
        <v>13.8</v>
      </c>
      <c r="J2320">
        <v>82.8</v>
      </c>
    </row>
    <row r="2321" spans="1:10" x14ac:dyDescent="0.25">
      <c r="A2321" t="s">
        <v>4846</v>
      </c>
      <c r="B2321" s="3">
        <v>45648</v>
      </c>
      <c r="C2321" t="s">
        <v>1872</v>
      </c>
      <c r="D2321" t="s">
        <v>3492</v>
      </c>
      <c r="E2321">
        <v>5</v>
      </c>
      <c r="F2321" t="s">
        <v>3525</v>
      </c>
      <c r="G2321" t="s">
        <v>3517</v>
      </c>
      <c r="H2321">
        <v>0.5</v>
      </c>
      <c r="I2321">
        <v>9.5</v>
      </c>
      <c r="J2321">
        <v>47.5</v>
      </c>
    </row>
    <row r="2322" spans="1:10" x14ac:dyDescent="0.25">
      <c r="A2322" t="s">
        <v>4847</v>
      </c>
      <c r="B2322" s="3">
        <v>44485</v>
      </c>
      <c r="C2322" t="s">
        <v>2524</v>
      </c>
      <c r="D2322" t="s">
        <v>3479</v>
      </c>
      <c r="E2322">
        <v>6</v>
      </c>
      <c r="F2322" t="s">
        <v>3526</v>
      </c>
      <c r="G2322" t="s">
        <v>3517</v>
      </c>
      <c r="H2322">
        <v>2.5</v>
      </c>
      <c r="I2322">
        <v>34.200000000000003</v>
      </c>
      <c r="J2322">
        <v>205.2</v>
      </c>
    </row>
    <row r="2323" spans="1:10" x14ac:dyDescent="0.25">
      <c r="A2323" t="s">
        <v>4848</v>
      </c>
      <c r="B2323" s="3">
        <v>43616</v>
      </c>
      <c r="C2323" t="s">
        <v>2654</v>
      </c>
      <c r="D2323" t="s">
        <v>3501</v>
      </c>
      <c r="E2323">
        <v>5</v>
      </c>
      <c r="F2323" t="s">
        <v>3525</v>
      </c>
      <c r="G2323" t="s">
        <v>3517</v>
      </c>
      <c r="H2323">
        <v>1</v>
      </c>
      <c r="I2323">
        <v>15.9</v>
      </c>
      <c r="J2323">
        <v>79.5</v>
      </c>
    </row>
    <row r="2324" spans="1:10" x14ac:dyDescent="0.25">
      <c r="A2324" t="s">
        <v>4849</v>
      </c>
      <c r="B2324" s="3">
        <v>43524</v>
      </c>
      <c r="C2324" t="s">
        <v>2311</v>
      </c>
      <c r="D2324" t="s">
        <v>3481</v>
      </c>
      <c r="E2324">
        <v>3</v>
      </c>
      <c r="F2324" t="s">
        <v>3525</v>
      </c>
      <c r="G2324" t="s">
        <v>3518</v>
      </c>
      <c r="H2324">
        <v>0.2</v>
      </c>
      <c r="I2324">
        <v>3.9</v>
      </c>
      <c r="J2324">
        <v>11.7</v>
      </c>
    </row>
    <row r="2325" spans="1:10" x14ac:dyDescent="0.25">
      <c r="A2325" t="s">
        <v>4850</v>
      </c>
      <c r="B2325" s="3">
        <v>45565</v>
      </c>
      <c r="C2325" t="s">
        <v>808</v>
      </c>
      <c r="D2325" t="s">
        <v>3489</v>
      </c>
      <c r="E2325">
        <v>5</v>
      </c>
      <c r="F2325" t="s">
        <v>3523</v>
      </c>
      <c r="G2325" t="s">
        <v>3518</v>
      </c>
      <c r="H2325">
        <v>0.5</v>
      </c>
      <c r="I2325">
        <v>6</v>
      </c>
      <c r="J2325">
        <v>30</v>
      </c>
    </row>
    <row r="2326" spans="1:10" x14ac:dyDescent="0.25">
      <c r="A2326" t="s">
        <v>4851</v>
      </c>
      <c r="B2326" s="3">
        <v>45403</v>
      </c>
      <c r="C2326" t="s">
        <v>3390</v>
      </c>
      <c r="D2326" t="s">
        <v>3514</v>
      </c>
      <c r="E2326">
        <v>1</v>
      </c>
      <c r="F2326" t="s">
        <v>3526</v>
      </c>
      <c r="G2326" t="s">
        <v>3518</v>
      </c>
      <c r="H2326">
        <v>1</v>
      </c>
      <c r="I2326">
        <v>12.2</v>
      </c>
      <c r="J2326">
        <v>12.2</v>
      </c>
    </row>
    <row r="2327" spans="1:10" x14ac:dyDescent="0.25">
      <c r="A2327" t="s">
        <v>4852</v>
      </c>
      <c r="B2327" s="3">
        <v>45149</v>
      </c>
      <c r="C2327" t="s">
        <v>2044</v>
      </c>
      <c r="D2327" t="s">
        <v>3488</v>
      </c>
      <c r="E2327">
        <v>1</v>
      </c>
      <c r="F2327" t="s">
        <v>3523</v>
      </c>
      <c r="G2327" t="s">
        <v>3519</v>
      </c>
      <c r="H2327">
        <v>0.5</v>
      </c>
      <c r="I2327">
        <v>6.8</v>
      </c>
      <c r="J2327">
        <v>6.8</v>
      </c>
    </row>
    <row r="2328" spans="1:10" x14ac:dyDescent="0.25">
      <c r="A2328" t="s">
        <v>4853</v>
      </c>
      <c r="B2328" s="3">
        <v>44892</v>
      </c>
      <c r="C2328" t="s">
        <v>1770</v>
      </c>
      <c r="D2328" t="s">
        <v>3496</v>
      </c>
      <c r="E2328">
        <v>4</v>
      </c>
      <c r="F2328" t="s">
        <v>3525</v>
      </c>
      <c r="G2328" t="s">
        <v>3518</v>
      </c>
      <c r="H2328">
        <v>2.5</v>
      </c>
      <c r="I2328">
        <v>29.8</v>
      </c>
      <c r="J2328">
        <v>119.2</v>
      </c>
    </row>
    <row r="2329" spans="1:10" x14ac:dyDescent="0.25">
      <c r="A2329" t="s">
        <v>4854</v>
      </c>
      <c r="B2329" s="3">
        <v>45277</v>
      </c>
      <c r="C2329" t="s">
        <v>2651</v>
      </c>
      <c r="D2329" t="s">
        <v>3494</v>
      </c>
      <c r="E2329">
        <v>6</v>
      </c>
      <c r="F2329" t="s">
        <v>3524</v>
      </c>
      <c r="G2329" t="s">
        <v>3518</v>
      </c>
      <c r="H2329">
        <v>0.2</v>
      </c>
      <c r="I2329">
        <v>2.7</v>
      </c>
      <c r="J2329">
        <v>16.2</v>
      </c>
    </row>
    <row r="2330" spans="1:10" x14ac:dyDescent="0.25">
      <c r="A2330" t="s">
        <v>4855</v>
      </c>
      <c r="B2330" s="3">
        <v>44347</v>
      </c>
      <c r="C2330" t="s">
        <v>2287</v>
      </c>
      <c r="D2330" t="s">
        <v>3515</v>
      </c>
      <c r="E2330">
        <v>4</v>
      </c>
      <c r="F2330" t="s">
        <v>3526</v>
      </c>
      <c r="G2330" t="s">
        <v>3517</v>
      </c>
      <c r="H2330">
        <v>0.2</v>
      </c>
      <c r="I2330">
        <v>4.5</v>
      </c>
      <c r="J2330">
        <v>18</v>
      </c>
    </row>
    <row r="2331" spans="1:10" x14ac:dyDescent="0.25">
      <c r="A2331" t="s">
        <v>4856</v>
      </c>
      <c r="B2331" s="3">
        <v>44096</v>
      </c>
      <c r="C2331" t="s">
        <v>2068</v>
      </c>
      <c r="D2331" t="s">
        <v>3504</v>
      </c>
      <c r="E2331">
        <v>5</v>
      </c>
      <c r="F2331" t="s">
        <v>3524</v>
      </c>
      <c r="G2331" t="s">
        <v>3517</v>
      </c>
      <c r="H2331">
        <v>0.5</v>
      </c>
      <c r="I2331">
        <v>7.2</v>
      </c>
      <c r="J2331">
        <v>36</v>
      </c>
    </row>
    <row r="2332" spans="1:10" x14ac:dyDescent="0.25">
      <c r="A2332" t="s">
        <v>4857</v>
      </c>
      <c r="B2332" s="3">
        <v>45368</v>
      </c>
      <c r="C2332" t="s">
        <v>541</v>
      </c>
      <c r="D2332" t="s">
        <v>3512</v>
      </c>
      <c r="E2332">
        <v>3</v>
      </c>
      <c r="F2332" t="s">
        <v>3525</v>
      </c>
      <c r="G2332" t="s">
        <v>3519</v>
      </c>
      <c r="H2332">
        <v>2.5</v>
      </c>
      <c r="I2332">
        <v>33.5</v>
      </c>
      <c r="J2332">
        <v>100.5</v>
      </c>
    </row>
    <row r="2333" spans="1:10" x14ac:dyDescent="0.25">
      <c r="A2333" t="s">
        <v>4858</v>
      </c>
      <c r="B2333" s="3">
        <v>44992</v>
      </c>
      <c r="C2333" t="s">
        <v>1809</v>
      </c>
      <c r="D2333" t="s">
        <v>3471</v>
      </c>
      <c r="E2333">
        <v>4</v>
      </c>
      <c r="F2333" t="s">
        <v>3523</v>
      </c>
      <c r="G2333" t="s">
        <v>3517</v>
      </c>
      <c r="H2333">
        <v>1</v>
      </c>
      <c r="I2333">
        <v>13</v>
      </c>
      <c r="J2333">
        <v>52</v>
      </c>
    </row>
    <row r="2334" spans="1:10" x14ac:dyDescent="0.25">
      <c r="A2334" t="s">
        <v>4859</v>
      </c>
      <c r="B2334" s="3">
        <v>45485</v>
      </c>
      <c r="C2334" t="s">
        <v>1652</v>
      </c>
      <c r="D2334" t="s">
        <v>3503</v>
      </c>
      <c r="E2334">
        <v>6</v>
      </c>
      <c r="F2334" t="s">
        <v>3524</v>
      </c>
      <c r="G2334" t="s">
        <v>3518</v>
      </c>
      <c r="H2334">
        <v>0.5</v>
      </c>
      <c r="I2334">
        <v>5.4</v>
      </c>
      <c r="J2334">
        <v>32.4</v>
      </c>
    </row>
    <row r="2335" spans="1:10" x14ac:dyDescent="0.25">
      <c r="A2335" t="s">
        <v>4860</v>
      </c>
      <c r="B2335" s="3">
        <v>45064</v>
      </c>
      <c r="C2335" t="s">
        <v>851</v>
      </c>
      <c r="D2335" t="s">
        <v>3495</v>
      </c>
      <c r="E2335">
        <v>5</v>
      </c>
      <c r="F2335" t="s">
        <v>3525</v>
      </c>
      <c r="G2335" t="s">
        <v>3517</v>
      </c>
      <c r="H2335">
        <v>2.5</v>
      </c>
      <c r="I2335">
        <v>36.5</v>
      </c>
      <c r="J2335">
        <v>182.5</v>
      </c>
    </row>
    <row r="2336" spans="1:10" x14ac:dyDescent="0.25">
      <c r="A2336" t="s">
        <v>4861</v>
      </c>
      <c r="B2336" s="3">
        <v>44892</v>
      </c>
      <c r="C2336" t="s">
        <v>2612</v>
      </c>
      <c r="D2336" t="s">
        <v>3497</v>
      </c>
      <c r="E2336">
        <v>2</v>
      </c>
      <c r="F2336" t="s">
        <v>3526</v>
      </c>
      <c r="G2336" t="s">
        <v>3519</v>
      </c>
      <c r="H2336">
        <v>2.5</v>
      </c>
      <c r="I2336">
        <v>31.6</v>
      </c>
      <c r="J2336">
        <v>63.2</v>
      </c>
    </row>
    <row r="2337" spans="1:10" x14ac:dyDescent="0.25">
      <c r="A2337" t="s">
        <v>4862</v>
      </c>
      <c r="B2337" s="3">
        <v>45060</v>
      </c>
      <c r="C2337" t="s">
        <v>1300</v>
      </c>
      <c r="D2337" t="s">
        <v>3511</v>
      </c>
      <c r="E2337">
        <v>6</v>
      </c>
      <c r="F2337" t="s">
        <v>3523</v>
      </c>
      <c r="G2337" t="s">
        <v>3517</v>
      </c>
      <c r="H2337">
        <v>0.5</v>
      </c>
      <c r="I2337">
        <v>7.8</v>
      </c>
      <c r="J2337">
        <v>46.8</v>
      </c>
    </row>
    <row r="2338" spans="1:10" x14ac:dyDescent="0.25">
      <c r="A2338" t="s">
        <v>4863</v>
      </c>
      <c r="B2338" s="3">
        <v>45423</v>
      </c>
      <c r="C2338" t="s">
        <v>589</v>
      </c>
      <c r="D2338" t="s">
        <v>3515</v>
      </c>
      <c r="E2338">
        <v>3</v>
      </c>
      <c r="F2338" t="s">
        <v>3526</v>
      </c>
      <c r="G2338" t="s">
        <v>3517</v>
      </c>
      <c r="H2338">
        <v>0.2</v>
      </c>
      <c r="I2338">
        <v>4.5</v>
      </c>
      <c r="J2338">
        <v>13.5</v>
      </c>
    </row>
    <row r="2339" spans="1:10" x14ac:dyDescent="0.25">
      <c r="A2339" t="s">
        <v>4864</v>
      </c>
      <c r="B2339" s="3">
        <v>44151</v>
      </c>
      <c r="C2339" t="s">
        <v>3063</v>
      </c>
      <c r="D2339" t="s">
        <v>3498</v>
      </c>
      <c r="E2339">
        <v>2</v>
      </c>
      <c r="F2339" t="s">
        <v>3523</v>
      </c>
      <c r="G2339" t="s">
        <v>3517</v>
      </c>
      <c r="H2339">
        <v>0.2</v>
      </c>
      <c r="I2339">
        <v>3.9</v>
      </c>
      <c r="J2339">
        <v>7.8</v>
      </c>
    </row>
    <row r="2340" spans="1:10" x14ac:dyDescent="0.25">
      <c r="A2340" t="s">
        <v>4865</v>
      </c>
      <c r="B2340" s="3">
        <v>44700</v>
      </c>
      <c r="C2340" t="s">
        <v>2998</v>
      </c>
      <c r="D2340" t="s">
        <v>3506</v>
      </c>
      <c r="E2340">
        <v>1</v>
      </c>
      <c r="F2340" t="s">
        <v>3523</v>
      </c>
      <c r="G2340" t="s">
        <v>3519</v>
      </c>
      <c r="H2340">
        <v>2.5</v>
      </c>
      <c r="I2340">
        <v>25.9</v>
      </c>
      <c r="J2340">
        <v>25.9</v>
      </c>
    </row>
    <row r="2341" spans="1:10" x14ac:dyDescent="0.25">
      <c r="A2341" t="s">
        <v>4866</v>
      </c>
      <c r="B2341" s="3">
        <v>44978</v>
      </c>
      <c r="C2341" t="s">
        <v>2414</v>
      </c>
      <c r="D2341" t="s">
        <v>3480</v>
      </c>
      <c r="E2341">
        <v>6</v>
      </c>
      <c r="F2341" t="s">
        <v>3524</v>
      </c>
      <c r="G2341" t="s">
        <v>3518</v>
      </c>
      <c r="H2341">
        <v>2.5</v>
      </c>
      <c r="I2341">
        <v>20.6</v>
      </c>
      <c r="J2341">
        <v>123.6</v>
      </c>
    </row>
    <row r="2342" spans="1:10" x14ac:dyDescent="0.25">
      <c r="A2342" t="s">
        <v>4867</v>
      </c>
      <c r="B2342" s="3">
        <v>45103</v>
      </c>
      <c r="C2342" t="s">
        <v>896</v>
      </c>
      <c r="D2342" t="s">
        <v>3481</v>
      </c>
      <c r="E2342">
        <v>4</v>
      </c>
      <c r="F2342" t="s">
        <v>3525</v>
      </c>
      <c r="G2342" t="s">
        <v>3518</v>
      </c>
      <c r="H2342">
        <v>0.2</v>
      </c>
      <c r="I2342">
        <v>3.9</v>
      </c>
      <c r="J2342">
        <v>15.6</v>
      </c>
    </row>
    <row r="2343" spans="1:10" x14ac:dyDescent="0.25">
      <c r="A2343" t="s">
        <v>4868</v>
      </c>
      <c r="B2343" s="3">
        <v>44961</v>
      </c>
      <c r="C2343" t="s">
        <v>3211</v>
      </c>
      <c r="D2343" t="s">
        <v>3516</v>
      </c>
      <c r="E2343">
        <v>1</v>
      </c>
      <c r="F2343" t="s">
        <v>3526</v>
      </c>
      <c r="G2343" t="s">
        <v>3518</v>
      </c>
      <c r="H2343">
        <v>2.5</v>
      </c>
      <c r="I2343">
        <v>27.9</v>
      </c>
      <c r="J2343">
        <v>27.9</v>
      </c>
    </row>
    <row r="2344" spans="1:10" x14ac:dyDescent="0.25">
      <c r="A2344" t="s">
        <v>4869</v>
      </c>
      <c r="B2344" s="3">
        <v>45569</v>
      </c>
      <c r="C2344" t="s">
        <v>1268</v>
      </c>
      <c r="D2344" t="s">
        <v>3492</v>
      </c>
      <c r="E2344">
        <v>2</v>
      </c>
      <c r="F2344" t="s">
        <v>3525</v>
      </c>
      <c r="G2344" t="s">
        <v>3517</v>
      </c>
      <c r="H2344">
        <v>0.5</v>
      </c>
      <c r="I2344">
        <v>9.5</v>
      </c>
      <c r="J2344">
        <v>19</v>
      </c>
    </row>
    <row r="2345" spans="1:10" x14ac:dyDescent="0.25">
      <c r="A2345" t="s">
        <v>4870</v>
      </c>
      <c r="B2345" s="3">
        <v>45161</v>
      </c>
      <c r="C2345" t="s">
        <v>2162</v>
      </c>
      <c r="D2345" t="s">
        <v>3479</v>
      </c>
      <c r="E2345">
        <v>5</v>
      </c>
      <c r="F2345" t="s">
        <v>3526</v>
      </c>
      <c r="G2345" t="s">
        <v>3517</v>
      </c>
      <c r="H2345">
        <v>2.5</v>
      </c>
      <c r="I2345">
        <v>34.200000000000003</v>
      </c>
      <c r="J2345">
        <v>171</v>
      </c>
    </row>
    <row r="2346" spans="1:10" x14ac:dyDescent="0.25">
      <c r="A2346" t="s">
        <v>4871</v>
      </c>
      <c r="B2346" s="3">
        <v>45229</v>
      </c>
      <c r="C2346" t="s">
        <v>854</v>
      </c>
      <c r="D2346" t="s">
        <v>3472</v>
      </c>
      <c r="E2346">
        <v>1</v>
      </c>
      <c r="F2346" t="s">
        <v>3526</v>
      </c>
      <c r="G2346" t="s">
        <v>3519</v>
      </c>
      <c r="H2346">
        <v>1</v>
      </c>
      <c r="I2346">
        <v>13.8</v>
      </c>
      <c r="J2346">
        <v>13.8</v>
      </c>
    </row>
    <row r="2347" spans="1:10" x14ac:dyDescent="0.25">
      <c r="A2347" t="s">
        <v>4872</v>
      </c>
      <c r="B2347" s="3">
        <v>45608</v>
      </c>
      <c r="C2347" t="s">
        <v>2174</v>
      </c>
      <c r="D2347" t="s">
        <v>3499</v>
      </c>
      <c r="E2347">
        <v>3</v>
      </c>
      <c r="F2347" t="s">
        <v>3523</v>
      </c>
      <c r="G2347" t="s">
        <v>3518</v>
      </c>
      <c r="H2347">
        <v>2.5</v>
      </c>
      <c r="I2347">
        <v>22.9</v>
      </c>
      <c r="J2347">
        <v>68.7</v>
      </c>
    </row>
    <row r="2348" spans="1:10" x14ac:dyDescent="0.25">
      <c r="A2348" t="s">
        <v>4873</v>
      </c>
      <c r="B2348" s="3">
        <v>44907</v>
      </c>
      <c r="C2348" t="s">
        <v>661</v>
      </c>
      <c r="D2348" t="s">
        <v>3504</v>
      </c>
      <c r="E2348">
        <v>2</v>
      </c>
      <c r="F2348" t="s">
        <v>3524</v>
      </c>
      <c r="G2348" t="s">
        <v>3517</v>
      </c>
      <c r="H2348">
        <v>0.5</v>
      </c>
      <c r="I2348">
        <v>7.2</v>
      </c>
      <c r="J2348">
        <v>14.4</v>
      </c>
    </row>
    <row r="2349" spans="1:10" x14ac:dyDescent="0.25">
      <c r="A2349" t="s">
        <v>4874</v>
      </c>
      <c r="B2349" s="3">
        <v>45565</v>
      </c>
      <c r="C2349" t="s">
        <v>1094</v>
      </c>
      <c r="D2349" t="s">
        <v>3477</v>
      </c>
      <c r="E2349">
        <v>3</v>
      </c>
      <c r="F2349" t="s">
        <v>3524</v>
      </c>
      <c r="G2349" t="s">
        <v>3519</v>
      </c>
      <c r="H2349">
        <v>0.5</v>
      </c>
      <c r="I2349">
        <v>6</v>
      </c>
      <c r="J2349">
        <v>18</v>
      </c>
    </row>
    <row r="2350" spans="1:10" x14ac:dyDescent="0.25">
      <c r="A2350" t="s">
        <v>4875</v>
      </c>
      <c r="B2350" s="3">
        <v>45390</v>
      </c>
      <c r="C2350" t="s">
        <v>2350</v>
      </c>
      <c r="D2350" t="s">
        <v>3490</v>
      </c>
      <c r="E2350">
        <v>1</v>
      </c>
      <c r="F2350" t="s">
        <v>3525</v>
      </c>
      <c r="G2350" t="s">
        <v>3519</v>
      </c>
      <c r="H2350">
        <v>0.2</v>
      </c>
      <c r="I2350">
        <v>4.4000000000000004</v>
      </c>
      <c r="J2350">
        <v>4.4000000000000004</v>
      </c>
    </row>
    <row r="2351" spans="1:10" x14ac:dyDescent="0.25">
      <c r="A2351" t="s">
        <v>4876</v>
      </c>
      <c r="B2351" s="3">
        <v>45107</v>
      </c>
      <c r="C2351" t="s">
        <v>3426</v>
      </c>
      <c r="D2351" t="s">
        <v>3491</v>
      </c>
      <c r="E2351">
        <v>2</v>
      </c>
      <c r="F2351" t="s">
        <v>3525</v>
      </c>
      <c r="G2351" t="s">
        <v>3519</v>
      </c>
      <c r="H2351">
        <v>0.5</v>
      </c>
      <c r="I2351">
        <v>8.6999999999999993</v>
      </c>
      <c r="J2351">
        <v>17.399999999999999</v>
      </c>
    </row>
    <row r="2352" spans="1:10" x14ac:dyDescent="0.25">
      <c r="A2352" t="s">
        <v>4877</v>
      </c>
      <c r="B2352" s="3">
        <v>45198</v>
      </c>
      <c r="C2352" t="s">
        <v>2769</v>
      </c>
      <c r="D2352" t="s">
        <v>3507</v>
      </c>
      <c r="E2352">
        <v>3</v>
      </c>
      <c r="F2352" t="s">
        <v>3526</v>
      </c>
      <c r="G2352" t="s">
        <v>3517</v>
      </c>
      <c r="H2352">
        <v>0.5</v>
      </c>
      <c r="I2352">
        <v>8.9</v>
      </c>
      <c r="J2352">
        <v>26.7</v>
      </c>
    </row>
    <row r="2353" spans="1:10" x14ac:dyDescent="0.25">
      <c r="A2353" t="s">
        <v>4878</v>
      </c>
      <c r="B2353" s="3">
        <v>45016</v>
      </c>
      <c r="C2353" t="s">
        <v>2936</v>
      </c>
      <c r="D2353" t="s">
        <v>3505</v>
      </c>
      <c r="E2353">
        <v>4</v>
      </c>
      <c r="F2353" t="s">
        <v>3524</v>
      </c>
      <c r="G2353" t="s">
        <v>3519</v>
      </c>
      <c r="H2353">
        <v>0.2</v>
      </c>
      <c r="I2353">
        <v>3</v>
      </c>
      <c r="J2353">
        <v>12</v>
      </c>
    </row>
    <row r="2354" spans="1:10" x14ac:dyDescent="0.25">
      <c r="A2354" t="s">
        <v>4879</v>
      </c>
      <c r="B2354" s="3">
        <v>44379</v>
      </c>
      <c r="C2354" t="s">
        <v>2769</v>
      </c>
      <c r="D2354" t="s">
        <v>3475</v>
      </c>
      <c r="E2354">
        <v>6</v>
      </c>
      <c r="F2354" t="s">
        <v>3526</v>
      </c>
      <c r="G2354" t="s">
        <v>3518</v>
      </c>
      <c r="H2354">
        <v>0.5</v>
      </c>
      <c r="I2354">
        <v>7.3</v>
      </c>
      <c r="J2354">
        <v>43.8</v>
      </c>
    </row>
    <row r="2355" spans="1:10" x14ac:dyDescent="0.25">
      <c r="A2355" t="s">
        <v>4880</v>
      </c>
      <c r="B2355" s="3">
        <v>44862</v>
      </c>
      <c r="C2355" t="s">
        <v>1857</v>
      </c>
      <c r="D2355" t="s">
        <v>3469</v>
      </c>
      <c r="E2355">
        <v>4</v>
      </c>
      <c r="F2355" t="s">
        <v>3524</v>
      </c>
      <c r="G2355" t="s">
        <v>3519</v>
      </c>
      <c r="H2355">
        <v>1</v>
      </c>
      <c r="I2355">
        <v>10</v>
      </c>
      <c r="J2355">
        <v>40</v>
      </c>
    </row>
    <row r="2356" spans="1:10" x14ac:dyDescent="0.25">
      <c r="A2356" t="s">
        <v>4881</v>
      </c>
      <c r="B2356" s="3">
        <v>45641</v>
      </c>
      <c r="C2356" t="s">
        <v>1485</v>
      </c>
      <c r="D2356" t="s">
        <v>3480</v>
      </c>
      <c r="E2356">
        <v>2</v>
      </c>
      <c r="F2356" t="s">
        <v>3524</v>
      </c>
      <c r="G2356" t="s">
        <v>3518</v>
      </c>
      <c r="H2356">
        <v>2.5</v>
      </c>
      <c r="I2356">
        <v>20.6</v>
      </c>
      <c r="J2356">
        <v>41.2</v>
      </c>
    </row>
    <row r="2357" spans="1:10" x14ac:dyDescent="0.25">
      <c r="A2357" t="s">
        <v>4882</v>
      </c>
      <c r="B2357" s="3">
        <v>45400</v>
      </c>
      <c r="C2357" t="s">
        <v>3315</v>
      </c>
      <c r="D2357" t="s">
        <v>3515</v>
      </c>
      <c r="E2357">
        <v>2</v>
      </c>
      <c r="F2357" t="s">
        <v>3526</v>
      </c>
      <c r="G2357" t="s">
        <v>3517</v>
      </c>
      <c r="H2357">
        <v>0.2</v>
      </c>
      <c r="I2357">
        <v>4.5</v>
      </c>
      <c r="J2357">
        <v>9</v>
      </c>
    </row>
    <row r="2358" spans="1:10" x14ac:dyDescent="0.25">
      <c r="A2358" t="s">
        <v>4883</v>
      </c>
      <c r="B2358" s="3">
        <v>45192</v>
      </c>
      <c r="C2358" t="s">
        <v>3208</v>
      </c>
      <c r="D2358" t="s">
        <v>3506</v>
      </c>
      <c r="E2358">
        <v>4</v>
      </c>
      <c r="F2358" t="s">
        <v>3523</v>
      </c>
      <c r="G2358" t="s">
        <v>3519</v>
      </c>
      <c r="H2358">
        <v>2.5</v>
      </c>
      <c r="I2358">
        <v>25.9</v>
      </c>
      <c r="J2358">
        <v>103.6</v>
      </c>
    </row>
    <row r="2359" spans="1:10" x14ac:dyDescent="0.25">
      <c r="A2359" t="s">
        <v>4884</v>
      </c>
      <c r="B2359" s="3">
        <v>44682</v>
      </c>
      <c r="C2359" t="s">
        <v>866</v>
      </c>
      <c r="D2359" t="s">
        <v>3497</v>
      </c>
      <c r="E2359">
        <v>2</v>
      </c>
      <c r="F2359" t="s">
        <v>3526</v>
      </c>
      <c r="G2359" t="s">
        <v>3519</v>
      </c>
      <c r="H2359">
        <v>2.5</v>
      </c>
      <c r="I2359">
        <v>31.6</v>
      </c>
      <c r="J2359">
        <v>63.2</v>
      </c>
    </row>
    <row r="2360" spans="1:10" x14ac:dyDescent="0.25">
      <c r="A2360" t="s">
        <v>4885</v>
      </c>
      <c r="B2360" s="3">
        <v>44843</v>
      </c>
      <c r="C2360" t="s">
        <v>742</v>
      </c>
      <c r="D2360" t="s">
        <v>3476</v>
      </c>
      <c r="E2360">
        <v>5</v>
      </c>
      <c r="F2360" t="s">
        <v>3525</v>
      </c>
      <c r="G2360" t="s">
        <v>3517</v>
      </c>
      <c r="H2360">
        <v>0.2</v>
      </c>
      <c r="I2360">
        <v>4.8</v>
      </c>
      <c r="J2360">
        <v>24</v>
      </c>
    </row>
    <row r="2361" spans="1:10" x14ac:dyDescent="0.25">
      <c r="A2361" t="s">
        <v>4886</v>
      </c>
      <c r="B2361" s="3">
        <v>44469</v>
      </c>
      <c r="C2361" t="s">
        <v>2341</v>
      </c>
      <c r="D2361" t="s">
        <v>3471</v>
      </c>
      <c r="E2361">
        <v>5</v>
      </c>
      <c r="F2361" t="s">
        <v>3523</v>
      </c>
      <c r="G2361" t="s">
        <v>3517</v>
      </c>
      <c r="H2361">
        <v>1</v>
      </c>
      <c r="I2361">
        <v>13</v>
      </c>
      <c r="J2361">
        <v>65</v>
      </c>
    </row>
    <row r="2362" spans="1:10" x14ac:dyDescent="0.25">
      <c r="A2362" t="s">
        <v>4887</v>
      </c>
      <c r="B2362" s="3">
        <v>45462</v>
      </c>
      <c r="C2362" t="s">
        <v>906</v>
      </c>
      <c r="D2362" t="s">
        <v>3478</v>
      </c>
      <c r="E2362">
        <v>6</v>
      </c>
      <c r="F2362" t="s">
        <v>3523</v>
      </c>
      <c r="G2362" t="s">
        <v>3518</v>
      </c>
      <c r="H2362">
        <v>1</v>
      </c>
      <c r="I2362">
        <v>10</v>
      </c>
      <c r="J2362">
        <v>60</v>
      </c>
    </row>
    <row r="2363" spans="1:10" x14ac:dyDescent="0.25">
      <c r="A2363" t="s">
        <v>4888</v>
      </c>
      <c r="B2363" s="3">
        <v>44825</v>
      </c>
      <c r="C2363" t="s">
        <v>2873</v>
      </c>
      <c r="D2363" t="s">
        <v>3494</v>
      </c>
      <c r="E2363">
        <v>6</v>
      </c>
      <c r="F2363" t="s">
        <v>3524</v>
      </c>
      <c r="G2363" t="s">
        <v>3518</v>
      </c>
      <c r="H2363">
        <v>0.2</v>
      </c>
      <c r="I2363">
        <v>2.7</v>
      </c>
      <c r="J2363">
        <v>16.2</v>
      </c>
    </row>
    <row r="2364" spans="1:10" x14ac:dyDescent="0.25">
      <c r="A2364" t="s">
        <v>4889</v>
      </c>
      <c r="B2364" s="3">
        <v>43830</v>
      </c>
      <c r="C2364" t="s">
        <v>2669</v>
      </c>
      <c r="D2364" t="s">
        <v>3469</v>
      </c>
      <c r="E2364">
        <v>6</v>
      </c>
      <c r="F2364" t="s">
        <v>3524</v>
      </c>
      <c r="G2364" t="s">
        <v>3519</v>
      </c>
      <c r="H2364">
        <v>1</v>
      </c>
      <c r="I2364">
        <v>10</v>
      </c>
      <c r="J2364">
        <v>60</v>
      </c>
    </row>
    <row r="2365" spans="1:10" x14ac:dyDescent="0.25">
      <c r="A2365" t="s">
        <v>4890</v>
      </c>
      <c r="B2365" s="3">
        <v>44101</v>
      </c>
      <c r="C2365" t="s">
        <v>1473</v>
      </c>
      <c r="D2365" t="s">
        <v>3485</v>
      </c>
      <c r="E2365">
        <v>1</v>
      </c>
      <c r="F2365" t="s">
        <v>3523</v>
      </c>
      <c r="G2365" t="s">
        <v>3518</v>
      </c>
      <c r="H2365">
        <v>0.2</v>
      </c>
      <c r="I2365">
        <v>3</v>
      </c>
      <c r="J2365">
        <v>3</v>
      </c>
    </row>
    <row r="2366" spans="1:10" x14ac:dyDescent="0.25">
      <c r="A2366" t="s">
        <v>4891</v>
      </c>
      <c r="B2366" s="3">
        <v>43470</v>
      </c>
      <c r="C2366" t="s">
        <v>1851</v>
      </c>
      <c r="D2366" t="s">
        <v>3488</v>
      </c>
      <c r="E2366">
        <v>6</v>
      </c>
      <c r="F2366" t="s">
        <v>3523</v>
      </c>
      <c r="G2366" t="s">
        <v>3519</v>
      </c>
      <c r="H2366">
        <v>0.5</v>
      </c>
      <c r="I2366">
        <v>6.8</v>
      </c>
      <c r="J2366">
        <v>40.799999999999997</v>
      </c>
    </row>
    <row r="2367" spans="1:10" x14ac:dyDescent="0.25">
      <c r="A2367" t="s">
        <v>4892</v>
      </c>
      <c r="B2367" s="3">
        <v>44834</v>
      </c>
      <c r="C2367" t="s">
        <v>3039</v>
      </c>
      <c r="D2367" t="s">
        <v>3507</v>
      </c>
      <c r="E2367">
        <v>2</v>
      </c>
      <c r="F2367" t="s">
        <v>3526</v>
      </c>
      <c r="G2367" t="s">
        <v>3517</v>
      </c>
      <c r="H2367">
        <v>0.5</v>
      </c>
      <c r="I2367">
        <v>8.9</v>
      </c>
      <c r="J2367">
        <v>17.8</v>
      </c>
    </row>
    <row r="2368" spans="1:10" x14ac:dyDescent="0.25">
      <c r="A2368" t="s">
        <v>4893</v>
      </c>
      <c r="B2368" s="3">
        <v>45539</v>
      </c>
      <c r="C2368" t="s">
        <v>487</v>
      </c>
      <c r="D2368" t="s">
        <v>3485</v>
      </c>
      <c r="E2368">
        <v>5</v>
      </c>
      <c r="F2368" t="s">
        <v>3523</v>
      </c>
      <c r="G2368" t="s">
        <v>3518</v>
      </c>
      <c r="H2368">
        <v>0.2</v>
      </c>
      <c r="I2368">
        <v>3</v>
      </c>
      <c r="J2368">
        <v>15</v>
      </c>
    </row>
    <row r="2369" spans="1:10" x14ac:dyDescent="0.25">
      <c r="A2369" t="s">
        <v>4894</v>
      </c>
      <c r="B2369" s="3">
        <v>44721</v>
      </c>
      <c r="C2369" t="s">
        <v>2867</v>
      </c>
      <c r="D2369" t="s">
        <v>3473</v>
      </c>
      <c r="E2369">
        <v>4</v>
      </c>
      <c r="F2369" t="s">
        <v>3524</v>
      </c>
      <c r="G2369" t="s">
        <v>3517</v>
      </c>
      <c r="H2369">
        <v>2.5</v>
      </c>
      <c r="I2369">
        <v>27.5</v>
      </c>
      <c r="J2369">
        <v>110</v>
      </c>
    </row>
    <row r="2370" spans="1:10" x14ac:dyDescent="0.25">
      <c r="A2370" t="s">
        <v>4895</v>
      </c>
      <c r="B2370" s="3">
        <v>45224</v>
      </c>
      <c r="C2370" t="s">
        <v>1693</v>
      </c>
      <c r="D2370" t="s">
        <v>3493</v>
      </c>
      <c r="E2370">
        <v>5</v>
      </c>
      <c r="F2370" t="s">
        <v>3525</v>
      </c>
      <c r="G2370" t="s">
        <v>3519</v>
      </c>
      <c r="H2370">
        <v>1</v>
      </c>
      <c r="I2370">
        <v>14.6</v>
      </c>
      <c r="J2370">
        <v>73</v>
      </c>
    </row>
    <row r="2371" spans="1:10" x14ac:dyDescent="0.25">
      <c r="A2371" t="s">
        <v>4896</v>
      </c>
      <c r="B2371" s="3">
        <v>45604</v>
      </c>
      <c r="C2371" t="s">
        <v>2723</v>
      </c>
      <c r="D2371" t="s">
        <v>3505</v>
      </c>
      <c r="E2371">
        <v>5</v>
      </c>
      <c r="F2371" t="s">
        <v>3524</v>
      </c>
      <c r="G2371" t="s">
        <v>3519</v>
      </c>
      <c r="H2371">
        <v>0.2</v>
      </c>
      <c r="I2371">
        <v>3</v>
      </c>
      <c r="J2371">
        <v>15</v>
      </c>
    </row>
    <row r="2372" spans="1:10" x14ac:dyDescent="0.25">
      <c r="A2372" t="s">
        <v>4897</v>
      </c>
      <c r="B2372" s="3">
        <v>45323</v>
      </c>
      <c r="C2372" t="s">
        <v>2009</v>
      </c>
      <c r="D2372" t="s">
        <v>3497</v>
      </c>
      <c r="E2372">
        <v>1</v>
      </c>
      <c r="F2372" t="s">
        <v>3526</v>
      </c>
      <c r="G2372" t="s">
        <v>3519</v>
      </c>
      <c r="H2372">
        <v>2.5</v>
      </c>
      <c r="I2372">
        <v>31.6</v>
      </c>
      <c r="J2372">
        <v>31.6</v>
      </c>
    </row>
    <row r="2373" spans="1:10" x14ac:dyDescent="0.25">
      <c r="A2373" t="s">
        <v>4898</v>
      </c>
      <c r="B2373" s="3">
        <v>44690</v>
      </c>
      <c r="C2373" t="s">
        <v>2527</v>
      </c>
      <c r="D2373" t="s">
        <v>3499</v>
      </c>
      <c r="E2373">
        <v>6</v>
      </c>
      <c r="F2373" t="s">
        <v>3523</v>
      </c>
      <c r="G2373" t="s">
        <v>3518</v>
      </c>
      <c r="H2373">
        <v>2.5</v>
      </c>
      <c r="I2373">
        <v>22.9</v>
      </c>
      <c r="J2373">
        <v>137.4</v>
      </c>
    </row>
    <row r="2374" spans="1:10" x14ac:dyDescent="0.25">
      <c r="A2374" t="s">
        <v>4899</v>
      </c>
      <c r="B2374" s="3">
        <v>43686</v>
      </c>
      <c r="C2374" t="s">
        <v>1247</v>
      </c>
      <c r="D2374" t="s">
        <v>3485</v>
      </c>
      <c r="E2374">
        <v>3</v>
      </c>
      <c r="F2374" t="s">
        <v>3523</v>
      </c>
      <c r="G2374" t="s">
        <v>3518</v>
      </c>
      <c r="H2374">
        <v>0.2</v>
      </c>
      <c r="I2374">
        <v>3</v>
      </c>
      <c r="J2374">
        <v>9</v>
      </c>
    </row>
    <row r="2375" spans="1:10" x14ac:dyDescent="0.25">
      <c r="A2375" t="s">
        <v>4900</v>
      </c>
      <c r="B2375" s="3">
        <v>44849</v>
      </c>
      <c r="C2375" t="s">
        <v>799</v>
      </c>
      <c r="D2375" t="s">
        <v>3472</v>
      </c>
      <c r="E2375">
        <v>2</v>
      </c>
      <c r="F2375" t="s">
        <v>3526</v>
      </c>
      <c r="G2375" t="s">
        <v>3519</v>
      </c>
      <c r="H2375">
        <v>1</v>
      </c>
      <c r="I2375">
        <v>13.8</v>
      </c>
      <c r="J2375">
        <v>27.6</v>
      </c>
    </row>
    <row r="2376" spans="1:10" x14ac:dyDescent="0.25">
      <c r="A2376" t="s">
        <v>4901</v>
      </c>
      <c r="B2376" s="3">
        <v>45538</v>
      </c>
      <c r="C2376" t="s">
        <v>2397</v>
      </c>
      <c r="D2376" t="s">
        <v>3486</v>
      </c>
      <c r="E2376">
        <v>5</v>
      </c>
      <c r="F2376" t="s">
        <v>3523</v>
      </c>
      <c r="G2376" t="s">
        <v>3519</v>
      </c>
      <c r="H2376">
        <v>1</v>
      </c>
      <c r="I2376">
        <v>11.3</v>
      </c>
      <c r="J2376">
        <v>56.5</v>
      </c>
    </row>
    <row r="2377" spans="1:10" x14ac:dyDescent="0.25">
      <c r="A2377" t="s">
        <v>4902</v>
      </c>
      <c r="B2377" s="3">
        <v>45244</v>
      </c>
      <c r="C2377" t="s">
        <v>2119</v>
      </c>
      <c r="D2377" t="s">
        <v>3501</v>
      </c>
      <c r="E2377">
        <v>6</v>
      </c>
      <c r="F2377" t="s">
        <v>3525</v>
      </c>
      <c r="G2377" t="s">
        <v>3517</v>
      </c>
      <c r="H2377">
        <v>1</v>
      </c>
      <c r="I2377">
        <v>15.9</v>
      </c>
      <c r="J2377">
        <v>95.4</v>
      </c>
    </row>
    <row r="2378" spans="1:10" x14ac:dyDescent="0.25">
      <c r="A2378" t="s">
        <v>4903</v>
      </c>
      <c r="B2378" s="3">
        <v>45656</v>
      </c>
      <c r="C2378" t="s">
        <v>638</v>
      </c>
      <c r="D2378" t="s">
        <v>3491</v>
      </c>
      <c r="E2378">
        <v>3</v>
      </c>
      <c r="F2378" t="s">
        <v>3525</v>
      </c>
      <c r="G2378" t="s">
        <v>3519</v>
      </c>
      <c r="H2378">
        <v>0.5</v>
      </c>
      <c r="I2378">
        <v>8.6999999999999993</v>
      </c>
      <c r="J2378">
        <v>26.1</v>
      </c>
    </row>
    <row r="2379" spans="1:10" x14ac:dyDescent="0.25">
      <c r="A2379" t="s">
        <v>4904</v>
      </c>
      <c r="B2379" s="3">
        <v>44761</v>
      </c>
      <c r="C2379" t="s">
        <v>1175</v>
      </c>
      <c r="D2379" t="s">
        <v>3478</v>
      </c>
      <c r="E2379">
        <v>4</v>
      </c>
      <c r="F2379" t="s">
        <v>3523</v>
      </c>
      <c r="G2379" t="s">
        <v>3518</v>
      </c>
      <c r="H2379">
        <v>1</v>
      </c>
      <c r="I2379">
        <v>10</v>
      </c>
      <c r="J2379">
        <v>40</v>
      </c>
    </row>
    <row r="2380" spans="1:10" x14ac:dyDescent="0.25">
      <c r="A2380" t="s">
        <v>4905</v>
      </c>
      <c r="B2380" s="3">
        <v>44680</v>
      </c>
      <c r="C2380" t="s">
        <v>1178</v>
      </c>
      <c r="D2380" t="s">
        <v>3474</v>
      </c>
      <c r="E2380">
        <v>4</v>
      </c>
      <c r="F2380" t="s">
        <v>3525</v>
      </c>
      <c r="G2380" t="s">
        <v>3518</v>
      </c>
      <c r="H2380">
        <v>1</v>
      </c>
      <c r="I2380">
        <v>13</v>
      </c>
      <c r="J2380">
        <v>52</v>
      </c>
    </row>
    <row r="2381" spans="1:10" x14ac:dyDescent="0.25">
      <c r="A2381" t="s">
        <v>4906</v>
      </c>
      <c r="B2381" s="3">
        <v>44234</v>
      </c>
      <c r="C2381" t="s">
        <v>3327</v>
      </c>
      <c r="D2381" t="s">
        <v>3479</v>
      </c>
      <c r="E2381">
        <v>2</v>
      </c>
      <c r="F2381" t="s">
        <v>3526</v>
      </c>
      <c r="G2381" t="s">
        <v>3517</v>
      </c>
      <c r="H2381">
        <v>2.5</v>
      </c>
      <c r="I2381">
        <v>34.200000000000003</v>
      </c>
      <c r="J2381">
        <v>68.400000000000006</v>
      </c>
    </row>
    <row r="2382" spans="1:10" x14ac:dyDescent="0.25">
      <c r="A2382" t="s">
        <v>4907</v>
      </c>
      <c r="B2382" s="3">
        <v>44851</v>
      </c>
      <c r="C2382" t="s">
        <v>1822</v>
      </c>
      <c r="D2382" t="s">
        <v>3507</v>
      </c>
      <c r="E2382">
        <v>4</v>
      </c>
      <c r="F2382" t="s">
        <v>3526</v>
      </c>
      <c r="G2382" t="s">
        <v>3517</v>
      </c>
      <c r="H2382">
        <v>0.5</v>
      </c>
      <c r="I2382">
        <v>8.9</v>
      </c>
      <c r="J2382">
        <v>35.6</v>
      </c>
    </row>
    <row r="2383" spans="1:10" x14ac:dyDescent="0.25">
      <c r="A2383" t="s">
        <v>4908</v>
      </c>
      <c r="B2383" s="3">
        <v>44861</v>
      </c>
      <c r="C2383" t="s">
        <v>1175</v>
      </c>
      <c r="D2383" t="s">
        <v>3484</v>
      </c>
      <c r="E2383">
        <v>5</v>
      </c>
      <c r="F2383" t="s">
        <v>3526</v>
      </c>
      <c r="G2383" t="s">
        <v>3518</v>
      </c>
      <c r="H2383">
        <v>0.2</v>
      </c>
      <c r="I2383">
        <v>3.6</v>
      </c>
      <c r="J2383">
        <v>18</v>
      </c>
    </row>
    <row r="2384" spans="1:10" x14ac:dyDescent="0.25">
      <c r="A2384" t="s">
        <v>4909</v>
      </c>
      <c r="B2384" s="3">
        <v>44712</v>
      </c>
      <c r="C2384" t="s">
        <v>1833</v>
      </c>
      <c r="D2384" t="s">
        <v>3492</v>
      </c>
      <c r="E2384">
        <v>3</v>
      </c>
      <c r="F2384" t="s">
        <v>3525</v>
      </c>
      <c r="G2384" t="s">
        <v>3517</v>
      </c>
      <c r="H2384">
        <v>0.5</v>
      </c>
      <c r="I2384">
        <v>9.5</v>
      </c>
      <c r="J2384">
        <v>28.5</v>
      </c>
    </row>
    <row r="2385" spans="1:10" x14ac:dyDescent="0.25">
      <c r="A2385" t="s">
        <v>4910</v>
      </c>
      <c r="B2385" s="3">
        <v>44835</v>
      </c>
      <c r="C2385" t="s">
        <v>2678</v>
      </c>
      <c r="D2385" t="s">
        <v>3492</v>
      </c>
      <c r="E2385">
        <v>3</v>
      </c>
      <c r="F2385" t="s">
        <v>3525</v>
      </c>
      <c r="G2385" t="s">
        <v>3517</v>
      </c>
      <c r="H2385">
        <v>0.5</v>
      </c>
      <c r="I2385">
        <v>9.5</v>
      </c>
      <c r="J2385">
        <v>28.5</v>
      </c>
    </row>
    <row r="2386" spans="1:10" x14ac:dyDescent="0.25">
      <c r="A2386" t="s">
        <v>4911</v>
      </c>
      <c r="B2386" s="3">
        <v>44935</v>
      </c>
      <c r="C2386" t="s">
        <v>1387</v>
      </c>
      <c r="D2386" t="s">
        <v>3488</v>
      </c>
      <c r="E2386">
        <v>2</v>
      </c>
      <c r="F2386" t="s">
        <v>3523</v>
      </c>
      <c r="G2386" t="s">
        <v>3519</v>
      </c>
      <c r="H2386">
        <v>0.5</v>
      </c>
      <c r="I2386">
        <v>6.8</v>
      </c>
      <c r="J2386">
        <v>13.6</v>
      </c>
    </row>
    <row r="2387" spans="1:10" x14ac:dyDescent="0.25">
      <c r="A2387" t="s">
        <v>4912</v>
      </c>
      <c r="B2387" s="3">
        <v>45350</v>
      </c>
      <c r="C2387" t="s">
        <v>614</v>
      </c>
      <c r="D2387" t="s">
        <v>3508</v>
      </c>
      <c r="E2387">
        <v>3</v>
      </c>
      <c r="F2387" t="s">
        <v>3524</v>
      </c>
      <c r="G2387" t="s">
        <v>3518</v>
      </c>
      <c r="H2387">
        <v>1</v>
      </c>
      <c r="I2387">
        <v>9</v>
      </c>
      <c r="J2387">
        <v>27</v>
      </c>
    </row>
    <row r="2388" spans="1:10" x14ac:dyDescent="0.25">
      <c r="A2388" t="s">
        <v>4913</v>
      </c>
      <c r="B2388" s="3">
        <v>44809</v>
      </c>
      <c r="C2388" t="s">
        <v>526</v>
      </c>
      <c r="D2388" t="s">
        <v>3469</v>
      </c>
      <c r="E2388">
        <v>1</v>
      </c>
      <c r="F2388" t="s">
        <v>3524</v>
      </c>
      <c r="G2388" t="s">
        <v>3519</v>
      </c>
      <c r="H2388">
        <v>1</v>
      </c>
      <c r="I2388">
        <v>10</v>
      </c>
      <c r="J2388">
        <v>10</v>
      </c>
    </row>
    <row r="2389" spans="1:10" x14ac:dyDescent="0.25">
      <c r="A2389" t="s">
        <v>4914</v>
      </c>
      <c r="B2389" s="3">
        <v>43735</v>
      </c>
      <c r="C2389" t="s">
        <v>1088</v>
      </c>
      <c r="D2389" t="s">
        <v>3505</v>
      </c>
      <c r="E2389">
        <v>3</v>
      </c>
      <c r="F2389" t="s">
        <v>3524</v>
      </c>
      <c r="G2389" t="s">
        <v>3519</v>
      </c>
      <c r="H2389">
        <v>0.2</v>
      </c>
      <c r="I2389">
        <v>3</v>
      </c>
      <c r="J2389">
        <v>9</v>
      </c>
    </row>
    <row r="2390" spans="1:10" x14ac:dyDescent="0.25">
      <c r="A2390" t="s">
        <v>4915</v>
      </c>
      <c r="B2390" s="3">
        <v>45242</v>
      </c>
      <c r="C2390" t="s">
        <v>3375</v>
      </c>
      <c r="D2390" t="s">
        <v>3476</v>
      </c>
      <c r="E2390">
        <v>3</v>
      </c>
      <c r="F2390" t="s">
        <v>3525</v>
      </c>
      <c r="G2390" t="s">
        <v>3517</v>
      </c>
      <c r="H2390">
        <v>0.2</v>
      </c>
      <c r="I2390">
        <v>4.8</v>
      </c>
      <c r="J2390">
        <v>14.4</v>
      </c>
    </row>
    <row r="2391" spans="1:10" x14ac:dyDescent="0.25">
      <c r="A2391" t="s">
        <v>4916</v>
      </c>
      <c r="B2391" s="3">
        <v>45155</v>
      </c>
      <c r="C2391" t="s">
        <v>1746</v>
      </c>
      <c r="D2391" t="s">
        <v>3512</v>
      </c>
      <c r="E2391">
        <v>3</v>
      </c>
      <c r="F2391" t="s">
        <v>3525</v>
      </c>
      <c r="G2391" t="s">
        <v>3519</v>
      </c>
      <c r="H2391">
        <v>2.5</v>
      </c>
      <c r="I2391">
        <v>33.5</v>
      </c>
      <c r="J2391">
        <v>100.5</v>
      </c>
    </row>
    <row r="2392" spans="1:10" x14ac:dyDescent="0.25">
      <c r="A2392" t="s">
        <v>4917</v>
      </c>
      <c r="B2392" s="3">
        <v>45206</v>
      </c>
      <c r="C2392" t="s">
        <v>544</v>
      </c>
      <c r="D2392" t="s">
        <v>3474</v>
      </c>
      <c r="E2392">
        <v>3</v>
      </c>
      <c r="F2392" t="s">
        <v>3525</v>
      </c>
      <c r="G2392" t="s">
        <v>3518</v>
      </c>
      <c r="H2392">
        <v>1</v>
      </c>
      <c r="I2392">
        <v>13</v>
      </c>
      <c r="J2392">
        <v>39</v>
      </c>
    </row>
    <row r="2393" spans="1:10" x14ac:dyDescent="0.25">
      <c r="A2393" t="s">
        <v>4918</v>
      </c>
      <c r="B2393" s="3">
        <v>43584</v>
      </c>
      <c r="C2393" t="s">
        <v>1435</v>
      </c>
      <c r="D2393" t="s">
        <v>3478</v>
      </c>
      <c r="E2393">
        <v>1</v>
      </c>
      <c r="F2393" t="s">
        <v>3523</v>
      </c>
      <c r="G2393" t="s">
        <v>3518</v>
      </c>
      <c r="H2393">
        <v>1</v>
      </c>
      <c r="I2393">
        <v>10</v>
      </c>
      <c r="J2393">
        <v>10</v>
      </c>
    </row>
    <row r="2394" spans="1:10" x14ac:dyDescent="0.25">
      <c r="A2394" t="s">
        <v>4919</v>
      </c>
      <c r="B2394" s="3">
        <v>45647</v>
      </c>
      <c r="C2394" t="s">
        <v>2717</v>
      </c>
      <c r="D2394" t="s">
        <v>3506</v>
      </c>
      <c r="E2394">
        <v>1</v>
      </c>
      <c r="F2394" t="s">
        <v>3523</v>
      </c>
      <c r="G2394" t="s">
        <v>3519</v>
      </c>
      <c r="H2394">
        <v>2.5</v>
      </c>
      <c r="I2394">
        <v>25.9</v>
      </c>
      <c r="J2394">
        <v>25.9</v>
      </c>
    </row>
    <row r="2395" spans="1:10" x14ac:dyDescent="0.25">
      <c r="A2395" t="s">
        <v>4920</v>
      </c>
      <c r="B2395" s="3">
        <v>45031</v>
      </c>
      <c r="C2395" t="s">
        <v>2672</v>
      </c>
      <c r="D2395" t="s">
        <v>3473</v>
      </c>
      <c r="E2395">
        <v>4</v>
      </c>
      <c r="F2395" t="s">
        <v>3524</v>
      </c>
      <c r="G2395" t="s">
        <v>3517</v>
      </c>
      <c r="H2395">
        <v>2.5</v>
      </c>
      <c r="I2395">
        <v>27.5</v>
      </c>
      <c r="J2395">
        <v>110</v>
      </c>
    </row>
    <row r="2396" spans="1:10" x14ac:dyDescent="0.25">
      <c r="A2396" t="s">
        <v>4921</v>
      </c>
      <c r="B2396" s="3">
        <v>44771</v>
      </c>
      <c r="C2396" t="s">
        <v>1663</v>
      </c>
      <c r="D2396" t="s">
        <v>3475</v>
      </c>
      <c r="E2396">
        <v>6</v>
      </c>
      <c r="F2396" t="s">
        <v>3526</v>
      </c>
      <c r="G2396" t="s">
        <v>3518</v>
      </c>
      <c r="H2396">
        <v>0.5</v>
      </c>
      <c r="I2396">
        <v>7.3</v>
      </c>
      <c r="J2396">
        <v>43.8</v>
      </c>
    </row>
    <row r="2397" spans="1:10" x14ac:dyDescent="0.25">
      <c r="A2397" t="s">
        <v>4922</v>
      </c>
      <c r="B2397" s="3">
        <v>45406</v>
      </c>
      <c r="C2397" t="s">
        <v>1157</v>
      </c>
      <c r="D2397" t="s">
        <v>3510</v>
      </c>
      <c r="E2397">
        <v>3</v>
      </c>
      <c r="F2397" t="s">
        <v>3524</v>
      </c>
      <c r="G2397" t="s">
        <v>3517</v>
      </c>
      <c r="H2397">
        <v>1</v>
      </c>
      <c r="I2397">
        <v>12</v>
      </c>
      <c r="J2397">
        <v>36</v>
      </c>
    </row>
    <row r="2398" spans="1:10" x14ac:dyDescent="0.25">
      <c r="A2398" t="s">
        <v>4923</v>
      </c>
      <c r="B2398" s="3">
        <v>43847</v>
      </c>
      <c r="C2398" t="s">
        <v>2876</v>
      </c>
      <c r="D2398" t="s">
        <v>3496</v>
      </c>
      <c r="E2398">
        <v>2</v>
      </c>
      <c r="F2398" t="s">
        <v>3525</v>
      </c>
      <c r="G2398" t="s">
        <v>3518</v>
      </c>
      <c r="H2398">
        <v>2.5</v>
      </c>
      <c r="I2398">
        <v>29.8</v>
      </c>
      <c r="J2398">
        <v>59.6</v>
      </c>
    </row>
    <row r="2399" spans="1:10" x14ac:dyDescent="0.25">
      <c r="A2399" t="s">
        <v>4924</v>
      </c>
      <c r="B2399" s="3">
        <v>45188</v>
      </c>
      <c r="C2399" t="s">
        <v>1948</v>
      </c>
      <c r="D2399" t="s">
        <v>3472</v>
      </c>
      <c r="E2399">
        <v>6</v>
      </c>
      <c r="F2399" t="s">
        <v>3526</v>
      </c>
      <c r="G2399" t="s">
        <v>3519</v>
      </c>
      <c r="H2399">
        <v>1</v>
      </c>
      <c r="I2399">
        <v>13.8</v>
      </c>
      <c r="J2399">
        <v>82.8</v>
      </c>
    </row>
    <row r="2400" spans="1:10" x14ac:dyDescent="0.25">
      <c r="A2400" t="s">
        <v>4925</v>
      </c>
      <c r="B2400" s="3">
        <v>43731</v>
      </c>
      <c r="C2400" t="s">
        <v>1936</v>
      </c>
      <c r="D2400" t="s">
        <v>3481</v>
      </c>
      <c r="E2400">
        <v>4</v>
      </c>
      <c r="F2400" t="s">
        <v>3525</v>
      </c>
      <c r="G2400" t="s">
        <v>3518</v>
      </c>
      <c r="H2400">
        <v>0.2</v>
      </c>
      <c r="I2400">
        <v>3.9</v>
      </c>
      <c r="J2400">
        <v>15.6</v>
      </c>
    </row>
    <row r="2401" spans="1:10" x14ac:dyDescent="0.25">
      <c r="A2401" t="s">
        <v>4926</v>
      </c>
      <c r="B2401" s="3">
        <v>44874</v>
      </c>
      <c r="C2401" t="s">
        <v>2542</v>
      </c>
      <c r="D2401" t="s">
        <v>3471</v>
      </c>
      <c r="E2401">
        <v>3</v>
      </c>
      <c r="F2401" t="s">
        <v>3523</v>
      </c>
      <c r="G2401" t="s">
        <v>3517</v>
      </c>
      <c r="H2401">
        <v>1</v>
      </c>
      <c r="I2401">
        <v>13</v>
      </c>
      <c r="J2401">
        <v>39</v>
      </c>
    </row>
    <row r="2402" spans="1:10" x14ac:dyDescent="0.25">
      <c r="A2402" t="s">
        <v>4927</v>
      </c>
      <c r="B2402" s="3">
        <v>45101</v>
      </c>
      <c r="C2402" t="s">
        <v>3357</v>
      </c>
      <c r="D2402" t="s">
        <v>3504</v>
      </c>
      <c r="E2402">
        <v>6</v>
      </c>
      <c r="F2402" t="s">
        <v>3524</v>
      </c>
      <c r="G2402" t="s">
        <v>3517</v>
      </c>
      <c r="H2402">
        <v>0.5</v>
      </c>
      <c r="I2402">
        <v>7.2</v>
      </c>
      <c r="J2402">
        <v>43.2</v>
      </c>
    </row>
    <row r="2403" spans="1:10" x14ac:dyDescent="0.25">
      <c r="A2403" t="s">
        <v>4928</v>
      </c>
      <c r="B2403" s="3">
        <v>45075</v>
      </c>
      <c r="C2403" t="s">
        <v>1118</v>
      </c>
      <c r="D2403" t="s">
        <v>3487</v>
      </c>
      <c r="E2403">
        <v>5</v>
      </c>
      <c r="F2403" t="s">
        <v>3526</v>
      </c>
      <c r="G2403" t="s">
        <v>3519</v>
      </c>
      <c r="H2403">
        <v>0.2</v>
      </c>
      <c r="I2403">
        <v>4.0999999999999996</v>
      </c>
      <c r="J2403">
        <v>20.5</v>
      </c>
    </row>
    <row r="2404" spans="1:10" x14ac:dyDescent="0.25">
      <c r="A2404" t="s">
        <v>4929</v>
      </c>
      <c r="B2404" s="3">
        <v>45160</v>
      </c>
      <c r="C2404" t="s">
        <v>716</v>
      </c>
      <c r="D2404" t="s">
        <v>3474</v>
      </c>
      <c r="E2404">
        <v>2</v>
      </c>
      <c r="F2404" t="s">
        <v>3525</v>
      </c>
      <c r="G2404" t="s">
        <v>3518</v>
      </c>
      <c r="H2404">
        <v>1</v>
      </c>
      <c r="I2404">
        <v>13</v>
      </c>
      <c r="J2404">
        <v>26</v>
      </c>
    </row>
    <row r="2405" spans="1:10" x14ac:dyDescent="0.25">
      <c r="A2405" t="s">
        <v>4930</v>
      </c>
      <c r="B2405" s="3">
        <v>45109</v>
      </c>
      <c r="C2405" t="s">
        <v>2587</v>
      </c>
      <c r="D2405" t="s">
        <v>3515</v>
      </c>
      <c r="E2405">
        <v>2</v>
      </c>
      <c r="F2405" t="s">
        <v>3526</v>
      </c>
      <c r="G2405" t="s">
        <v>3517</v>
      </c>
      <c r="H2405">
        <v>0.2</v>
      </c>
      <c r="I2405">
        <v>4.5</v>
      </c>
      <c r="J2405">
        <v>9</v>
      </c>
    </row>
    <row r="2406" spans="1:10" x14ac:dyDescent="0.25">
      <c r="A2406" t="s">
        <v>4931</v>
      </c>
      <c r="B2406" s="3">
        <v>44671</v>
      </c>
      <c r="C2406" t="s">
        <v>3246</v>
      </c>
      <c r="D2406" t="s">
        <v>3502</v>
      </c>
      <c r="E2406">
        <v>1</v>
      </c>
      <c r="F2406" t="s">
        <v>3526</v>
      </c>
      <c r="G2406" t="s">
        <v>3517</v>
      </c>
      <c r="H2406">
        <v>1</v>
      </c>
      <c r="I2406">
        <v>14.9</v>
      </c>
      <c r="J2406">
        <v>14.9</v>
      </c>
    </row>
    <row r="2407" spans="1:10" x14ac:dyDescent="0.25">
      <c r="A2407" t="s">
        <v>4932</v>
      </c>
      <c r="B2407" s="3">
        <v>43708</v>
      </c>
      <c r="C2407" t="s">
        <v>1845</v>
      </c>
      <c r="D2407" t="s">
        <v>3507</v>
      </c>
      <c r="E2407">
        <v>4</v>
      </c>
      <c r="F2407" t="s">
        <v>3526</v>
      </c>
      <c r="G2407" t="s">
        <v>3517</v>
      </c>
      <c r="H2407">
        <v>0.5</v>
      </c>
      <c r="I2407">
        <v>8.9</v>
      </c>
      <c r="J2407">
        <v>35.6</v>
      </c>
    </row>
    <row r="2408" spans="1:10" x14ac:dyDescent="0.25">
      <c r="A2408" t="s">
        <v>4933</v>
      </c>
      <c r="B2408" s="3">
        <v>43921</v>
      </c>
      <c r="C2408" t="s">
        <v>1643</v>
      </c>
      <c r="D2408" t="s">
        <v>3475</v>
      </c>
      <c r="E2408">
        <v>5</v>
      </c>
      <c r="F2408" t="s">
        <v>3526</v>
      </c>
      <c r="G2408" t="s">
        <v>3518</v>
      </c>
      <c r="H2408">
        <v>0.5</v>
      </c>
      <c r="I2408">
        <v>7.3</v>
      </c>
      <c r="J2408">
        <v>36.5</v>
      </c>
    </row>
    <row r="2409" spans="1:10" x14ac:dyDescent="0.25">
      <c r="A2409" t="s">
        <v>4934</v>
      </c>
      <c r="B2409" s="3">
        <v>45582</v>
      </c>
      <c r="C2409" t="s">
        <v>959</v>
      </c>
      <c r="D2409" t="s">
        <v>3496</v>
      </c>
      <c r="E2409">
        <v>4</v>
      </c>
      <c r="F2409" t="s">
        <v>3525</v>
      </c>
      <c r="G2409" t="s">
        <v>3518</v>
      </c>
      <c r="H2409">
        <v>2.5</v>
      </c>
      <c r="I2409">
        <v>29.8</v>
      </c>
      <c r="J2409">
        <v>119.2</v>
      </c>
    </row>
    <row r="2410" spans="1:10" x14ac:dyDescent="0.25">
      <c r="A2410" t="s">
        <v>4935</v>
      </c>
      <c r="B2410" s="3">
        <v>45175</v>
      </c>
      <c r="C2410" t="s">
        <v>511</v>
      </c>
      <c r="D2410" t="s">
        <v>3498</v>
      </c>
      <c r="E2410">
        <v>6</v>
      </c>
      <c r="F2410" t="s">
        <v>3523</v>
      </c>
      <c r="G2410" t="s">
        <v>3517</v>
      </c>
      <c r="H2410">
        <v>0.2</v>
      </c>
      <c r="I2410">
        <v>3.9</v>
      </c>
      <c r="J2410">
        <v>23.4</v>
      </c>
    </row>
    <row r="2411" spans="1:10" x14ac:dyDescent="0.25">
      <c r="A2411" t="s">
        <v>4936</v>
      </c>
      <c r="B2411" s="3">
        <v>45438</v>
      </c>
      <c r="C2411" t="s">
        <v>2438</v>
      </c>
      <c r="D2411" t="s">
        <v>3503</v>
      </c>
      <c r="E2411">
        <v>4</v>
      </c>
      <c r="F2411" t="s">
        <v>3524</v>
      </c>
      <c r="G2411" t="s">
        <v>3518</v>
      </c>
      <c r="H2411">
        <v>0.5</v>
      </c>
      <c r="I2411">
        <v>5.4</v>
      </c>
      <c r="J2411">
        <v>21.6</v>
      </c>
    </row>
    <row r="2412" spans="1:10" x14ac:dyDescent="0.25">
      <c r="A2412" t="s">
        <v>4937</v>
      </c>
      <c r="B2412" s="3">
        <v>44951</v>
      </c>
      <c r="C2412" t="s">
        <v>3084</v>
      </c>
      <c r="D2412" t="s">
        <v>3506</v>
      </c>
      <c r="E2412">
        <v>4</v>
      </c>
      <c r="F2412" t="s">
        <v>3523</v>
      </c>
      <c r="G2412" t="s">
        <v>3519</v>
      </c>
      <c r="H2412">
        <v>2.5</v>
      </c>
      <c r="I2412">
        <v>25.9</v>
      </c>
      <c r="J2412">
        <v>103.6</v>
      </c>
    </row>
    <row r="2413" spans="1:10" x14ac:dyDescent="0.25">
      <c r="A2413" t="s">
        <v>4938</v>
      </c>
      <c r="B2413" s="3">
        <v>45321</v>
      </c>
      <c r="C2413" t="s">
        <v>2915</v>
      </c>
      <c r="D2413" t="s">
        <v>3489</v>
      </c>
      <c r="E2413">
        <v>4</v>
      </c>
      <c r="F2413" t="s">
        <v>3523</v>
      </c>
      <c r="G2413" t="s">
        <v>3518</v>
      </c>
      <c r="H2413">
        <v>0.5</v>
      </c>
      <c r="I2413">
        <v>6</v>
      </c>
      <c r="J2413">
        <v>24</v>
      </c>
    </row>
    <row r="2414" spans="1:10" x14ac:dyDescent="0.25">
      <c r="A2414" t="s">
        <v>4939</v>
      </c>
      <c r="B2414" s="3">
        <v>44808</v>
      </c>
      <c r="C2414" t="s">
        <v>1223</v>
      </c>
      <c r="D2414" t="s">
        <v>3487</v>
      </c>
      <c r="E2414">
        <v>3</v>
      </c>
      <c r="F2414" t="s">
        <v>3526</v>
      </c>
      <c r="G2414" t="s">
        <v>3519</v>
      </c>
      <c r="H2414">
        <v>0.2</v>
      </c>
      <c r="I2414">
        <v>4.0999999999999996</v>
      </c>
      <c r="J2414">
        <v>12.3</v>
      </c>
    </row>
    <row r="2415" spans="1:10" x14ac:dyDescent="0.25">
      <c r="A2415" t="s">
        <v>4940</v>
      </c>
      <c r="B2415" s="3">
        <v>44921</v>
      </c>
      <c r="C2415" t="s">
        <v>1479</v>
      </c>
      <c r="D2415" t="s">
        <v>3496</v>
      </c>
      <c r="E2415">
        <v>4</v>
      </c>
      <c r="F2415" t="s">
        <v>3525</v>
      </c>
      <c r="G2415" t="s">
        <v>3518</v>
      </c>
      <c r="H2415">
        <v>2.5</v>
      </c>
      <c r="I2415">
        <v>29.8</v>
      </c>
      <c r="J2415">
        <v>119.2</v>
      </c>
    </row>
    <row r="2416" spans="1:10" x14ac:dyDescent="0.25">
      <c r="A2416" t="s">
        <v>4941</v>
      </c>
      <c r="B2416" s="3">
        <v>44994</v>
      </c>
      <c r="C2416" t="s">
        <v>2714</v>
      </c>
      <c r="D2416" t="s">
        <v>3469</v>
      </c>
      <c r="E2416">
        <v>6</v>
      </c>
      <c r="F2416" t="s">
        <v>3524</v>
      </c>
      <c r="G2416" t="s">
        <v>3519</v>
      </c>
      <c r="H2416">
        <v>1</v>
      </c>
      <c r="I2416">
        <v>10</v>
      </c>
      <c r="J2416">
        <v>60</v>
      </c>
    </row>
    <row r="2417" spans="1:10" x14ac:dyDescent="0.25">
      <c r="A2417" t="s">
        <v>4942</v>
      </c>
      <c r="B2417" s="3">
        <v>45394</v>
      </c>
      <c r="C2417" t="s">
        <v>2888</v>
      </c>
      <c r="D2417" t="s">
        <v>3485</v>
      </c>
      <c r="E2417">
        <v>4</v>
      </c>
      <c r="F2417" t="s">
        <v>3523</v>
      </c>
      <c r="G2417" t="s">
        <v>3518</v>
      </c>
      <c r="H2417">
        <v>0.2</v>
      </c>
      <c r="I2417">
        <v>3</v>
      </c>
      <c r="J2417">
        <v>12</v>
      </c>
    </row>
    <row r="2418" spans="1:10" x14ac:dyDescent="0.25">
      <c r="A2418" t="s">
        <v>4943</v>
      </c>
      <c r="B2418" s="3">
        <v>45216</v>
      </c>
      <c r="C2418" t="s">
        <v>2201</v>
      </c>
      <c r="D2418" t="s">
        <v>3508</v>
      </c>
      <c r="E2418">
        <v>4</v>
      </c>
      <c r="F2418" t="s">
        <v>3524</v>
      </c>
      <c r="G2418" t="s">
        <v>3518</v>
      </c>
      <c r="H2418">
        <v>1</v>
      </c>
      <c r="I2418">
        <v>9</v>
      </c>
      <c r="J2418">
        <v>36</v>
      </c>
    </row>
    <row r="2419" spans="1:10" x14ac:dyDescent="0.25">
      <c r="A2419" t="s">
        <v>4944</v>
      </c>
      <c r="B2419" s="3">
        <v>45008</v>
      </c>
      <c r="C2419" t="s">
        <v>1163</v>
      </c>
      <c r="D2419" t="s">
        <v>3498</v>
      </c>
      <c r="E2419">
        <v>3</v>
      </c>
      <c r="F2419" t="s">
        <v>3523</v>
      </c>
      <c r="G2419" t="s">
        <v>3517</v>
      </c>
      <c r="H2419">
        <v>0.2</v>
      </c>
      <c r="I2419">
        <v>3.9</v>
      </c>
      <c r="J2419">
        <v>11.7</v>
      </c>
    </row>
    <row r="2420" spans="1:10" x14ac:dyDescent="0.25">
      <c r="A2420" t="s">
        <v>4945</v>
      </c>
      <c r="B2420" s="3">
        <v>45229</v>
      </c>
      <c r="C2420" t="s">
        <v>1503</v>
      </c>
      <c r="D2420" t="s">
        <v>3512</v>
      </c>
      <c r="E2420">
        <v>6</v>
      </c>
      <c r="F2420" t="s">
        <v>3525</v>
      </c>
      <c r="G2420" t="s">
        <v>3519</v>
      </c>
      <c r="H2420">
        <v>2.5</v>
      </c>
      <c r="I2420">
        <v>33.5</v>
      </c>
      <c r="J2420">
        <v>201</v>
      </c>
    </row>
    <row r="2421" spans="1:10" x14ac:dyDescent="0.25">
      <c r="A2421" t="s">
        <v>4946</v>
      </c>
      <c r="B2421" s="3">
        <v>44565</v>
      </c>
      <c r="C2421" t="s">
        <v>953</v>
      </c>
      <c r="D2421" t="s">
        <v>3507</v>
      </c>
      <c r="E2421">
        <v>6</v>
      </c>
      <c r="F2421" t="s">
        <v>3526</v>
      </c>
      <c r="G2421" t="s">
        <v>3517</v>
      </c>
      <c r="H2421">
        <v>0.5</v>
      </c>
      <c r="I2421">
        <v>8.9</v>
      </c>
      <c r="J2421">
        <v>53.4</v>
      </c>
    </row>
    <row r="2422" spans="1:10" x14ac:dyDescent="0.25">
      <c r="A2422" t="s">
        <v>4947</v>
      </c>
      <c r="B2422" s="3">
        <v>44542</v>
      </c>
      <c r="C2422" t="s">
        <v>2503</v>
      </c>
      <c r="D2422" t="s">
        <v>3486</v>
      </c>
      <c r="E2422">
        <v>3</v>
      </c>
      <c r="F2422" t="s">
        <v>3523</v>
      </c>
      <c r="G2422" t="s">
        <v>3519</v>
      </c>
      <c r="H2422">
        <v>1</v>
      </c>
      <c r="I2422">
        <v>11.3</v>
      </c>
      <c r="J2422">
        <v>33.9</v>
      </c>
    </row>
    <row r="2423" spans="1:10" x14ac:dyDescent="0.25">
      <c r="A2423" t="s">
        <v>4948</v>
      </c>
      <c r="B2423" s="3">
        <v>45194</v>
      </c>
      <c r="C2423" t="s">
        <v>2459</v>
      </c>
      <c r="D2423" t="s">
        <v>3480</v>
      </c>
      <c r="E2423">
        <v>4</v>
      </c>
      <c r="F2423" t="s">
        <v>3524</v>
      </c>
      <c r="G2423" t="s">
        <v>3518</v>
      </c>
      <c r="H2423">
        <v>2.5</v>
      </c>
      <c r="I2423">
        <v>20.6</v>
      </c>
      <c r="J2423">
        <v>82.4</v>
      </c>
    </row>
    <row r="2424" spans="1:10" x14ac:dyDescent="0.25">
      <c r="A2424" t="s">
        <v>4949</v>
      </c>
      <c r="B2424" s="3">
        <v>44520</v>
      </c>
      <c r="C2424" t="s">
        <v>1914</v>
      </c>
      <c r="D2424" t="s">
        <v>3509</v>
      </c>
      <c r="E2424">
        <v>1</v>
      </c>
      <c r="F2424" t="s">
        <v>3524</v>
      </c>
      <c r="G2424" t="s">
        <v>3517</v>
      </c>
      <c r="H2424">
        <v>0.2</v>
      </c>
      <c r="I2424">
        <v>3.6</v>
      </c>
      <c r="J2424">
        <v>3.6</v>
      </c>
    </row>
    <row r="2425" spans="1:10" x14ac:dyDescent="0.25">
      <c r="A2425" t="s">
        <v>4950</v>
      </c>
      <c r="B2425" s="3">
        <v>44787</v>
      </c>
      <c r="C2425" t="s">
        <v>3217</v>
      </c>
      <c r="D2425" t="s">
        <v>3515</v>
      </c>
      <c r="E2425">
        <v>4</v>
      </c>
      <c r="F2425" t="s">
        <v>3526</v>
      </c>
      <c r="G2425" t="s">
        <v>3517</v>
      </c>
      <c r="H2425">
        <v>0.2</v>
      </c>
      <c r="I2425">
        <v>4.5</v>
      </c>
      <c r="J2425">
        <v>18</v>
      </c>
    </row>
    <row r="2426" spans="1:10" x14ac:dyDescent="0.25">
      <c r="A2426" t="s">
        <v>4951</v>
      </c>
      <c r="B2426" s="3">
        <v>43844</v>
      </c>
      <c r="C2426" t="s">
        <v>3057</v>
      </c>
      <c r="D2426" t="s">
        <v>3506</v>
      </c>
      <c r="E2426">
        <v>4</v>
      </c>
      <c r="F2426" t="s">
        <v>3523</v>
      </c>
      <c r="G2426" t="s">
        <v>3519</v>
      </c>
      <c r="H2426">
        <v>2.5</v>
      </c>
      <c r="I2426">
        <v>25.9</v>
      </c>
      <c r="J2426">
        <v>103.6</v>
      </c>
    </row>
    <row r="2427" spans="1:10" x14ac:dyDescent="0.25">
      <c r="A2427" t="s">
        <v>4952</v>
      </c>
      <c r="B2427" s="3">
        <v>44926</v>
      </c>
      <c r="C2427" t="s">
        <v>1336</v>
      </c>
      <c r="D2427" t="s">
        <v>3508</v>
      </c>
      <c r="E2427">
        <v>2</v>
      </c>
      <c r="F2427" t="s">
        <v>3524</v>
      </c>
      <c r="G2427" t="s">
        <v>3518</v>
      </c>
      <c r="H2427">
        <v>1</v>
      </c>
      <c r="I2427">
        <v>9</v>
      </c>
      <c r="J2427">
        <v>18</v>
      </c>
    </row>
    <row r="2428" spans="1:10" x14ac:dyDescent="0.25">
      <c r="A2428" t="s">
        <v>4953</v>
      </c>
      <c r="B2428" s="3">
        <v>44556</v>
      </c>
      <c r="C2428" t="s">
        <v>698</v>
      </c>
      <c r="D2428" t="s">
        <v>3504</v>
      </c>
      <c r="E2428">
        <v>2</v>
      </c>
      <c r="F2428" t="s">
        <v>3524</v>
      </c>
      <c r="G2428" t="s">
        <v>3517</v>
      </c>
      <c r="H2428">
        <v>0.5</v>
      </c>
      <c r="I2428">
        <v>7.2</v>
      </c>
      <c r="J2428">
        <v>14.4</v>
      </c>
    </row>
    <row r="2429" spans="1:10" x14ac:dyDescent="0.25">
      <c r="A2429" t="s">
        <v>4954</v>
      </c>
      <c r="B2429" s="3">
        <v>44439</v>
      </c>
      <c r="C2429" t="s">
        <v>1094</v>
      </c>
      <c r="D2429" t="s">
        <v>3509</v>
      </c>
      <c r="E2429">
        <v>4</v>
      </c>
      <c r="F2429" t="s">
        <v>3524</v>
      </c>
      <c r="G2429" t="s">
        <v>3517</v>
      </c>
      <c r="H2429">
        <v>0.2</v>
      </c>
      <c r="I2429">
        <v>3.6</v>
      </c>
      <c r="J2429">
        <v>14.4</v>
      </c>
    </row>
    <row r="2430" spans="1:10" x14ac:dyDescent="0.25">
      <c r="A2430" t="s">
        <v>4955</v>
      </c>
      <c r="B2430" s="3">
        <v>45139</v>
      </c>
      <c r="C2430" t="s">
        <v>820</v>
      </c>
      <c r="D2430" t="s">
        <v>3504</v>
      </c>
      <c r="E2430">
        <v>1</v>
      </c>
      <c r="F2430" t="s">
        <v>3524</v>
      </c>
      <c r="G2430" t="s">
        <v>3517</v>
      </c>
      <c r="H2430">
        <v>0.5</v>
      </c>
      <c r="I2430">
        <v>7.2</v>
      </c>
      <c r="J2430">
        <v>7.2</v>
      </c>
    </row>
    <row r="2431" spans="1:10" x14ac:dyDescent="0.25">
      <c r="A2431" t="s">
        <v>4956</v>
      </c>
      <c r="B2431" s="3">
        <v>44620</v>
      </c>
      <c r="C2431" t="s">
        <v>3030</v>
      </c>
      <c r="D2431" t="s">
        <v>3484</v>
      </c>
      <c r="E2431">
        <v>5</v>
      </c>
      <c r="F2431" t="s">
        <v>3526</v>
      </c>
      <c r="G2431" t="s">
        <v>3518</v>
      </c>
      <c r="H2431">
        <v>0.2</v>
      </c>
      <c r="I2431">
        <v>3.6</v>
      </c>
      <c r="J2431">
        <v>18</v>
      </c>
    </row>
    <row r="2432" spans="1:10" x14ac:dyDescent="0.25">
      <c r="A2432" t="s">
        <v>4957</v>
      </c>
      <c r="B2432" s="3">
        <v>45554</v>
      </c>
      <c r="C2432" t="s">
        <v>3252</v>
      </c>
      <c r="D2432" t="s">
        <v>3500</v>
      </c>
      <c r="E2432">
        <v>3</v>
      </c>
      <c r="F2432" t="s">
        <v>3525</v>
      </c>
      <c r="G2432" t="s">
        <v>3518</v>
      </c>
      <c r="H2432">
        <v>0.5</v>
      </c>
      <c r="I2432">
        <v>7.8</v>
      </c>
      <c r="J2432">
        <v>23.4</v>
      </c>
    </row>
    <row r="2433" spans="1:10" x14ac:dyDescent="0.25">
      <c r="A2433" t="s">
        <v>4958</v>
      </c>
      <c r="B2433" s="3">
        <v>45070</v>
      </c>
      <c r="C2433" t="s">
        <v>2098</v>
      </c>
      <c r="D2433" t="s">
        <v>3486</v>
      </c>
      <c r="E2433">
        <v>6</v>
      </c>
      <c r="F2433" t="s">
        <v>3523</v>
      </c>
      <c r="G2433" t="s">
        <v>3519</v>
      </c>
      <c r="H2433">
        <v>1</v>
      </c>
      <c r="I2433">
        <v>11.3</v>
      </c>
      <c r="J2433">
        <v>67.8</v>
      </c>
    </row>
    <row r="2434" spans="1:10" x14ac:dyDescent="0.25">
      <c r="A2434" t="s">
        <v>4959</v>
      </c>
      <c r="B2434" s="3">
        <v>44513</v>
      </c>
      <c r="C2434" t="s">
        <v>881</v>
      </c>
      <c r="D2434" t="s">
        <v>3483</v>
      </c>
      <c r="E2434">
        <v>4</v>
      </c>
      <c r="F2434" t="s">
        <v>3523</v>
      </c>
      <c r="G2434" t="s">
        <v>3519</v>
      </c>
      <c r="H2434">
        <v>0.2</v>
      </c>
      <c r="I2434">
        <v>3.4</v>
      </c>
      <c r="J2434">
        <v>13.6</v>
      </c>
    </row>
    <row r="2435" spans="1:10" x14ac:dyDescent="0.25">
      <c r="A2435" t="s">
        <v>4960</v>
      </c>
      <c r="B2435" s="3">
        <v>44977</v>
      </c>
      <c r="C2435" t="s">
        <v>1396</v>
      </c>
      <c r="D2435" t="s">
        <v>3510</v>
      </c>
      <c r="E2435">
        <v>5</v>
      </c>
      <c r="F2435" t="s">
        <v>3524</v>
      </c>
      <c r="G2435" t="s">
        <v>3517</v>
      </c>
      <c r="H2435">
        <v>1</v>
      </c>
      <c r="I2435">
        <v>12</v>
      </c>
      <c r="J2435">
        <v>60</v>
      </c>
    </row>
    <row r="2436" spans="1:10" x14ac:dyDescent="0.25">
      <c r="A2436" t="s">
        <v>4961</v>
      </c>
      <c r="B2436" s="3">
        <v>45556</v>
      </c>
      <c r="C2436" t="s">
        <v>823</v>
      </c>
      <c r="D2436" t="s">
        <v>3498</v>
      </c>
      <c r="E2436">
        <v>3</v>
      </c>
      <c r="F2436" t="s">
        <v>3523</v>
      </c>
      <c r="G2436" t="s">
        <v>3517</v>
      </c>
      <c r="H2436">
        <v>0.2</v>
      </c>
      <c r="I2436">
        <v>3.9</v>
      </c>
      <c r="J2436">
        <v>11.7</v>
      </c>
    </row>
    <row r="2437" spans="1:10" x14ac:dyDescent="0.25">
      <c r="A2437" t="s">
        <v>4962</v>
      </c>
      <c r="B2437" s="3">
        <v>44291</v>
      </c>
      <c r="C2437" t="s">
        <v>1035</v>
      </c>
      <c r="D2437" t="s">
        <v>3494</v>
      </c>
      <c r="E2437">
        <v>5</v>
      </c>
      <c r="F2437" t="s">
        <v>3524</v>
      </c>
      <c r="G2437" t="s">
        <v>3518</v>
      </c>
      <c r="H2437">
        <v>0.2</v>
      </c>
      <c r="I2437">
        <v>2.7</v>
      </c>
      <c r="J2437">
        <v>13.5</v>
      </c>
    </row>
    <row r="2438" spans="1:10" x14ac:dyDescent="0.25">
      <c r="A2438" t="s">
        <v>4963</v>
      </c>
      <c r="B2438" s="3">
        <v>45627</v>
      </c>
      <c r="C2438" t="s">
        <v>3127</v>
      </c>
      <c r="D2438" t="s">
        <v>3491</v>
      </c>
      <c r="E2438">
        <v>6</v>
      </c>
      <c r="F2438" t="s">
        <v>3525</v>
      </c>
      <c r="G2438" t="s">
        <v>3519</v>
      </c>
      <c r="H2438">
        <v>0.5</v>
      </c>
      <c r="I2438">
        <v>8.6999999999999993</v>
      </c>
      <c r="J2438">
        <v>52.2</v>
      </c>
    </row>
    <row r="2439" spans="1:10" x14ac:dyDescent="0.25">
      <c r="A2439" t="s">
        <v>4964</v>
      </c>
      <c r="B2439" s="3">
        <v>45571</v>
      </c>
      <c r="C2439" t="s">
        <v>576</v>
      </c>
      <c r="D2439" t="s">
        <v>3494</v>
      </c>
      <c r="E2439">
        <v>4</v>
      </c>
      <c r="F2439" t="s">
        <v>3524</v>
      </c>
      <c r="G2439" t="s">
        <v>3518</v>
      </c>
      <c r="H2439">
        <v>0.2</v>
      </c>
      <c r="I2439">
        <v>2.7</v>
      </c>
      <c r="J2439">
        <v>10.8</v>
      </c>
    </row>
    <row r="2440" spans="1:10" x14ac:dyDescent="0.25">
      <c r="A2440" t="s">
        <v>4965</v>
      </c>
      <c r="B2440" s="3">
        <v>43858</v>
      </c>
      <c r="C2440" t="s">
        <v>2684</v>
      </c>
      <c r="D2440" t="s">
        <v>3513</v>
      </c>
      <c r="E2440">
        <v>4</v>
      </c>
      <c r="F2440" t="s">
        <v>3523</v>
      </c>
      <c r="G2440" t="s">
        <v>3517</v>
      </c>
      <c r="H2440">
        <v>2.5</v>
      </c>
      <c r="I2440">
        <v>29.8</v>
      </c>
      <c r="J2440">
        <v>119.2</v>
      </c>
    </row>
    <row r="2441" spans="1:10" x14ac:dyDescent="0.25">
      <c r="A2441" t="s">
        <v>4966</v>
      </c>
      <c r="B2441" s="3">
        <v>45109</v>
      </c>
      <c r="C2441" t="s">
        <v>2110</v>
      </c>
      <c r="D2441" t="s">
        <v>3472</v>
      </c>
      <c r="E2441">
        <v>4</v>
      </c>
      <c r="F2441" t="s">
        <v>3526</v>
      </c>
      <c r="G2441" t="s">
        <v>3519</v>
      </c>
      <c r="H2441">
        <v>1</v>
      </c>
      <c r="I2441">
        <v>13.8</v>
      </c>
      <c r="J2441">
        <v>55.2</v>
      </c>
    </row>
    <row r="2442" spans="1:10" x14ac:dyDescent="0.25">
      <c r="A2442" t="s">
        <v>4967</v>
      </c>
      <c r="B2442" s="3">
        <v>45295</v>
      </c>
      <c r="C2442" t="s">
        <v>2018</v>
      </c>
      <c r="D2442" t="s">
        <v>3490</v>
      </c>
      <c r="E2442">
        <v>6</v>
      </c>
      <c r="F2442" t="s">
        <v>3525</v>
      </c>
      <c r="G2442" t="s">
        <v>3519</v>
      </c>
      <c r="H2442">
        <v>0.2</v>
      </c>
      <c r="I2442">
        <v>4.4000000000000004</v>
      </c>
      <c r="J2442">
        <v>26.4</v>
      </c>
    </row>
    <row r="2443" spans="1:10" x14ac:dyDescent="0.25">
      <c r="A2443" t="s">
        <v>4968</v>
      </c>
      <c r="B2443" s="3">
        <v>45048</v>
      </c>
      <c r="C2443" t="s">
        <v>2003</v>
      </c>
      <c r="D2443" t="s">
        <v>3478</v>
      </c>
      <c r="E2443">
        <v>2</v>
      </c>
      <c r="F2443" t="s">
        <v>3523</v>
      </c>
      <c r="G2443" t="s">
        <v>3518</v>
      </c>
      <c r="H2443">
        <v>1</v>
      </c>
      <c r="I2443">
        <v>10</v>
      </c>
      <c r="J2443">
        <v>20</v>
      </c>
    </row>
    <row r="2444" spans="1:10" x14ac:dyDescent="0.25">
      <c r="A2444" t="s">
        <v>4969</v>
      </c>
      <c r="B2444" s="3">
        <v>44946</v>
      </c>
      <c r="C2444" t="s">
        <v>1878</v>
      </c>
      <c r="D2444" t="s">
        <v>3490</v>
      </c>
      <c r="E2444">
        <v>3</v>
      </c>
      <c r="F2444" t="s">
        <v>3525</v>
      </c>
      <c r="G2444" t="s">
        <v>3519</v>
      </c>
      <c r="H2444">
        <v>0.2</v>
      </c>
      <c r="I2444">
        <v>4.4000000000000004</v>
      </c>
      <c r="J2444">
        <v>13.2</v>
      </c>
    </row>
    <row r="2445" spans="1:10" x14ac:dyDescent="0.25">
      <c r="A2445" t="s">
        <v>4970</v>
      </c>
      <c r="B2445" s="3">
        <v>44978</v>
      </c>
      <c r="C2445" t="s">
        <v>2459</v>
      </c>
      <c r="D2445" t="s">
        <v>3507</v>
      </c>
      <c r="E2445">
        <v>5</v>
      </c>
      <c r="F2445" t="s">
        <v>3526</v>
      </c>
      <c r="G2445" t="s">
        <v>3517</v>
      </c>
      <c r="H2445">
        <v>0.5</v>
      </c>
      <c r="I2445">
        <v>8.9</v>
      </c>
      <c r="J2445">
        <v>44.5</v>
      </c>
    </row>
    <row r="2446" spans="1:10" x14ac:dyDescent="0.25">
      <c r="A2446" t="s">
        <v>4971</v>
      </c>
      <c r="B2446" s="3">
        <v>45270</v>
      </c>
      <c r="C2446" t="s">
        <v>3187</v>
      </c>
      <c r="D2446" t="s">
        <v>3484</v>
      </c>
      <c r="E2446">
        <v>1</v>
      </c>
      <c r="F2446" t="s">
        <v>3526</v>
      </c>
      <c r="G2446" t="s">
        <v>3518</v>
      </c>
      <c r="H2446">
        <v>0.2</v>
      </c>
      <c r="I2446">
        <v>3.6</v>
      </c>
      <c r="J2446">
        <v>3.6</v>
      </c>
    </row>
    <row r="2447" spans="1:10" x14ac:dyDescent="0.25">
      <c r="A2447" t="s">
        <v>4972</v>
      </c>
      <c r="B2447" s="3">
        <v>44565</v>
      </c>
      <c r="C2447" t="s">
        <v>2888</v>
      </c>
      <c r="D2447" t="s">
        <v>3486</v>
      </c>
      <c r="E2447">
        <v>4</v>
      </c>
      <c r="F2447" t="s">
        <v>3523</v>
      </c>
      <c r="G2447" t="s">
        <v>3519</v>
      </c>
      <c r="H2447">
        <v>1</v>
      </c>
      <c r="I2447">
        <v>11.3</v>
      </c>
      <c r="J2447">
        <v>45.2</v>
      </c>
    </row>
    <row r="2448" spans="1:10" x14ac:dyDescent="0.25">
      <c r="A2448" t="s">
        <v>4973</v>
      </c>
      <c r="B2448" s="3">
        <v>45200</v>
      </c>
      <c r="C2448" t="s">
        <v>2533</v>
      </c>
      <c r="D2448" t="s">
        <v>3487</v>
      </c>
      <c r="E2448">
        <v>2</v>
      </c>
      <c r="F2448" t="s">
        <v>3526</v>
      </c>
      <c r="G2448" t="s">
        <v>3519</v>
      </c>
      <c r="H2448">
        <v>0.2</v>
      </c>
      <c r="I2448">
        <v>4.0999999999999996</v>
      </c>
      <c r="J2448">
        <v>8.1999999999999993</v>
      </c>
    </row>
    <row r="2449" spans="1:10" x14ac:dyDescent="0.25">
      <c r="A2449" t="s">
        <v>4974</v>
      </c>
      <c r="B2449" s="3">
        <v>45481</v>
      </c>
      <c r="C2449" t="s">
        <v>2018</v>
      </c>
      <c r="D2449" t="s">
        <v>3509</v>
      </c>
      <c r="E2449">
        <v>4</v>
      </c>
      <c r="F2449" t="s">
        <v>3524</v>
      </c>
      <c r="G2449" t="s">
        <v>3517</v>
      </c>
      <c r="H2449">
        <v>0.2</v>
      </c>
      <c r="I2449">
        <v>3.6</v>
      </c>
      <c r="J2449">
        <v>14.4</v>
      </c>
    </row>
    <row r="2450" spans="1:10" x14ac:dyDescent="0.25">
      <c r="A2450" t="s">
        <v>4975</v>
      </c>
      <c r="B2450" s="3">
        <v>45337</v>
      </c>
      <c r="C2450" t="s">
        <v>3411</v>
      </c>
      <c r="D2450" t="s">
        <v>3502</v>
      </c>
      <c r="E2450">
        <v>3</v>
      </c>
      <c r="F2450" t="s">
        <v>3526</v>
      </c>
      <c r="G2450" t="s">
        <v>3517</v>
      </c>
      <c r="H2450">
        <v>1</v>
      </c>
      <c r="I2450">
        <v>14.9</v>
      </c>
      <c r="J2450">
        <v>44.7</v>
      </c>
    </row>
    <row r="2451" spans="1:10" x14ac:dyDescent="0.25">
      <c r="A2451" t="s">
        <v>4976</v>
      </c>
      <c r="B2451" s="3">
        <v>43934</v>
      </c>
      <c r="C2451" t="s">
        <v>1714</v>
      </c>
      <c r="D2451" t="s">
        <v>3480</v>
      </c>
      <c r="E2451">
        <v>2</v>
      </c>
      <c r="F2451" t="s">
        <v>3524</v>
      </c>
      <c r="G2451" t="s">
        <v>3518</v>
      </c>
      <c r="H2451">
        <v>2.5</v>
      </c>
      <c r="I2451">
        <v>20.6</v>
      </c>
      <c r="J2451">
        <v>41.2</v>
      </c>
    </row>
    <row r="2452" spans="1:10" x14ac:dyDescent="0.25">
      <c r="A2452" t="s">
        <v>4977</v>
      </c>
      <c r="B2452" s="3">
        <v>45286</v>
      </c>
      <c r="C2452" t="s">
        <v>899</v>
      </c>
      <c r="D2452" t="s">
        <v>3495</v>
      </c>
      <c r="E2452">
        <v>4</v>
      </c>
      <c r="F2452" t="s">
        <v>3525</v>
      </c>
      <c r="G2452" t="s">
        <v>3517</v>
      </c>
      <c r="H2452">
        <v>2.5</v>
      </c>
      <c r="I2452">
        <v>36.5</v>
      </c>
      <c r="J2452">
        <v>146</v>
      </c>
    </row>
    <row r="2453" spans="1:10" x14ac:dyDescent="0.25">
      <c r="A2453" t="s">
        <v>4978</v>
      </c>
      <c r="B2453" s="3">
        <v>45126</v>
      </c>
      <c r="C2453" t="s">
        <v>1253</v>
      </c>
      <c r="D2453" t="s">
        <v>3480</v>
      </c>
      <c r="E2453">
        <v>4</v>
      </c>
      <c r="F2453" t="s">
        <v>3524</v>
      </c>
      <c r="G2453" t="s">
        <v>3518</v>
      </c>
      <c r="H2453">
        <v>2.5</v>
      </c>
      <c r="I2453">
        <v>20.6</v>
      </c>
      <c r="J2453">
        <v>82.4</v>
      </c>
    </row>
    <row r="2454" spans="1:10" x14ac:dyDescent="0.25">
      <c r="A2454" t="s">
        <v>4979</v>
      </c>
      <c r="B2454" s="3">
        <v>44651</v>
      </c>
      <c r="C2454" t="s">
        <v>1128</v>
      </c>
      <c r="D2454" t="s">
        <v>3479</v>
      </c>
      <c r="E2454">
        <v>3</v>
      </c>
      <c r="F2454" t="s">
        <v>3526</v>
      </c>
      <c r="G2454" t="s">
        <v>3517</v>
      </c>
      <c r="H2454">
        <v>2.5</v>
      </c>
      <c r="I2454">
        <v>34.200000000000003</v>
      </c>
      <c r="J2454">
        <v>102.6</v>
      </c>
    </row>
    <row r="2455" spans="1:10" x14ac:dyDescent="0.25">
      <c r="A2455" t="s">
        <v>4980</v>
      </c>
      <c r="B2455" s="3">
        <v>45399</v>
      </c>
      <c r="C2455" t="s">
        <v>1458</v>
      </c>
      <c r="D2455" t="s">
        <v>3485</v>
      </c>
      <c r="E2455">
        <v>3</v>
      </c>
      <c r="F2455" t="s">
        <v>3523</v>
      </c>
      <c r="G2455" t="s">
        <v>3518</v>
      </c>
      <c r="H2455">
        <v>0.2</v>
      </c>
      <c r="I2455">
        <v>3</v>
      </c>
      <c r="J2455">
        <v>9</v>
      </c>
    </row>
    <row r="2456" spans="1:10" x14ac:dyDescent="0.25">
      <c r="A2456" t="s">
        <v>4981</v>
      </c>
      <c r="B2456" s="3">
        <v>45512</v>
      </c>
      <c r="C2456" t="s">
        <v>2239</v>
      </c>
      <c r="D2456" t="s">
        <v>3501</v>
      </c>
      <c r="E2456">
        <v>6</v>
      </c>
      <c r="F2456" t="s">
        <v>3525</v>
      </c>
      <c r="G2456" t="s">
        <v>3517</v>
      </c>
      <c r="H2456">
        <v>1</v>
      </c>
      <c r="I2456">
        <v>15.9</v>
      </c>
      <c r="J2456">
        <v>95.4</v>
      </c>
    </row>
    <row r="2457" spans="1:10" x14ac:dyDescent="0.25">
      <c r="A2457" t="s">
        <v>4982</v>
      </c>
      <c r="B2457" s="3">
        <v>45471</v>
      </c>
      <c r="C2457" t="s">
        <v>1911</v>
      </c>
      <c r="D2457" t="s">
        <v>3476</v>
      </c>
      <c r="E2457">
        <v>6</v>
      </c>
      <c r="F2457" t="s">
        <v>3525</v>
      </c>
      <c r="G2457" t="s">
        <v>3517</v>
      </c>
      <c r="H2457">
        <v>0.2</v>
      </c>
      <c r="I2457">
        <v>4.8</v>
      </c>
      <c r="J2457">
        <v>28.8</v>
      </c>
    </row>
    <row r="2458" spans="1:10" x14ac:dyDescent="0.25">
      <c r="A2458" t="s">
        <v>4983</v>
      </c>
      <c r="B2458" s="3">
        <v>43761</v>
      </c>
      <c r="C2458" t="s">
        <v>1711</v>
      </c>
      <c r="D2458" t="s">
        <v>3500</v>
      </c>
      <c r="E2458">
        <v>5</v>
      </c>
      <c r="F2458" t="s">
        <v>3525</v>
      </c>
      <c r="G2458" t="s">
        <v>3518</v>
      </c>
      <c r="H2458">
        <v>0.5</v>
      </c>
      <c r="I2458">
        <v>7.8</v>
      </c>
      <c r="J2458">
        <v>39</v>
      </c>
    </row>
    <row r="2459" spans="1:10" x14ac:dyDescent="0.25">
      <c r="A2459" t="s">
        <v>4984</v>
      </c>
      <c r="B2459" s="3">
        <v>43966</v>
      </c>
      <c r="C2459" t="s">
        <v>2388</v>
      </c>
      <c r="D2459" t="s">
        <v>3499</v>
      </c>
      <c r="E2459">
        <v>2</v>
      </c>
      <c r="F2459" t="s">
        <v>3523</v>
      </c>
      <c r="G2459" t="s">
        <v>3518</v>
      </c>
      <c r="H2459">
        <v>2.5</v>
      </c>
      <c r="I2459">
        <v>22.9</v>
      </c>
      <c r="J2459">
        <v>45.8</v>
      </c>
    </row>
    <row r="2460" spans="1:10" x14ac:dyDescent="0.25">
      <c r="A2460" t="s">
        <v>4985</v>
      </c>
      <c r="B2460" s="3">
        <v>44593</v>
      </c>
      <c r="C2460" t="s">
        <v>3199</v>
      </c>
      <c r="D2460" t="s">
        <v>3498</v>
      </c>
      <c r="E2460">
        <v>2</v>
      </c>
      <c r="F2460" t="s">
        <v>3523</v>
      </c>
      <c r="G2460" t="s">
        <v>3517</v>
      </c>
      <c r="H2460">
        <v>0.2</v>
      </c>
      <c r="I2460">
        <v>3.9</v>
      </c>
      <c r="J2460">
        <v>7.8</v>
      </c>
    </row>
    <row r="2461" spans="1:10" x14ac:dyDescent="0.25">
      <c r="A2461" t="s">
        <v>4986</v>
      </c>
      <c r="B2461" s="3">
        <v>45183</v>
      </c>
      <c r="C2461" t="s">
        <v>1000</v>
      </c>
      <c r="D2461" t="s">
        <v>3477</v>
      </c>
      <c r="E2461">
        <v>1</v>
      </c>
      <c r="F2461" t="s">
        <v>3524</v>
      </c>
      <c r="G2461" t="s">
        <v>3519</v>
      </c>
      <c r="H2461">
        <v>0.5</v>
      </c>
      <c r="I2461">
        <v>6</v>
      </c>
      <c r="J2461">
        <v>6</v>
      </c>
    </row>
    <row r="2462" spans="1:10" x14ac:dyDescent="0.25">
      <c r="A2462" t="s">
        <v>4987</v>
      </c>
      <c r="B2462" s="3">
        <v>43503</v>
      </c>
      <c r="C2462" t="s">
        <v>1782</v>
      </c>
      <c r="D2462" t="s">
        <v>3505</v>
      </c>
      <c r="E2462">
        <v>1</v>
      </c>
      <c r="F2462" t="s">
        <v>3524</v>
      </c>
      <c r="G2462" t="s">
        <v>3519</v>
      </c>
      <c r="H2462">
        <v>0.2</v>
      </c>
      <c r="I2462">
        <v>3</v>
      </c>
      <c r="J2462">
        <v>3</v>
      </c>
    </row>
    <row r="2463" spans="1:10" x14ac:dyDescent="0.25">
      <c r="A2463" t="s">
        <v>4988</v>
      </c>
      <c r="B2463" s="3">
        <v>44950</v>
      </c>
      <c r="C2463" t="s">
        <v>1675</v>
      </c>
      <c r="D2463" t="s">
        <v>3485</v>
      </c>
      <c r="E2463">
        <v>1</v>
      </c>
      <c r="F2463" t="s">
        <v>3523</v>
      </c>
      <c r="G2463" t="s">
        <v>3518</v>
      </c>
      <c r="H2463">
        <v>0.2</v>
      </c>
      <c r="I2463">
        <v>3</v>
      </c>
      <c r="J2463">
        <v>3</v>
      </c>
    </row>
    <row r="2464" spans="1:10" x14ac:dyDescent="0.25">
      <c r="A2464" t="s">
        <v>4989</v>
      </c>
      <c r="B2464" s="3">
        <v>45256</v>
      </c>
      <c r="C2464" t="s">
        <v>719</v>
      </c>
      <c r="D2464" t="s">
        <v>3495</v>
      </c>
      <c r="E2464">
        <v>2</v>
      </c>
      <c r="F2464" t="s">
        <v>3525</v>
      </c>
      <c r="G2464" t="s">
        <v>3517</v>
      </c>
      <c r="H2464">
        <v>2.5</v>
      </c>
      <c r="I2464">
        <v>36.5</v>
      </c>
      <c r="J2464">
        <v>73</v>
      </c>
    </row>
    <row r="2465" spans="1:10" x14ac:dyDescent="0.25">
      <c r="A2465" t="s">
        <v>4990</v>
      </c>
      <c r="B2465" s="3">
        <v>43821</v>
      </c>
      <c r="C2465" t="s">
        <v>1582</v>
      </c>
      <c r="D2465" t="s">
        <v>3485</v>
      </c>
      <c r="E2465">
        <v>1</v>
      </c>
      <c r="F2465" t="s">
        <v>3523</v>
      </c>
      <c r="G2465" t="s">
        <v>3518</v>
      </c>
      <c r="H2465">
        <v>0.2</v>
      </c>
      <c r="I2465">
        <v>3</v>
      </c>
      <c r="J2465">
        <v>3</v>
      </c>
    </row>
    <row r="2466" spans="1:10" x14ac:dyDescent="0.25">
      <c r="A2466" t="s">
        <v>4991</v>
      </c>
      <c r="B2466" s="3">
        <v>45224</v>
      </c>
      <c r="C2466" t="s">
        <v>2557</v>
      </c>
      <c r="D2466" t="s">
        <v>3492</v>
      </c>
      <c r="E2466">
        <v>6</v>
      </c>
      <c r="F2466" t="s">
        <v>3525</v>
      </c>
      <c r="G2466" t="s">
        <v>3517</v>
      </c>
      <c r="H2466">
        <v>0.5</v>
      </c>
      <c r="I2466">
        <v>9.5</v>
      </c>
      <c r="J2466">
        <v>57</v>
      </c>
    </row>
    <row r="2467" spans="1:10" x14ac:dyDescent="0.25">
      <c r="A2467" t="s">
        <v>4992</v>
      </c>
      <c r="B2467" s="3">
        <v>44461</v>
      </c>
      <c r="C2467" t="s">
        <v>3240</v>
      </c>
      <c r="D2467" t="s">
        <v>3507</v>
      </c>
      <c r="E2467">
        <v>4</v>
      </c>
      <c r="F2467" t="s">
        <v>3526</v>
      </c>
      <c r="G2467" t="s">
        <v>3517</v>
      </c>
      <c r="H2467">
        <v>0.5</v>
      </c>
      <c r="I2467">
        <v>8.9</v>
      </c>
      <c r="J2467">
        <v>35.6</v>
      </c>
    </row>
    <row r="2468" spans="1:10" x14ac:dyDescent="0.25">
      <c r="A2468" t="s">
        <v>4993</v>
      </c>
      <c r="B2468" s="3">
        <v>43729</v>
      </c>
      <c r="C2468" t="s">
        <v>2763</v>
      </c>
      <c r="D2468" t="s">
        <v>3508</v>
      </c>
      <c r="E2468">
        <v>5</v>
      </c>
      <c r="F2468" t="s">
        <v>3524</v>
      </c>
      <c r="G2468" t="s">
        <v>3518</v>
      </c>
      <c r="H2468">
        <v>1</v>
      </c>
      <c r="I2468">
        <v>9</v>
      </c>
      <c r="J2468">
        <v>45</v>
      </c>
    </row>
    <row r="2469" spans="1:10" x14ac:dyDescent="0.25">
      <c r="A2469" t="s">
        <v>4994</v>
      </c>
      <c r="B2469" s="3">
        <v>45478</v>
      </c>
      <c r="C2469" t="s">
        <v>2581</v>
      </c>
      <c r="D2469" t="s">
        <v>3512</v>
      </c>
      <c r="E2469">
        <v>5</v>
      </c>
      <c r="F2469" t="s">
        <v>3525</v>
      </c>
      <c r="G2469" t="s">
        <v>3519</v>
      </c>
      <c r="H2469">
        <v>2.5</v>
      </c>
      <c r="I2469">
        <v>33.5</v>
      </c>
      <c r="J2469">
        <v>167.5</v>
      </c>
    </row>
    <row r="2470" spans="1:10" x14ac:dyDescent="0.25">
      <c r="A2470" t="s">
        <v>4995</v>
      </c>
      <c r="B2470" s="3">
        <v>44961</v>
      </c>
      <c r="C2470" t="s">
        <v>1214</v>
      </c>
      <c r="D2470" t="s">
        <v>3492</v>
      </c>
      <c r="E2470">
        <v>6</v>
      </c>
      <c r="F2470" t="s">
        <v>3525</v>
      </c>
      <c r="G2470" t="s">
        <v>3517</v>
      </c>
      <c r="H2470">
        <v>0.5</v>
      </c>
      <c r="I2470">
        <v>9.5</v>
      </c>
      <c r="J2470">
        <v>57</v>
      </c>
    </row>
    <row r="2471" spans="1:10" x14ac:dyDescent="0.25">
      <c r="A2471" t="s">
        <v>4996</v>
      </c>
      <c r="B2471" s="3">
        <v>44948</v>
      </c>
      <c r="C2471" t="s">
        <v>3252</v>
      </c>
      <c r="D2471" t="s">
        <v>3492</v>
      </c>
      <c r="E2471">
        <v>6</v>
      </c>
      <c r="F2471" t="s">
        <v>3525</v>
      </c>
      <c r="G2471" t="s">
        <v>3517</v>
      </c>
      <c r="H2471">
        <v>0.5</v>
      </c>
      <c r="I2471">
        <v>9.5</v>
      </c>
      <c r="J2471">
        <v>57</v>
      </c>
    </row>
    <row r="2472" spans="1:10" x14ac:dyDescent="0.25">
      <c r="A2472" t="s">
        <v>4997</v>
      </c>
      <c r="B2472" s="3">
        <v>44785</v>
      </c>
      <c r="C2472" t="s">
        <v>1969</v>
      </c>
      <c r="D2472" t="s">
        <v>3472</v>
      </c>
      <c r="E2472">
        <v>6</v>
      </c>
      <c r="F2472" t="s">
        <v>3526</v>
      </c>
      <c r="G2472" t="s">
        <v>3519</v>
      </c>
      <c r="H2472">
        <v>1</v>
      </c>
      <c r="I2472">
        <v>13.8</v>
      </c>
      <c r="J2472">
        <v>82.8</v>
      </c>
    </row>
    <row r="2473" spans="1:10" x14ac:dyDescent="0.25">
      <c r="A2473" t="s">
        <v>4998</v>
      </c>
      <c r="B2473" s="3">
        <v>45481</v>
      </c>
      <c r="C2473" t="s">
        <v>1851</v>
      </c>
      <c r="D2473" t="s">
        <v>3491</v>
      </c>
      <c r="E2473">
        <v>3</v>
      </c>
      <c r="F2473" t="s">
        <v>3525</v>
      </c>
      <c r="G2473" t="s">
        <v>3519</v>
      </c>
      <c r="H2473">
        <v>0.5</v>
      </c>
      <c r="I2473">
        <v>8.6999999999999993</v>
      </c>
      <c r="J2473">
        <v>26.1</v>
      </c>
    </row>
    <row r="2474" spans="1:10" x14ac:dyDescent="0.25">
      <c r="A2474" t="s">
        <v>4999</v>
      </c>
      <c r="B2474" s="3">
        <v>44869</v>
      </c>
      <c r="C2474" t="s">
        <v>902</v>
      </c>
      <c r="D2474" t="s">
        <v>3472</v>
      </c>
      <c r="E2474">
        <v>6</v>
      </c>
      <c r="F2474" t="s">
        <v>3526</v>
      </c>
      <c r="G2474" t="s">
        <v>3519</v>
      </c>
      <c r="H2474">
        <v>1</v>
      </c>
      <c r="I2474">
        <v>13.8</v>
      </c>
      <c r="J2474">
        <v>82.8</v>
      </c>
    </row>
    <row r="2475" spans="1:10" x14ac:dyDescent="0.25">
      <c r="A2475" t="s">
        <v>5000</v>
      </c>
      <c r="B2475" s="3">
        <v>45460</v>
      </c>
      <c r="C2475" t="s">
        <v>2612</v>
      </c>
      <c r="D2475" t="s">
        <v>3478</v>
      </c>
      <c r="E2475">
        <v>5</v>
      </c>
      <c r="F2475" t="s">
        <v>3523</v>
      </c>
      <c r="G2475" t="s">
        <v>3518</v>
      </c>
      <c r="H2475">
        <v>1</v>
      </c>
      <c r="I2475">
        <v>10</v>
      </c>
      <c r="J2475">
        <v>50</v>
      </c>
    </row>
    <row r="2476" spans="1:10" x14ac:dyDescent="0.25">
      <c r="A2476" t="s">
        <v>5001</v>
      </c>
      <c r="B2476" s="3">
        <v>45490</v>
      </c>
      <c r="C2476" t="s">
        <v>3163</v>
      </c>
      <c r="D2476" t="s">
        <v>3516</v>
      </c>
      <c r="E2476">
        <v>1</v>
      </c>
      <c r="F2476" t="s">
        <v>3526</v>
      </c>
      <c r="G2476" t="s">
        <v>3518</v>
      </c>
      <c r="H2476">
        <v>2.5</v>
      </c>
      <c r="I2476">
        <v>27.9</v>
      </c>
      <c r="J2476">
        <v>27.9</v>
      </c>
    </row>
    <row r="2477" spans="1:10" x14ac:dyDescent="0.25">
      <c r="A2477" t="s">
        <v>5002</v>
      </c>
      <c r="B2477" s="3">
        <v>45220</v>
      </c>
      <c r="C2477" t="s">
        <v>848</v>
      </c>
      <c r="D2477" t="s">
        <v>3490</v>
      </c>
      <c r="E2477">
        <v>3</v>
      </c>
      <c r="F2477" t="s">
        <v>3525</v>
      </c>
      <c r="G2477" t="s">
        <v>3519</v>
      </c>
      <c r="H2477">
        <v>0.2</v>
      </c>
      <c r="I2477">
        <v>4.4000000000000004</v>
      </c>
      <c r="J2477">
        <v>13.2</v>
      </c>
    </row>
    <row r="2478" spans="1:10" x14ac:dyDescent="0.25">
      <c r="A2478" t="s">
        <v>5003</v>
      </c>
      <c r="B2478" s="3">
        <v>44002</v>
      </c>
      <c r="C2478" t="s">
        <v>3175</v>
      </c>
      <c r="D2478" t="s">
        <v>3485</v>
      </c>
      <c r="E2478">
        <v>4</v>
      </c>
      <c r="F2478" t="s">
        <v>3523</v>
      </c>
      <c r="G2478" t="s">
        <v>3518</v>
      </c>
      <c r="H2478">
        <v>0.2</v>
      </c>
      <c r="I2478">
        <v>3</v>
      </c>
      <c r="J2478">
        <v>12</v>
      </c>
    </row>
    <row r="2479" spans="1:10" x14ac:dyDescent="0.25">
      <c r="A2479" t="s">
        <v>5004</v>
      </c>
      <c r="B2479" s="3">
        <v>45423</v>
      </c>
      <c r="C2479" t="s">
        <v>2942</v>
      </c>
      <c r="D2479" t="s">
        <v>3481</v>
      </c>
      <c r="E2479">
        <v>6</v>
      </c>
      <c r="F2479" t="s">
        <v>3525</v>
      </c>
      <c r="G2479" t="s">
        <v>3518</v>
      </c>
      <c r="H2479">
        <v>0.2</v>
      </c>
      <c r="I2479">
        <v>3.9</v>
      </c>
      <c r="J2479">
        <v>23.4</v>
      </c>
    </row>
    <row r="2480" spans="1:10" x14ac:dyDescent="0.25">
      <c r="A2480" t="s">
        <v>5005</v>
      </c>
      <c r="B2480" s="3">
        <v>45362</v>
      </c>
      <c r="C2480" t="s">
        <v>2933</v>
      </c>
      <c r="D2480" t="s">
        <v>3483</v>
      </c>
      <c r="E2480">
        <v>1</v>
      </c>
      <c r="F2480" t="s">
        <v>3523</v>
      </c>
      <c r="G2480" t="s">
        <v>3519</v>
      </c>
      <c r="H2480">
        <v>0.2</v>
      </c>
      <c r="I2480">
        <v>3.4</v>
      </c>
      <c r="J2480">
        <v>3.4</v>
      </c>
    </row>
    <row r="2481" spans="1:10" x14ac:dyDescent="0.25">
      <c r="A2481" t="s">
        <v>5006</v>
      </c>
      <c r="B2481" s="3">
        <v>44996</v>
      </c>
      <c r="C2481" t="s">
        <v>1247</v>
      </c>
      <c r="D2481" t="s">
        <v>3508</v>
      </c>
      <c r="E2481">
        <v>5</v>
      </c>
      <c r="F2481" t="s">
        <v>3524</v>
      </c>
      <c r="G2481" t="s">
        <v>3518</v>
      </c>
      <c r="H2481">
        <v>1</v>
      </c>
      <c r="I2481">
        <v>9</v>
      </c>
      <c r="J2481">
        <v>45</v>
      </c>
    </row>
    <row r="2482" spans="1:10" x14ac:dyDescent="0.25">
      <c r="A2482" t="s">
        <v>5007</v>
      </c>
      <c r="B2482" s="3">
        <v>44271</v>
      </c>
      <c r="C2482" t="s">
        <v>1160</v>
      </c>
      <c r="D2482" t="s">
        <v>3481</v>
      </c>
      <c r="E2482">
        <v>6</v>
      </c>
      <c r="F2482" t="s">
        <v>3525</v>
      </c>
      <c r="G2482" t="s">
        <v>3518</v>
      </c>
      <c r="H2482">
        <v>0.2</v>
      </c>
      <c r="I2482">
        <v>3.9</v>
      </c>
      <c r="J2482">
        <v>23.4</v>
      </c>
    </row>
    <row r="2483" spans="1:10" x14ac:dyDescent="0.25">
      <c r="A2483" t="s">
        <v>5008</v>
      </c>
      <c r="B2483" s="3">
        <v>44419</v>
      </c>
      <c r="C2483" t="s">
        <v>1408</v>
      </c>
      <c r="D2483" t="s">
        <v>3510</v>
      </c>
      <c r="E2483">
        <v>6</v>
      </c>
      <c r="F2483" t="s">
        <v>3524</v>
      </c>
      <c r="G2483" t="s">
        <v>3517</v>
      </c>
      <c r="H2483">
        <v>1</v>
      </c>
      <c r="I2483">
        <v>12</v>
      </c>
      <c r="J2483">
        <v>72</v>
      </c>
    </row>
    <row r="2484" spans="1:10" x14ac:dyDescent="0.25">
      <c r="A2484" t="s">
        <v>5009</v>
      </c>
      <c r="B2484" s="3">
        <v>44397</v>
      </c>
      <c r="C2484" t="s">
        <v>1088</v>
      </c>
      <c r="D2484" t="s">
        <v>3486</v>
      </c>
      <c r="E2484">
        <v>1</v>
      </c>
      <c r="F2484" t="s">
        <v>3523</v>
      </c>
      <c r="G2484" t="s">
        <v>3519</v>
      </c>
      <c r="H2484">
        <v>1</v>
      </c>
      <c r="I2484">
        <v>11.3</v>
      </c>
      <c r="J2484">
        <v>11.3</v>
      </c>
    </row>
    <row r="2485" spans="1:10" x14ac:dyDescent="0.25">
      <c r="A2485" t="s">
        <v>5010</v>
      </c>
      <c r="B2485" s="3">
        <v>45642</v>
      </c>
      <c r="C2485" t="s">
        <v>981</v>
      </c>
      <c r="D2485" t="s">
        <v>3514</v>
      </c>
      <c r="E2485">
        <v>6</v>
      </c>
      <c r="F2485" t="s">
        <v>3526</v>
      </c>
      <c r="G2485" t="s">
        <v>3518</v>
      </c>
      <c r="H2485">
        <v>1</v>
      </c>
      <c r="I2485">
        <v>12.2</v>
      </c>
      <c r="J2485">
        <v>73.2</v>
      </c>
    </row>
    <row r="2486" spans="1:10" x14ac:dyDescent="0.25">
      <c r="A2486" t="s">
        <v>5011</v>
      </c>
      <c r="B2486" s="3">
        <v>44693</v>
      </c>
      <c r="C2486" t="s">
        <v>538</v>
      </c>
      <c r="D2486" t="s">
        <v>3475</v>
      </c>
      <c r="E2486">
        <v>5</v>
      </c>
      <c r="F2486" t="s">
        <v>3526</v>
      </c>
      <c r="G2486" t="s">
        <v>3518</v>
      </c>
      <c r="H2486">
        <v>0.5</v>
      </c>
      <c r="I2486">
        <v>7.3</v>
      </c>
      <c r="J2486">
        <v>36.5</v>
      </c>
    </row>
    <row r="2487" spans="1:10" x14ac:dyDescent="0.25">
      <c r="A2487" t="s">
        <v>5012</v>
      </c>
      <c r="B2487" s="3">
        <v>43925</v>
      </c>
      <c r="C2487" t="s">
        <v>745</v>
      </c>
      <c r="D2487" t="s">
        <v>3509</v>
      </c>
      <c r="E2487">
        <v>6</v>
      </c>
      <c r="F2487" t="s">
        <v>3524</v>
      </c>
      <c r="G2487" t="s">
        <v>3517</v>
      </c>
      <c r="H2487">
        <v>0.2</v>
      </c>
      <c r="I2487">
        <v>3.6</v>
      </c>
      <c r="J2487">
        <v>21.6</v>
      </c>
    </row>
    <row r="2488" spans="1:10" x14ac:dyDescent="0.25">
      <c r="A2488" t="s">
        <v>5013</v>
      </c>
      <c r="B2488" s="3">
        <v>44680</v>
      </c>
      <c r="C2488" t="s">
        <v>981</v>
      </c>
      <c r="D2488" t="s">
        <v>3476</v>
      </c>
      <c r="E2488">
        <v>6</v>
      </c>
      <c r="F2488" t="s">
        <v>3525</v>
      </c>
      <c r="G2488" t="s">
        <v>3517</v>
      </c>
      <c r="H2488">
        <v>0.2</v>
      </c>
      <c r="I2488">
        <v>4.8</v>
      </c>
      <c r="J2488">
        <v>28.8</v>
      </c>
    </row>
    <row r="2489" spans="1:10" x14ac:dyDescent="0.25">
      <c r="A2489" t="s">
        <v>5014</v>
      </c>
      <c r="B2489" s="3">
        <v>45191</v>
      </c>
      <c r="C2489" t="s">
        <v>2569</v>
      </c>
      <c r="D2489" t="s">
        <v>3508</v>
      </c>
      <c r="E2489">
        <v>2</v>
      </c>
      <c r="F2489" t="s">
        <v>3524</v>
      </c>
      <c r="G2489" t="s">
        <v>3518</v>
      </c>
      <c r="H2489">
        <v>1</v>
      </c>
      <c r="I2489">
        <v>9</v>
      </c>
      <c r="J2489">
        <v>18</v>
      </c>
    </row>
    <row r="2490" spans="1:10" x14ac:dyDescent="0.25">
      <c r="A2490" t="s">
        <v>5015</v>
      </c>
      <c r="B2490" s="3">
        <v>44548</v>
      </c>
      <c r="C2490" t="s">
        <v>1293</v>
      </c>
      <c r="D2490" t="s">
        <v>3491</v>
      </c>
      <c r="E2490">
        <v>6</v>
      </c>
      <c r="F2490" t="s">
        <v>3525</v>
      </c>
      <c r="G2490" t="s">
        <v>3519</v>
      </c>
      <c r="H2490">
        <v>0.5</v>
      </c>
      <c r="I2490">
        <v>8.6999999999999993</v>
      </c>
      <c r="J2490">
        <v>52.2</v>
      </c>
    </row>
    <row r="2491" spans="1:10" x14ac:dyDescent="0.25">
      <c r="A2491" t="s">
        <v>5016</v>
      </c>
      <c r="B2491" s="3">
        <v>44941</v>
      </c>
      <c r="C2491" t="s">
        <v>2453</v>
      </c>
      <c r="D2491" t="s">
        <v>3479</v>
      </c>
      <c r="E2491">
        <v>5</v>
      </c>
      <c r="F2491" t="s">
        <v>3526</v>
      </c>
      <c r="G2491" t="s">
        <v>3517</v>
      </c>
      <c r="H2491">
        <v>2.5</v>
      </c>
      <c r="I2491">
        <v>34.200000000000003</v>
      </c>
      <c r="J2491">
        <v>171</v>
      </c>
    </row>
    <row r="2492" spans="1:10" x14ac:dyDescent="0.25">
      <c r="A2492" t="s">
        <v>5017</v>
      </c>
      <c r="B2492" s="3">
        <v>43785</v>
      </c>
      <c r="C2492" t="s">
        <v>899</v>
      </c>
      <c r="D2492" t="s">
        <v>3469</v>
      </c>
      <c r="E2492">
        <v>3</v>
      </c>
      <c r="F2492" t="s">
        <v>3524</v>
      </c>
      <c r="G2492" t="s">
        <v>3519</v>
      </c>
      <c r="H2492">
        <v>1</v>
      </c>
      <c r="I2492">
        <v>10</v>
      </c>
      <c r="J2492">
        <v>30</v>
      </c>
    </row>
    <row r="2493" spans="1:10" x14ac:dyDescent="0.25">
      <c r="A2493" t="s">
        <v>5018</v>
      </c>
      <c r="B2493" s="3">
        <v>44894</v>
      </c>
      <c r="C2493" t="s">
        <v>3145</v>
      </c>
      <c r="D2493" t="s">
        <v>3508</v>
      </c>
      <c r="E2493">
        <v>1</v>
      </c>
      <c r="F2493" t="s">
        <v>3524</v>
      </c>
      <c r="G2493" t="s">
        <v>3518</v>
      </c>
      <c r="H2493">
        <v>1</v>
      </c>
      <c r="I2493">
        <v>9</v>
      </c>
      <c r="J2493">
        <v>9</v>
      </c>
    </row>
    <row r="2494" spans="1:10" x14ac:dyDescent="0.25">
      <c r="A2494" t="s">
        <v>5019</v>
      </c>
      <c r="B2494" s="3">
        <v>45344</v>
      </c>
      <c r="C2494" t="s">
        <v>3252</v>
      </c>
      <c r="D2494" t="s">
        <v>3499</v>
      </c>
      <c r="E2494">
        <v>3</v>
      </c>
      <c r="F2494" t="s">
        <v>3523</v>
      </c>
      <c r="G2494" t="s">
        <v>3518</v>
      </c>
      <c r="H2494">
        <v>2.5</v>
      </c>
      <c r="I2494">
        <v>22.9</v>
      </c>
      <c r="J2494">
        <v>68.7</v>
      </c>
    </row>
    <row r="2495" spans="1:10" x14ac:dyDescent="0.25">
      <c r="A2495" t="s">
        <v>5020</v>
      </c>
      <c r="B2495" s="3">
        <v>44303</v>
      </c>
      <c r="C2495" t="s">
        <v>3022</v>
      </c>
      <c r="D2495" t="s">
        <v>3511</v>
      </c>
      <c r="E2495">
        <v>2</v>
      </c>
      <c r="F2495" t="s">
        <v>3523</v>
      </c>
      <c r="G2495" t="s">
        <v>3517</v>
      </c>
      <c r="H2495">
        <v>0.5</v>
      </c>
      <c r="I2495">
        <v>7.8</v>
      </c>
      <c r="J2495">
        <v>15.6</v>
      </c>
    </row>
    <row r="2496" spans="1:10" x14ac:dyDescent="0.25">
      <c r="A2496" t="s">
        <v>5021</v>
      </c>
      <c r="B2496" s="3">
        <v>44781</v>
      </c>
      <c r="C2496" t="s">
        <v>1767</v>
      </c>
      <c r="D2496" t="s">
        <v>3493</v>
      </c>
      <c r="E2496">
        <v>4</v>
      </c>
      <c r="F2496" t="s">
        <v>3525</v>
      </c>
      <c r="G2496" t="s">
        <v>3519</v>
      </c>
      <c r="H2496">
        <v>1</v>
      </c>
      <c r="I2496">
        <v>14.6</v>
      </c>
      <c r="J2496">
        <v>58.4</v>
      </c>
    </row>
    <row r="2497" spans="1:10" x14ac:dyDescent="0.25">
      <c r="A2497" t="s">
        <v>5022</v>
      </c>
      <c r="B2497" s="3">
        <v>45343</v>
      </c>
      <c r="C2497" t="s">
        <v>3449</v>
      </c>
      <c r="D2497" t="s">
        <v>3516</v>
      </c>
      <c r="E2497">
        <v>5</v>
      </c>
      <c r="F2497" t="s">
        <v>3526</v>
      </c>
      <c r="G2497" t="s">
        <v>3518</v>
      </c>
      <c r="H2497">
        <v>2.5</v>
      </c>
      <c r="I2497">
        <v>27.9</v>
      </c>
      <c r="J2497">
        <v>139.5</v>
      </c>
    </row>
    <row r="2498" spans="1:10" x14ac:dyDescent="0.25">
      <c r="A2498" t="s">
        <v>5023</v>
      </c>
      <c r="B2498" s="3">
        <v>43962</v>
      </c>
      <c r="C2498" t="s">
        <v>1333</v>
      </c>
      <c r="D2498" t="s">
        <v>3485</v>
      </c>
      <c r="E2498">
        <v>1</v>
      </c>
      <c r="F2498" t="s">
        <v>3523</v>
      </c>
      <c r="G2498" t="s">
        <v>3518</v>
      </c>
      <c r="H2498">
        <v>0.2</v>
      </c>
      <c r="I2498">
        <v>3</v>
      </c>
      <c r="J2498">
        <v>3</v>
      </c>
    </row>
    <row r="2499" spans="1:10" x14ac:dyDescent="0.25">
      <c r="A2499" t="s">
        <v>5024</v>
      </c>
      <c r="B2499" s="3">
        <v>43658</v>
      </c>
      <c r="C2499" t="s">
        <v>2711</v>
      </c>
      <c r="D2499" t="s">
        <v>3491</v>
      </c>
      <c r="E2499">
        <v>3</v>
      </c>
      <c r="F2499" t="s">
        <v>3525</v>
      </c>
      <c r="G2499" t="s">
        <v>3519</v>
      </c>
      <c r="H2499">
        <v>0.5</v>
      </c>
      <c r="I2499">
        <v>8.6999999999999993</v>
      </c>
      <c r="J2499">
        <v>26.1</v>
      </c>
    </row>
    <row r="2500" spans="1:10" x14ac:dyDescent="0.25">
      <c r="A2500" t="s">
        <v>5025</v>
      </c>
      <c r="B2500" s="3">
        <v>43645</v>
      </c>
      <c r="C2500" t="s">
        <v>1497</v>
      </c>
      <c r="D2500" t="s">
        <v>3499</v>
      </c>
      <c r="E2500">
        <v>6</v>
      </c>
      <c r="F2500" t="s">
        <v>3523</v>
      </c>
      <c r="G2500" t="s">
        <v>3518</v>
      </c>
      <c r="H2500">
        <v>2.5</v>
      </c>
      <c r="I2500">
        <v>22.9</v>
      </c>
      <c r="J2500">
        <v>137.4</v>
      </c>
    </row>
    <row r="2501" spans="1:10" x14ac:dyDescent="0.25">
      <c r="A2501" t="s">
        <v>5026</v>
      </c>
      <c r="B2501" s="3">
        <v>45549</v>
      </c>
      <c r="C2501" t="s">
        <v>704</v>
      </c>
      <c r="D2501" t="s">
        <v>3482</v>
      </c>
      <c r="E2501">
        <v>1</v>
      </c>
      <c r="F2501" t="s">
        <v>3524</v>
      </c>
      <c r="G2501" t="s">
        <v>3519</v>
      </c>
      <c r="H2501">
        <v>2.5</v>
      </c>
      <c r="I2501">
        <v>22.9</v>
      </c>
      <c r="J2501">
        <v>22.9</v>
      </c>
    </row>
    <row r="2502" spans="1:10" x14ac:dyDescent="0.25">
      <c r="A2502" t="s">
        <v>5027</v>
      </c>
      <c r="B2502" s="3">
        <v>43904</v>
      </c>
      <c r="C2502" t="s">
        <v>2948</v>
      </c>
      <c r="D2502" t="s">
        <v>3505</v>
      </c>
      <c r="E2502">
        <v>3</v>
      </c>
      <c r="F2502" t="s">
        <v>3524</v>
      </c>
      <c r="G2502" t="s">
        <v>3519</v>
      </c>
      <c r="H2502">
        <v>0.2</v>
      </c>
      <c r="I2502">
        <v>3</v>
      </c>
      <c r="J2502">
        <v>9</v>
      </c>
    </row>
    <row r="2503" spans="1:10" x14ac:dyDescent="0.25">
      <c r="A2503" t="s">
        <v>5028</v>
      </c>
      <c r="B2503" s="3">
        <v>43790</v>
      </c>
      <c r="C2503" t="s">
        <v>2189</v>
      </c>
      <c r="D2503" t="s">
        <v>3485</v>
      </c>
      <c r="E2503">
        <v>6</v>
      </c>
      <c r="F2503" t="s">
        <v>3523</v>
      </c>
      <c r="G2503" t="s">
        <v>3518</v>
      </c>
      <c r="H2503">
        <v>0.2</v>
      </c>
      <c r="I2503">
        <v>3</v>
      </c>
      <c r="J2503">
        <v>18</v>
      </c>
    </row>
    <row r="2504" spans="1:10" x14ac:dyDescent="0.25">
      <c r="A2504" t="s">
        <v>5029</v>
      </c>
      <c r="B2504" s="3">
        <v>45536</v>
      </c>
      <c r="C2504" t="s">
        <v>832</v>
      </c>
      <c r="D2504" t="s">
        <v>3492</v>
      </c>
      <c r="E2504">
        <v>6</v>
      </c>
      <c r="F2504" t="s">
        <v>3525</v>
      </c>
      <c r="G2504" t="s">
        <v>3517</v>
      </c>
      <c r="H2504">
        <v>0.5</v>
      </c>
      <c r="I2504">
        <v>9.5</v>
      </c>
      <c r="J2504">
        <v>57</v>
      </c>
    </row>
    <row r="2505" spans="1:10" x14ac:dyDescent="0.25">
      <c r="A2505" t="s">
        <v>5030</v>
      </c>
      <c r="B2505" s="3">
        <v>44317</v>
      </c>
      <c r="C2505" t="s">
        <v>1957</v>
      </c>
      <c r="D2505" t="s">
        <v>3501</v>
      </c>
      <c r="E2505">
        <v>2</v>
      </c>
      <c r="F2505" t="s">
        <v>3525</v>
      </c>
      <c r="G2505" t="s">
        <v>3517</v>
      </c>
      <c r="H2505">
        <v>1</v>
      </c>
      <c r="I2505">
        <v>15.9</v>
      </c>
      <c r="J2505">
        <v>31.8</v>
      </c>
    </row>
    <row r="2506" spans="1:10" x14ac:dyDescent="0.25">
      <c r="A2506" t="s">
        <v>5031</v>
      </c>
      <c r="B2506" s="3">
        <v>44555</v>
      </c>
      <c r="C2506" t="s">
        <v>3196</v>
      </c>
      <c r="D2506" t="s">
        <v>3511</v>
      </c>
      <c r="E2506">
        <v>5</v>
      </c>
      <c r="F2506" t="s">
        <v>3523</v>
      </c>
      <c r="G2506" t="s">
        <v>3517</v>
      </c>
      <c r="H2506">
        <v>0.5</v>
      </c>
      <c r="I2506">
        <v>7.8</v>
      </c>
      <c r="J2506">
        <v>39</v>
      </c>
    </row>
    <row r="2507" spans="1:10" x14ac:dyDescent="0.25">
      <c r="A2507" t="s">
        <v>5032</v>
      </c>
      <c r="B2507" s="3">
        <v>43666</v>
      </c>
      <c r="C2507" t="s">
        <v>2218</v>
      </c>
      <c r="D2507" t="s">
        <v>3500</v>
      </c>
      <c r="E2507">
        <v>2</v>
      </c>
      <c r="F2507" t="s">
        <v>3525</v>
      </c>
      <c r="G2507" t="s">
        <v>3518</v>
      </c>
      <c r="H2507">
        <v>0.5</v>
      </c>
      <c r="I2507">
        <v>7.8</v>
      </c>
      <c r="J2507">
        <v>15.6</v>
      </c>
    </row>
    <row r="2508" spans="1:10" x14ac:dyDescent="0.25">
      <c r="A2508" t="s">
        <v>5033</v>
      </c>
      <c r="B2508" s="3">
        <v>45392</v>
      </c>
      <c r="C2508" t="s">
        <v>1259</v>
      </c>
      <c r="D2508" t="s">
        <v>3500</v>
      </c>
      <c r="E2508">
        <v>6</v>
      </c>
      <c r="F2508" t="s">
        <v>3525</v>
      </c>
      <c r="G2508" t="s">
        <v>3518</v>
      </c>
      <c r="H2508">
        <v>0.5</v>
      </c>
      <c r="I2508">
        <v>7.8</v>
      </c>
      <c r="J2508">
        <v>46.8</v>
      </c>
    </row>
    <row r="2509" spans="1:10" x14ac:dyDescent="0.25">
      <c r="A2509" t="s">
        <v>5034</v>
      </c>
      <c r="B2509" s="3">
        <v>43826</v>
      </c>
      <c r="C2509" t="s">
        <v>1951</v>
      </c>
      <c r="D2509" t="s">
        <v>3498</v>
      </c>
      <c r="E2509">
        <v>6</v>
      </c>
      <c r="F2509" t="s">
        <v>3523</v>
      </c>
      <c r="G2509" t="s">
        <v>3517</v>
      </c>
      <c r="H2509">
        <v>0.2</v>
      </c>
      <c r="I2509">
        <v>3.9</v>
      </c>
      <c r="J2509">
        <v>23.4</v>
      </c>
    </row>
    <row r="2510" spans="1:10" x14ac:dyDescent="0.25">
      <c r="A2510" t="s">
        <v>5035</v>
      </c>
      <c r="B2510" s="3">
        <v>43471</v>
      </c>
      <c r="C2510" t="s">
        <v>2134</v>
      </c>
      <c r="D2510" t="s">
        <v>3510</v>
      </c>
      <c r="E2510">
        <v>1</v>
      </c>
      <c r="F2510" t="s">
        <v>3524</v>
      </c>
      <c r="G2510" t="s">
        <v>3517</v>
      </c>
      <c r="H2510">
        <v>1</v>
      </c>
      <c r="I2510">
        <v>12</v>
      </c>
      <c r="J2510">
        <v>12</v>
      </c>
    </row>
    <row r="2511" spans="1:10" x14ac:dyDescent="0.25">
      <c r="A2511" t="s">
        <v>5036</v>
      </c>
      <c r="B2511" s="3">
        <v>44939</v>
      </c>
      <c r="C2511" t="s">
        <v>869</v>
      </c>
      <c r="D2511" t="s">
        <v>3496</v>
      </c>
      <c r="E2511">
        <v>3</v>
      </c>
      <c r="F2511" t="s">
        <v>3525</v>
      </c>
      <c r="G2511" t="s">
        <v>3518</v>
      </c>
      <c r="H2511">
        <v>2.5</v>
      </c>
      <c r="I2511">
        <v>29.8</v>
      </c>
      <c r="J2511">
        <v>89.4</v>
      </c>
    </row>
    <row r="2512" spans="1:10" x14ac:dyDescent="0.25">
      <c r="A2512" t="s">
        <v>5037</v>
      </c>
      <c r="B2512" s="3">
        <v>45261</v>
      </c>
      <c r="C2512" t="s">
        <v>1103</v>
      </c>
      <c r="D2512" t="s">
        <v>3507</v>
      </c>
      <c r="E2512">
        <v>3</v>
      </c>
      <c r="F2512" t="s">
        <v>3526</v>
      </c>
      <c r="G2512" t="s">
        <v>3517</v>
      </c>
      <c r="H2512">
        <v>0.5</v>
      </c>
      <c r="I2512">
        <v>8.9</v>
      </c>
      <c r="J2512">
        <v>26.7</v>
      </c>
    </row>
    <row r="2513" spans="1:10" x14ac:dyDescent="0.25">
      <c r="A2513" t="s">
        <v>5038</v>
      </c>
      <c r="B2513" s="3">
        <v>44944</v>
      </c>
      <c r="C2513" t="s">
        <v>3226</v>
      </c>
      <c r="D2513" t="s">
        <v>3474</v>
      </c>
      <c r="E2513">
        <v>5</v>
      </c>
      <c r="F2513" t="s">
        <v>3525</v>
      </c>
      <c r="G2513" t="s">
        <v>3518</v>
      </c>
      <c r="H2513">
        <v>1</v>
      </c>
      <c r="I2513">
        <v>13</v>
      </c>
      <c r="J2513">
        <v>65</v>
      </c>
    </row>
    <row r="2514" spans="1:10" x14ac:dyDescent="0.25">
      <c r="A2514" t="s">
        <v>5039</v>
      </c>
      <c r="B2514" s="3">
        <v>45292</v>
      </c>
      <c r="C2514" t="s">
        <v>1735</v>
      </c>
      <c r="D2514" t="s">
        <v>3487</v>
      </c>
      <c r="E2514">
        <v>5</v>
      </c>
      <c r="F2514" t="s">
        <v>3526</v>
      </c>
      <c r="G2514" t="s">
        <v>3519</v>
      </c>
      <c r="H2514">
        <v>0.2</v>
      </c>
      <c r="I2514">
        <v>4.0999999999999996</v>
      </c>
      <c r="J2514">
        <v>20.5</v>
      </c>
    </row>
    <row r="2515" spans="1:10" x14ac:dyDescent="0.25">
      <c r="A2515" t="s">
        <v>5040</v>
      </c>
      <c r="B2515" s="3">
        <v>44815</v>
      </c>
      <c r="C2515" t="s">
        <v>784</v>
      </c>
      <c r="D2515" t="s">
        <v>3490</v>
      </c>
      <c r="E2515">
        <v>6</v>
      </c>
      <c r="F2515" t="s">
        <v>3525</v>
      </c>
      <c r="G2515" t="s">
        <v>3519</v>
      </c>
      <c r="H2515">
        <v>0.2</v>
      </c>
      <c r="I2515">
        <v>4.4000000000000004</v>
      </c>
      <c r="J2515">
        <v>26.4</v>
      </c>
    </row>
    <row r="2516" spans="1:10" x14ac:dyDescent="0.25">
      <c r="A2516" t="s">
        <v>5041</v>
      </c>
      <c r="B2516" s="3">
        <v>45362</v>
      </c>
      <c r="C2516" t="s">
        <v>1432</v>
      </c>
      <c r="D2516" t="s">
        <v>3473</v>
      </c>
      <c r="E2516">
        <v>6</v>
      </c>
      <c r="F2516" t="s">
        <v>3524</v>
      </c>
      <c r="G2516" t="s">
        <v>3517</v>
      </c>
      <c r="H2516">
        <v>2.5</v>
      </c>
      <c r="I2516">
        <v>27.5</v>
      </c>
      <c r="J2516">
        <v>165</v>
      </c>
    </row>
    <row r="2517" spans="1:10" x14ac:dyDescent="0.25">
      <c r="A2517" t="s">
        <v>5042</v>
      </c>
      <c r="B2517" s="3">
        <v>45097</v>
      </c>
      <c r="C2517" t="s">
        <v>1749</v>
      </c>
      <c r="D2517" t="s">
        <v>3497</v>
      </c>
      <c r="E2517">
        <v>5</v>
      </c>
      <c r="F2517" t="s">
        <v>3526</v>
      </c>
      <c r="G2517" t="s">
        <v>3519</v>
      </c>
      <c r="H2517">
        <v>2.5</v>
      </c>
      <c r="I2517">
        <v>31.6</v>
      </c>
      <c r="J2517">
        <v>158</v>
      </c>
    </row>
    <row r="2518" spans="1:10" x14ac:dyDescent="0.25">
      <c r="A2518" t="s">
        <v>5043</v>
      </c>
      <c r="B2518" s="3">
        <v>44900</v>
      </c>
      <c r="C2518" t="s">
        <v>2071</v>
      </c>
      <c r="D2518" t="s">
        <v>3499</v>
      </c>
      <c r="E2518">
        <v>4</v>
      </c>
      <c r="F2518" t="s">
        <v>3523</v>
      </c>
      <c r="G2518" t="s">
        <v>3518</v>
      </c>
      <c r="H2518">
        <v>2.5</v>
      </c>
      <c r="I2518">
        <v>22.9</v>
      </c>
      <c r="J2518">
        <v>91.6</v>
      </c>
    </row>
    <row r="2519" spans="1:10" x14ac:dyDescent="0.25">
      <c r="A2519" t="s">
        <v>5044</v>
      </c>
      <c r="B2519" s="3">
        <v>43790</v>
      </c>
      <c r="C2519" t="s">
        <v>748</v>
      </c>
      <c r="D2519" t="s">
        <v>3483</v>
      </c>
      <c r="E2519">
        <v>2</v>
      </c>
      <c r="F2519" t="s">
        <v>3523</v>
      </c>
      <c r="G2519" t="s">
        <v>3519</v>
      </c>
      <c r="H2519">
        <v>0.2</v>
      </c>
      <c r="I2519">
        <v>3.4</v>
      </c>
      <c r="J2519">
        <v>6.8</v>
      </c>
    </row>
    <row r="2520" spans="1:10" x14ac:dyDescent="0.25">
      <c r="A2520" t="s">
        <v>5045</v>
      </c>
      <c r="B2520" s="3">
        <v>45156</v>
      </c>
      <c r="C2520" t="s">
        <v>2397</v>
      </c>
      <c r="D2520" t="s">
        <v>3480</v>
      </c>
      <c r="E2520">
        <v>3</v>
      </c>
      <c r="F2520" t="s">
        <v>3524</v>
      </c>
      <c r="G2520" t="s">
        <v>3518</v>
      </c>
      <c r="H2520">
        <v>2.5</v>
      </c>
      <c r="I2520">
        <v>20.6</v>
      </c>
      <c r="J2520">
        <v>61.8</v>
      </c>
    </row>
    <row r="2521" spans="1:10" x14ac:dyDescent="0.25">
      <c r="A2521" t="s">
        <v>5046</v>
      </c>
      <c r="B2521" s="3">
        <v>45151</v>
      </c>
      <c r="C2521" t="s">
        <v>2056</v>
      </c>
      <c r="D2521" t="s">
        <v>3481</v>
      </c>
      <c r="E2521">
        <v>3</v>
      </c>
      <c r="F2521" t="s">
        <v>3525</v>
      </c>
      <c r="G2521" t="s">
        <v>3518</v>
      </c>
      <c r="H2521">
        <v>0.2</v>
      </c>
      <c r="I2521">
        <v>3.9</v>
      </c>
      <c r="J2521">
        <v>11.7</v>
      </c>
    </row>
    <row r="2522" spans="1:10" x14ac:dyDescent="0.25">
      <c r="A2522" t="s">
        <v>5047</v>
      </c>
      <c r="B2522" s="3">
        <v>44053</v>
      </c>
      <c r="C2522" t="s">
        <v>2936</v>
      </c>
      <c r="D2522" t="s">
        <v>3513</v>
      </c>
      <c r="E2522">
        <v>5</v>
      </c>
      <c r="F2522" t="s">
        <v>3523</v>
      </c>
      <c r="G2522" t="s">
        <v>3517</v>
      </c>
      <c r="H2522">
        <v>2.5</v>
      </c>
      <c r="I2522">
        <v>29.8</v>
      </c>
      <c r="J2522">
        <v>149</v>
      </c>
    </row>
    <row r="2523" spans="1:10" x14ac:dyDescent="0.25">
      <c r="A2523" t="s">
        <v>5048</v>
      </c>
      <c r="B2523" s="3">
        <v>45569</v>
      </c>
      <c r="C2523" t="s">
        <v>1547</v>
      </c>
      <c r="D2523" t="s">
        <v>3509</v>
      </c>
      <c r="E2523">
        <v>6</v>
      </c>
      <c r="F2523" t="s">
        <v>3524</v>
      </c>
      <c r="G2523" t="s">
        <v>3517</v>
      </c>
      <c r="H2523">
        <v>0.2</v>
      </c>
      <c r="I2523">
        <v>3.6</v>
      </c>
      <c r="J2523">
        <v>21.6</v>
      </c>
    </row>
    <row r="2524" spans="1:10" x14ac:dyDescent="0.25">
      <c r="A2524" t="s">
        <v>5049</v>
      </c>
      <c r="B2524" s="3">
        <v>43993</v>
      </c>
      <c r="C2524" t="s">
        <v>2047</v>
      </c>
      <c r="D2524" t="s">
        <v>3484</v>
      </c>
      <c r="E2524">
        <v>5</v>
      </c>
      <c r="F2524" t="s">
        <v>3526</v>
      </c>
      <c r="G2524" t="s">
        <v>3518</v>
      </c>
      <c r="H2524">
        <v>0.2</v>
      </c>
      <c r="I2524">
        <v>3.6</v>
      </c>
      <c r="J2524">
        <v>18</v>
      </c>
    </row>
    <row r="2525" spans="1:10" x14ac:dyDescent="0.25">
      <c r="A2525" t="s">
        <v>5050</v>
      </c>
      <c r="B2525" s="3">
        <v>45573</v>
      </c>
      <c r="C2525" t="s">
        <v>3378</v>
      </c>
      <c r="D2525" t="s">
        <v>3508</v>
      </c>
      <c r="E2525">
        <v>2</v>
      </c>
      <c r="F2525" t="s">
        <v>3524</v>
      </c>
      <c r="G2525" t="s">
        <v>3518</v>
      </c>
      <c r="H2525">
        <v>1</v>
      </c>
      <c r="I2525">
        <v>9</v>
      </c>
      <c r="J2525">
        <v>18</v>
      </c>
    </row>
    <row r="2526" spans="1:10" x14ac:dyDescent="0.25">
      <c r="A2526" t="s">
        <v>5051</v>
      </c>
      <c r="B2526" s="3">
        <v>44469</v>
      </c>
      <c r="C2526" t="s">
        <v>2305</v>
      </c>
      <c r="D2526" t="s">
        <v>3506</v>
      </c>
      <c r="E2526">
        <v>4</v>
      </c>
      <c r="F2526" t="s">
        <v>3523</v>
      </c>
      <c r="G2526" t="s">
        <v>3519</v>
      </c>
      <c r="H2526">
        <v>2.5</v>
      </c>
      <c r="I2526">
        <v>25.9</v>
      </c>
      <c r="J2526">
        <v>103.6</v>
      </c>
    </row>
    <row r="2527" spans="1:10" x14ac:dyDescent="0.25">
      <c r="A2527" t="s">
        <v>5052</v>
      </c>
      <c r="B2527" s="3">
        <v>44969</v>
      </c>
      <c r="C2527" t="s">
        <v>2828</v>
      </c>
      <c r="D2527" t="s">
        <v>3474</v>
      </c>
      <c r="E2527">
        <v>3</v>
      </c>
      <c r="F2527" t="s">
        <v>3525</v>
      </c>
      <c r="G2527" t="s">
        <v>3518</v>
      </c>
      <c r="H2527">
        <v>1</v>
      </c>
      <c r="I2527">
        <v>13</v>
      </c>
      <c r="J2527">
        <v>39</v>
      </c>
    </row>
    <row r="2528" spans="1:10" x14ac:dyDescent="0.25">
      <c r="A2528" t="s">
        <v>5053</v>
      </c>
      <c r="B2528" s="3">
        <v>45087</v>
      </c>
      <c r="C2528" t="s">
        <v>620</v>
      </c>
      <c r="D2528" t="s">
        <v>3506</v>
      </c>
      <c r="E2528">
        <v>6</v>
      </c>
      <c r="F2528" t="s">
        <v>3523</v>
      </c>
      <c r="G2528" t="s">
        <v>3519</v>
      </c>
      <c r="H2528">
        <v>2.5</v>
      </c>
      <c r="I2528">
        <v>25.9</v>
      </c>
      <c r="J2528">
        <v>155.4</v>
      </c>
    </row>
    <row r="2529" spans="1:10" x14ac:dyDescent="0.25">
      <c r="A2529" t="s">
        <v>5054</v>
      </c>
      <c r="B2529" s="3">
        <v>44989</v>
      </c>
      <c r="C2529" t="s">
        <v>3420</v>
      </c>
      <c r="D2529" t="s">
        <v>3472</v>
      </c>
      <c r="E2529">
        <v>6</v>
      </c>
      <c r="F2529" t="s">
        <v>3526</v>
      </c>
      <c r="G2529" t="s">
        <v>3519</v>
      </c>
      <c r="H2529">
        <v>1</v>
      </c>
      <c r="I2529">
        <v>13.8</v>
      </c>
      <c r="J2529">
        <v>82.8</v>
      </c>
    </row>
    <row r="2530" spans="1:10" x14ac:dyDescent="0.25">
      <c r="A2530" t="s">
        <v>5055</v>
      </c>
      <c r="B2530" s="3">
        <v>44409</v>
      </c>
      <c r="C2530" t="s">
        <v>2708</v>
      </c>
      <c r="D2530" t="s">
        <v>3493</v>
      </c>
      <c r="E2530">
        <v>5</v>
      </c>
      <c r="F2530" t="s">
        <v>3525</v>
      </c>
      <c r="G2530" t="s">
        <v>3519</v>
      </c>
      <c r="H2530">
        <v>1</v>
      </c>
      <c r="I2530">
        <v>14.6</v>
      </c>
      <c r="J2530">
        <v>73</v>
      </c>
    </row>
    <row r="2531" spans="1:10" x14ac:dyDescent="0.25">
      <c r="A2531" t="s">
        <v>5056</v>
      </c>
      <c r="B2531" s="3">
        <v>44860</v>
      </c>
      <c r="C2531" t="s">
        <v>1417</v>
      </c>
      <c r="D2531" t="s">
        <v>3508</v>
      </c>
      <c r="E2531">
        <v>6</v>
      </c>
      <c r="F2531" t="s">
        <v>3524</v>
      </c>
      <c r="G2531" t="s">
        <v>3518</v>
      </c>
      <c r="H2531">
        <v>1</v>
      </c>
      <c r="I2531">
        <v>9</v>
      </c>
      <c r="J2531">
        <v>54</v>
      </c>
    </row>
    <row r="2532" spans="1:10" x14ac:dyDescent="0.25">
      <c r="A2532" t="s">
        <v>5057</v>
      </c>
      <c r="B2532" s="3">
        <v>44910</v>
      </c>
      <c r="C2532" t="s">
        <v>3019</v>
      </c>
      <c r="D2532" t="s">
        <v>3502</v>
      </c>
      <c r="E2532">
        <v>3</v>
      </c>
      <c r="F2532" t="s">
        <v>3526</v>
      </c>
      <c r="G2532" t="s">
        <v>3517</v>
      </c>
      <c r="H2532">
        <v>1</v>
      </c>
      <c r="I2532">
        <v>14.9</v>
      </c>
      <c r="J2532">
        <v>44.7</v>
      </c>
    </row>
    <row r="2533" spans="1:10" x14ac:dyDescent="0.25">
      <c r="A2533" t="s">
        <v>5058</v>
      </c>
      <c r="B2533" s="3">
        <v>43939</v>
      </c>
      <c r="C2533" t="s">
        <v>1782</v>
      </c>
      <c r="D2533" t="s">
        <v>3496</v>
      </c>
      <c r="E2533">
        <v>3</v>
      </c>
      <c r="F2533" t="s">
        <v>3525</v>
      </c>
      <c r="G2533" t="s">
        <v>3518</v>
      </c>
      <c r="H2533">
        <v>2.5</v>
      </c>
      <c r="I2533">
        <v>29.8</v>
      </c>
      <c r="J2533">
        <v>89.4</v>
      </c>
    </row>
    <row r="2534" spans="1:10" x14ac:dyDescent="0.25">
      <c r="A2534" t="s">
        <v>5059</v>
      </c>
      <c r="B2534" s="3">
        <v>45330</v>
      </c>
      <c r="C2534" t="s">
        <v>2945</v>
      </c>
      <c r="D2534" t="s">
        <v>3482</v>
      </c>
      <c r="E2534">
        <v>4</v>
      </c>
      <c r="F2534" t="s">
        <v>3524</v>
      </c>
      <c r="G2534" t="s">
        <v>3519</v>
      </c>
      <c r="H2534">
        <v>2.5</v>
      </c>
      <c r="I2534">
        <v>22.9</v>
      </c>
      <c r="J2534">
        <v>91.6</v>
      </c>
    </row>
    <row r="2535" spans="1:10" x14ac:dyDescent="0.25">
      <c r="A2535" t="s">
        <v>5060</v>
      </c>
      <c r="B2535" s="3">
        <v>45059</v>
      </c>
      <c r="C2535" t="s">
        <v>2110</v>
      </c>
      <c r="D2535" t="s">
        <v>3476</v>
      </c>
      <c r="E2535">
        <v>2</v>
      </c>
      <c r="F2535" t="s">
        <v>3525</v>
      </c>
      <c r="G2535" t="s">
        <v>3517</v>
      </c>
      <c r="H2535">
        <v>0.2</v>
      </c>
      <c r="I2535">
        <v>4.8</v>
      </c>
      <c r="J2535">
        <v>9.6</v>
      </c>
    </row>
    <row r="2536" spans="1:10" x14ac:dyDescent="0.25">
      <c r="A2536" t="s">
        <v>5061</v>
      </c>
      <c r="B2536" s="3">
        <v>45061</v>
      </c>
      <c r="C2536" t="s">
        <v>2405</v>
      </c>
      <c r="D2536" t="s">
        <v>3510</v>
      </c>
      <c r="E2536">
        <v>1</v>
      </c>
      <c r="F2536" t="s">
        <v>3524</v>
      </c>
      <c r="G2536" t="s">
        <v>3517</v>
      </c>
      <c r="H2536">
        <v>1</v>
      </c>
      <c r="I2536">
        <v>12</v>
      </c>
      <c r="J2536">
        <v>12</v>
      </c>
    </row>
    <row r="2537" spans="1:10" x14ac:dyDescent="0.25">
      <c r="A2537" t="s">
        <v>5062</v>
      </c>
      <c r="B2537" s="3">
        <v>44648</v>
      </c>
      <c r="C2537" t="s">
        <v>2104</v>
      </c>
      <c r="D2537" t="s">
        <v>3490</v>
      </c>
      <c r="E2537">
        <v>3</v>
      </c>
      <c r="F2537" t="s">
        <v>3525</v>
      </c>
      <c r="G2537" t="s">
        <v>3519</v>
      </c>
      <c r="H2537">
        <v>0.2</v>
      </c>
      <c r="I2537">
        <v>4.4000000000000004</v>
      </c>
      <c r="J2537">
        <v>13.2</v>
      </c>
    </row>
    <row r="2538" spans="1:10" x14ac:dyDescent="0.25">
      <c r="A2538" t="s">
        <v>5063</v>
      </c>
      <c r="B2538" s="3">
        <v>44823</v>
      </c>
      <c r="C2538" t="s">
        <v>2192</v>
      </c>
      <c r="D2538" t="s">
        <v>3514</v>
      </c>
      <c r="E2538">
        <v>3</v>
      </c>
      <c r="F2538" t="s">
        <v>3526</v>
      </c>
      <c r="G2538" t="s">
        <v>3518</v>
      </c>
      <c r="H2538">
        <v>1</v>
      </c>
      <c r="I2538">
        <v>12.2</v>
      </c>
      <c r="J2538">
        <v>36.6</v>
      </c>
    </row>
    <row r="2539" spans="1:10" x14ac:dyDescent="0.25">
      <c r="A2539" t="s">
        <v>5064</v>
      </c>
      <c r="B2539" s="3">
        <v>44876</v>
      </c>
      <c r="C2539" t="s">
        <v>2473</v>
      </c>
      <c r="D2539" t="s">
        <v>3486</v>
      </c>
      <c r="E2539">
        <v>3</v>
      </c>
      <c r="F2539" t="s">
        <v>3523</v>
      </c>
      <c r="G2539" t="s">
        <v>3519</v>
      </c>
      <c r="H2539">
        <v>1</v>
      </c>
      <c r="I2539">
        <v>11.3</v>
      </c>
      <c r="J2539">
        <v>33.9</v>
      </c>
    </row>
    <row r="2540" spans="1:10" x14ac:dyDescent="0.25">
      <c r="A2540" t="s">
        <v>5065</v>
      </c>
      <c r="B2540" s="3">
        <v>44721</v>
      </c>
      <c r="C2540" t="s">
        <v>1134</v>
      </c>
      <c r="D2540" t="s">
        <v>3505</v>
      </c>
      <c r="E2540">
        <v>1</v>
      </c>
      <c r="F2540" t="s">
        <v>3524</v>
      </c>
      <c r="G2540" t="s">
        <v>3519</v>
      </c>
      <c r="H2540">
        <v>0.2</v>
      </c>
      <c r="I2540">
        <v>3</v>
      </c>
      <c r="J2540">
        <v>3</v>
      </c>
    </row>
    <row r="2541" spans="1:10" x14ac:dyDescent="0.25">
      <c r="A2541" t="s">
        <v>5066</v>
      </c>
      <c r="B2541" s="3">
        <v>45374</v>
      </c>
      <c r="C2541" t="s">
        <v>2927</v>
      </c>
      <c r="D2541" t="s">
        <v>3489</v>
      </c>
      <c r="E2541">
        <v>2</v>
      </c>
      <c r="F2541" t="s">
        <v>3523</v>
      </c>
      <c r="G2541" t="s">
        <v>3518</v>
      </c>
      <c r="H2541">
        <v>0.5</v>
      </c>
      <c r="I2541">
        <v>6</v>
      </c>
      <c r="J2541">
        <v>12</v>
      </c>
    </row>
    <row r="2542" spans="1:10" x14ac:dyDescent="0.25">
      <c r="A2542" t="s">
        <v>5067</v>
      </c>
      <c r="B2542" s="3">
        <v>44622</v>
      </c>
      <c r="C2542" t="s">
        <v>1154</v>
      </c>
      <c r="D2542" t="s">
        <v>3476</v>
      </c>
      <c r="E2542">
        <v>3</v>
      </c>
      <c r="F2542" t="s">
        <v>3525</v>
      </c>
      <c r="G2542" t="s">
        <v>3517</v>
      </c>
      <c r="H2542">
        <v>0.2</v>
      </c>
      <c r="I2542">
        <v>4.8</v>
      </c>
      <c r="J2542">
        <v>14.4</v>
      </c>
    </row>
    <row r="2543" spans="1:10" x14ac:dyDescent="0.25">
      <c r="A2543" t="s">
        <v>5068</v>
      </c>
      <c r="B2543" s="3">
        <v>44646</v>
      </c>
      <c r="C2543" t="s">
        <v>3449</v>
      </c>
      <c r="D2543" t="s">
        <v>3478</v>
      </c>
      <c r="E2543">
        <v>1</v>
      </c>
      <c r="F2543" t="s">
        <v>3523</v>
      </c>
      <c r="G2543" t="s">
        <v>3518</v>
      </c>
      <c r="H2543">
        <v>1</v>
      </c>
      <c r="I2543">
        <v>10</v>
      </c>
      <c r="J2543">
        <v>10</v>
      </c>
    </row>
    <row r="2544" spans="1:10" x14ac:dyDescent="0.25">
      <c r="A2544" t="s">
        <v>5069</v>
      </c>
      <c r="B2544" s="3">
        <v>43861</v>
      </c>
      <c r="C2544" t="s">
        <v>2936</v>
      </c>
      <c r="D2544" t="s">
        <v>3504</v>
      </c>
      <c r="E2544">
        <v>5</v>
      </c>
      <c r="F2544" t="s">
        <v>3524</v>
      </c>
      <c r="G2544" t="s">
        <v>3517</v>
      </c>
      <c r="H2544">
        <v>0.5</v>
      </c>
      <c r="I2544">
        <v>7.2</v>
      </c>
      <c r="J2544">
        <v>36</v>
      </c>
    </row>
    <row r="2545" spans="1:10" x14ac:dyDescent="0.25">
      <c r="A2545" t="s">
        <v>5070</v>
      </c>
      <c r="B2545" s="3">
        <v>45427</v>
      </c>
      <c r="C2545" t="s">
        <v>1420</v>
      </c>
      <c r="D2545" t="s">
        <v>3484</v>
      </c>
      <c r="E2545">
        <v>1</v>
      </c>
      <c r="F2545" t="s">
        <v>3526</v>
      </c>
      <c r="G2545" t="s">
        <v>3518</v>
      </c>
      <c r="H2545">
        <v>0.2</v>
      </c>
      <c r="I2545">
        <v>3.6</v>
      </c>
      <c r="J2545">
        <v>3.6</v>
      </c>
    </row>
    <row r="2546" spans="1:10" x14ac:dyDescent="0.25">
      <c r="A2546" t="s">
        <v>5071</v>
      </c>
      <c r="B2546" s="3">
        <v>45002</v>
      </c>
      <c r="C2546" t="s">
        <v>826</v>
      </c>
      <c r="D2546" t="s">
        <v>3500</v>
      </c>
      <c r="E2546">
        <v>4</v>
      </c>
      <c r="F2546" t="s">
        <v>3525</v>
      </c>
      <c r="G2546" t="s">
        <v>3518</v>
      </c>
      <c r="H2546">
        <v>0.5</v>
      </c>
      <c r="I2546">
        <v>7.8</v>
      </c>
      <c r="J2546">
        <v>31.2</v>
      </c>
    </row>
    <row r="2547" spans="1:10" x14ac:dyDescent="0.25">
      <c r="A2547" t="s">
        <v>5072</v>
      </c>
      <c r="B2547" s="3">
        <v>44675</v>
      </c>
      <c r="C2547" t="s">
        <v>1628</v>
      </c>
      <c r="D2547" t="s">
        <v>3486</v>
      </c>
      <c r="E2547">
        <v>4</v>
      </c>
      <c r="F2547" t="s">
        <v>3523</v>
      </c>
      <c r="G2547" t="s">
        <v>3519</v>
      </c>
      <c r="H2547">
        <v>1</v>
      </c>
      <c r="I2547">
        <v>11.3</v>
      </c>
      <c r="J2547">
        <v>45.2</v>
      </c>
    </row>
    <row r="2548" spans="1:10" x14ac:dyDescent="0.25">
      <c r="A2548" t="s">
        <v>5073</v>
      </c>
      <c r="B2548" s="3">
        <v>45097</v>
      </c>
      <c r="C2548" t="s">
        <v>866</v>
      </c>
      <c r="D2548" t="s">
        <v>3507</v>
      </c>
      <c r="E2548">
        <v>4</v>
      </c>
      <c r="F2548" t="s">
        <v>3526</v>
      </c>
      <c r="G2548" t="s">
        <v>3517</v>
      </c>
      <c r="H2548">
        <v>0.5</v>
      </c>
      <c r="I2548">
        <v>8.9</v>
      </c>
      <c r="J2548">
        <v>35.6</v>
      </c>
    </row>
    <row r="2549" spans="1:10" x14ac:dyDescent="0.25">
      <c r="A2549" t="s">
        <v>5074</v>
      </c>
      <c r="B2549" s="3">
        <v>44721</v>
      </c>
      <c r="C2549" t="s">
        <v>2530</v>
      </c>
      <c r="D2549" t="s">
        <v>3485</v>
      </c>
      <c r="E2549">
        <v>6</v>
      </c>
      <c r="F2549" t="s">
        <v>3523</v>
      </c>
      <c r="G2549" t="s">
        <v>3518</v>
      </c>
      <c r="H2549">
        <v>0.2</v>
      </c>
      <c r="I2549">
        <v>3</v>
      </c>
      <c r="J2549">
        <v>18</v>
      </c>
    </row>
    <row r="2550" spans="1:10" x14ac:dyDescent="0.25">
      <c r="A2550" t="s">
        <v>5075</v>
      </c>
      <c r="B2550" s="3">
        <v>45286</v>
      </c>
      <c r="C2550" t="s">
        <v>3467</v>
      </c>
      <c r="D2550" t="s">
        <v>3496</v>
      </c>
      <c r="E2550">
        <v>2</v>
      </c>
      <c r="F2550" t="s">
        <v>3525</v>
      </c>
      <c r="G2550" t="s">
        <v>3518</v>
      </c>
      <c r="H2550">
        <v>2.5</v>
      </c>
      <c r="I2550">
        <v>29.8</v>
      </c>
      <c r="J2550">
        <v>59.6</v>
      </c>
    </row>
    <row r="2551" spans="1:10" x14ac:dyDescent="0.25">
      <c r="A2551" t="s">
        <v>5076</v>
      </c>
      <c r="B2551" s="3">
        <v>44967</v>
      </c>
      <c r="C2551" t="s">
        <v>3084</v>
      </c>
      <c r="D2551" t="s">
        <v>3479</v>
      </c>
      <c r="E2551">
        <v>6</v>
      </c>
      <c r="F2551" t="s">
        <v>3526</v>
      </c>
      <c r="G2551" t="s">
        <v>3517</v>
      </c>
      <c r="H2551">
        <v>2.5</v>
      </c>
      <c r="I2551">
        <v>34.200000000000003</v>
      </c>
      <c r="J2551">
        <v>205.2</v>
      </c>
    </row>
    <row r="2552" spans="1:10" x14ac:dyDescent="0.25">
      <c r="A2552" t="s">
        <v>5077</v>
      </c>
      <c r="B2552" s="3">
        <v>44609</v>
      </c>
      <c r="C2552" t="s">
        <v>3145</v>
      </c>
      <c r="D2552" t="s">
        <v>3475</v>
      </c>
      <c r="E2552">
        <v>3</v>
      </c>
      <c r="F2552" t="s">
        <v>3526</v>
      </c>
      <c r="G2552" t="s">
        <v>3518</v>
      </c>
      <c r="H2552">
        <v>0.5</v>
      </c>
      <c r="I2552">
        <v>7.3</v>
      </c>
      <c r="J2552">
        <v>21.9</v>
      </c>
    </row>
    <row r="2553" spans="1:10" x14ac:dyDescent="0.25">
      <c r="A2553" t="s">
        <v>5078</v>
      </c>
      <c r="B2553" s="3">
        <v>44696</v>
      </c>
      <c r="C2553" t="s">
        <v>2266</v>
      </c>
      <c r="D2553" t="s">
        <v>3486</v>
      </c>
      <c r="E2553">
        <v>1</v>
      </c>
      <c r="F2553" t="s">
        <v>3523</v>
      </c>
      <c r="G2553" t="s">
        <v>3519</v>
      </c>
      <c r="H2553">
        <v>1</v>
      </c>
      <c r="I2553">
        <v>11.3</v>
      </c>
      <c r="J2553">
        <v>11.3</v>
      </c>
    </row>
    <row r="2554" spans="1:10" x14ac:dyDescent="0.25">
      <c r="A2554" t="s">
        <v>5079</v>
      </c>
      <c r="B2554" s="3">
        <v>45074</v>
      </c>
      <c r="C2554" t="s">
        <v>1479</v>
      </c>
      <c r="D2554" t="s">
        <v>3478</v>
      </c>
      <c r="E2554">
        <v>4</v>
      </c>
      <c r="F2554" t="s">
        <v>3523</v>
      </c>
      <c r="G2554" t="s">
        <v>3518</v>
      </c>
      <c r="H2554">
        <v>1</v>
      </c>
      <c r="I2554">
        <v>10</v>
      </c>
      <c r="J2554">
        <v>40</v>
      </c>
    </row>
    <row r="2555" spans="1:10" x14ac:dyDescent="0.25">
      <c r="A2555" t="s">
        <v>5080</v>
      </c>
      <c r="B2555" s="3">
        <v>44496</v>
      </c>
      <c r="C2555" t="s">
        <v>1324</v>
      </c>
      <c r="D2555" t="s">
        <v>3515</v>
      </c>
      <c r="E2555">
        <v>4</v>
      </c>
      <c r="F2555" t="s">
        <v>3526</v>
      </c>
      <c r="G2555" t="s">
        <v>3517</v>
      </c>
      <c r="H2555">
        <v>0.2</v>
      </c>
      <c r="I2555">
        <v>4.5</v>
      </c>
      <c r="J2555">
        <v>18</v>
      </c>
    </row>
    <row r="2556" spans="1:10" x14ac:dyDescent="0.25">
      <c r="A2556" t="s">
        <v>5081</v>
      </c>
      <c r="B2556" s="3">
        <v>45511</v>
      </c>
      <c r="C2556" t="s">
        <v>3455</v>
      </c>
      <c r="D2556" t="s">
        <v>3496</v>
      </c>
      <c r="E2556">
        <v>6</v>
      </c>
      <c r="F2556" t="s">
        <v>3525</v>
      </c>
      <c r="G2556" t="s">
        <v>3518</v>
      </c>
      <c r="H2556">
        <v>2.5</v>
      </c>
      <c r="I2556">
        <v>29.8</v>
      </c>
      <c r="J2556">
        <v>178.8</v>
      </c>
    </row>
    <row r="2557" spans="1:10" x14ac:dyDescent="0.25">
      <c r="A2557" t="s">
        <v>5082</v>
      </c>
      <c r="B2557" s="3">
        <v>43980</v>
      </c>
      <c r="C2557" t="s">
        <v>1443</v>
      </c>
      <c r="D2557" t="s">
        <v>3493</v>
      </c>
      <c r="E2557">
        <v>5</v>
      </c>
      <c r="F2557" t="s">
        <v>3525</v>
      </c>
      <c r="G2557" t="s">
        <v>3519</v>
      </c>
      <c r="H2557">
        <v>1</v>
      </c>
      <c r="I2557">
        <v>14.6</v>
      </c>
      <c r="J2557">
        <v>73</v>
      </c>
    </row>
    <row r="2558" spans="1:10" x14ac:dyDescent="0.25">
      <c r="A2558" t="s">
        <v>5083</v>
      </c>
      <c r="B2558" s="3">
        <v>45095</v>
      </c>
      <c r="C2558" t="s">
        <v>544</v>
      </c>
      <c r="D2558" t="s">
        <v>3505</v>
      </c>
      <c r="E2558">
        <v>1</v>
      </c>
      <c r="F2558" t="s">
        <v>3524</v>
      </c>
      <c r="G2558" t="s">
        <v>3519</v>
      </c>
      <c r="H2558">
        <v>0.2</v>
      </c>
      <c r="I2558">
        <v>3</v>
      </c>
      <c r="J2558">
        <v>3</v>
      </c>
    </row>
    <row r="2559" spans="1:10" x14ac:dyDescent="0.25">
      <c r="A2559" t="s">
        <v>5084</v>
      </c>
      <c r="B2559" s="3">
        <v>45092</v>
      </c>
      <c r="C2559" t="s">
        <v>808</v>
      </c>
      <c r="D2559" t="s">
        <v>3471</v>
      </c>
      <c r="E2559">
        <v>1</v>
      </c>
      <c r="F2559" t="s">
        <v>3523</v>
      </c>
      <c r="G2559" t="s">
        <v>3517</v>
      </c>
      <c r="H2559">
        <v>1</v>
      </c>
      <c r="I2559">
        <v>13</v>
      </c>
      <c r="J2559">
        <v>13</v>
      </c>
    </row>
    <row r="2560" spans="1:10" x14ac:dyDescent="0.25">
      <c r="A2560" t="s">
        <v>5085</v>
      </c>
      <c r="B2560" s="3">
        <v>45098</v>
      </c>
      <c r="C2560" t="s">
        <v>2391</v>
      </c>
      <c r="D2560" t="s">
        <v>3490</v>
      </c>
      <c r="E2560">
        <v>6</v>
      </c>
      <c r="F2560" t="s">
        <v>3525</v>
      </c>
      <c r="G2560" t="s">
        <v>3519</v>
      </c>
      <c r="H2560">
        <v>0.2</v>
      </c>
      <c r="I2560">
        <v>4.4000000000000004</v>
      </c>
      <c r="J2560">
        <v>26.4</v>
      </c>
    </row>
    <row r="2561" spans="1:10" x14ac:dyDescent="0.25">
      <c r="A2561" t="s">
        <v>5086</v>
      </c>
      <c r="B2561" s="3">
        <v>43972</v>
      </c>
      <c r="C2561" t="s">
        <v>932</v>
      </c>
      <c r="D2561" t="s">
        <v>3472</v>
      </c>
      <c r="E2561">
        <v>6</v>
      </c>
      <c r="F2561" t="s">
        <v>3526</v>
      </c>
      <c r="G2561" t="s">
        <v>3519</v>
      </c>
      <c r="H2561">
        <v>1</v>
      </c>
      <c r="I2561">
        <v>13.8</v>
      </c>
      <c r="J2561">
        <v>82.8</v>
      </c>
    </row>
    <row r="2562" spans="1:10" x14ac:dyDescent="0.25">
      <c r="A2562" t="s">
        <v>5087</v>
      </c>
      <c r="B2562" s="3">
        <v>45623</v>
      </c>
      <c r="C2562" t="s">
        <v>2974</v>
      </c>
      <c r="D2562" t="s">
        <v>3499</v>
      </c>
      <c r="E2562">
        <v>1</v>
      </c>
      <c r="F2562" t="s">
        <v>3523</v>
      </c>
      <c r="G2562" t="s">
        <v>3518</v>
      </c>
      <c r="H2562">
        <v>2.5</v>
      </c>
      <c r="I2562">
        <v>22.9</v>
      </c>
      <c r="J2562">
        <v>22.9</v>
      </c>
    </row>
    <row r="2563" spans="1:10" x14ac:dyDescent="0.25">
      <c r="A2563" t="s">
        <v>5088</v>
      </c>
      <c r="B2563" s="3">
        <v>44739</v>
      </c>
      <c r="C2563" t="s">
        <v>1142</v>
      </c>
      <c r="D2563" t="s">
        <v>3506</v>
      </c>
      <c r="E2563">
        <v>1</v>
      </c>
      <c r="F2563" t="s">
        <v>3523</v>
      </c>
      <c r="G2563" t="s">
        <v>3519</v>
      </c>
      <c r="H2563">
        <v>2.5</v>
      </c>
      <c r="I2563">
        <v>25.9</v>
      </c>
      <c r="J2563">
        <v>25.9</v>
      </c>
    </row>
    <row r="2564" spans="1:10" x14ac:dyDescent="0.25">
      <c r="A2564" t="s">
        <v>5089</v>
      </c>
      <c r="B2564" s="3">
        <v>45539</v>
      </c>
      <c r="C2564" t="s">
        <v>2006</v>
      </c>
      <c r="D2564" t="s">
        <v>3471</v>
      </c>
      <c r="E2564">
        <v>5</v>
      </c>
      <c r="F2564" t="s">
        <v>3523</v>
      </c>
      <c r="G2564" t="s">
        <v>3517</v>
      </c>
      <c r="H2564">
        <v>1</v>
      </c>
      <c r="I2564">
        <v>13</v>
      </c>
      <c r="J2564">
        <v>65</v>
      </c>
    </row>
    <row r="2565" spans="1:10" x14ac:dyDescent="0.25">
      <c r="A2565" t="s">
        <v>5090</v>
      </c>
      <c r="B2565" s="3">
        <v>45035</v>
      </c>
      <c r="C2565" t="s">
        <v>1770</v>
      </c>
      <c r="D2565" t="s">
        <v>3515</v>
      </c>
      <c r="E2565">
        <v>1</v>
      </c>
      <c r="F2565" t="s">
        <v>3526</v>
      </c>
      <c r="G2565" t="s">
        <v>3517</v>
      </c>
      <c r="H2565">
        <v>0.2</v>
      </c>
      <c r="I2565">
        <v>4.5</v>
      </c>
      <c r="J2565">
        <v>4.5</v>
      </c>
    </row>
    <row r="2566" spans="1:10" x14ac:dyDescent="0.25">
      <c r="A2566" t="s">
        <v>5091</v>
      </c>
      <c r="B2566" s="3">
        <v>44518</v>
      </c>
      <c r="C2566" t="s">
        <v>1511</v>
      </c>
      <c r="D2566" t="s">
        <v>3484</v>
      </c>
      <c r="E2566">
        <v>5</v>
      </c>
      <c r="F2566" t="s">
        <v>3526</v>
      </c>
      <c r="G2566" t="s">
        <v>3518</v>
      </c>
      <c r="H2566">
        <v>0.2</v>
      </c>
      <c r="I2566">
        <v>3.6</v>
      </c>
      <c r="J2566">
        <v>18</v>
      </c>
    </row>
    <row r="2567" spans="1:10" x14ac:dyDescent="0.25">
      <c r="A2567" t="s">
        <v>5092</v>
      </c>
      <c r="B2567" s="3">
        <v>44837</v>
      </c>
      <c r="C2567" t="s">
        <v>893</v>
      </c>
      <c r="D2567" t="s">
        <v>3515</v>
      </c>
      <c r="E2567">
        <v>5</v>
      </c>
      <c r="F2567" t="s">
        <v>3526</v>
      </c>
      <c r="G2567" t="s">
        <v>3517</v>
      </c>
      <c r="H2567">
        <v>0.2</v>
      </c>
      <c r="I2567">
        <v>4.5</v>
      </c>
      <c r="J2567">
        <v>22.5</v>
      </c>
    </row>
    <row r="2568" spans="1:10" x14ac:dyDescent="0.25">
      <c r="A2568" t="s">
        <v>5093</v>
      </c>
      <c r="B2568" s="3">
        <v>43751</v>
      </c>
      <c r="C2568" t="s">
        <v>1927</v>
      </c>
      <c r="D2568" t="s">
        <v>3470</v>
      </c>
      <c r="E2568">
        <v>5</v>
      </c>
      <c r="F2568" t="s">
        <v>3526</v>
      </c>
      <c r="G2568" t="s">
        <v>3519</v>
      </c>
      <c r="H2568">
        <v>0.5</v>
      </c>
      <c r="I2568">
        <v>8.3000000000000007</v>
      </c>
      <c r="J2568">
        <v>41.5</v>
      </c>
    </row>
    <row r="2569" spans="1:10" x14ac:dyDescent="0.25">
      <c r="A2569" t="s">
        <v>5094</v>
      </c>
      <c r="B2569" s="3">
        <v>45518</v>
      </c>
      <c r="C2569" t="s">
        <v>968</v>
      </c>
      <c r="D2569" t="s">
        <v>3506</v>
      </c>
      <c r="E2569">
        <v>3</v>
      </c>
      <c r="F2569" t="s">
        <v>3523</v>
      </c>
      <c r="G2569" t="s">
        <v>3519</v>
      </c>
      <c r="H2569">
        <v>2.5</v>
      </c>
      <c r="I2569">
        <v>25.9</v>
      </c>
      <c r="J2569">
        <v>77.7</v>
      </c>
    </row>
    <row r="2570" spans="1:10" x14ac:dyDescent="0.25">
      <c r="A2570" t="s">
        <v>5095</v>
      </c>
      <c r="B2570" s="3">
        <v>45233</v>
      </c>
      <c r="C2570" t="s">
        <v>2995</v>
      </c>
      <c r="D2570" t="s">
        <v>3514</v>
      </c>
      <c r="E2570">
        <v>3</v>
      </c>
      <c r="F2570" t="s">
        <v>3526</v>
      </c>
      <c r="G2570" t="s">
        <v>3518</v>
      </c>
      <c r="H2570">
        <v>1</v>
      </c>
      <c r="I2570">
        <v>12.2</v>
      </c>
      <c r="J2570">
        <v>36.6</v>
      </c>
    </row>
    <row r="2571" spans="1:10" x14ac:dyDescent="0.25">
      <c r="A2571" t="s">
        <v>5096</v>
      </c>
      <c r="B2571" s="3">
        <v>45388</v>
      </c>
      <c r="C2571" t="s">
        <v>2131</v>
      </c>
      <c r="D2571" t="s">
        <v>3498</v>
      </c>
      <c r="E2571">
        <v>6</v>
      </c>
      <c r="F2571" t="s">
        <v>3523</v>
      </c>
      <c r="G2571" t="s">
        <v>3517</v>
      </c>
      <c r="H2571">
        <v>0.2</v>
      </c>
      <c r="I2571">
        <v>3.9</v>
      </c>
      <c r="J2571">
        <v>23.4</v>
      </c>
    </row>
    <row r="2572" spans="1:10" x14ac:dyDescent="0.25">
      <c r="A2572" t="s">
        <v>5097</v>
      </c>
      <c r="B2572" s="3">
        <v>45618</v>
      </c>
      <c r="C2572" t="s">
        <v>1082</v>
      </c>
      <c r="D2572" t="s">
        <v>3469</v>
      </c>
      <c r="E2572">
        <v>3</v>
      </c>
      <c r="F2572" t="s">
        <v>3524</v>
      </c>
      <c r="G2572" t="s">
        <v>3519</v>
      </c>
      <c r="H2572">
        <v>1</v>
      </c>
      <c r="I2572">
        <v>10</v>
      </c>
      <c r="J2572">
        <v>30</v>
      </c>
    </row>
    <row r="2573" spans="1:10" x14ac:dyDescent="0.25">
      <c r="A2573" t="s">
        <v>5098</v>
      </c>
      <c r="B2573" s="3">
        <v>44801</v>
      </c>
      <c r="C2573" t="s">
        <v>3187</v>
      </c>
      <c r="D2573" t="s">
        <v>3514</v>
      </c>
      <c r="E2573">
        <v>1</v>
      </c>
      <c r="F2573" t="s">
        <v>3526</v>
      </c>
      <c r="G2573" t="s">
        <v>3518</v>
      </c>
      <c r="H2573">
        <v>1</v>
      </c>
      <c r="I2573">
        <v>12.2</v>
      </c>
      <c r="J2573">
        <v>12.2</v>
      </c>
    </row>
    <row r="2574" spans="1:10" x14ac:dyDescent="0.25">
      <c r="A2574" t="s">
        <v>5099</v>
      </c>
      <c r="B2574" s="3">
        <v>43619</v>
      </c>
      <c r="C2574" t="s">
        <v>2143</v>
      </c>
      <c r="D2574" t="s">
        <v>3474</v>
      </c>
      <c r="E2574">
        <v>4</v>
      </c>
      <c r="F2574" t="s">
        <v>3525</v>
      </c>
      <c r="G2574" t="s">
        <v>3518</v>
      </c>
      <c r="H2574">
        <v>1</v>
      </c>
      <c r="I2574">
        <v>13</v>
      </c>
      <c r="J2574">
        <v>52</v>
      </c>
    </row>
    <row r="2575" spans="1:10" x14ac:dyDescent="0.25">
      <c r="A2575" t="s">
        <v>5100</v>
      </c>
      <c r="B2575" s="3">
        <v>44635</v>
      </c>
      <c r="C2575" t="s">
        <v>763</v>
      </c>
      <c r="D2575" t="s">
        <v>3513</v>
      </c>
      <c r="E2575">
        <v>6</v>
      </c>
      <c r="F2575" t="s">
        <v>3523</v>
      </c>
      <c r="G2575" t="s">
        <v>3517</v>
      </c>
      <c r="H2575">
        <v>2.5</v>
      </c>
      <c r="I2575">
        <v>29.8</v>
      </c>
      <c r="J2575">
        <v>178.8</v>
      </c>
    </row>
    <row r="2576" spans="1:10" x14ac:dyDescent="0.25">
      <c r="A2576" t="s">
        <v>5101</v>
      </c>
      <c r="B2576" s="3">
        <v>44267</v>
      </c>
      <c r="C2576" t="s">
        <v>1896</v>
      </c>
      <c r="D2576" t="s">
        <v>3473</v>
      </c>
      <c r="E2576">
        <v>1</v>
      </c>
      <c r="F2576" t="s">
        <v>3524</v>
      </c>
      <c r="G2576" t="s">
        <v>3517</v>
      </c>
      <c r="H2576">
        <v>2.5</v>
      </c>
      <c r="I2576">
        <v>27.5</v>
      </c>
      <c r="J2576">
        <v>27.5</v>
      </c>
    </row>
    <row r="2577" spans="1:10" x14ac:dyDescent="0.25">
      <c r="A2577" t="s">
        <v>5102</v>
      </c>
      <c r="B2577" s="3">
        <v>44188</v>
      </c>
      <c r="C2577" t="s">
        <v>544</v>
      </c>
      <c r="D2577" t="s">
        <v>3479</v>
      </c>
      <c r="E2577">
        <v>3</v>
      </c>
      <c r="F2577" t="s">
        <v>3526</v>
      </c>
      <c r="G2577" t="s">
        <v>3517</v>
      </c>
      <c r="H2577">
        <v>2.5</v>
      </c>
      <c r="I2577">
        <v>34.200000000000003</v>
      </c>
      <c r="J2577">
        <v>102.6</v>
      </c>
    </row>
    <row r="2578" spans="1:10" x14ac:dyDescent="0.25">
      <c r="A2578" t="s">
        <v>5103</v>
      </c>
      <c r="B2578" s="3">
        <v>44941</v>
      </c>
      <c r="C2578" t="s">
        <v>1396</v>
      </c>
      <c r="D2578" t="s">
        <v>3494</v>
      </c>
      <c r="E2578">
        <v>6</v>
      </c>
      <c r="F2578" t="s">
        <v>3524</v>
      </c>
      <c r="G2578" t="s">
        <v>3518</v>
      </c>
      <c r="H2578">
        <v>0.2</v>
      </c>
      <c r="I2578">
        <v>2.7</v>
      </c>
      <c r="J2578">
        <v>16.2</v>
      </c>
    </row>
    <row r="2579" spans="1:10" x14ac:dyDescent="0.25">
      <c r="A2579" t="s">
        <v>5104</v>
      </c>
      <c r="B2579" s="3">
        <v>45299</v>
      </c>
      <c r="C2579" t="s">
        <v>2834</v>
      </c>
      <c r="D2579" t="s">
        <v>3493</v>
      </c>
      <c r="E2579">
        <v>5</v>
      </c>
      <c r="F2579" t="s">
        <v>3525</v>
      </c>
      <c r="G2579" t="s">
        <v>3519</v>
      </c>
      <c r="H2579">
        <v>1</v>
      </c>
      <c r="I2579">
        <v>14.6</v>
      </c>
      <c r="J2579">
        <v>73</v>
      </c>
    </row>
    <row r="2580" spans="1:10" x14ac:dyDescent="0.25">
      <c r="A2580" t="s">
        <v>5105</v>
      </c>
      <c r="B2580" s="3">
        <v>43589</v>
      </c>
      <c r="C2580" t="s">
        <v>3360</v>
      </c>
      <c r="D2580" t="s">
        <v>3501</v>
      </c>
      <c r="E2580">
        <v>3</v>
      </c>
      <c r="F2580" t="s">
        <v>3525</v>
      </c>
      <c r="G2580" t="s">
        <v>3517</v>
      </c>
      <c r="H2580">
        <v>1</v>
      </c>
      <c r="I2580">
        <v>15.9</v>
      </c>
      <c r="J2580">
        <v>47.7</v>
      </c>
    </row>
    <row r="2581" spans="1:10" x14ac:dyDescent="0.25">
      <c r="A2581" t="s">
        <v>5106</v>
      </c>
      <c r="B2581" s="3">
        <v>45627</v>
      </c>
      <c r="C2581" t="s">
        <v>2596</v>
      </c>
      <c r="D2581" t="s">
        <v>3478</v>
      </c>
      <c r="E2581">
        <v>2</v>
      </c>
      <c r="F2581" t="s">
        <v>3523</v>
      </c>
      <c r="G2581" t="s">
        <v>3518</v>
      </c>
      <c r="H2581">
        <v>1</v>
      </c>
      <c r="I2581">
        <v>10</v>
      </c>
      <c r="J2581">
        <v>20</v>
      </c>
    </row>
    <row r="2582" spans="1:10" x14ac:dyDescent="0.25">
      <c r="A2582" t="s">
        <v>5107</v>
      </c>
      <c r="B2582" s="3">
        <v>45529</v>
      </c>
      <c r="C2582" t="s">
        <v>1979</v>
      </c>
      <c r="D2582" t="s">
        <v>3507</v>
      </c>
      <c r="E2582">
        <v>1</v>
      </c>
      <c r="F2582" t="s">
        <v>3526</v>
      </c>
      <c r="G2582" t="s">
        <v>3517</v>
      </c>
      <c r="H2582">
        <v>0.5</v>
      </c>
      <c r="I2582">
        <v>8.9</v>
      </c>
      <c r="J2582">
        <v>8.9</v>
      </c>
    </row>
    <row r="2583" spans="1:10" x14ac:dyDescent="0.25">
      <c r="A2583" t="s">
        <v>5108</v>
      </c>
      <c r="B2583" s="3">
        <v>44290</v>
      </c>
      <c r="C2583" t="s">
        <v>2414</v>
      </c>
      <c r="D2583" t="s">
        <v>3500</v>
      </c>
      <c r="E2583">
        <v>2</v>
      </c>
      <c r="F2583" t="s">
        <v>3525</v>
      </c>
      <c r="G2583" t="s">
        <v>3518</v>
      </c>
      <c r="H2583">
        <v>0.5</v>
      </c>
      <c r="I2583">
        <v>7.8</v>
      </c>
      <c r="J2583">
        <v>15.6</v>
      </c>
    </row>
    <row r="2584" spans="1:10" x14ac:dyDescent="0.25">
      <c r="A2584" t="s">
        <v>5109</v>
      </c>
      <c r="B2584" s="3">
        <v>45205</v>
      </c>
      <c r="C2584" t="s">
        <v>1857</v>
      </c>
      <c r="D2584" t="s">
        <v>3494</v>
      </c>
      <c r="E2584">
        <v>1</v>
      </c>
      <c r="F2584" t="s">
        <v>3524</v>
      </c>
      <c r="G2584" t="s">
        <v>3518</v>
      </c>
      <c r="H2584">
        <v>0.2</v>
      </c>
      <c r="I2584">
        <v>2.7</v>
      </c>
      <c r="J2584">
        <v>2.7</v>
      </c>
    </row>
    <row r="2585" spans="1:10" x14ac:dyDescent="0.25">
      <c r="A2585" t="s">
        <v>5110</v>
      </c>
      <c r="B2585" s="3">
        <v>45063</v>
      </c>
      <c r="C2585" t="s">
        <v>1053</v>
      </c>
      <c r="D2585" t="s">
        <v>3510</v>
      </c>
      <c r="E2585">
        <v>3</v>
      </c>
      <c r="F2585" t="s">
        <v>3524</v>
      </c>
      <c r="G2585" t="s">
        <v>3517</v>
      </c>
      <c r="H2585">
        <v>1</v>
      </c>
      <c r="I2585">
        <v>12</v>
      </c>
      <c r="J2585">
        <v>36</v>
      </c>
    </row>
    <row r="2586" spans="1:10" x14ac:dyDescent="0.25">
      <c r="A2586" t="s">
        <v>5111</v>
      </c>
      <c r="B2586" s="3">
        <v>45224</v>
      </c>
      <c r="C2586" t="s">
        <v>2224</v>
      </c>
      <c r="D2586" t="s">
        <v>3495</v>
      </c>
      <c r="E2586">
        <v>4</v>
      </c>
      <c r="F2586" t="s">
        <v>3525</v>
      </c>
      <c r="G2586" t="s">
        <v>3517</v>
      </c>
      <c r="H2586">
        <v>2.5</v>
      </c>
      <c r="I2586">
        <v>36.5</v>
      </c>
      <c r="J2586">
        <v>146</v>
      </c>
    </row>
    <row r="2587" spans="1:10" x14ac:dyDescent="0.25">
      <c r="A2587" t="s">
        <v>5112</v>
      </c>
      <c r="B2587" s="3">
        <v>44206</v>
      </c>
      <c r="C2587" t="s">
        <v>1315</v>
      </c>
      <c r="D2587" t="s">
        <v>3504</v>
      </c>
      <c r="E2587">
        <v>1</v>
      </c>
      <c r="F2587" t="s">
        <v>3524</v>
      </c>
      <c r="G2587" t="s">
        <v>3517</v>
      </c>
      <c r="H2587">
        <v>0.5</v>
      </c>
      <c r="I2587">
        <v>7.2</v>
      </c>
      <c r="J2587">
        <v>7.2</v>
      </c>
    </row>
    <row r="2588" spans="1:10" x14ac:dyDescent="0.25">
      <c r="A2588" t="s">
        <v>5113</v>
      </c>
      <c r="B2588" s="3">
        <v>44695</v>
      </c>
      <c r="C2588" t="s">
        <v>3393</v>
      </c>
      <c r="D2588" t="s">
        <v>3493</v>
      </c>
      <c r="E2588">
        <v>5</v>
      </c>
      <c r="F2588" t="s">
        <v>3525</v>
      </c>
      <c r="G2588" t="s">
        <v>3519</v>
      </c>
      <c r="H2588">
        <v>1</v>
      </c>
      <c r="I2588">
        <v>14.6</v>
      </c>
      <c r="J2588">
        <v>73</v>
      </c>
    </row>
    <row r="2589" spans="1:10" x14ac:dyDescent="0.25">
      <c r="A2589" t="s">
        <v>5114</v>
      </c>
      <c r="B2589" s="3">
        <v>44608</v>
      </c>
      <c r="C2589" t="s">
        <v>3290</v>
      </c>
      <c r="D2589" t="s">
        <v>3485</v>
      </c>
      <c r="E2589">
        <v>6</v>
      </c>
      <c r="F2589" t="s">
        <v>3523</v>
      </c>
      <c r="G2589" t="s">
        <v>3518</v>
      </c>
      <c r="H2589">
        <v>0.2</v>
      </c>
      <c r="I2589">
        <v>3</v>
      </c>
      <c r="J2589">
        <v>18</v>
      </c>
    </row>
    <row r="2590" spans="1:10" x14ac:dyDescent="0.25">
      <c r="A2590" t="s">
        <v>5115</v>
      </c>
      <c r="B2590" s="3">
        <v>44853</v>
      </c>
      <c r="C2590" t="s">
        <v>2251</v>
      </c>
      <c r="D2590" t="s">
        <v>3470</v>
      </c>
      <c r="E2590">
        <v>3</v>
      </c>
      <c r="F2590" t="s">
        <v>3526</v>
      </c>
      <c r="G2590" t="s">
        <v>3519</v>
      </c>
      <c r="H2590">
        <v>0.5</v>
      </c>
      <c r="I2590">
        <v>8.3000000000000007</v>
      </c>
      <c r="J2590">
        <v>24.9</v>
      </c>
    </row>
    <row r="2591" spans="1:10" x14ac:dyDescent="0.25">
      <c r="A2591" t="s">
        <v>5116</v>
      </c>
      <c r="B2591" s="3">
        <v>45215</v>
      </c>
      <c r="C2591" t="s">
        <v>1357</v>
      </c>
      <c r="D2591" t="s">
        <v>3476</v>
      </c>
      <c r="E2591">
        <v>5</v>
      </c>
      <c r="F2591" t="s">
        <v>3525</v>
      </c>
      <c r="G2591" t="s">
        <v>3517</v>
      </c>
      <c r="H2591">
        <v>0.2</v>
      </c>
      <c r="I2591">
        <v>4.8</v>
      </c>
      <c r="J2591">
        <v>24</v>
      </c>
    </row>
    <row r="2592" spans="1:10" x14ac:dyDescent="0.25">
      <c r="A2592" t="s">
        <v>5117</v>
      </c>
      <c r="B2592" s="3">
        <v>45048</v>
      </c>
      <c r="C2592" t="s">
        <v>3139</v>
      </c>
      <c r="D2592" t="s">
        <v>3494</v>
      </c>
      <c r="E2592">
        <v>6</v>
      </c>
      <c r="F2592" t="s">
        <v>3524</v>
      </c>
      <c r="G2592" t="s">
        <v>3518</v>
      </c>
      <c r="H2592">
        <v>0.2</v>
      </c>
      <c r="I2592">
        <v>2.7</v>
      </c>
      <c r="J2592">
        <v>16.2</v>
      </c>
    </row>
    <row r="2593" spans="1:10" x14ac:dyDescent="0.25">
      <c r="A2593" t="s">
        <v>5118</v>
      </c>
      <c r="B2593" s="3">
        <v>45510</v>
      </c>
      <c r="C2593" t="s">
        <v>1782</v>
      </c>
      <c r="D2593" t="s">
        <v>3480</v>
      </c>
      <c r="E2593">
        <v>4</v>
      </c>
      <c r="F2593" t="s">
        <v>3524</v>
      </c>
      <c r="G2593" t="s">
        <v>3518</v>
      </c>
      <c r="H2593">
        <v>2.5</v>
      </c>
      <c r="I2593">
        <v>20.6</v>
      </c>
      <c r="J2593">
        <v>82.4</v>
      </c>
    </row>
    <row r="2594" spans="1:10" x14ac:dyDescent="0.25">
      <c r="A2594" t="s">
        <v>5119</v>
      </c>
      <c r="B2594" s="3">
        <v>45372</v>
      </c>
      <c r="C2594" t="s">
        <v>1461</v>
      </c>
      <c r="D2594" t="s">
        <v>3501</v>
      </c>
      <c r="E2594">
        <v>3</v>
      </c>
      <c r="F2594" t="s">
        <v>3525</v>
      </c>
      <c r="G2594" t="s">
        <v>3517</v>
      </c>
      <c r="H2594">
        <v>1</v>
      </c>
      <c r="I2594">
        <v>15.9</v>
      </c>
      <c r="J2594">
        <v>47.7</v>
      </c>
    </row>
    <row r="2595" spans="1:10" x14ac:dyDescent="0.25">
      <c r="A2595" t="s">
        <v>5120</v>
      </c>
      <c r="B2595" s="3">
        <v>45511</v>
      </c>
      <c r="C2595" t="s">
        <v>1088</v>
      </c>
      <c r="D2595" t="s">
        <v>3489</v>
      </c>
      <c r="E2595">
        <v>5</v>
      </c>
      <c r="F2595" t="s">
        <v>3523</v>
      </c>
      <c r="G2595" t="s">
        <v>3518</v>
      </c>
      <c r="H2595">
        <v>0.5</v>
      </c>
      <c r="I2595">
        <v>6</v>
      </c>
      <c r="J2595">
        <v>30</v>
      </c>
    </row>
    <row r="2596" spans="1:10" x14ac:dyDescent="0.25">
      <c r="A2596" t="s">
        <v>5121</v>
      </c>
      <c r="B2596" s="3">
        <v>43467</v>
      </c>
      <c r="C2596" t="s">
        <v>2672</v>
      </c>
      <c r="D2596" t="s">
        <v>3488</v>
      </c>
      <c r="E2596">
        <v>5</v>
      </c>
      <c r="F2596" t="s">
        <v>3523</v>
      </c>
      <c r="G2596" t="s">
        <v>3519</v>
      </c>
      <c r="H2596">
        <v>0.5</v>
      </c>
      <c r="I2596">
        <v>6.8</v>
      </c>
      <c r="J2596">
        <v>34</v>
      </c>
    </row>
    <row r="2597" spans="1:10" x14ac:dyDescent="0.25">
      <c r="A2597" t="s">
        <v>5122</v>
      </c>
      <c r="B2597" s="3">
        <v>45289</v>
      </c>
      <c r="C2597" t="s">
        <v>1321</v>
      </c>
      <c r="D2597" t="s">
        <v>3511</v>
      </c>
      <c r="E2597">
        <v>5</v>
      </c>
      <c r="F2597" t="s">
        <v>3523</v>
      </c>
      <c r="G2597" t="s">
        <v>3517</v>
      </c>
      <c r="H2597">
        <v>0.5</v>
      </c>
      <c r="I2597">
        <v>7.8</v>
      </c>
      <c r="J2597">
        <v>39</v>
      </c>
    </row>
    <row r="2598" spans="1:10" x14ac:dyDescent="0.25">
      <c r="A2598" t="s">
        <v>5123</v>
      </c>
      <c r="B2598" s="3">
        <v>45383</v>
      </c>
      <c r="C2598" t="s">
        <v>3054</v>
      </c>
      <c r="D2598" t="s">
        <v>3479</v>
      </c>
      <c r="E2598">
        <v>2</v>
      </c>
      <c r="F2598" t="s">
        <v>3526</v>
      </c>
      <c r="G2598" t="s">
        <v>3517</v>
      </c>
      <c r="H2598">
        <v>2.5</v>
      </c>
      <c r="I2598">
        <v>34.200000000000003</v>
      </c>
      <c r="J2598">
        <v>68.400000000000006</v>
      </c>
    </row>
    <row r="2599" spans="1:10" x14ac:dyDescent="0.25">
      <c r="A2599" t="s">
        <v>5124</v>
      </c>
      <c r="B2599" s="3">
        <v>44300</v>
      </c>
      <c r="C2599" t="s">
        <v>1229</v>
      </c>
      <c r="D2599" t="s">
        <v>3491</v>
      </c>
      <c r="E2599">
        <v>1</v>
      </c>
      <c r="F2599" t="s">
        <v>3525</v>
      </c>
      <c r="G2599" t="s">
        <v>3519</v>
      </c>
      <c r="H2599">
        <v>0.5</v>
      </c>
      <c r="I2599">
        <v>8.6999999999999993</v>
      </c>
      <c r="J2599">
        <v>8.6999999999999993</v>
      </c>
    </row>
    <row r="2600" spans="1:10" x14ac:dyDescent="0.25">
      <c r="A2600" t="s">
        <v>5125</v>
      </c>
      <c r="B2600" s="3">
        <v>45324</v>
      </c>
      <c r="C2600" t="s">
        <v>3112</v>
      </c>
      <c r="D2600" t="s">
        <v>3476</v>
      </c>
      <c r="E2600">
        <v>4</v>
      </c>
      <c r="F2600" t="s">
        <v>3525</v>
      </c>
      <c r="G2600" t="s">
        <v>3517</v>
      </c>
      <c r="H2600">
        <v>0.2</v>
      </c>
      <c r="I2600">
        <v>4.8</v>
      </c>
      <c r="J2600">
        <v>19.2</v>
      </c>
    </row>
    <row r="2601" spans="1:10" x14ac:dyDescent="0.25">
      <c r="A2601" t="s">
        <v>5126</v>
      </c>
      <c r="B2601" s="3">
        <v>45197</v>
      </c>
      <c r="C2601" t="s">
        <v>3220</v>
      </c>
      <c r="D2601" t="s">
        <v>3498</v>
      </c>
      <c r="E2601">
        <v>2</v>
      </c>
      <c r="F2601" t="s">
        <v>3523</v>
      </c>
      <c r="G2601" t="s">
        <v>3517</v>
      </c>
      <c r="H2601">
        <v>0.2</v>
      </c>
      <c r="I2601">
        <v>3.9</v>
      </c>
      <c r="J2601">
        <v>7.8</v>
      </c>
    </row>
    <row r="2602" spans="1:10" x14ac:dyDescent="0.25">
      <c r="A2602" t="s">
        <v>5127</v>
      </c>
      <c r="B2602" s="3">
        <v>45293</v>
      </c>
      <c r="C2602" t="s">
        <v>2171</v>
      </c>
      <c r="D2602" t="s">
        <v>3495</v>
      </c>
      <c r="E2602">
        <v>4</v>
      </c>
      <c r="F2602" t="s">
        <v>3525</v>
      </c>
      <c r="G2602" t="s">
        <v>3517</v>
      </c>
      <c r="H2602">
        <v>2.5</v>
      </c>
      <c r="I2602">
        <v>36.5</v>
      </c>
      <c r="J2602">
        <v>146</v>
      </c>
    </row>
    <row r="2603" spans="1:10" x14ac:dyDescent="0.25">
      <c r="A2603" t="s">
        <v>5128</v>
      </c>
      <c r="B2603" s="3">
        <v>44656</v>
      </c>
      <c r="C2603" t="s">
        <v>763</v>
      </c>
      <c r="D2603" t="s">
        <v>3502</v>
      </c>
      <c r="E2603">
        <v>1</v>
      </c>
      <c r="F2603" t="s">
        <v>3526</v>
      </c>
      <c r="G2603" t="s">
        <v>3517</v>
      </c>
      <c r="H2603">
        <v>1</v>
      </c>
      <c r="I2603">
        <v>14.9</v>
      </c>
      <c r="J2603">
        <v>14.9</v>
      </c>
    </row>
    <row r="2604" spans="1:10" x14ac:dyDescent="0.25">
      <c r="A2604" t="s">
        <v>5129</v>
      </c>
      <c r="B2604" s="3">
        <v>45472</v>
      </c>
      <c r="C2604" t="s">
        <v>2992</v>
      </c>
      <c r="D2604" t="s">
        <v>3475</v>
      </c>
      <c r="E2604">
        <v>2</v>
      </c>
      <c r="F2604" t="s">
        <v>3526</v>
      </c>
      <c r="G2604" t="s">
        <v>3518</v>
      </c>
      <c r="H2604">
        <v>0.5</v>
      </c>
      <c r="I2604">
        <v>7.3</v>
      </c>
      <c r="J2604">
        <v>14.6</v>
      </c>
    </row>
    <row r="2605" spans="1:10" x14ac:dyDescent="0.25">
      <c r="A2605" t="s">
        <v>5130</v>
      </c>
      <c r="B2605" s="3">
        <v>44965</v>
      </c>
      <c r="C2605" t="s">
        <v>1402</v>
      </c>
      <c r="D2605" t="s">
        <v>3514</v>
      </c>
      <c r="E2605">
        <v>1</v>
      </c>
      <c r="F2605" t="s">
        <v>3526</v>
      </c>
      <c r="G2605" t="s">
        <v>3518</v>
      </c>
      <c r="H2605">
        <v>1</v>
      </c>
      <c r="I2605">
        <v>12.2</v>
      </c>
      <c r="J2605">
        <v>12.2</v>
      </c>
    </row>
    <row r="2606" spans="1:10" x14ac:dyDescent="0.25">
      <c r="A2606" t="s">
        <v>5131</v>
      </c>
      <c r="B2606" s="3">
        <v>44813</v>
      </c>
      <c r="C2606" t="s">
        <v>2705</v>
      </c>
      <c r="D2606" t="s">
        <v>3504</v>
      </c>
      <c r="E2606">
        <v>1</v>
      </c>
      <c r="F2606" t="s">
        <v>3524</v>
      </c>
      <c r="G2606" t="s">
        <v>3517</v>
      </c>
      <c r="H2606">
        <v>0.5</v>
      </c>
      <c r="I2606">
        <v>7.2</v>
      </c>
      <c r="J2606">
        <v>7.2</v>
      </c>
    </row>
    <row r="2607" spans="1:10" x14ac:dyDescent="0.25">
      <c r="A2607" t="s">
        <v>5132</v>
      </c>
      <c r="B2607" s="3">
        <v>45526</v>
      </c>
      <c r="C2607" t="s">
        <v>1115</v>
      </c>
      <c r="D2607" t="s">
        <v>3503</v>
      </c>
      <c r="E2607">
        <v>3</v>
      </c>
      <c r="F2607" t="s">
        <v>3524</v>
      </c>
      <c r="G2607" t="s">
        <v>3518</v>
      </c>
      <c r="H2607">
        <v>0.5</v>
      </c>
      <c r="I2607">
        <v>5.4</v>
      </c>
      <c r="J2607">
        <v>16.2</v>
      </c>
    </row>
    <row r="2608" spans="1:10" x14ac:dyDescent="0.25">
      <c r="A2608" t="s">
        <v>5133</v>
      </c>
      <c r="B2608" s="3">
        <v>44652</v>
      </c>
      <c r="C2608" t="s">
        <v>935</v>
      </c>
      <c r="D2608" t="s">
        <v>3474</v>
      </c>
      <c r="E2608">
        <v>1</v>
      </c>
      <c r="F2608" t="s">
        <v>3525</v>
      </c>
      <c r="G2608" t="s">
        <v>3518</v>
      </c>
      <c r="H2608">
        <v>1</v>
      </c>
      <c r="I2608">
        <v>13</v>
      </c>
      <c r="J2608">
        <v>13</v>
      </c>
    </row>
    <row r="2609" spans="1:10" x14ac:dyDescent="0.25">
      <c r="A2609" t="s">
        <v>5134</v>
      </c>
      <c r="B2609" s="3">
        <v>44654</v>
      </c>
      <c r="C2609" t="s">
        <v>2257</v>
      </c>
      <c r="D2609" t="s">
        <v>3511</v>
      </c>
      <c r="E2609">
        <v>1</v>
      </c>
      <c r="F2609" t="s">
        <v>3523</v>
      </c>
      <c r="G2609" t="s">
        <v>3517</v>
      </c>
      <c r="H2609">
        <v>0.5</v>
      </c>
      <c r="I2609">
        <v>7.8</v>
      </c>
      <c r="J2609">
        <v>7.8</v>
      </c>
    </row>
    <row r="2610" spans="1:10" x14ac:dyDescent="0.25">
      <c r="A2610" t="s">
        <v>5135</v>
      </c>
      <c r="B2610" s="3">
        <v>45235</v>
      </c>
      <c r="C2610" t="s">
        <v>3095</v>
      </c>
      <c r="D2610" t="s">
        <v>3496</v>
      </c>
      <c r="E2610">
        <v>2</v>
      </c>
      <c r="F2610" t="s">
        <v>3525</v>
      </c>
      <c r="G2610" t="s">
        <v>3518</v>
      </c>
      <c r="H2610">
        <v>2.5</v>
      </c>
      <c r="I2610">
        <v>29.8</v>
      </c>
      <c r="J2610">
        <v>59.6</v>
      </c>
    </row>
    <row r="2611" spans="1:10" x14ac:dyDescent="0.25">
      <c r="A2611" t="s">
        <v>5136</v>
      </c>
      <c r="B2611" s="3">
        <v>45589</v>
      </c>
      <c r="C2611" t="s">
        <v>3214</v>
      </c>
      <c r="D2611" t="s">
        <v>3502</v>
      </c>
      <c r="E2611">
        <v>3</v>
      </c>
      <c r="F2611" t="s">
        <v>3526</v>
      </c>
      <c r="G2611" t="s">
        <v>3517</v>
      </c>
      <c r="H2611">
        <v>1</v>
      </c>
      <c r="I2611">
        <v>14.9</v>
      </c>
      <c r="J2611">
        <v>44.7</v>
      </c>
    </row>
    <row r="2612" spans="1:10" x14ac:dyDescent="0.25">
      <c r="A2612" t="s">
        <v>5137</v>
      </c>
      <c r="B2612" s="3">
        <v>44746</v>
      </c>
      <c r="C2612" t="s">
        <v>734</v>
      </c>
      <c r="D2612" t="s">
        <v>3492</v>
      </c>
      <c r="E2612">
        <v>6</v>
      </c>
      <c r="F2612" t="s">
        <v>3525</v>
      </c>
      <c r="G2612" t="s">
        <v>3517</v>
      </c>
      <c r="H2612">
        <v>0.5</v>
      </c>
      <c r="I2612">
        <v>9.5</v>
      </c>
      <c r="J2612">
        <v>57</v>
      </c>
    </row>
    <row r="2613" spans="1:10" x14ac:dyDescent="0.25">
      <c r="A2613" t="s">
        <v>5138</v>
      </c>
      <c r="B2613" s="3">
        <v>45124</v>
      </c>
      <c r="C2613" t="s">
        <v>3330</v>
      </c>
      <c r="D2613" t="s">
        <v>3484</v>
      </c>
      <c r="E2613">
        <v>2</v>
      </c>
      <c r="F2613" t="s">
        <v>3526</v>
      </c>
      <c r="G2613" t="s">
        <v>3518</v>
      </c>
      <c r="H2613">
        <v>0.2</v>
      </c>
      <c r="I2613">
        <v>3.6</v>
      </c>
      <c r="J2613">
        <v>7.2</v>
      </c>
    </row>
    <row r="2614" spans="1:10" x14ac:dyDescent="0.25">
      <c r="A2614" t="s">
        <v>5139</v>
      </c>
      <c r="B2614" s="3">
        <v>43539</v>
      </c>
      <c r="C2614" t="s">
        <v>1190</v>
      </c>
      <c r="D2614" t="s">
        <v>3513</v>
      </c>
      <c r="E2614">
        <v>3</v>
      </c>
      <c r="F2614" t="s">
        <v>3523</v>
      </c>
      <c r="G2614" t="s">
        <v>3517</v>
      </c>
      <c r="H2614">
        <v>2.5</v>
      </c>
      <c r="I2614">
        <v>29.8</v>
      </c>
      <c r="J2614">
        <v>89.4</v>
      </c>
    </row>
    <row r="2615" spans="1:10" x14ac:dyDescent="0.25">
      <c r="A2615" t="s">
        <v>5140</v>
      </c>
      <c r="B2615" s="3">
        <v>45055</v>
      </c>
      <c r="C2615" t="s">
        <v>1649</v>
      </c>
      <c r="D2615" t="s">
        <v>3504</v>
      </c>
      <c r="E2615">
        <v>4</v>
      </c>
      <c r="F2615" t="s">
        <v>3524</v>
      </c>
      <c r="G2615" t="s">
        <v>3517</v>
      </c>
      <c r="H2615">
        <v>0.5</v>
      </c>
      <c r="I2615">
        <v>7.2</v>
      </c>
      <c r="J2615">
        <v>28.8</v>
      </c>
    </row>
    <row r="2616" spans="1:10" x14ac:dyDescent="0.25">
      <c r="A2616" t="s">
        <v>5141</v>
      </c>
      <c r="B2616" s="3">
        <v>45564</v>
      </c>
      <c r="C2616" t="s">
        <v>1050</v>
      </c>
      <c r="D2616" t="s">
        <v>3502</v>
      </c>
      <c r="E2616">
        <v>5</v>
      </c>
      <c r="F2616" t="s">
        <v>3526</v>
      </c>
      <c r="G2616" t="s">
        <v>3517</v>
      </c>
      <c r="H2616">
        <v>1</v>
      </c>
      <c r="I2616">
        <v>14.9</v>
      </c>
      <c r="J2616">
        <v>74.5</v>
      </c>
    </row>
    <row r="2617" spans="1:10" x14ac:dyDescent="0.25">
      <c r="A2617" t="s">
        <v>5142</v>
      </c>
      <c r="B2617" s="3">
        <v>45376</v>
      </c>
      <c r="C2617" t="s">
        <v>2672</v>
      </c>
      <c r="D2617" t="s">
        <v>3473</v>
      </c>
      <c r="E2617">
        <v>3</v>
      </c>
      <c r="F2617" t="s">
        <v>3524</v>
      </c>
      <c r="G2617" t="s">
        <v>3517</v>
      </c>
      <c r="H2617">
        <v>2.5</v>
      </c>
      <c r="I2617">
        <v>27.5</v>
      </c>
      <c r="J2617">
        <v>82.5</v>
      </c>
    </row>
    <row r="2618" spans="1:10" x14ac:dyDescent="0.25">
      <c r="A2618" t="s">
        <v>5143</v>
      </c>
      <c r="B2618" s="3">
        <v>44884</v>
      </c>
      <c r="C2618" t="s">
        <v>799</v>
      </c>
      <c r="D2618" t="s">
        <v>3514</v>
      </c>
      <c r="E2618">
        <v>2</v>
      </c>
      <c r="F2618" t="s">
        <v>3526</v>
      </c>
      <c r="G2618" t="s">
        <v>3518</v>
      </c>
      <c r="H2618">
        <v>1</v>
      </c>
      <c r="I2618">
        <v>12.2</v>
      </c>
      <c r="J2618">
        <v>24.4</v>
      </c>
    </row>
    <row r="2619" spans="1:10" x14ac:dyDescent="0.25">
      <c r="A2619" t="s">
        <v>5144</v>
      </c>
      <c r="B2619" s="3">
        <v>44959</v>
      </c>
      <c r="C2619" t="s">
        <v>2995</v>
      </c>
      <c r="D2619" t="s">
        <v>3516</v>
      </c>
      <c r="E2619">
        <v>3</v>
      </c>
      <c r="F2619" t="s">
        <v>3526</v>
      </c>
      <c r="G2619" t="s">
        <v>3518</v>
      </c>
      <c r="H2619">
        <v>2.5</v>
      </c>
      <c r="I2619">
        <v>27.9</v>
      </c>
      <c r="J2619">
        <v>83.7</v>
      </c>
    </row>
    <row r="2620" spans="1:10" x14ac:dyDescent="0.25">
      <c r="A2620" t="s">
        <v>5145</v>
      </c>
      <c r="B2620" s="3">
        <v>45250</v>
      </c>
      <c r="C2620" t="s">
        <v>1822</v>
      </c>
      <c r="D2620" t="s">
        <v>3502</v>
      </c>
      <c r="E2620">
        <v>4</v>
      </c>
      <c r="F2620" t="s">
        <v>3526</v>
      </c>
      <c r="G2620" t="s">
        <v>3517</v>
      </c>
      <c r="H2620">
        <v>1</v>
      </c>
      <c r="I2620">
        <v>14.9</v>
      </c>
      <c r="J2620">
        <v>59.6</v>
      </c>
    </row>
    <row r="2621" spans="1:10" x14ac:dyDescent="0.25">
      <c r="A2621" t="s">
        <v>5146</v>
      </c>
      <c r="B2621" s="3">
        <v>44763</v>
      </c>
      <c r="C2621" t="s">
        <v>1951</v>
      </c>
      <c r="D2621" t="s">
        <v>3475</v>
      </c>
      <c r="E2621">
        <v>1</v>
      </c>
      <c r="F2621" t="s">
        <v>3526</v>
      </c>
      <c r="G2621" t="s">
        <v>3518</v>
      </c>
      <c r="H2621">
        <v>0.5</v>
      </c>
      <c r="I2621">
        <v>7.3</v>
      </c>
      <c r="J2621">
        <v>7.3</v>
      </c>
    </row>
    <row r="2622" spans="1:10" x14ac:dyDescent="0.25">
      <c r="A2622" t="s">
        <v>5147</v>
      </c>
      <c r="B2622" s="3">
        <v>44570</v>
      </c>
      <c r="C2622" t="s">
        <v>772</v>
      </c>
      <c r="D2622" t="s">
        <v>3479</v>
      </c>
      <c r="E2622">
        <v>4</v>
      </c>
      <c r="F2622" t="s">
        <v>3526</v>
      </c>
      <c r="G2622" t="s">
        <v>3517</v>
      </c>
      <c r="H2622">
        <v>2.5</v>
      </c>
      <c r="I2622">
        <v>34.200000000000003</v>
      </c>
      <c r="J2622">
        <v>136.80000000000001</v>
      </c>
    </row>
    <row r="2623" spans="1:10" x14ac:dyDescent="0.25">
      <c r="A2623" t="s">
        <v>5148</v>
      </c>
      <c r="B2623" s="3">
        <v>45025</v>
      </c>
      <c r="C2623" t="s">
        <v>1854</v>
      </c>
      <c r="D2623" t="s">
        <v>3481</v>
      </c>
      <c r="E2623">
        <v>2</v>
      </c>
      <c r="F2623" t="s">
        <v>3525</v>
      </c>
      <c r="G2623" t="s">
        <v>3518</v>
      </c>
      <c r="H2623">
        <v>0.2</v>
      </c>
      <c r="I2623">
        <v>3.9</v>
      </c>
      <c r="J2623">
        <v>7.8</v>
      </c>
    </row>
    <row r="2624" spans="1:10" x14ac:dyDescent="0.25">
      <c r="A2624" t="s">
        <v>5149</v>
      </c>
      <c r="B2624" s="3">
        <v>44986</v>
      </c>
      <c r="C2624" t="s">
        <v>1723</v>
      </c>
      <c r="D2624" t="s">
        <v>3479</v>
      </c>
      <c r="E2624">
        <v>3</v>
      </c>
      <c r="F2624" t="s">
        <v>3526</v>
      </c>
      <c r="G2624" t="s">
        <v>3517</v>
      </c>
      <c r="H2624">
        <v>2.5</v>
      </c>
      <c r="I2624">
        <v>34.200000000000003</v>
      </c>
      <c r="J2624">
        <v>102.6</v>
      </c>
    </row>
    <row r="2625" spans="1:10" x14ac:dyDescent="0.25">
      <c r="A2625" t="s">
        <v>5150</v>
      </c>
      <c r="B2625" s="3">
        <v>43850</v>
      </c>
      <c r="C2625" t="s">
        <v>2024</v>
      </c>
      <c r="D2625" t="s">
        <v>3487</v>
      </c>
      <c r="E2625">
        <v>4</v>
      </c>
      <c r="F2625" t="s">
        <v>3526</v>
      </c>
      <c r="G2625" t="s">
        <v>3519</v>
      </c>
      <c r="H2625">
        <v>0.2</v>
      </c>
      <c r="I2625">
        <v>4.0999999999999996</v>
      </c>
      <c r="J2625">
        <v>16.399999999999999</v>
      </c>
    </row>
    <row r="2626" spans="1:10" x14ac:dyDescent="0.25">
      <c r="A2626" t="s">
        <v>5151</v>
      </c>
      <c r="B2626" s="3">
        <v>45463</v>
      </c>
      <c r="C2626" t="s">
        <v>2158</v>
      </c>
      <c r="D2626" t="s">
        <v>3502</v>
      </c>
      <c r="E2626">
        <v>5</v>
      </c>
      <c r="F2626" t="s">
        <v>3526</v>
      </c>
      <c r="G2626" t="s">
        <v>3517</v>
      </c>
      <c r="H2626">
        <v>1</v>
      </c>
      <c r="I2626">
        <v>14.9</v>
      </c>
      <c r="J2626">
        <v>74.5</v>
      </c>
    </row>
    <row r="2627" spans="1:10" x14ac:dyDescent="0.25">
      <c r="A2627" t="s">
        <v>5152</v>
      </c>
      <c r="B2627" s="3">
        <v>45373</v>
      </c>
      <c r="C2627" t="s">
        <v>1905</v>
      </c>
      <c r="D2627" t="s">
        <v>3495</v>
      </c>
      <c r="E2627">
        <v>3</v>
      </c>
      <c r="F2627" t="s">
        <v>3525</v>
      </c>
      <c r="G2627" t="s">
        <v>3517</v>
      </c>
      <c r="H2627">
        <v>2.5</v>
      </c>
      <c r="I2627">
        <v>36.5</v>
      </c>
      <c r="J2627">
        <v>109.5</v>
      </c>
    </row>
    <row r="2628" spans="1:10" x14ac:dyDescent="0.25">
      <c r="A2628" t="s">
        <v>5153</v>
      </c>
      <c r="B2628" s="3">
        <v>44848</v>
      </c>
      <c r="C2628" t="s">
        <v>1588</v>
      </c>
      <c r="D2628" t="s">
        <v>3473</v>
      </c>
      <c r="E2628">
        <v>3</v>
      </c>
      <c r="F2628" t="s">
        <v>3524</v>
      </c>
      <c r="G2628" t="s">
        <v>3517</v>
      </c>
      <c r="H2628">
        <v>2.5</v>
      </c>
      <c r="I2628">
        <v>27.5</v>
      </c>
      <c r="J2628">
        <v>82.5</v>
      </c>
    </row>
    <row r="2629" spans="1:10" x14ac:dyDescent="0.25">
      <c r="A2629" t="s">
        <v>5154</v>
      </c>
      <c r="B2629" s="3">
        <v>45363</v>
      </c>
      <c r="C2629" t="s">
        <v>586</v>
      </c>
      <c r="D2629" t="s">
        <v>3474</v>
      </c>
      <c r="E2629">
        <v>1</v>
      </c>
      <c r="F2629" t="s">
        <v>3525</v>
      </c>
      <c r="G2629" t="s">
        <v>3518</v>
      </c>
      <c r="H2629">
        <v>1</v>
      </c>
      <c r="I2629">
        <v>13</v>
      </c>
      <c r="J2629">
        <v>13</v>
      </c>
    </row>
    <row r="2630" spans="1:10" x14ac:dyDescent="0.25">
      <c r="A2630" t="s">
        <v>5155</v>
      </c>
      <c r="B2630" s="3">
        <v>45055</v>
      </c>
      <c r="C2630" t="s">
        <v>3098</v>
      </c>
      <c r="D2630" t="s">
        <v>3508</v>
      </c>
      <c r="E2630">
        <v>3</v>
      </c>
      <c r="F2630" t="s">
        <v>3524</v>
      </c>
      <c r="G2630" t="s">
        <v>3518</v>
      </c>
      <c r="H2630">
        <v>1</v>
      </c>
      <c r="I2630">
        <v>9</v>
      </c>
      <c r="J2630">
        <v>27</v>
      </c>
    </row>
    <row r="2631" spans="1:10" x14ac:dyDescent="0.25">
      <c r="A2631" t="s">
        <v>5156</v>
      </c>
      <c r="B2631" s="3">
        <v>43777</v>
      </c>
      <c r="C2631" t="s">
        <v>2858</v>
      </c>
      <c r="D2631" t="s">
        <v>3491</v>
      </c>
      <c r="E2631">
        <v>6</v>
      </c>
      <c r="F2631" t="s">
        <v>3525</v>
      </c>
      <c r="G2631" t="s">
        <v>3519</v>
      </c>
      <c r="H2631">
        <v>0.5</v>
      </c>
      <c r="I2631">
        <v>8.6999999999999993</v>
      </c>
      <c r="J2631">
        <v>52.2</v>
      </c>
    </row>
    <row r="2632" spans="1:10" x14ac:dyDescent="0.25">
      <c r="A2632" t="s">
        <v>5157</v>
      </c>
      <c r="B2632" s="3">
        <v>45105</v>
      </c>
      <c r="C2632" t="s">
        <v>1467</v>
      </c>
      <c r="D2632" t="s">
        <v>3476</v>
      </c>
      <c r="E2632">
        <v>5</v>
      </c>
      <c r="F2632" t="s">
        <v>3525</v>
      </c>
      <c r="G2632" t="s">
        <v>3517</v>
      </c>
      <c r="H2632">
        <v>0.2</v>
      </c>
      <c r="I2632">
        <v>4.8</v>
      </c>
      <c r="J2632">
        <v>24</v>
      </c>
    </row>
    <row r="2633" spans="1:10" x14ac:dyDescent="0.25">
      <c r="A2633" t="s">
        <v>5158</v>
      </c>
      <c r="B2633" s="3">
        <v>43953</v>
      </c>
      <c r="C2633" t="s">
        <v>1175</v>
      </c>
      <c r="D2633" t="s">
        <v>3514</v>
      </c>
      <c r="E2633">
        <v>1</v>
      </c>
      <c r="F2633" t="s">
        <v>3526</v>
      </c>
      <c r="G2633" t="s">
        <v>3518</v>
      </c>
      <c r="H2633">
        <v>1</v>
      </c>
      <c r="I2633">
        <v>12.2</v>
      </c>
      <c r="J2633">
        <v>12.2</v>
      </c>
    </row>
    <row r="2634" spans="1:10" x14ac:dyDescent="0.25">
      <c r="A2634" t="s">
        <v>5159</v>
      </c>
      <c r="B2634" s="3">
        <v>43593</v>
      </c>
      <c r="C2634" t="s">
        <v>835</v>
      </c>
      <c r="D2634" t="s">
        <v>3516</v>
      </c>
      <c r="E2634">
        <v>5</v>
      </c>
      <c r="F2634" t="s">
        <v>3526</v>
      </c>
      <c r="G2634" t="s">
        <v>3518</v>
      </c>
      <c r="H2634">
        <v>2.5</v>
      </c>
      <c r="I2634">
        <v>27.9</v>
      </c>
      <c r="J2634">
        <v>139.5</v>
      </c>
    </row>
    <row r="2635" spans="1:10" x14ac:dyDescent="0.25">
      <c r="A2635" t="s">
        <v>5160</v>
      </c>
      <c r="B2635" s="3">
        <v>44367</v>
      </c>
      <c r="C2635" t="s">
        <v>2766</v>
      </c>
      <c r="D2635" t="s">
        <v>3479</v>
      </c>
      <c r="E2635">
        <v>6</v>
      </c>
      <c r="F2635" t="s">
        <v>3526</v>
      </c>
      <c r="G2635" t="s">
        <v>3517</v>
      </c>
      <c r="H2635">
        <v>2.5</v>
      </c>
      <c r="I2635">
        <v>34.200000000000003</v>
      </c>
      <c r="J2635">
        <v>205.2</v>
      </c>
    </row>
    <row r="2636" spans="1:10" x14ac:dyDescent="0.25">
      <c r="A2636" t="s">
        <v>5161</v>
      </c>
      <c r="B2636" s="3">
        <v>45306</v>
      </c>
      <c r="C2636" t="s">
        <v>1443</v>
      </c>
      <c r="D2636" t="s">
        <v>3484</v>
      </c>
      <c r="E2636">
        <v>5</v>
      </c>
      <c r="F2636" t="s">
        <v>3526</v>
      </c>
      <c r="G2636" t="s">
        <v>3518</v>
      </c>
      <c r="H2636">
        <v>0.2</v>
      </c>
      <c r="I2636">
        <v>3.6</v>
      </c>
      <c r="J2636">
        <v>18</v>
      </c>
    </row>
    <row r="2637" spans="1:10" x14ac:dyDescent="0.25">
      <c r="A2637" t="s">
        <v>5162</v>
      </c>
      <c r="B2637" s="3">
        <v>44876</v>
      </c>
      <c r="C2637" t="s">
        <v>1643</v>
      </c>
      <c r="D2637" t="s">
        <v>3491</v>
      </c>
      <c r="E2637">
        <v>6</v>
      </c>
      <c r="F2637" t="s">
        <v>3525</v>
      </c>
      <c r="G2637" t="s">
        <v>3519</v>
      </c>
      <c r="H2637">
        <v>0.5</v>
      </c>
      <c r="I2637">
        <v>8.6999999999999993</v>
      </c>
      <c r="J2637">
        <v>52.2</v>
      </c>
    </row>
    <row r="2638" spans="1:10" x14ac:dyDescent="0.25">
      <c r="A2638" t="s">
        <v>5163</v>
      </c>
      <c r="B2638" s="3">
        <v>44146</v>
      </c>
      <c r="C2638" t="s">
        <v>1446</v>
      </c>
      <c r="D2638" t="s">
        <v>3471</v>
      </c>
      <c r="E2638">
        <v>5</v>
      </c>
      <c r="F2638" t="s">
        <v>3523</v>
      </c>
      <c r="G2638" t="s">
        <v>3517</v>
      </c>
      <c r="H2638">
        <v>1</v>
      </c>
      <c r="I2638">
        <v>13</v>
      </c>
      <c r="J2638">
        <v>65</v>
      </c>
    </row>
    <row r="2639" spans="1:10" x14ac:dyDescent="0.25">
      <c r="A2639" t="s">
        <v>5164</v>
      </c>
      <c r="B2639" s="3">
        <v>45480</v>
      </c>
      <c r="C2639" t="s">
        <v>520</v>
      </c>
      <c r="D2639" t="s">
        <v>3489</v>
      </c>
      <c r="E2639">
        <v>5</v>
      </c>
      <c r="F2639" t="s">
        <v>3523</v>
      </c>
      <c r="G2639" t="s">
        <v>3518</v>
      </c>
      <c r="H2639">
        <v>0.5</v>
      </c>
      <c r="I2639">
        <v>6</v>
      </c>
      <c r="J2639">
        <v>30</v>
      </c>
    </row>
    <row r="2640" spans="1:10" x14ac:dyDescent="0.25">
      <c r="A2640" t="s">
        <v>5165</v>
      </c>
      <c r="B2640" s="3">
        <v>44104</v>
      </c>
      <c r="C2640" t="s">
        <v>3133</v>
      </c>
      <c r="D2640" t="s">
        <v>3474</v>
      </c>
      <c r="E2640">
        <v>2</v>
      </c>
      <c r="F2640" t="s">
        <v>3525</v>
      </c>
      <c r="G2640" t="s">
        <v>3518</v>
      </c>
      <c r="H2640">
        <v>1</v>
      </c>
      <c r="I2640">
        <v>13</v>
      </c>
      <c r="J2640">
        <v>26</v>
      </c>
    </row>
    <row r="2641" spans="1:10" x14ac:dyDescent="0.25">
      <c r="A2641" t="s">
        <v>5166</v>
      </c>
      <c r="B2641" s="3">
        <v>44729</v>
      </c>
      <c r="C2641" t="s">
        <v>2861</v>
      </c>
      <c r="D2641" t="s">
        <v>3481</v>
      </c>
      <c r="E2641">
        <v>6</v>
      </c>
      <c r="F2641" t="s">
        <v>3525</v>
      </c>
      <c r="G2641" t="s">
        <v>3518</v>
      </c>
      <c r="H2641">
        <v>0.2</v>
      </c>
      <c r="I2641">
        <v>3.9</v>
      </c>
      <c r="J2641">
        <v>23.4</v>
      </c>
    </row>
    <row r="2642" spans="1:10" x14ac:dyDescent="0.25">
      <c r="A2642" t="s">
        <v>5167</v>
      </c>
      <c r="B2642" s="3">
        <v>44316</v>
      </c>
      <c r="C2642" t="s">
        <v>1318</v>
      </c>
      <c r="D2642" t="s">
        <v>3479</v>
      </c>
      <c r="E2642">
        <v>2</v>
      </c>
      <c r="F2642" t="s">
        <v>3526</v>
      </c>
      <c r="G2642" t="s">
        <v>3517</v>
      </c>
      <c r="H2642">
        <v>2.5</v>
      </c>
      <c r="I2642">
        <v>34.200000000000003</v>
      </c>
      <c r="J2642">
        <v>68.400000000000006</v>
      </c>
    </row>
    <row r="2643" spans="1:10" x14ac:dyDescent="0.25">
      <c r="A2643" t="s">
        <v>5168</v>
      </c>
      <c r="B2643" s="3">
        <v>45339</v>
      </c>
      <c r="C2643" t="s">
        <v>826</v>
      </c>
      <c r="D2643" t="s">
        <v>3494</v>
      </c>
      <c r="E2643">
        <v>2</v>
      </c>
      <c r="F2643" t="s">
        <v>3524</v>
      </c>
      <c r="G2643" t="s">
        <v>3518</v>
      </c>
      <c r="H2643">
        <v>0.2</v>
      </c>
      <c r="I2643">
        <v>2.7</v>
      </c>
      <c r="J2643">
        <v>5.4</v>
      </c>
    </row>
    <row r="2644" spans="1:10" x14ac:dyDescent="0.25">
      <c r="A2644" t="s">
        <v>5169</v>
      </c>
      <c r="B2644" s="3">
        <v>44871</v>
      </c>
      <c r="C2644" t="s">
        <v>805</v>
      </c>
      <c r="D2644" t="s">
        <v>3500</v>
      </c>
      <c r="E2644">
        <v>4</v>
      </c>
      <c r="F2644" t="s">
        <v>3525</v>
      </c>
      <c r="G2644" t="s">
        <v>3518</v>
      </c>
      <c r="H2644">
        <v>0.5</v>
      </c>
      <c r="I2644">
        <v>7.8</v>
      </c>
      <c r="J2644">
        <v>31.2</v>
      </c>
    </row>
    <row r="2645" spans="1:10" x14ac:dyDescent="0.25">
      <c r="A2645" t="s">
        <v>5170</v>
      </c>
      <c r="B2645" s="3">
        <v>44380</v>
      </c>
      <c r="C2645" t="s">
        <v>1957</v>
      </c>
      <c r="D2645" t="s">
        <v>3507</v>
      </c>
      <c r="E2645">
        <v>3</v>
      </c>
      <c r="F2645" t="s">
        <v>3526</v>
      </c>
      <c r="G2645" t="s">
        <v>3517</v>
      </c>
      <c r="H2645">
        <v>0.5</v>
      </c>
      <c r="I2645">
        <v>8.9</v>
      </c>
      <c r="J2645">
        <v>26.7</v>
      </c>
    </row>
    <row r="2646" spans="1:10" x14ac:dyDescent="0.25">
      <c r="A2646" t="s">
        <v>5171</v>
      </c>
      <c r="B2646" s="3">
        <v>44757</v>
      </c>
      <c r="C2646" t="s">
        <v>2384</v>
      </c>
      <c r="D2646" t="s">
        <v>3499</v>
      </c>
      <c r="E2646">
        <v>6</v>
      </c>
      <c r="F2646" t="s">
        <v>3523</v>
      </c>
      <c r="G2646" t="s">
        <v>3518</v>
      </c>
      <c r="H2646">
        <v>2.5</v>
      </c>
      <c r="I2646">
        <v>22.9</v>
      </c>
      <c r="J2646">
        <v>137.4</v>
      </c>
    </row>
    <row r="2647" spans="1:10" x14ac:dyDescent="0.25">
      <c r="A2647" t="s">
        <v>5172</v>
      </c>
      <c r="B2647" s="3">
        <v>45444</v>
      </c>
      <c r="C2647" t="s">
        <v>1485</v>
      </c>
      <c r="D2647" t="s">
        <v>3476</v>
      </c>
      <c r="E2647">
        <v>3</v>
      </c>
      <c r="F2647" t="s">
        <v>3525</v>
      </c>
      <c r="G2647" t="s">
        <v>3517</v>
      </c>
      <c r="H2647">
        <v>0.2</v>
      </c>
      <c r="I2647">
        <v>4.8</v>
      </c>
      <c r="J2647">
        <v>14.4</v>
      </c>
    </row>
    <row r="2648" spans="1:10" x14ac:dyDescent="0.25">
      <c r="A2648" t="s">
        <v>5173</v>
      </c>
      <c r="B2648" s="3">
        <v>44338</v>
      </c>
      <c r="C2648" t="s">
        <v>598</v>
      </c>
      <c r="D2648" t="s">
        <v>3513</v>
      </c>
      <c r="E2648">
        <v>4</v>
      </c>
      <c r="F2648" t="s">
        <v>3523</v>
      </c>
      <c r="G2648" t="s">
        <v>3517</v>
      </c>
      <c r="H2648">
        <v>2.5</v>
      </c>
      <c r="I2648">
        <v>29.8</v>
      </c>
      <c r="J2648">
        <v>119.2</v>
      </c>
    </row>
    <row r="2649" spans="1:10" x14ac:dyDescent="0.25">
      <c r="A2649" t="s">
        <v>5174</v>
      </c>
      <c r="B2649" s="3">
        <v>44439</v>
      </c>
      <c r="C2649" t="s">
        <v>1217</v>
      </c>
      <c r="D2649" t="s">
        <v>3511</v>
      </c>
      <c r="E2649">
        <v>4</v>
      </c>
      <c r="F2649" t="s">
        <v>3523</v>
      </c>
      <c r="G2649" t="s">
        <v>3517</v>
      </c>
      <c r="H2649">
        <v>0.5</v>
      </c>
      <c r="I2649">
        <v>7.8</v>
      </c>
      <c r="J2649">
        <v>31.2</v>
      </c>
    </row>
    <row r="2650" spans="1:10" x14ac:dyDescent="0.25">
      <c r="A2650" t="s">
        <v>5175</v>
      </c>
      <c r="B2650" s="3">
        <v>43753</v>
      </c>
      <c r="C2650" t="s">
        <v>950</v>
      </c>
      <c r="D2650" t="s">
        <v>3477</v>
      </c>
      <c r="E2650">
        <v>4</v>
      </c>
      <c r="F2650" t="s">
        <v>3524</v>
      </c>
      <c r="G2650" t="s">
        <v>3519</v>
      </c>
      <c r="H2650">
        <v>0.5</v>
      </c>
      <c r="I2650">
        <v>6</v>
      </c>
      <c r="J2650">
        <v>24</v>
      </c>
    </row>
    <row r="2651" spans="1:10" x14ac:dyDescent="0.25">
      <c r="A2651" t="s">
        <v>5176</v>
      </c>
      <c r="B2651" s="3">
        <v>45406</v>
      </c>
      <c r="C2651" t="s">
        <v>2757</v>
      </c>
      <c r="D2651" t="s">
        <v>3515</v>
      </c>
      <c r="E2651">
        <v>4</v>
      </c>
      <c r="F2651" t="s">
        <v>3526</v>
      </c>
      <c r="G2651" t="s">
        <v>3517</v>
      </c>
      <c r="H2651">
        <v>0.2</v>
      </c>
      <c r="I2651">
        <v>4.5</v>
      </c>
      <c r="J2651">
        <v>18</v>
      </c>
    </row>
    <row r="2652" spans="1:10" x14ac:dyDescent="0.25">
      <c r="A2652" t="s">
        <v>5177</v>
      </c>
      <c r="B2652" s="3">
        <v>44840</v>
      </c>
      <c r="C2652" t="s">
        <v>1908</v>
      </c>
      <c r="D2652" t="s">
        <v>3473</v>
      </c>
      <c r="E2652">
        <v>3</v>
      </c>
      <c r="F2652" t="s">
        <v>3524</v>
      </c>
      <c r="G2652" t="s">
        <v>3517</v>
      </c>
      <c r="H2652">
        <v>2.5</v>
      </c>
      <c r="I2652">
        <v>27.5</v>
      </c>
      <c r="J2652">
        <v>82.5</v>
      </c>
    </row>
    <row r="2653" spans="1:10" x14ac:dyDescent="0.25">
      <c r="A2653" t="s">
        <v>5178</v>
      </c>
      <c r="B2653" s="3">
        <v>45635</v>
      </c>
      <c r="C2653" t="s">
        <v>1785</v>
      </c>
      <c r="D2653" t="s">
        <v>3472</v>
      </c>
      <c r="E2653">
        <v>5</v>
      </c>
      <c r="F2653" t="s">
        <v>3526</v>
      </c>
      <c r="G2653" t="s">
        <v>3519</v>
      </c>
      <c r="H2653">
        <v>1</v>
      </c>
      <c r="I2653">
        <v>13.8</v>
      </c>
      <c r="J2653">
        <v>69</v>
      </c>
    </row>
    <row r="2654" spans="1:10" x14ac:dyDescent="0.25">
      <c r="A2654" t="s">
        <v>5179</v>
      </c>
      <c r="B2654" s="3">
        <v>45339</v>
      </c>
      <c r="C2654" t="s">
        <v>2473</v>
      </c>
      <c r="D2654" t="s">
        <v>3508</v>
      </c>
      <c r="E2654">
        <v>2</v>
      </c>
      <c r="F2654" t="s">
        <v>3524</v>
      </c>
      <c r="G2654" t="s">
        <v>3518</v>
      </c>
      <c r="H2654">
        <v>1</v>
      </c>
      <c r="I2654">
        <v>9</v>
      </c>
      <c r="J2654">
        <v>18</v>
      </c>
    </row>
    <row r="2655" spans="1:10" x14ac:dyDescent="0.25">
      <c r="A2655" t="s">
        <v>5180</v>
      </c>
      <c r="B2655" s="3">
        <v>44991</v>
      </c>
      <c r="C2655" t="s">
        <v>869</v>
      </c>
      <c r="D2655" t="s">
        <v>3502</v>
      </c>
      <c r="E2655">
        <v>1</v>
      </c>
      <c r="F2655" t="s">
        <v>3526</v>
      </c>
      <c r="G2655" t="s">
        <v>3517</v>
      </c>
      <c r="H2655">
        <v>1</v>
      </c>
      <c r="I2655">
        <v>14.9</v>
      </c>
      <c r="J2655">
        <v>14.9</v>
      </c>
    </row>
    <row r="2656" spans="1:10" x14ac:dyDescent="0.25">
      <c r="A2656" t="s">
        <v>5181</v>
      </c>
      <c r="B2656" s="3">
        <v>45568</v>
      </c>
      <c r="C2656" t="s">
        <v>1275</v>
      </c>
      <c r="D2656" t="s">
        <v>3471</v>
      </c>
      <c r="E2656">
        <v>5</v>
      </c>
      <c r="F2656" t="s">
        <v>3523</v>
      </c>
      <c r="G2656" t="s">
        <v>3517</v>
      </c>
      <c r="H2656">
        <v>1</v>
      </c>
      <c r="I2656">
        <v>13</v>
      </c>
      <c r="J2656">
        <v>65</v>
      </c>
    </row>
    <row r="2657" spans="1:10" x14ac:dyDescent="0.25">
      <c r="A2657" t="s">
        <v>5182</v>
      </c>
      <c r="B2657" s="3">
        <v>45289</v>
      </c>
      <c r="C2657" t="s">
        <v>1281</v>
      </c>
      <c r="D2657" t="s">
        <v>3494</v>
      </c>
      <c r="E2657">
        <v>2</v>
      </c>
      <c r="F2657" t="s">
        <v>3524</v>
      </c>
      <c r="G2657" t="s">
        <v>3518</v>
      </c>
      <c r="H2657">
        <v>0.2</v>
      </c>
      <c r="I2657">
        <v>2.7</v>
      </c>
      <c r="J2657">
        <v>5.4</v>
      </c>
    </row>
    <row r="2658" spans="1:10" x14ac:dyDescent="0.25">
      <c r="A2658" t="s">
        <v>5183</v>
      </c>
      <c r="B2658" s="3">
        <v>44867</v>
      </c>
      <c r="C2658" t="s">
        <v>722</v>
      </c>
      <c r="D2658" t="s">
        <v>3496</v>
      </c>
      <c r="E2658">
        <v>6</v>
      </c>
      <c r="F2658" t="s">
        <v>3525</v>
      </c>
      <c r="G2658" t="s">
        <v>3518</v>
      </c>
      <c r="H2658">
        <v>2.5</v>
      </c>
      <c r="I2658">
        <v>29.8</v>
      </c>
      <c r="J2658">
        <v>178.8</v>
      </c>
    </row>
    <row r="2659" spans="1:10" x14ac:dyDescent="0.25">
      <c r="A2659" t="s">
        <v>5184</v>
      </c>
      <c r="B2659" s="3">
        <v>45405</v>
      </c>
      <c r="C2659" t="s">
        <v>956</v>
      </c>
      <c r="D2659" t="s">
        <v>3509</v>
      </c>
      <c r="E2659">
        <v>2</v>
      </c>
      <c r="F2659" t="s">
        <v>3524</v>
      </c>
      <c r="G2659" t="s">
        <v>3517</v>
      </c>
      <c r="H2659">
        <v>0.2</v>
      </c>
      <c r="I2659">
        <v>3.6</v>
      </c>
      <c r="J2659">
        <v>7.2</v>
      </c>
    </row>
    <row r="2660" spans="1:10" x14ac:dyDescent="0.25">
      <c r="A2660" t="s">
        <v>5185</v>
      </c>
      <c r="B2660" s="3">
        <v>44815</v>
      </c>
      <c r="C2660" t="s">
        <v>2053</v>
      </c>
      <c r="D2660" t="s">
        <v>3503</v>
      </c>
      <c r="E2660">
        <v>3</v>
      </c>
      <c r="F2660" t="s">
        <v>3524</v>
      </c>
      <c r="G2660" t="s">
        <v>3518</v>
      </c>
      <c r="H2660">
        <v>0.5</v>
      </c>
      <c r="I2660">
        <v>5.4</v>
      </c>
      <c r="J2660">
        <v>16.2</v>
      </c>
    </row>
    <row r="2661" spans="1:10" x14ac:dyDescent="0.25">
      <c r="A2661" t="s">
        <v>5186</v>
      </c>
      <c r="B2661" s="3">
        <v>45049</v>
      </c>
      <c r="C2661" t="s">
        <v>1121</v>
      </c>
      <c r="D2661" t="s">
        <v>3503</v>
      </c>
      <c r="E2661">
        <v>6</v>
      </c>
      <c r="F2661" t="s">
        <v>3524</v>
      </c>
      <c r="G2661" t="s">
        <v>3518</v>
      </c>
      <c r="H2661">
        <v>0.5</v>
      </c>
      <c r="I2661">
        <v>5.4</v>
      </c>
      <c r="J2661">
        <v>32.4</v>
      </c>
    </row>
    <row r="2662" spans="1:10" x14ac:dyDescent="0.25">
      <c r="A2662" t="s">
        <v>5187</v>
      </c>
      <c r="B2662" s="3">
        <v>44347</v>
      </c>
      <c r="C2662" t="s">
        <v>1244</v>
      </c>
      <c r="D2662" t="s">
        <v>3505</v>
      </c>
      <c r="E2662">
        <v>3</v>
      </c>
      <c r="F2662" t="s">
        <v>3524</v>
      </c>
      <c r="G2662" t="s">
        <v>3519</v>
      </c>
      <c r="H2662">
        <v>0.2</v>
      </c>
      <c r="I2662">
        <v>3</v>
      </c>
      <c r="J2662">
        <v>9</v>
      </c>
    </row>
    <row r="2663" spans="1:10" x14ac:dyDescent="0.25">
      <c r="A2663" t="s">
        <v>5188</v>
      </c>
      <c r="B2663" s="3">
        <v>45358</v>
      </c>
      <c r="C2663" t="s">
        <v>2539</v>
      </c>
      <c r="D2663" t="s">
        <v>3496</v>
      </c>
      <c r="E2663">
        <v>1</v>
      </c>
      <c r="F2663" t="s">
        <v>3525</v>
      </c>
      <c r="G2663" t="s">
        <v>3518</v>
      </c>
      <c r="H2663">
        <v>2.5</v>
      </c>
      <c r="I2663">
        <v>29.8</v>
      </c>
      <c r="J2663">
        <v>29.8</v>
      </c>
    </row>
    <row r="2664" spans="1:10" x14ac:dyDescent="0.25">
      <c r="A2664" t="s">
        <v>5189</v>
      </c>
      <c r="B2664" s="3">
        <v>45206</v>
      </c>
      <c r="C2664" t="s">
        <v>793</v>
      </c>
      <c r="D2664" t="s">
        <v>3494</v>
      </c>
      <c r="E2664">
        <v>3</v>
      </c>
      <c r="F2664" t="s">
        <v>3524</v>
      </c>
      <c r="G2664" t="s">
        <v>3518</v>
      </c>
      <c r="H2664">
        <v>0.2</v>
      </c>
      <c r="I2664">
        <v>2.7</v>
      </c>
      <c r="J2664">
        <v>8.1</v>
      </c>
    </row>
    <row r="2665" spans="1:10" x14ac:dyDescent="0.25">
      <c r="A2665" t="s">
        <v>5190</v>
      </c>
      <c r="B2665" s="3">
        <v>45593</v>
      </c>
      <c r="C2665" t="s">
        <v>884</v>
      </c>
      <c r="D2665" t="s">
        <v>3480</v>
      </c>
      <c r="E2665">
        <v>5</v>
      </c>
      <c r="F2665" t="s">
        <v>3524</v>
      </c>
      <c r="G2665" t="s">
        <v>3518</v>
      </c>
      <c r="H2665">
        <v>2.5</v>
      </c>
      <c r="I2665">
        <v>20.6</v>
      </c>
      <c r="J2665">
        <v>103</v>
      </c>
    </row>
    <row r="2666" spans="1:10" x14ac:dyDescent="0.25">
      <c r="A2666" t="s">
        <v>5191</v>
      </c>
      <c r="B2666" s="3">
        <v>45086</v>
      </c>
      <c r="C2666" t="s">
        <v>1594</v>
      </c>
      <c r="D2666" t="s">
        <v>3505</v>
      </c>
      <c r="E2666">
        <v>6</v>
      </c>
      <c r="F2666" t="s">
        <v>3524</v>
      </c>
      <c r="G2666" t="s">
        <v>3519</v>
      </c>
      <c r="H2666">
        <v>0.2</v>
      </c>
      <c r="I2666">
        <v>3</v>
      </c>
      <c r="J2666">
        <v>18</v>
      </c>
    </row>
    <row r="2667" spans="1:10" x14ac:dyDescent="0.25">
      <c r="A2667" t="s">
        <v>5192</v>
      </c>
      <c r="B2667" s="3">
        <v>45326</v>
      </c>
      <c r="C2667" t="s">
        <v>1797</v>
      </c>
      <c r="D2667" t="s">
        <v>3491</v>
      </c>
      <c r="E2667">
        <v>5</v>
      </c>
      <c r="F2667" t="s">
        <v>3525</v>
      </c>
      <c r="G2667" t="s">
        <v>3519</v>
      </c>
      <c r="H2667">
        <v>0.5</v>
      </c>
      <c r="I2667">
        <v>8.6999999999999993</v>
      </c>
      <c r="J2667">
        <v>43.5</v>
      </c>
    </row>
    <row r="2668" spans="1:10" x14ac:dyDescent="0.25">
      <c r="A2668" t="s">
        <v>5193</v>
      </c>
      <c r="B2668" s="3">
        <v>45073</v>
      </c>
      <c r="C2668" t="s">
        <v>1532</v>
      </c>
      <c r="D2668" t="s">
        <v>3474</v>
      </c>
      <c r="E2668">
        <v>2</v>
      </c>
      <c r="F2668" t="s">
        <v>3525</v>
      </c>
      <c r="G2668" t="s">
        <v>3518</v>
      </c>
      <c r="H2668">
        <v>1</v>
      </c>
      <c r="I2668">
        <v>13</v>
      </c>
      <c r="J2668">
        <v>26</v>
      </c>
    </row>
    <row r="2669" spans="1:10" x14ac:dyDescent="0.25">
      <c r="A2669" t="s">
        <v>5194</v>
      </c>
      <c r="B2669" s="3">
        <v>45587</v>
      </c>
      <c r="C2669" t="s">
        <v>1309</v>
      </c>
      <c r="D2669" t="s">
        <v>3485</v>
      </c>
      <c r="E2669">
        <v>5</v>
      </c>
      <c r="F2669" t="s">
        <v>3523</v>
      </c>
      <c r="G2669" t="s">
        <v>3518</v>
      </c>
      <c r="H2669">
        <v>0.2</v>
      </c>
      <c r="I2669">
        <v>3</v>
      </c>
      <c r="J2669">
        <v>15</v>
      </c>
    </row>
    <row r="2670" spans="1:10" x14ac:dyDescent="0.25">
      <c r="A2670" t="s">
        <v>5195</v>
      </c>
      <c r="B2670" s="3">
        <v>45389</v>
      </c>
      <c r="C2670" t="s">
        <v>1220</v>
      </c>
      <c r="D2670" t="s">
        <v>3469</v>
      </c>
      <c r="E2670">
        <v>3</v>
      </c>
      <c r="F2670" t="s">
        <v>3524</v>
      </c>
      <c r="G2670" t="s">
        <v>3519</v>
      </c>
      <c r="H2670">
        <v>1</v>
      </c>
      <c r="I2670">
        <v>10</v>
      </c>
      <c r="J2670">
        <v>30</v>
      </c>
    </row>
    <row r="2671" spans="1:10" x14ac:dyDescent="0.25">
      <c r="A2671" t="s">
        <v>5196</v>
      </c>
      <c r="B2671" s="3">
        <v>45540</v>
      </c>
      <c r="C2671" t="s">
        <v>2895</v>
      </c>
      <c r="D2671" t="s">
        <v>3510</v>
      </c>
      <c r="E2671">
        <v>6</v>
      </c>
      <c r="F2671" t="s">
        <v>3524</v>
      </c>
      <c r="G2671" t="s">
        <v>3517</v>
      </c>
      <c r="H2671">
        <v>1</v>
      </c>
      <c r="I2671">
        <v>12</v>
      </c>
      <c r="J2671">
        <v>72</v>
      </c>
    </row>
    <row r="2672" spans="1:10" x14ac:dyDescent="0.25">
      <c r="A2672" t="s">
        <v>5197</v>
      </c>
      <c r="B2672" s="3">
        <v>45448</v>
      </c>
      <c r="C2672" t="s">
        <v>875</v>
      </c>
      <c r="D2672" t="s">
        <v>3497</v>
      </c>
      <c r="E2672">
        <v>6</v>
      </c>
      <c r="F2672" t="s">
        <v>3526</v>
      </c>
      <c r="G2672" t="s">
        <v>3519</v>
      </c>
      <c r="H2672">
        <v>2.5</v>
      </c>
      <c r="I2672">
        <v>31.6</v>
      </c>
      <c r="J2672">
        <v>189.6</v>
      </c>
    </row>
    <row r="2673" spans="1:10" x14ac:dyDescent="0.25">
      <c r="A2673" t="s">
        <v>5198</v>
      </c>
      <c r="B2673" s="3">
        <v>45143</v>
      </c>
      <c r="C2673" t="s">
        <v>2723</v>
      </c>
      <c r="D2673" t="s">
        <v>3501</v>
      </c>
      <c r="E2673">
        <v>3</v>
      </c>
      <c r="F2673" t="s">
        <v>3525</v>
      </c>
      <c r="G2673" t="s">
        <v>3517</v>
      </c>
      <c r="H2673">
        <v>1</v>
      </c>
      <c r="I2673">
        <v>15.9</v>
      </c>
      <c r="J2673">
        <v>47.7</v>
      </c>
    </row>
    <row r="2674" spans="1:10" x14ac:dyDescent="0.25">
      <c r="A2674" t="s">
        <v>5199</v>
      </c>
      <c r="B2674" s="3">
        <v>44472</v>
      </c>
      <c r="C2674" t="s">
        <v>3432</v>
      </c>
      <c r="D2674" t="s">
        <v>3503</v>
      </c>
      <c r="E2674">
        <v>2</v>
      </c>
      <c r="F2674" t="s">
        <v>3524</v>
      </c>
      <c r="G2674" t="s">
        <v>3518</v>
      </c>
      <c r="H2674">
        <v>0.5</v>
      </c>
      <c r="I2674">
        <v>5.4</v>
      </c>
      <c r="J2674">
        <v>10.8</v>
      </c>
    </row>
    <row r="2675" spans="1:10" x14ac:dyDescent="0.25">
      <c r="A2675" t="s">
        <v>5200</v>
      </c>
      <c r="B2675" s="3">
        <v>45640</v>
      </c>
      <c r="C2675" t="s">
        <v>3351</v>
      </c>
      <c r="D2675" t="s">
        <v>3504</v>
      </c>
      <c r="E2675">
        <v>6</v>
      </c>
      <c r="F2675" t="s">
        <v>3524</v>
      </c>
      <c r="G2675" t="s">
        <v>3517</v>
      </c>
      <c r="H2675">
        <v>0.5</v>
      </c>
      <c r="I2675">
        <v>7.2</v>
      </c>
      <c r="J2675">
        <v>43.2</v>
      </c>
    </row>
    <row r="2676" spans="1:10" x14ac:dyDescent="0.25">
      <c r="A2676" t="s">
        <v>5201</v>
      </c>
      <c r="B2676" s="3">
        <v>45516</v>
      </c>
      <c r="C2676" t="s">
        <v>1091</v>
      </c>
      <c r="D2676" t="s">
        <v>3501</v>
      </c>
      <c r="E2676">
        <v>2</v>
      </c>
      <c r="F2676" t="s">
        <v>3525</v>
      </c>
      <c r="G2676" t="s">
        <v>3517</v>
      </c>
      <c r="H2676">
        <v>1</v>
      </c>
      <c r="I2676">
        <v>15.9</v>
      </c>
      <c r="J2676">
        <v>31.8</v>
      </c>
    </row>
    <row r="2677" spans="1:10" x14ac:dyDescent="0.25">
      <c r="A2677" t="s">
        <v>5202</v>
      </c>
      <c r="B2677" s="3">
        <v>44097</v>
      </c>
      <c r="C2677" t="s">
        <v>1788</v>
      </c>
      <c r="D2677" t="s">
        <v>3469</v>
      </c>
      <c r="E2677">
        <v>4</v>
      </c>
      <c r="F2677" t="s">
        <v>3524</v>
      </c>
      <c r="G2677" t="s">
        <v>3519</v>
      </c>
      <c r="H2677">
        <v>1</v>
      </c>
      <c r="I2677">
        <v>10</v>
      </c>
      <c r="J2677">
        <v>40</v>
      </c>
    </row>
    <row r="2678" spans="1:10" x14ac:dyDescent="0.25">
      <c r="A2678" t="s">
        <v>5203</v>
      </c>
      <c r="B2678" s="3">
        <v>45605</v>
      </c>
      <c r="C2678" t="s">
        <v>3098</v>
      </c>
      <c r="D2678" t="s">
        <v>3476</v>
      </c>
      <c r="E2678">
        <v>5</v>
      </c>
      <c r="F2678" t="s">
        <v>3525</v>
      </c>
      <c r="G2678" t="s">
        <v>3517</v>
      </c>
      <c r="H2678">
        <v>0.2</v>
      </c>
      <c r="I2678">
        <v>4.8</v>
      </c>
      <c r="J2678">
        <v>24</v>
      </c>
    </row>
    <row r="2679" spans="1:10" x14ac:dyDescent="0.25">
      <c r="A2679" t="s">
        <v>5204</v>
      </c>
      <c r="B2679" s="3">
        <v>45386</v>
      </c>
      <c r="C2679" t="s">
        <v>769</v>
      </c>
      <c r="D2679" t="s">
        <v>3512</v>
      </c>
      <c r="E2679">
        <v>5</v>
      </c>
      <c r="F2679" t="s">
        <v>3525</v>
      </c>
      <c r="G2679" t="s">
        <v>3519</v>
      </c>
      <c r="H2679">
        <v>2.5</v>
      </c>
      <c r="I2679">
        <v>33.5</v>
      </c>
      <c r="J2679">
        <v>167.5</v>
      </c>
    </row>
    <row r="2680" spans="1:10" x14ac:dyDescent="0.25">
      <c r="A2680" t="s">
        <v>5205</v>
      </c>
      <c r="B2680" s="3">
        <v>43512</v>
      </c>
      <c r="C2680" t="s">
        <v>2444</v>
      </c>
      <c r="D2680" t="s">
        <v>3473</v>
      </c>
      <c r="E2680">
        <v>6</v>
      </c>
      <c r="F2680" t="s">
        <v>3524</v>
      </c>
      <c r="G2680" t="s">
        <v>3517</v>
      </c>
      <c r="H2680">
        <v>2.5</v>
      </c>
      <c r="I2680">
        <v>27.5</v>
      </c>
      <c r="J2680">
        <v>165</v>
      </c>
    </row>
    <row r="2681" spans="1:10" x14ac:dyDescent="0.25">
      <c r="A2681" t="s">
        <v>5206</v>
      </c>
      <c r="B2681" s="3">
        <v>44246</v>
      </c>
      <c r="C2681" t="s">
        <v>2491</v>
      </c>
      <c r="D2681" t="s">
        <v>3471</v>
      </c>
      <c r="E2681">
        <v>5</v>
      </c>
      <c r="F2681" t="s">
        <v>3523</v>
      </c>
      <c r="G2681" t="s">
        <v>3517</v>
      </c>
      <c r="H2681">
        <v>1</v>
      </c>
      <c r="I2681">
        <v>13</v>
      </c>
      <c r="J2681">
        <v>65</v>
      </c>
    </row>
    <row r="2682" spans="1:10" x14ac:dyDescent="0.25">
      <c r="A2682" t="s">
        <v>5207</v>
      </c>
      <c r="B2682" s="3">
        <v>45178</v>
      </c>
      <c r="C2682" t="s">
        <v>2539</v>
      </c>
      <c r="D2682" t="s">
        <v>3512</v>
      </c>
      <c r="E2682">
        <v>2</v>
      </c>
      <c r="F2682" t="s">
        <v>3525</v>
      </c>
      <c r="G2682" t="s">
        <v>3519</v>
      </c>
      <c r="H2682">
        <v>2.5</v>
      </c>
      <c r="I2682">
        <v>33.5</v>
      </c>
      <c r="J2682">
        <v>67</v>
      </c>
    </row>
    <row r="2683" spans="1:10" x14ac:dyDescent="0.25">
      <c r="A2683" t="s">
        <v>5208</v>
      </c>
      <c r="B2683" s="3">
        <v>44633</v>
      </c>
      <c r="C2683" t="s">
        <v>1893</v>
      </c>
      <c r="D2683" t="s">
        <v>3477</v>
      </c>
      <c r="E2683">
        <v>5</v>
      </c>
      <c r="F2683" t="s">
        <v>3524</v>
      </c>
      <c r="G2683" t="s">
        <v>3519</v>
      </c>
      <c r="H2683">
        <v>0.5</v>
      </c>
      <c r="I2683">
        <v>6</v>
      </c>
      <c r="J2683">
        <v>30</v>
      </c>
    </row>
    <row r="2684" spans="1:10" x14ac:dyDescent="0.25">
      <c r="A2684" t="s">
        <v>5209</v>
      </c>
      <c r="B2684" s="3">
        <v>45444</v>
      </c>
      <c r="C2684" t="s">
        <v>3160</v>
      </c>
      <c r="D2684" t="s">
        <v>3511</v>
      </c>
      <c r="E2684">
        <v>1</v>
      </c>
      <c r="F2684" t="s">
        <v>3523</v>
      </c>
      <c r="G2684" t="s">
        <v>3517</v>
      </c>
      <c r="H2684">
        <v>0.5</v>
      </c>
      <c r="I2684">
        <v>7.8</v>
      </c>
      <c r="J2684">
        <v>7.8</v>
      </c>
    </row>
    <row r="2685" spans="1:10" x14ac:dyDescent="0.25">
      <c r="A2685" t="s">
        <v>5210</v>
      </c>
      <c r="B2685" s="3">
        <v>44730</v>
      </c>
      <c r="C2685" t="s">
        <v>2174</v>
      </c>
      <c r="D2685" t="s">
        <v>3505</v>
      </c>
      <c r="E2685">
        <v>3</v>
      </c>
      <c r="F2685" t="s">
        <v>3524</v>
      </c>
      <c r="G2685" t="s">
        <v>3519</v>
      </c>
      <c r="H2685">
        <v>0.2</v>
      </c>
      <c r="I2685">
        <v>3</v>
      </c>
      <c r="J2685">
        <v>9</v>
      </c>
    </row>
    <row r="2686" spans="1:10" x14ac:dyDescent="0.25">
      <c r="A2686" t="s">
        <v>5211</v>
      </c>
      <c r="B2686" s="3">
        <v>45360</v>
      </c>
      <c r="C2686" t="s">
        <v>2587</v>
      </c>
      <c r="D2686" t="s">
        <v>3503</v>
      </c>
      <c r="E2686">
        <v>1</v>
      </c>
      <c r="F2686" t="s">
        <v>3524</v>
      </c>
      <c r="G2686" t="s">
        <v>3518</v>
      </c>
      <c r="H2686">
        <v>0.5</v>
      </c>
      <c r="I2686">
        <v>5.4</v>
      </c>
      <c r="J2686">
        <v>5.4</v>
      </c>
    </row>
    <row r="2687" spans="1:10" x14ac:dyDescent="0.25">
      <c r="A2687" t="s">
        <v>5212</v>
      </c>
      <c r="B2687" s="3">
        <v>45049</v>
      </c>
      <c r="C2687" t="s">
        <v>3004</v>
      </c>
      <c r="D2687" t="s">
        <v>3512</v>
      </c>
      <c r="E2687">
        <v>4</v>
      </c>
      <c r="F2687" t="s">
        <v>3525</v>
      </c>
      <c r="G2687" t="s">
        <v>3519</v>
      </c>
      <c r="H2687">
        <v>2.5</v>
      </c>
      <c r="I2687">
        <v>33.5</v>
      </c>
      <c r="J2687">
        <v>134</v>
      </c>
    </row>
    <row r="2688" spans="1:10" x14ac:dyDescent="0.25">
      <c r="A2688" t="s">
        <v>5213</v>
      </c>
      <c r="B2688" s="3">
        <v>43943</v>
      </c>
      <c r="C2688" t="s">
        <v>2708</v>
      </c>
      <c r="D2688" t="s">
        <v>3472</v>
      </c>
      <c r="E2688">
        <v>5</v>
      </c>
      <c r="F2688" t="s">
        <v>3526</v>
      </c>
      <c r="G2688" t="s">
        <v>3519</v>
      </c>
      <c r="H2688">
        <v>1</v>
      </c>
      <c r="I2688">
        <v>13.8</v>
      </c>
      <c r="J2688">
        <v>69</v>
      </c>
    </row>
    <row r="2689" spans="1:10" x14ac:dyDescent="0.25">
      <c r="A2689" t="s">
        <v>5214</v>
      </c>
      <c r="B2689" s="3">
        <v>45485</v>
      </c>
      <c r="C2689" t="s">
        <v>2708</v>
      </c>
      <c r="D2689" t="s">
        <v>3470</v>
      </c>
      <c r="E2689">
        <v>4</v>
      </c>
      <c r="F2689" t="s">
        <v>3526</v>
      </c>
      <c r="G2689" t="s">
        <v>3519</v>
      </c>
      <c r="H2689">
        <v>0.5</v>
      </c>
      <c r="I2689">
        <v>8.3000000000000007</v>
      </c>
      <c r="J2689">
        <v>33.200000000000003</v>
      </c>
    </row>
    <row r="2690" spans="1:10" x14ac:dyDescent="0.25">
      <c r="A2690" t="s">
        <v>5215</v>
      </c>
      <c r="B2690" s="3">
        <v>44028</v>
      </c>
      <c r="C2690" t="s">
        <v>1351</v>
      </c>
      <c r="D2690" t="s">
        <v>3482</v>
      </c>
      <c r="E2690">
        <v>2</v>
      </c>
      <c r="F2690" t="s">
        <v>3524</v>
      </c>
      <c r="G2690" t="s">
        <v>3519</v>
      </c>
      <c r="H2690">
        <v>2.5</v>
      </c>
      <c r="I2690">
        <v>22.9</v>
      </c>
      <c r="J2690">
        <v>45.8</v>
      </c>
    </row>
    <row r="2691" spans="1:10" x14ac:dyDescent="0.25">
      <c r="A2691" t="s">
        <v>5216</v>
      </c>
      <c r="B2691" s="3">
        <v>45457</v>
      </c>
      <c r="C2691" t="s">
        <v>2500</v>
      </c>
      <c r="D2691" t="s">
        <v>3476</v>
      </c>
      <c r="E2691">
        <v>1</v>
      </c>
      <c r="F2691" t="s">
        <v>3525</v>
      </c>
      <c r="G2691" t="s">
        <v>3517</v>
      </c>
      <c r="H2691">
        <v>0.2</v>
      </c>
      <c r="I2691">
        <v>4.8</v>
      </c>
      <c r="J2691">
        <v>4.8</v>
      </c>
    </row>
    <row r="2692" spans="1:10" x14ac:dyDescent="0.25">
      <c r="A2692" t="s">
        <v>5217</v>
      </c>
      <c r="B2692" s="3">
        <v>44494</v>
      </c>
      <c r="C2692" t="s">
        <v>1924</v>
      </c>
      <c r="D2692" t="s">
        <v>3502</v>
      </c>
      <c r="E2692">
        <v>3</v>
      </c>
      <c r="F2692" t="s">
        <v>3526</v>
      </c>
      <c r="G2692" t="s">
        <v>3517</v>
      </c>
      <c r="H2692">
        <v>1</v>
      </c>
      <c r="I2692">
        <v>14.9</v>
      </c>
      <c r="J2692">
        <v>44.7</v>
      </c>
    </row>
    <row r="2693" spans="1:10" x14ac:dyDescent="0.25">
      <c r="A2693" t="s">
        <v>5218</v>
      </c>
      <c r="B2693" s="3">
        <v>45209</v>
      </c>
      <c r="C2693" t="s">
        <v>1324</v>
      </c>
      <c r="D2693" t="s">
        <v>3498</v>
      </c>
      <c r="E2693">
        <v>3</v>
      </c>
      <c r="F2693" t="s">
        <v>3523</v>
      </c>
      <c r="G2693" t="s">
        <v>3517</v>
      </c>
      <c r="H2693">
        <v>0.2</v>
      </c>
      <c r="I2693">
        <v>3.9</v>
      </c>
      <c r="J2693">
        <v>11.7</v>
      </c>
    </row>
    <row r="2694" spans="1:10" x14ac:dyDescent="0.25">
      <c r="A2694" t="s">
        <v>5219</v>
      </c>
      <c r="B2694" s="3">
        <v>45018</v>
      </c>
      <c r="C2694" t="s">
        <v>1050</v>
      </c>
      <c r="D2694" t="s">
        <v>3482</v>
      </c>
      <c r="E2694">
        <v>4</v>
      </c>
      <c r="F2694" t="s">
        <v>3524</v>
      </c>
      <c r="G2694" t="s">
        <v>3519</v>
      </c>
      <c r="H2694">
        <v>2.5</v>
      </c>
      <c r="I2694">
        <v>22.9</v>
      </c>
      <c r="J2694">
        <v>91.6</v>
      </c>
    </row>
    <row r="2695" spans="1:10" x14ac:dyDescent="0.25">
      <c r="A2695" t="s">
        <v>5220</v>
      </c>
      <c r="B2695" s="3">
        <v>45094</v>
      </c>
      <c r="C2695" t="s">
        <v>1893</v>
      </c>
      <c r="D2695" t="s">
        <v>3488</v>
      </c>
      <c r="E2695">
        <v>3</v>
      </c>
      <c r="F2695" t="s">
        <v>3523</v>
      </c>
      <c r="G2695" t="s">
        <v>3519</v>
      </c>
      <c r="H2695">
        <v>0.5</v>
      </c>
      <c r="I2695">
        <v>6.8</v>
      </c>
      <c r="J2695">
        <v>20.399999999999999</v>
      </c>
    </row>
    <row r="2696" spans="1:10" x14ac:dyDescent="0.25">
      <c r="A2696" t="s">
        <v>5221</v>
      </c>
      <c r="B2696" s="3">
        <v>45254</v>
      </c>
      <c r="C2696" t="s">
        <v>1169</v>
      </c>
      <c r="D2696" t="s">
        <v>3482</v>
      </c>
      <c r="E2696">
        <v>4</v>
      </c>
      <c r="F2696" t="s">
        <v>3524</v>
      </c>
      <c r="G2696" t="s">
        <v>3519</v>
      </c>
      <c r="H2696">
        <v>2.5</v>
      </c>
      <c r="I2696">
        <v>22.9</v>
      </c>
      <c r="J2696">
        <v>91.6</v>
      </c>
    </row>
    <row r="2697" spans="1:10" x14ac:dyDescent="0.25">
      <c r="A2697" t="s">
        <v>5222</v>
      </c>
      <c r="B2697" s="3">
        <v>45076</v>
      </c>
      <c r="C2697" t="s">
        <v>704</v>
      </c>
      <c r="D2697" t="s">
        <v>3481</v>
      </c>
      <c r="E2697">
        <v>5</v>
      </c>
      <c r="F2697" t="s">
        <v>3525</v>
      </c>
      <c r="G2697" t="s">
        <v>3518</v>
      </c>
      <c r="H2697">
        <v>0.2</v>
      </c>
      <c r="I2697">
        <v>3.9</v>
      </c>
      <c r="J2697">
        <v>19.5</v>
      </c>
    </row>
    <row r="2698" spans="1:10" x14ac:dyDescent="0.25">
      <c r="A2698" t="s">
        <v>5223</v>
      </c>
      <c r="B2698" s="3">
        <v>43963</v>
      </c>
      <c r="C2698" t="s">
        <v>1693</v>
      </c>
      <c r="D2698" t="s">
        <v>3486</v>
      </c>
      <c r="E2698">
        <v>3</v>
      </c>
      <c r="F2698" t="s">
        <v>3523</v>
      </c>
      <c r="G2698" t="s">
        <v>3519</v>
      </c>
      <c r="H2698">
        <v>1</v>
      </c>
      <c r="I2698">
        <v>11.3</v>
      </c>
      <c r="J2698">
        <v>33.9</v>
      </c>
    </row>
    <row r="2699" spans="1:10" x14ac:dyDescent="0.25">
      <c r="A2699" t="s">
        <v>5224</v>
      </c>
      <c r="B2699" s="3">
        <v>43623</v>
      </c>
      <c r="C2699" t="s">
        <v>2633</v>
      </c>
      <c r="D2699" t="s">
        <v>3489</v>
      </c>
      <c r="E2699">
        <v>1</v>
      </c>
      <c r="F2699" t="s">
        <v>3523</v>
      </c>
      <c r="G2699" t="s">
        <v>3518</v>
      </c>
      <c r="H2699">
        <v>0.5</v>
      </c>
      <c r="I2699">
        <v>6</v>
      </c>
      <c r="J2699">
        <v>6</v>
      </c>
    </row>
    <row r="2700" spans="1:10" x14ac:dyDescent="0.25">
      <c r="A2700" t="s">
        <v>5225</v>
      </c>
      <c r="B2700" s="3">
        <v>45257</v>
      </c>
      <c r="C2700" t="s">
        <v>2326</v>
      </c>
      <c r="D2700" t="s">
        <v>3510</v>
      </c>
      <c r="E2700">
        <v>4</v>
      </c>
      <c r="F2700" t="s">
        <v>3524</v>
      </c>
      <c r="G2700" t="s">
        <v>3517</v>
      </c>
      <c r="H2700">
        <v>1</v>
      </c>
      <c r="I2700">
        <v>12</v>
      </c>
      <c r="J2700">
        <v>48</v>
      </c>
    </row>
    <row r="2701" spans="1:10" x14ac:dyDescent="0.25">
      <c r="A2701" t="s">
        <v>5226</v>
      </c>
      <c r="B2701" s="3">
        <v>43931</v>
      </c>
      <c r="C2701" t="s">
        <v>1287</v>
      </c>
      <c r="D2701" t="s">
        <v>3469</v>
      </c>
      <c r="E2701">
        <v>1</v>
      </c>
      <c r="F2701" t="s">
        <v>3524</v>
      </c>
      <c r="G2701" t="s">
        <v>3519</v>
      </c>
      <c r="H2701">
        <v>1</v>
      </c>
      <c r="I2701">
        <v>10</v>
      </c>
      <c r="J2701">
        <v>10</v>
      </c>
    </row>
    <row r="2702" spans="1:10" x14ac:dyDescent="0.25">
      <c r="A2702" t="s">
        <v>5227</v>
      </c>
      <c r="B2702" s="3">
        <v>45593</v>
      </c>
      <c r="C2702" t="s">
        <v>2254</v>
      </c>
      <c r="D2702" t="s">
        <v>3501</v>
      </c>
      <c r="E2702">
        <v>6</v>
      </c>
      <c r="F2702" t="s">
        <v>3525</v>
      </c>
      <c r="G2702" t="s">
        <v>3517</v>
      </c>
      <c r="H2702">
        <v>1</v>
      </c>
      <c r="I2702">
        <v>15.9</v>
      </c>
      <c r="J2702">
        <v>95.4</v>
      </c>
    </row>
    <row r="2703" spans="1:10" x14ac:dyDescent="0.25">
      <c r="A2703" t="s">
        <v>5228</v>
      </c>
      <c r="B2703" s="3">
        <v>45456</v>
      </c>
      <c r="C2703" t="s">
        <v>1208</v>
      </c>
      <c r="D2703" t="s">
        <v>3492</v>
      </c>
      <c r="E2703">
        <v>4</v>
      </c>
      <c r="F2703" t="s">
        <v>3525</v>
      </c>
      <c r="G2703" t="s">
        <v>3517</v>
      </c>
      <c r="H2703">
        <v>0.5</v>
      </c>
      <c r="I2703">
        <v>9.5</v>
      </c>
      <c r="J2703">
        <v>38</v>
      </c>
    </row>
    <row r="2704" spans="1:10" x14ac:dyDescent="0.25">
      <c r="A2704" t="s">
        <v>5229</v>
      </c>
      <c r="B2704" s="3">
        <v>45302</v>
      </c>
      <c r="C2704" t="s">
        <v>1432</v>
      </c>
      <c r="D2704" t="s">
        <v>3469</v>
      </c>
      <c r="E2704">
        <v>6</v>
      </c>
      <c r="F2704" t="s">
        <v>3524</v>
      </c>
      <c r="G2704" t="s">
        <v>3519</v>
      </c>
      <c r="H2704">
        <v>1</v>
      </c>
      <c r="I2704">
        <v>10</v>
      </c>
      <c r="J2704">
        <v>60</v>
      </c>
    </row>
    <row r="2705" spans="1:10" x14ac:dyDescent="0.25">
      <c r="A2705" t="s">
        <v>5230</v>
      </c>
      <c r="B2705" s="3">
        <v>45065</v>
      </c>
      <c r="C2705" t="s">
        <v>906</v>
      </c>
      <c r="D2705" t="s">
        <v>3476</v>
      </c>
      <c r="E2705">
        <v>2</v>
      </c>
      <c r="F2705" t="s">
        <v>3525</v>
      </c>
      <c r="G2705" t="s">
        <v>3517</v>
      </c>
      <c r="H2705">
        <v>0.2</v>
      </c>
      <c r="I2705">
        <v>4.8</v>
      </c>
      <c r="J2705">
        <v>9.6</v>
      </c>
    </row>
    <row r="2706" spans="1:10" x14ac:dyDescent="0.25">
      <c r="A2706" t="s">
        <v>5231</v>
      </c>
      <c r="B2706" s="3">
        <v>45193</v>
      </c>
      <c r="C2706" t="s">
        <v>929</v>
      </c>
      <c r="D2706" t="s">
        <v>3486</v>
      </c>
      <c r="E2706">
        <v>3</v>
      </c>
      <c r="F2706" t="s">
        <v>3523</v>
      </c>
      <c r="G2706" t="s">
        <v>3519</v>
      </c>
      <c r="H2706">
        <v>1</v>
      </c>
      <c r="I2706">
        <v>11.3</v>
      </c>
      <c r="J2706">
        <v>33.9</v>
      </c>
    </row>
    <row r="2707" spans="1:10" x14ac:dyDescent="0.25">
      <c r="A2707" t="s">
        <v>5232</v>
      </c>
      <c r="B2707" s="3">
        <v>44805</v>
      </c>
      <c r="C2707" t="s">
        <v>3133</v>
      </c>
      <c r="D2707" t="s">
        <v>3482</v>
      </c>
      <c r="E2707">
        <v>5</v>
      </c>
      <c r="F2707" t="s">
        <v>3524</v>
      </c>
      <c r="G2707" t="s">
        <v>3519</v>
      </c>
      <c r="H2707">
        <v>2.5</v>
      </c>
      <c r="I2707">
        <v>22.9</v>
      </c>
      <c r="J2707">
        <v>114.5</v>
      </c>
    </row>
    <row r="2708" spans="1:10" x14ac:dyDescent="0.25">
      <c r="A2708" t="s">
        <v>5233</v>
      </c>
      <c r="B2708" s="3">
        <v>44813</v>
      </c>
      <c r="C2708" t="s">
        <v>1863</v>
      </c>
      <c r="D2708" t="s">
        <v>3473</v>
      </c>
      <c r="E2708">
        <v>4</v>
      </c>
      <c r="F2708" t="s">
        <v>3524</v>
      </c>
      <c r="G2708" t="s">
        <v>3517</v>
      </c>
      <c r="H2708">
        <v>2.5</v>
      </c>
      <c r="I2708">
        <v>27.5</v>
      </c>
      <c r="J2708">
        <v>110</v>
      </c>
    </row>
    <row r="2709" spans="1:10" x14ac:dyDescent="0.25">
      <c r="A2709" t="s">
        <v>5234</v>
      </c>
      <c r="B2709" s="3">
        <v>44701</v>
      </c>
      <c r="C2709" t="s">
        <v>552</v>
      </c>
      <c r="D2709" t="s">
        <v>3516</v>
      </c>
      <c r="E2709">
        <v>3</v>
      </c>
      <c r="F2709" t="s">
        <v>3526</v>
      </c>
      <c r="G2709" t="s">
        <v>3518</v>
      </c>
      <c r="H2709">
        <v>2.5</v>
      </c>
      <c r="I2709">
        <v>27.9</v>
      </c>
      <c r="J2709">
        <v>83.7</v>
      </c>
    </row>
    <row r="2710" spans="1:10" x14ac:dyDescent="0.25">
      <c r="A2710" t="s">
        <v>5235</v>
      </c>
      <c r="B2710" s="3">
        <v>44912</v>
      </c>
      <c r="C2710" t="s">
        <v>2299</v>
      </c>
      <c r="D2710" t="s">
        <v>3500</v>
      </c>
      <c r="E2710">
        <v>6</v>
      </c>
      <c r="F2710" t="s">
        <v>3525</v>
      </c>
      <c r="G2710" t="s">
        <v>3518</v>
      </c>
      <c r="H2710">
        <v>0.5</v>
      </c>
      <c r="I2710">
        <v>7.8</v>
      </c>
      <c r="J2710">
        <v>46.8</v>
      </c>
    </row>
    <row r="2711" spans="1:10" x14ac:dyDescent="0.25">
      <c r="A2711" t="s">
        <v>5236</v>
      </c>
      <c r="B2711" s="3">
        <v>45388</v>
      </c>
      <c r="C2711" t="s">
        <v>1044</v>
      </c>
      <c r="D2711" t="s">
        <v>3479</v>
      </c>
      <c r="E2711">
        <v>2</v>
      </c>
      <c r="F2711" t="s">
        <v>3526</v>
      </c>
      <c r="G2711" t="s">
        <v>3517</v>
      </c>
      <c r="H2711">
        <v>2.5</v>
      </c>
      <c r="I2711">
        <v>34.200000000000003</v>
      </c>
      <c r="J2711">
        <v>68.400000000000006</v>
      </c>
    </row>
    <row r="2712" spans="1:10" x14ac:dyDescent="0.25">
      <c r="A2712" t="s">
        <v>5237</v>
      </c>
      <c r="B2712" s="3">
        <v>43583</v>
      </c>
      <c r="C2712" t="s">
        <v>1643</v>
      </c>
      <c r="D2712" t="s">
        <v>3497</v>
      </c>
      <c r="E2712">
        <v>5</v>
      </c>
      <c r="F2712" t="s">
        <v>3526</v>
      </c>
      <c r="G2712" t="s">
        <v>3519</v>
      </c>
      <c r="H2712">
        <v>2.5</v>
      </c>
      <c r="I2712">
        <v>31.6</v>
      </c>
      <c r="J2712">
        <v>158</v>
      </c>
    </row>
    <row r="2713" spans="1:10" x14ac:dyDescent="0.25">
      <c r="A2713" t="s">
        <v>5238</v>
      </c>
      <c r="B2713" s="3">
        <v>45244</v>
      </c>
      <c r="C2713" t="s">
        <v>2792</v>
      </c>
      <c r="D2713" t="s">
        <v>3497</v>
      </c>
      <c r="E2713">
        <v>3</v>
      </c>
      <c r="F2713" t="s">
        <v>3526</v>
      </c>
      <c r="G2713" t="s">
        <v>3519</v>
      </c>
      <c r="H2713">
        <v>2.5</v>
      </c>
      <c r="I2713">
        <v>31.6</v>
      </c>
      <c r="J2713">
        <v>94.8</v>
      </c>
    </row>
    <row r="2714" spans="1:10" x14ac:dyDescent="0.25">
      <c r="A2714" t="s">
        <v>5239</v>
      </c>
      <c r="B2714" s="3">
        <v>45027</v>
      </c>
      <c r="C2714" t="s">
        <v>1672</v>
      </c>
      <c r="D2714" t="s">
        <v>3514</v>
      </c>
      <c r="E2714">
        <v>1</v>
      </c>
      <c r="F2714" t="s">
        <v>3526</v>
      </c>
      <c r="G2714" t="s">
        <v>3518</v>
      </c>
      <c r="H2714">
        <v>1</v>
      </c>
      <c r="I2714">
        <v>12.2</v>
      </c>
      <c r="J2714">
        <v>12.2</v>
      </c>
    </row>
    <row r="2715" spans="1:10" x14ac:dyDescent="0.25">
      <c r="A2715" t="s">
        <v>5240</v>
      </c>
      <c r="B2715" s="3">
        <v>44964</v>
      </c>
      <c r="C2715" t="s">
        <v>3414</v>
      </c>
      <c r="D2715" t="s">
        <v>3488</v>
      </c>
      <c r="E2715">
        <v>5</v>
      </c>
      <c r="F2715" t="s">
        <v>3523</v>
      </c>
      <c r="G2715" t="s">
        <v>3519</v>
      </c>
      <c r="H2715">
        <v>0.5</v>
      </c>
      <c r="I2715">
        <v>6.8</v>
      </c>
      <c r="J2715">
        <v>34</v>
      </c>
    </row>
    <row r="2716" spans="1:10" x14ac:dyDescent="0.25">
      <c r="A2716" t="s">
        <v>5241</v>
      </c>
      <c r="B2716" s="3">
        <v>44932</v>
      </c>
      <c r="C2716" t="s">
        <v>502</v>
      </c>
      <c r="D2716" t="s">
        <v>3471</v>
      </c>
      <c r="E2716">
        <v>5</v>
      </c>
      <c r="F2716" t="s">
        <v>3523</v>
      </c>
      <c r="G2716" t="s">
        <v>3517</v>
      </c>
      <c r="H2716">
        <v>1</v>
      </c>
      <c r="I2716">
        <v>13</v>
      </c>
      <c r="J2716">
        <v>65</v>
      </c>
    </row>
    <row r="2717" spans="1:10" x14ac:dyDescent="0.25">
      <c r="A2717" t="s">
        <v>5242</v>
      </c>
      <c r="B2717" s="3">
        <v>45457</v>
      </c>
      <c r="C2717" t="s">
        <v>2804</v>
      </c>
      <c r="D2717" t="s">
        <v>3484</v>
      </c>
      <c r="E2717">
        <v>3</v>
      </c>
      <c r="F2717" t="s">
        <v>3526</v>
      </c>
      <c r="G2717" t="s">
        <v>3518</v>
      </c>
      <c r="H2717">
        <v>0.2</v>
      </c>
      <c r="I2717">
        <v>3.6</v>
      </c>
      <c r="J2717">
        <v>10.8</v>
      </c>
    </row>
    <row r="2718" spans="1:10" x14ac:dyDescent="0.25">
      <c r="A2718" t="s">
        <v>5243</v>
      </c>
      <c r="B2718" s="3">
        <v>45051</v>
      </c>
      <c r="C2718" t="s">
        <v>3051</v>
      </c>
      <c r="D2718" t="s">
        <v>3494</v>
      </c>
      <c r="E2718">
        <v>6</v>
      </c>
      <c r="F2718" t="s">
        <v>3524</v>
      </c>
      <c r="G2718" t="s">
        <v>3518</v>
      </c>
      <c r="H2718">
        <v>0.2</v>
      </c>
      <c r="I2718">
        <v>2.7</v>
      </c>
      <c r="J2718">
        <v>16.2</v>
      </c>
    </row>
    <row r="2719" spans="1:10" x14ac:dyDescent="0.25">
      <c r="A2719" t="s">
        <v>5244</v>
      </c>
      <c r="B2719" s="3">
        <v>44718</v>
      </c>
      <c r="C2719" t="s">
        <v>814</v>
      </c>
      <c r="D2719" t="s">
        <v>3488</v>
      </c>
      <c r="E2719">
        <v>1</v>
      </c>
      <c r="F2719" t="s">
        <v>3523</v>
      </c>
      <c r="G2719" t="s">
        <v>3519</v>
      </c>
      <c r="H2719">
        <v>0.5</v>
      </c>
      <c r="I2719">
        <v>6.8</v>
      </c>
      <c r="J2719">
        <v>6.8</v>
      </c>
    </row>
    <row r="2720" spans="1:10" x14ac:dyDescent="0.25">
      <c r="A2720" t="s">
        <v>5245</v>
      </c>
      <c r="B2720" s="3">
        <v>44821</v>
      </c>
      <c r="C2720" t="s">
        <v>3051</v>
      </c>
      <c r="D2720" t="s">
        <v>3509</v>
      </c>
      <c r="E2720">
        <v>2</v>
      </c>
      <c r="F2720" t="s">
        <v>3524</v>
      </c>
      <c r="G2720" t="s">
        <v>3517</v>
      </c>
      <c r="H2720">
        <v>0.2</v>
      </c>
      <c r="I2720">
        <v>3.6</v>
      </c>
      <c r="J2720">
        <v>7.2</v>
      </c>
    </row>
    <row r="2721" spans="1:10" x14ac:dyDescent="0.25">
      <c r="A2721" t="s">
        <v>5246</v>
      </c>
      <c r="B2721" s="3">
        <v>45158</v>
      </c>
      <c r="C2721" t="s">
        <v>740</v>
      </c>
      <c r="D2721" t="s">
        <v>3497</v>
      </c>
      <c r="E2721">
        <v>3</v>
      </c>
      <c r="F2721" t="s">
        <v>3526</v>
      </c>
      <c r="G2721" t="s">
        <v>3519</v>
      </c>
      <c r="H2721">
        <v>2.5</v>
      </c>
      <c r="I2721">
        <v>31.6</v>
      </c>
      <c r="J2721">
        <v>94.8</v>
      </c>
    </row>
    <row r="2722" spans="1:10" x14ac:dyDescent="0.25">
      <c r="A2722" t="s">
        <v>5247</v>
      </c>
      <c r="B2722" s="3">
        <v>43737</v>
      </c>
      <c r="C2722" t="s">
        <v>1318</v>
      </c>
      <c r="D2722" t="s">
        <v>3496</v>
      </c>
      <c r="E2722">
        <v>6</v>
      </c>
      <c r="F2722" t="s">
        <v>3525</v>
      </c>
      <c r="G2722" t="s">
        <v>3518</v>
      </c>
      <c r="H2722">
        <v>2.5</v>
      </c>
      <c r="I2722">
        <v>29.8</v>
      </c>
      <c r="J2722">
        <v>178.8</v>
      </c>
    </row>
    <row r="2723" spans="1:10" x14ac:dyDescent="0.25">
      <c r="A2723" t="s">
        <v>5248</v>
      </c>
      <c r="B2723" s="3">
        <v>44917</v>
      </c>
      <c r="C2723" t="s">
        <v>598</v>
      </c>
      <c r="D2723" t="s">
        <v>3486</v>
      </c>
      <c r="E2723">
        <v>1</v>
      </c>
      <c r="F2723" t="s">
        <v>3523</v>
      </c>
      <c r="G2723" t="s">
        <v>3519</v>
      </c>
      <c r="H2723">
        <v>1</v>
      </c>
      <c r="I2723">
        <v>11.3</v>
      </c>
      <c r="J2723">
        <v>11.3</v>
      </c>
    </row>
    <row r="2724" spans="1:10" x14ac:dyDescent="0.25">
      <c r="A2724" t="s">
        <v>5249</v>
      </c>
      <c r="B2724" s="3">
        <v>44303</v>
      </c>
      <c r="C2724" t="s">
        <v>529</v>
      </c>
      <c r="D2724" t="s">
        <v>3492</v>
      </c>
      <c r="E2724">
        <v>3</v>
      </c>
      <c r="F2724" t="s">
        <v>3525</v>
      </c>
      <c r="G2724" t="s">
        <v>3517</v>
      </c>
      <c r="H2724">
        <v>0.5</v>
      </c>
      <c r="I2724">
        <v>9.5</v>
      </c>
      <c r="J2724">
        <v>28.5</v>
      </c>
    </row>
    <row r="2725" spans="1:10" x14ac:dyDescent="0.25">
      <c r="A2725" t="s">
        <v>5250</v>
      </c>
      <c r="B2725" s="3">
        <v>44539</v>
      </c>
      <c r="C2725" t="s">
        <v>745</v>
      </c>
      <c r="D2725" t="s">
        <v>3510</v>
      </c>
      <c r="E2725">
        <v>6</v>
      </c>
      <c r="F2725" t="s">
        <v>3524</v>
      </c>
      <c r="G2725" t="s">
        <v>3517</v>
      </c>
      <c r="H2725">
        <v>1</v>
      </c>
      <c r="I2725">
        <v>12</v>
      </c>
      <c r="J2725">
        <v>72</v>
      </c>
    </row>
    <row r="2726" spans="1:10" x14ac:dyDescent="0.25">
      <c r="A2726" t="s">
        <v>5251</v>
      </c>
      <c r="B2726" s="3">
        <v>43474</v>
      </c>
      <c r="C2726" t="s">
        <v>1315</v>
      </c>
      <c r="D2726" t="s">
        <v>3502</v>
      </c>
      <c r="E2726">
        <v>6</v>
      </c>
      <c r="F2726" t="s">
        <v>3526</v>
      </c>
      <c r="G2726" t="s">
        <v>3517</v>
      </c>
      <c r="H2726">
        <v>1</v>
      </c>
      <c r="I2726">
        <v>14.9</v>
      </c>
      <c r="J2726">
        <v>89.4</v>
      </c>
    </row>
    <row r="2727" spans="1:10" x14ac:dyDescent="0.25">
      <c r="A2727" t="s">
        <v>5252</v>
      </c>
      <c r="B2727" s="3">
        <v>45264</v>
      </c>
      <c r="C2727" t="s">
        <v>544</v>
      </c>
      <c r="D2727" t="s">
        <v>3498</v>
      </c>
      <c r="E2727">
        <v>2</v>
      </c>
      <c r="F2727" t="s">
        <v>3523</v>
      </c>
      <c r="G2727" t="s">
        <v>3517</v>
      </c>
      <c r="H2727">
        <v>0.2</v>
      </c>
      <c r="I2727">
        <v>3.9</v>
      </c>
      <c r="J2727">
        <v>7.8</v>
      </c>
    </row>
    <row r="2728" spans="1:10" x14ac:dyDescent="0.25">
      <c r="A2728" t="s">
        <v>5253</v>
      </c>
      <c r="B2728" s="3">
        <v>45267</v>
      </c>
      <c r="C2728" t="s">
        <v>2992</v>
      </c>
      <c r="D2728" t="s">
        <v>3499</v>
      </c>
      <c r="E2728">
        <v>2</v>
      </c>
      <c r="F2728" t="s">
        <v>3523</v>
      </c>
      <c r="G2728" t="s">
        <v>3518</v>
      </c>
      <c r="H2728">
        <v>2.5</v>
      </c>
      <c r="I2728">
        <v>22.9</v>
      </c>
      <c r="J2728">
        <v>45.8</v>
      </c>
    </row>
    <row r="2729" spans="1:10" x14ac:dyDescent="0.25">
      <c r="A2729" t="s">
        <v>5254</v>
      </c>
      <c r="B2729" s="3">
        <v>44444</v>
      </c>
      <c r="C2729" t="s">
        <v>617</v>
      </c>
      <c r="D2729" t="s">
        <v>3509</v>
      </c>
      <c r="E2729">
        <v>2</v>
      </c>
      <c r="F2729" t="s">
        <v>3524</v>
      </c>
      <c r="G2729" t="s">
        <v>3517</v>
      </c>
      <c r="H2729">
        <v>0.2</v>
      </c>
      <c r="I2729">
        <v>3.6</v>
      </c>
      <c r="J2729">
        <v>7.2</v>
      </c>
    </row>
    <row r="2730" spans="1:10" x14ac:dyDescent="0.25">
      <c r="A2730" t="s">
        <v>5255</v>
      </c>
      <c r="B2730" s="3">
        <v>43645</v>
      </c>
      <c r="C2730" t="s">
        <v>1809</v>
      </c>
      <c r="D2730" t="s">
        <v>3505</v>
      </c>
      <c r="E2730">
        <v>3</v>
      </c>
      <c r="F2730" t="s">
        <v>3524</v>
      </c>
      <c r="G2730" t="s">
        <v>3519</v>
      </c>
      <c r="H2730">
        <v>0.2</v>
      </c>
      <c r="I2730">
        <v>3</v>
      </c>
      <c r="J2730">
        <v>9</v>
      </c>
    </row>
    <row r="2731" spans="1:10" x14ac:dyDescent="0.25">
      <c r="A2731" t="s">
        <v>5256</v>
      </c>
      <c r="B2731" s="3">
        <v>44803</v>
      </c>
      <c r="C2731" t="s">
        <v>2047</v>
      </c>
      <c r="D2731" t="s">
        <v>3505</v>
      </c>
      <c r="E2731">
        <v>1</v>
      </c>
      <c r="F2731" t="s">
        <v>3524</v>
      </c>
      <c r="G2731" t="s">
        <v>3519</v>
      </c>
      <c r="H2731">
        <v>0.2</v>
      </c>
      <c r="I2731">
        <v>3</v>
      </c>
      <c r="J2731">
        <v>3</v>
      </c>
    </row>
    <row r="2732" spans="1:10" x14ac:dyDescent="0.25">
      <c r="A2732" t="s">
        <v>5257</v>
      </c>
      <c r="B2732" s="3">
        <v>44035</v>
      </c>
      <c r="C2732" t="s">
        <v>673</v>
      </c>
      <c r="D2732" t="s">
        <v>3470</v>
      </c>
      <c r="E2732">
        <v>4</v>
      </c>
      <c r="F2732" t="s">
        <v>3526</v>
      </c>
      <c r="G2732" t="s">
        <v>3519</v>
      </c>
      <c r="H2732">
        <v>0.5</v>
      </c>
      <c r="I2732">
        <v>8.3000000000000007</v>
      </c>
      <c r="J2732">
        <v>33.200000000000003</v>
      </c>
    </row>
    <row r="2733" spans="1:10" x14ac:dyDescent="0.25">
      <c r="A2733" t="s">
        <v>5258</v>
      </c>
      <c r="B2733" s="3">
        <v>45212</v>
      </c>
      <c r="C2733" t="s">
        <v>1041</v>
      </c>
      <c r="D2733" t="s">
        <v>3470</v>
      </c>
      <c r="E2733">
        <v>6</v>
      </c>
      <c r="F2733" t="s">
        <v>3526</v>
      </c>
      <c r="G2733" t="s">
        <v>3519</v>
      </c>
      <c r="H2733">
        <v>0.5</v>
      </c>
      <c r="I2733">
        <v>8.3000000000000007</v>
      </c>
      <c r="J2733">
        <v>49.8</v>
      </c>
    </row>
    <row r="2734" spans="1:10" x14ac:dyDescent="0.25">
      <c r="A2734" t="s">
        <v>5259</v>
      </c>
      <c r="B2734" s="3">
        <v>44249</v>
      </c>
      <c r="C2734" t="s">
        <v>2936</v>
      </c>
      <c r="D2734" t="s">
        <v>3497</v>
      </c>
      <c r="E2734">
        <v>6</v>
      </c>
      <c r="F2734" t="s">
        <v>3526</v>
      </c>
      <c r="G2734" t="s">
        <v>3519</v>
      </c>
      <c r="H2734">
        <v>2.5</v>
      </c>
      <c r="I2734">
        <v>31.6</v>
      </c>
      <c r="J2734">
        <v>189.6</v>
      </c>
    </row>
    <row r="2735" spans="1:10" x14ac:dyDescent="0.25">
      <c r="A2735" t="s">
        <v>5260</v>
      </c>
      <c r="B2735" s="3">
        <v>44841</v>
      </c>
      <c r="C2735" t="s">
        <v>3184</v>
      </c>
      <c r="D2735" t="s">
        <v>3482</v>
      </c>
      <c r="E2735">
        <v>5</v>
      </c>
      <c r="F2735" t="s">
        <v>3524</v>
      </c>
      <c r="G2735" t="s">
        <v>3519</v>
      </c>
      <c r="H2735">
        <v>2.5</v>
      </c>
      <c r="I2735">
        <v>22.9</v>
      </c>
      <c r="J2735">
        <v>114.5</v>
      </c>
    </row>
    <row r="2736" spans="1:10" x14ac:dyDescent="0.25">
      <c r="A2736" t="s">
        <v>5261</v>
      </c>
      <c r="B2736" s="3">
        <v>44991</v>
      </c>
      <c r="C2736" t="s">
        <v>646</v>
      </c>
      <c r="D2736" t="s">
        <v>3506</v>
      </c>
      <c r="E2736">
        <v>3</v>
      </c>
      <c r="F2736" t="s">
        <v>3523</v>
      </c>
      <c r="G2736" t="s">
        <v>3519</v>
      </c>
      <c r="H2736">
        <v>2.5</v>
      </c>
      <c r="I2736">
        <v>25.9</v>
      </c>
      <c r="J2736">
        <v>77.7</v>
      </c>
    </row>
    <row r="2737" spans="1:10" x14ac:dyDescent="0.25">
      <c r="A2737" t="s">
        <v>5262</v>
      </c>
      <c r="B2737" s="3">
        <v>44613</v>
      </c>
      <c r="C2737" t="s">
        <v>881</v>
      </c>
      <c r="D2737" t="s">
        <v>3470</v>
      </c>
      <c r="E2737">
        <v>5</v>
      </c>
      <c r="F2737" t="s">
        <v>3526</v>
      </c>
      <c r="G2737" t="s">
        <v>3519</v>
      </c>
      <c r="H2737">
        <v>0.5</v>
      </c>
      <c r="I2737">
        <v>8.3000000000000007</v>
      </c>
      <c r="J2737">
        <v>41.5</v>
      </c>
    </row>
    <row r="2738" spans="1:10" x14ac:dyDescent="0.25">
      <c r="A2738" t="s">
        <v>5263</v>
      </c>
      <c r="B2738" s="3">
        <v>45238</v>
      </c>
      <c r="C2738" t="s">
        <v>2500</v>
      </c>
      <c r="D2738" t="s">
        <v>3493</v>
      </c>
      <c r="E2738">
        <v>1</v>
      </c>
      <c r="F2738" t="s">
        <v>3525</v>
      </c>
      <c r="G2738" t="s">
        <v>3519</v>
      </c>
      <c r="H2738">
        <v>1</v>
      </c>
      <c r="I2738">
        <v>14.6</v>
      </c>
      <c r="J2738">
        <v>14.6</v>
      </c>
    </row>
    <row r="2739" spans="1:10" x14ac:dyDescent="0.25">
      <c r="A2739" t="s">
        <v>5264</v>
      </c>
      <c r="B2739" s="3">
        <v>45359</v>
      </c>
      <c r="C2739" t="s">
        <v>974</v>
      </c>
      <c r="D2739" t="s">
        <v>3473</v>
      </c>
      <c r="E2739">
        <v>6</v>
      </c>
      <c r="F2739" t="s">
        <v>3524</v>
      </c>
      <c r="G2739" t="s">
        <v>3517</v>
      </c>
      <c r="H2739">
        <v>2.5</v>
      </c>
      <c r="I2739">
        <v>27.5</v>
      </c>
      <c r="J2739">
        <v>165</v>
      </c>
    </row>
    <row r="2740" spans="1:10" x14ac:dyDescent="0.25">
      <c r="A2740" t="s">
        <v>5265</v>
      </c>
      <c r="B2740" s="3">
        <v>45438</v>
      </c>
      <c r="C2740" t="s">
        <v>2879</v>
      </c>
      <c r="D2740" t="s">
        <v>3511</v>
      </c>
      <c r="E2740">
        <v>5</v>
      </c>
      <c r="F2740" t="s">
        <v>3523</v>
      </c>
      <c r="G2740" t="s">
        <v>3517</v>
      </c>
      <c r="H2740">
        <v>0.5</v>
      </c>
      <c r="I2740">
        <v>7.8</v>
      </c>
      <c r="J2740">
        <v>39</v>
      </c>
    </row>
    <row r="2741" spans="1:10" x14ac:dyDescent="0.25">
      <c r="A2741" t="s">
        <v>5266</v>
      </c>
      <c r="B2741" s="3">
        <v>45116</v>
      </c>
      <c r="C2741" t="s">
        <v>2350</v>
      </c>
      <c r="D2741" t="s">
        <v>3512</v>
      </c>
      <c r="E2741">
        <v>6</v>
      </c>
      <c r="F2741" t="s">
        <v>3525</v>
      </c>
      <c r="G2741" t="s">
        <v>3519</v>
      </c>
      <c r="H2741">
        <v>2.5</v>
      </c>
      <c r="I2741">
        <v>33.5</v>
      </c>
      <c r="J2741">
        <v>201</v>
      </c>
    </row>
    <row r="2742" spans="1:10" x14ac:dyDescent="0.25">
      <c r="A2742" t="s">
        <v>5267</v>
      </c>
      <c r="B2742" s="3">
        <v>45251</v>
      </c>
      <c r="C2742" t="s">
        <v>929</v>
      </c>
      <c r="D2742" t="s">
        <v>3498</v>
      </c>
      <c r="E2742">
        <v>4</v>
      </c>
      <c r="F2742" t="s">
        <v>3523</v>
      </c>
      <c r="G2742" t="s">
        <v>3517</v>
      </c>
      <c r="H2742">
        <v>0.2</v>
      </c>
      <c r="I2742">
        <v>3.9</v>
      </c>
      <c r="J2742">
        <v>15.6</v>
      </c>
    </row>
    <row r="2743" spans="1:10" x14ac:dyDescent="0.25">
      <c r="A2743" t="s">
        <v>5268</v>
      </c>
      <c r="B2743" s="3">
        <v>45545</v>
      </c>
      <c r="C2743" t="s">
        <v>2266</v>
      </c>
      <c r="D2743" t="s">
        <v>3497</v>
      </c>
      <c r="E2743">
        <v>4</v>
      </c>
      <c r="F2743" t="s">
        <v>3526</v>
      </c>
      <c r="G2743" t="s">
        <v>3519</v>
      </c>
      <c r="H2743">
        <v>2.5</v>
      </c>
      <c r="I2743">
        <v>31.6</v>
      </c>
      <c r="J2743">
        <v>126.4</v>
      </c>
    </row>
    <row r="2744" spans="1:10" x14ac:dyDescent="0.25">
      <c r="A2744" t="s">
        <v>5269</v>
      </c>
      <c r="B2744" s="3">
        <v>44720</v>
      </c>
      <c r="C2744" t="s">
        <v>2125</v>
      </c>
      <c r="D2744" t="s">
        <v>3476</v>
      </c>
      <c r="E2744">
        <v>6</v>
      </c>
      <c r="F2744" t="s">
        <v>3525</v>
      </c>
      <c r="G2744" t="s">
        <v>3517</v>
      </c>
      <c r="H2744">
        <v>0.2</v>
      </c>
      <c r="I2744">
        <v>4.8</v>
      </c>
      <c r="J2744">
        <v>28.8</v>
      </c>
    </row>
    <row r="2745" spans="1:10" x14ac:dyDescent="0.25">
      <c r="A2745" t="s">
        <v>5270</v>
      </c>
      <c r="B2745" s="3">
        <v>44572</v>
      </c>
      <c r="C2745" t="s">
        <v>1526</v>
      </c>
      <c r="D2745" t="s">
        <v>3477</v>
      </c>
      <c r="E2745">
        <v>4</v>
      </c>
      <c r="F2745" t="s">
        <v>3524</v>
      </c>
      <c r="G2745" t="s">
        <v>3519</v>
      </c>
      <c r="H2745">
        <v>0.5</v>
      </c>
      <c r="I2745">
        <v>6</v>
      </c>
      <c r="J2745">
        <v>24</v>
      </c>
    </row>
    <row r="2746" spans="1:10" x14ac:dyDescent="0.25">
      <c r="A2746" t="s">
        <v>5271</v>
      </c>
      <c r="B2746" s="3">
        <v>44418</v>
      </c>
      <c r="C2746" t="s">
        <v>1899</v>
      </c>
      <c r="D2746" t="s">
        <v>3492</v>
      </c>
      <c r="E2746">
        <v>1</v>
      </c>
      <c r="F2746" t="s">
        <v>3525</v>
      </c>
      <c r="G2746" t="s">
        <v>3517</v>
      </c>
      <c r="H2746">
        <v>0.5</v>
      </c>
      <c r="I2746">
        <v>9.5</v>
      </c>
      <c r="J2746">
        <v>9.5</v>
      </c>
    </row>
    <row r="2747" spans="1:10" x14ac:dyDescent="0.25">
      <c r="A2747" t="s">
        <v>5272</v>
      </c>
      <c r="B2747" s="3">
        <v>44977</v>
      </c>
      <c r="C2747" t="s">
        <v>2192</v>
      </c>
      <c r="D2747" t="s">
        <v>3508</v>
      </c>
      <c r="E2747">
        <v>3</v>
      </c>
      <c r="F2747" t="s">
        <v>3524</v>
      </c>
      <c r="G2747" t="s">
        <v>3518</v>
      </c>
      <c r="H2747">
        <v>1</v>
      </c>
      <c r="I2747">
        <v>9</v>
      </c>
      <c r="J2747">
        <v>27</v>
      </c>
    </row>
    <row r="2748" spans="1:10" x14ac:dyDescent="0.25">
      <c r="A2748" t="s">
        <v>5273</v>
      </c>
      <c r="B2748" s="3">
        <v>45597</v>
      </c>
      <c r="C2748" t="s">
        <v>1696</v>
      </c>
      <c r="D2748" t="s">
        <v>3485</v>
      </c>
      <c r="E2748">
        <v>1</v>
      </c>
      <c r="F2748" t="s">
        <v>3523</v>
      </c>
      <c r="G2748" t="s">
        <v>3518</v>
      </c>
      <c r="H2748">
        <v>0.2</v>
      </c>
      <c r="I2748">
        <v>3</v>
      </c>
      <c r="J2748">
        <v>3</v>
      </c>
    </row>
    <row r="2749" spans="1:10" x14ac:dyDescent="0.25">
      <c r="A2749" t="s">
        <v>5274</v>
      </c>
      <c r="B2749" s="3">
        <v>45172</v>
      </c>
      <c r="C2749" t="s">
        <v>3318</v>
      </c>
      <c r="D2749" t="s">
        <v>3511</v>
      </c>
      <c r="E2749">
        <v>3</v>
      </c>
      <c r="F2749" t="s">
        <v>3523</v>
      </c>
      <c r="G2749" t="s">
        <v>3517</v>
      </c>
      <c r="H2749">
        <v>0.5</v>
      </c>
      <c r="I2749">
        <v>7.8</v>
      </c>
      <c r="J2749">
        <v>23.4</v>
      </c>
    </row>
    <row r="2750" spans="1:10" x14ac:dyDescent="0.25">
      <c r="A2750" t="s">
        <v>5275</v>
      </c>
      <c r="B2750" s="3">
        <v>44210</v>
      </c>
      <c r="C2750" t="s">
        <v>2350</v>
      </c>
      <c r="D2750" t="s">
        <v>3489</v>
      </c>
      <c r="E2750">
        <v>6</v>
      </c>
      <c r="F2750" t="s">
        <v>3523</v>
      </c>
      <c r="G2750" t="s">
        <v>3518</v>
      </c>
      <c r="H2750">
        <v>0.5</v>
      </c>
      <c r="I2750">
        <v>6</v>
      </c>
      <c r="J2750">
        <v>36</v>
      </c>
    </row>
    <row r="2751" spans="1:10" x14ac:dyDescent="0.25">
      <c r="A2751" t="s">
        <v>5276</v>
      </c>
      <c r="B2751" s="3">
        <v>45263</v>
      </c>
      <c r="C2751" t="s">
        <v>2000</v>
      </c>
      <c r="D2751" t="s">
        <v>3500</v>
      </c>
      <c r="E2751">
        <v>3</v>
      </c>
      <c r="F2751" t="s">
        <v>3525</v>
      </c>
      <c r="G2751" t="s">
        <v>3518</v>
      </c>
      <c r="H2751">
        <v>0.5</v>
      </c>
      <c r="I2751">
        <v>7.8</v>
      </c>
      <c r="J2751">
        <v>23.4</v>
      </c>
    </row>
    <row r="2752" spans="1:10" x14ac:dyDescent="0.25">
      <c r="A2752" t="s">
        <v>5277</v>
      </c>
      <c r="B2752" s="3">
        <v>45433</v>
      </c>
      <c r="C2752" t="s">
        <v>1214</v>
      </c>
      <c r="D2752" t="s">
        <v>3499</v>
      </c>
      <c r="E2752">
        <v>1</v>
      </c>
      <c r="F2752" t="s">
        <v>3523</v>
      </c>
      <c r="G2752" t="s">
        <v>3518</v>
      </c>
      <c r="H2752">
        <v>2.5</v>
      </c>
      <c r="I2752">
        <v>22.9</v>
      </c>
      <c r="J2752">
        <v>22.9</v>
      </c>
    </row>
    <row r="2753" spans="1:10" x14ac:dyDescent="0.25">
      <c r="A2753" t="s">
        <v>5278</v>
      </c>
      <c r="B2753" s="3">
        <v>45109</v>
      </c>
      <c r="C2753" t="s">
        <v>926</v>
      </c>
      <c r="D2753" t="s">
        <v>3475</v>
      </c>
      <c r="E2753">
        <v>6</v>
      </c>
      <c r="F2753" t="s">
        <v>3526</v>
      </c>
      <c r="G2753" t="s">
        <v>3518</v>
      </c>
      <c r="H2753">
        <v>0.5</v>
      </c>
      <c r="I2753">
        <v>7.3</v>
      </c>
      <c r="J2753">
        <v>43.8</v>
      </c>
    </row>
    <row r="2754" spans="1:10" x14ac:dyDescent="0.25">
      <c r="A2754" t="s">
        <v>5279</v>
      </c>
      <c r="B2754" s="3">
        <v>44668</v>
      </c>
      <c r="C2754" t="s">
        <v>1500</v>
      </c>
      <c r="D2754" t="s">
        <v>3498</v>
      </c>
      <c r="E2754">
        <v>3</v>
      </c>
      <c r="F2754" t="s">
        <v>3523</v>
      </c>
      <c r="G2754" t="s">
        <v>3517</v>
      </c>
      <c r="H2754">
        <v>0.2</v>
      </c>
      <c r="I2754">
        <v>3.9</v>
      </c>
      <c r="J2754">
        <v>11.7</v>
      </c>
    </row>
    <row r="2755" spans="1:10" x14ac:dyDescent="0.25">
      <c r="A2755" t="s">
        <v>5280</v>
      </c>
      <c r="B2755" s="3">
        <v>44699</v>
      </c>
      <c r="C2755" t="s">
        <v>492</v>
      </c>
      <c r="D2755" t="s">
        <v>3494</v>
      </c>
      <c r="E2755">
        <v>5</v>
      </c>
      <c r="F2755" t="s">
        <v>3524</v>
      </c>
      <c r="G2755" t="s">
        <v>3518</v>
      </c>
      <c r="H2755">
        <v>0.2</v>
      </c>
      <c r="I2755">
        <v>2.7</v>
      </c>
      <c r="J2755">
        <v>13.5</v>
      </c>
    </row>
    <row r="2756" spans="1:10" x14ac:dyDescent="0.25">
      <c r="A2756" t="s">
        <v>5281</v>
      </c>
      <c r="B2756" s="3">
        <v>44709</v>
      </c>
      <c r="C2756" t="s">
        <v>857</v>
      </c>
      <c r="D2756" t="s">
        <v>3482</v>
      </c>
      <c r="E2756">
        <v>4</v>
      </c>
      <c r="F2756" t="s">
        <v>3524</v>
      </c>
      <c r="G2756" t="s">
        <v>3519</v>
      </c>
      <c r="H2756">
        <v>2.5</v>
      </c>
      <c r="I2756">
        <v>22.9</v>
      </c>
      <c r="J2756">
        <v>91.6</v>
      </c>
    </row>
    <row r="2757" spans="1:10" x14ac:dyDescent="0.25">
      <c r="A2757" t="s">
        <v>5282</v>
      </c>
      <c r="B2757" s="3">
        <v>44452</v>
      </c>
      <c r="C2757" t="s">
        <v>2107</v>
      </c>
      <c r="D2757" t="s">
        <v>3487</v>
      </c>
      <c r="E2757">
        <v>2</v>
      </c>
      <c r="F2757" t="s">
        <v>3526</v>
      </c>
      <c r="G2757" t="s">
        <v>3519</v>
      </c>
      <c r="H2757">
        <v>0.2</v>
      </c>
      <c r="I2757">
        <v>4.0999999999999996</v>
      </c>
      <c r="J2757">
        <v>8.1999999999999993</v>
      </c>
    </row>
    <row r="2758" spans="1:10" x14ac:dyDescent="0.25">
      <c r="A2758" t="s">
        <v>5283</v>
      </c>
      <c r="B2758" s="3">
        <v>45229</v>
      </c>
      <c r="C2758" t="s">
        <v>3455</v>
      </c>
      <c r="D2758" t="s">
        <v>3496</v>
      </c>
      <c r="E2758">
        <v>2</v>
      </c>
      <c r="F2758" t="s">
        <v>3525</v>
      </c>
      <c r="G2758" t="s">
        <v>3518</v>
      </c>
      <c r="H2758">
        <v>2.5</v>
      </c>
      <c r="I2758">
        <v>29.8</v>
      </c>
      <c r="J2758">
        <v>59.6</v>
      </c>
    </row>
    <row r="2759" spans="1:10" x14ac:dyDescent="0.25">
      <c r="A2759" t="s">
        <v>5284</v>
      </c>
      <c r="B2759" s="3">
        <v>43670</v>
      </c>
      <c r="C2759" t="s">
        <v>3240</v>
      </c>
      <c r="D2759" t="s">
        <v>3488</v>
      </c>
      <c r="E2759">
        <v>4</v>
      </c>
      <c r="F2759" t="s">
        <v>3523</v>
      </c>
      <c r="G2759" t="s">
        <v>3519</v>
      </c>
      <c r="H2759">
        <v>0.5</v>
      </c>
      <c r="I2759">
        <v>6.8</v>
      </c>
      <c r="J2759">
        <v>27.2</v>
      </c>
    </row>
    <row r="2760" spans="1:10" x14ac:dyDescent="0.25">
      <c r="A2760" t="s">
        <v>5285</v>
      </c>
      <c r="B2760" s="3">
        <v>44489</v>
      </c>
      <c r="C2760" t="s">
        <v>2119</v>
      </c>
      <c r="D2760" t="s">
        <v>3479</v>
      </c>
      <c r="E2760">
        <v>4</v>
      </c>
      <c r="F2760" t="s">
        <v>3526</v>
      </c>
      <c r="G2760" t="s">
        <v>3517</v>
      </c>
      <c r="H2760">
        <v>2.5</v>
      </c>
      <c r="I2760">
        <v>34.200000000000003</v>
      </c>
      <c r="J2760">
        <v>136.80000000000001</v>
      </c>
    </row>
    <row r="2761" spans="1:10" x14ac:dyDescent="0.25">
      <c r="A2761" t="s">
        <v>5286</v>
      </c>
      <c r="B2761" s="3">
        <v>45201</v>
      </c>
      <c r="C2761" t="s">
        <v>1366</v>
      </c>
      <c r="D2761" t="s">
        <v>3511</v>
      </c>
      <c r="E2761">
        <v>4</v>
      </c>
      <c r="F2761" t="s">
        <v>3523</v>
      </c>
      <c r="G2761" t="s">
        <v>3517</v>
      </c>
      <c r="H2761">
        <v>0.5</v>
      </c>
      <c r="I2761">
        <v>7.8</v>
      </c>
      <c r="J2761">
        <v>31.2</v>
      </c>
    </row>
    <row r="2762" spans="1:10" x14ac:dyDescent="0.25">
      <c r="A2762" t="s">
        <v>5287</v>
      </c>
      <c r="B2762" s="3">
        <v>45121</v>
      </c>
      <c r="C2762" t="s">
        <v>1640</v>
      </c>
      <c r="D2762" t="s">
        <v>3487</v>
      </c>
      <c r="E2762">
        <v>2</v>
      </c>
      <c r="F2762" t="s">
        <v>3526</v>
      </c>
      <c r="G2762" t="s">
        <v>3519</v>
      </c>
      <c r="H2762">
        <v>0.2</v>
      </c>
      <c r="I2762">
        <v>4.0999999999999996</v>
      </c>
      <c r="J2762">
        <v>8.1999999999999993</v>
      </c>
    </row>
    <row r="2763" spans="1:10" x14ac:dyDescent="0.25">
      <c r="A2763" t="s">
        <v>5288</v>
      </c>
      <c r="B2763" s="3">
        <v>45138</v>
      </c>
      <c r="C2763" t="s">
        <v>2414</v>
      </c>
      <c r="D2763" t="s">
        <v>3500</v>
      </c>
      <c r="E2763">
        <v>5</v>
      </c>
      <c r="F2763" t="s">
        <v>3525</v>
      </c>
      <c r="G2763" t="s">
        <v>3518</v>
      </c>
      <c r="H2763">
        <v>0.5</v>
      </c>
      <c r="I2763">
        <v>7.8</v>
      </c>
      <c r="J2763">
        <v>39</v>
      </c>
    </row>
    <row r="2764" spans="1:10" x14ac:dyDescent="0.25">
      <c r="A2764" t="s">
        <v>5289</v>
      </c>
      <c r="B2764" s="3">
        <v>44880</v>
      </c>
      <c r="C2764" t="s">
        <v>2494</v>
      </c>
      <c r="D2764" t="s">
        <v>3502</v>
      </c>
      <c r="E2764">
        <v>2</v>
      </c>
      <c r="F2764" t="s">
        <v>3526</v>
      </c>
      <c r="G2764" t="s">
        <v>3517</v>
      </c>
      <c r="H2764">
        <v>1</v>
      </c>
      <c r="I2764">
        <v>14.9</v>
      </c>
      <c r="J2764">
        <v>29.8</v>
      </c>
    </row>
    <row r="2765" spans="1:10" x14ac:dyDescent="0.25">
      <c r="A2765" t="s">
        <v>5290</v>
      </c>
      <c r="B2765" s="3">
        <v>43539</v>
      </c>
      <c r="C2765" t="s">
        <v>2560</v>
      </c>
      <c r="D2765" t="s">
        <v>3472</v>
      </c>
      <c r="E2765">
        <v>2</v>
      </c>
      <c r="F2765" t="s">
        <v>3526</v>
      </c>
      <c r="G2765" t="s">
        <v>3519</v>
      </c>
      <c r="H2765">
        <v>1</v>
      </c>
      <c r="I2765">
        <v>13.8</v>
      </c>
      <c r="J2765">
        <v>27.6</v>
      </c>
    </row>
    <row r="2766" spans="1:10" x14ac:dyDescent="0.25">
      <c r="A2766" t="s">
        <v>5291</v>
      </c>
      <c r="B2766" s="3">
        <v>43661</v>
      </c>
      <c r="C2766" t="s">
        <v>2807</v>
      </c>
      <c r="D2766" t="s">
        <v>3499</v>
      </c>
      <c r="E2766">
        <v>6</v>
      </c>
      <c r="F2766" t="s">
        <v>3523</v>
      </c>
      <c r="G2766" t="s">
        <v>3518</v>
      </c>
      <c r="H2766">
        <v>2.5</v>
      </c>
      <c r="I2766">
        <v>22.9</v>
      </c>
      <c r="J2766">
        <v>137.4</v>
      </c>
    </row>
    <row r="2767" spans="1:10" x14ac:dyDescent="0.25">
      <c r="A2767" t="s">
        <v>5292</v>
      </c>
      <c r="B2767" s="3">
        <v>45358</v>
      </c>
      <c r="C2767" t="s">
        <v>2236</v>
      </c>
      <c r="D2767" t="s">
        <v>3485</v>
      </c>
      <c r="E2767">
        <v>3</v>
      </c>
      <c r="F2767" t="s">
        <v>3523</v>
      </c>
      <c r="G2767" t="s">
        <v>3518</v>
      </c>
      <c r="H2767">
        <v>0.2</v>
      </c>
      <c r="I2767">
        <v>3</v>
      </c>
      <c r="J2767">
        <v>9</v>
      </c>
    </row>
    <row r="2768" spans="1:10" x14ac:dyDescent="0.25">
      <c r="A2768" t="s">
        <v>5293</v>
      </c>
      <c r="B2768" s="3">
        <v>45379</v>
      </c>
      <c r="C2768" t="s">
        <v>1690</v>
      </c>
      <c r="D2768" t="s">
        <v>3484</v>
      </c>
      <c r="E2768">
        <v>5</v>
      </c>
      <c r="F2768" t="s">
        <v>3526</v>
      </c>
      <c r="G2768" t="s">
        <v>3518</v>
      </c>
      <c r="H2768">
        <v>0.2</v>
      </c>
      <c r="I2768">
        <v>3.6</v>
      </c>
      <c r="J2768">
        <v>18</v>
      </c>
    </row>
    <row r="2769" spans="1:10" x14ac:dyDescent="0.25">
      <c r="A2769" t="s">
        <v>5294</v>
      </c>
      <c r="B2769" s="3">
        <v>44868</v>
      </c>
      <c r="C2769" t="s">
        <v>3154</v>
      </c>
      <c r="D2769" t="s">
        <v>3512</v>
      </c>
      <c r="E2769">
        <v>2</v>
      </c>
      <c r="F2769" t="s">
        <v>3525</v>
      </c>
      <c r="G2769" t="s">
        <v>3519</v>
      </c>
      <c r="H2769">
        <v>2.5</v>
      </c>
      <c r="I2769">
        <v>33.5</v>
      </c>
      <c r="J2769">
        <v>67</v>
      </c>
    </row>
    <row r="2770" spans="1:10" x14ac:dyDescent="0.25">
      <c r="A2770" t="s">
        <v>5295</v>
      </c>
      <c r="B2770" s="3">
        <v>44057</v>
      </c>
      <c r="C2770" t="s">
        <v>2873</v>
      </c>
      <c r="D2770" t="s">
        <v>3485</v>
      </c>
      <c r="E2770">
        <v>1</v>
      </c>
      <c r="F2770" t="s">
        <v>3523</v>
      </c>
      <c r="G2770" t="s">
        <v>3518</v>
      </c>
      <c r="H2770">
        <v>0.2</v>
      </c>
      <c r="I2770">
        <v>3</v>
      </c>
      <c r="J2770">
        <v>3</v>
      </c>
    </row>
    <row r="2771" spans="1:10" x14ac:dyDescent="0.25">
      <c r="A2771" t="s">
        <v>5296</v>
      </c>
      <c r="B2771" s="3">
        <v>44812</v>
      </c>
      <c r="C2771" t="s">
        <v>2837</v>
      </c>
      <c r="D2771" t="s">
        <v>3499</v>
      </c>
      <c r="E2771">
        <v>3</v>
      </c>
      <c r="F2771" t="s">
        <v>3523</v>
      </c>
      <c r="G2771" t="s">
        <v>3518</v>
      </c>
      <c r="H2771">
        <v>2.5</v>
      </c>
      <c r="I2771">
        <v>22.9</v>
      </c>
      <c r="J2771">
        <v>68.7</v>
      </c>
    </row>
    <row r="2772" spans="1:10" x14ac:dyDescent="0.25">
      <c r="A2772" t="s">
        <v>5297</v>
      </c>
      <c r="B2772" s="3">
        <v>44929</v>
      </c>
      <c r="C2772" t="s">
        <v>2699</v>
      </c>
      <c r="D2772" t="s">
        <v>3486</v>
      </c>
      <c r="E2772">
        <v>6</v>
      </c>
      <c r="F2772" t="s">
        <v>3523</v>
      </c>
      <c r="G2772" t="s">
        <v>3519</v>
      </c>
      <c r="H2772">
        <v>1</v>
      </c>
      <c r="I2772">
        <v>11.3</v>
      </c>
      <c r="J2772">
        <v>67.8</v>
      </c>
    </row>
    <row r="2773" spans="1:10" x14ac:dyDescent="0.25">
      <c r="A2773" t="s">
        <v>5298</v>
      </c>
      <c r="B2773" s="3">
        <v>44763</v>
      </c>
      <c r="C2773" t="s">
        <v>1461</v>
      </c>
      <c r="D2773" t="s">
        <v>3499</v>
      </c>
      <c r="E2773">
        <v>2</v>
      </c>
      <c r="F2773" t="s">
        <v>3523</v>
      </c>
      <c r="G2773" t="s">
        <v>3518</v>
      </c>
      <c r="H2773">
        <v>2.5</v>
      </c>
      <c r="I2773">
        <v>22.9</v>
      </c>
      <c r="J2773">
        <v>45.8</v>
      </c>
    </row>
    <row r="2774" spans="1:10" x14ac:dyDescent="0.25">
      <c r="A2774" t="s">
        <v>5299</v>
      </c>
      <c r="B2774" s="3">
        <v>45403</v>
      </c>
      <c r="C2774" t="s">
        <v>1828</v>
      </c>
      <c r="D2774" t="s">
        <v>3485</v>
      </c>
      <c r="E2774">
        <v>1</v>
      </c>
      <c r="F2774" t="s">
        <v>3523</v>
      </c>
      <c r="G2774" t="s">
        <v>3518</v>
      </c>
      <c r="H2774">
        <v>0.2</v>
      </c>
      <c r="I2774">
        <v>3</v>
      </c>
      <c r="J2774">
        <v>3</v>
      </c>
    </row>
    <row r="2775" spans="1:10" x14ac:dyDescent="0.25">
      <c r="A2775" t="s">
        <v>5300</v>
      </c>
      <c r="B2775" s="3">
        <v>45243</v>
      </c>
      <c r="C2775" t="s">
        <v>2855</v>
      </c>
      <c r="D2775" t="s">
        <v>3510</v>
      </c>
      <c r="E2775">
        <v>5</v>
      </c>
      <c r="F2775" t="s">
        <v>3524</v>
      </c>
      <c r="G2775" t="s">
        <v>3517</v>
      </c>
      <c r="H2775">
        <v>1</v>
      </c>
      <c r="I2775">
        <v>12</v>
      </c>
      <c r="J2775">
        <v>60</v>
      </c>
    </row>
    <row r="2776" spans="1:10" x14ac:dyDescent="0.25">
      <c r="A2776" t="s">
        <v>5301</v>
      </c>
      <c r="B2776" s="3">
        <v>43833</v>
      </c>
      <c r="C2776" t="s">
        <v>793</v>
      </c>
      <c r="D2776" t="s">
        <v>3496</v>
      </c>
      <c r="E2776">
        <v>5</v>
      </c>
      <c r="F2776" t="s">
        <v>3525</v>
      </c>
      <c r="G2776" t="s">
        <v>3518</v>
      </c>
      <c r="H2776">
        <v>2.5</v>
      </c>
      <c r="I2776">
        <v>29.8</v>
      </c>
      <c r="J2776">
        <v>149</v>
      </c>
    </row>
    <row r="2777" spans="1:10" x14ac:dyDescent="0.25">
      <c r="A2777" t="s">
        <v>5302</v>
      </c>
      <c r="B2777" s="3">
        <v>45379</v>
      </c>
      <c r="C2777" t="s">
        <v>2849</v>
      </c>
      <c r="D2777" t="s">
        <v>3475</v>
      </c>
      <c r="E2777">
        <v>3</v>
      </c>
      <c r="F2777" t="s">
        <v>3526</v>
      </c>
      <c r="G2777" t="s">
        <v>3518</v>
      </c>
      <c r="H2777">
        <v>0.5</v>
      </c>
      <c r="I2777">
        <v>7.3</v>
      </c>
      <c r="J2777">
        <v>21.9</v>
      </c>
    </row>
    <row r="2778" spans="1:10" x14ac:dyDescent="0.25">
      <c r="A2778" t="s">
        <v>5303</v>
      </c>
      <c r="B2778" s="3">
        <v>45382</v>
      </c>
      <c r="C2778" t="s">
        <v>1908</v>
      </c>
      <c r="D2778" t="s">
        <v>3489</v>
      </c>
      <c r="E2778">
        <v>3</v>
      </c>
      <c r="F2778" t="s">
        <v>3523</v>
      </c>
      <c r="G2778" t="s">
        <v>3518</v>
      </c>
      <c r="H2778">
        <v>0.5</v>
      </c>
      <c r="I2778">
        <v>6</v>
      </c>
      <c r="J2778">
        <v>18</v>
      </c>
    </row>
    <row r="2779" spans="1:10" x14ac:dyDescent="0.25">
      <c r="A2779" t="s">
        <v>5304</v>
      </c>
      <c r="B2779" s="3">
        <v>43708</v>
      </c>
      <c r="C2779" t="s">
        <v>2789</v>
      </c>
      <c r="D2779" t="s">
        <v>3496</v>
      </c>
      <c r="E2779">
        <v>6</v>
      </c>
      <c r="F2779" t="s">
        <v>3525</v>
      </c>
      <c r="G2779" t="s">
        <v>3518</v>
      </c>
      <c r="H2779">
        <v>2.5</v>
      </c>
      <c r="I2779">
        <v>29.8</v>
      </c>
      <c r="J2779">
        <v>178.8</v>
      </c>
    </row>
    <row r="2780" spans="1:10" x14ac:dyDescent="0.25">
      <c r="A2780" t="s">
        <v>5305</v>
      </c>
      <c r="B2780" s="3">
        <v>45534</v>
      </c>
      <c r="C2780" t="s">
        <v>987</v>
      </c>
      <c r="D2780" t="s">
        <v>3504</v>
      </c>
      <c r="E2780">
        <v>6</v>
      </c>
      <c r="F2780" t="s">
        <v>3524</v>
      </c>
      <c r="G2780" t="s">
        <v>3517</v>
      </c>
      <c r="H2780">
        <v>0.5</v>
      </c>
      <c r="I2780">
        <v>7.2</v>
      </c>
      <c r="J2780">
        <v>43.2</v>
      </c>
    </row>
    <row r="2781" spans="1:10" x14ac:dyDescent="0.25">
      <c r="A2781" t="s">
        <v>5306</v>
      </c>
      <c r="B2781" s="3">
        <v>45559</v>
      </c>
      <c r="C2781" t="s">
        <v>725</v>
      </c>
      <c r="D2781" t="s">
        <v>3472</v>
      </c>
      <c r="E2781">
        <v>1</v>
      </c>
      <c r="F2781" t="s">
        <v>3526</v>
      </c>
      <c r="G2781" t="s">
        <v>3519</v>
      </c>
      <c r="H2781">
        <v>1</v>
      </c>
      <c r="I2781">
        <v>13.8</v>
      </c>
      <c r="J2781">
        <v>13.8</v>
      </c>
    </row>
    <row r="2782" spans="1:10" x14ac:dyDescent="0.25">
      <c r="A2782" t="s">
        <v>5307</v>
      </c>
      <c r="B2782" s="3">
        <v>45518</v>
      </c>
      <c r="C2782" t="s">
        <v>2287</v>
      </c>
      <c r="D2782" t="s">
        <v>3497</v>
      </c>
      <c r="E2782">
        <v>6</v>
      </c>
      <c r="F2782" t="s">
        <v>3526</v>
      </c>
      <c r="G2782" t="s">
        <v>3519</v>
      </c>
      <c r="H2782">
        <v>2.5</v>
      </c>
      <c r="I2782">
        <v>31.6</v>
      </c>
      <c r="J2782">
        <v>189.6</v>
      </c>
    </row>
    <row r="2783" spans="1:10" x14ac:dyDescent="0.25">
      <c r="A2783" t="s">
        <v>5308</v>
      </c>
      <c r="B2783" s="3">
        <v>44981</v>
      </c>
      <c r="C2783" t="s">
        <v>2021</v>
      </c>
      <c r="D2783" t="s">
        <v>3500</v>
      </c>
      <c r="E2783">
        <v>6</v>
      </c>
      <c r="F2783" t="s">
        <v>3525</v>
      </c>
      <c r="G2783" t="s">
        <v>3518</v>
      </c>
      <c r="H2783">
        <v>0.5</v>
      </c>
      <c r="I2783">
        <v>7.8</v>
      </c>
      <c r="J2783">
        <v>46.8</v>
      </c>
    </row>
    <row r="2784" spans="1:10" x14ac:dyDescent="0.25">
      <c r="A2784" t="s">
        <v>5309</v>
      </c>
      <c r="B2784" s="3">
        <v>43494</v>
      </c>
      <c r="C2784" t="s">
        <v>1604</v>
      </c>
      <c r="D2784" t="s">
        <v>3505</v>
      </c>
      <c r="E2784">
        <v>1</v>
      </c>
      <c r="F2784" t="s">
        <v>3524</v>
      </c>
      <c r="G2784" t="s">
        <v>3519</v>
      </c>
      <c r="H2784">
        <v>0.2</v>
      </c>
      <c r="I2784">
        <v>3</v>
      </c>
      <c r="J2784">
        <v>3</v>
      </c>
    </row>
    <row r="2785" spans="1:10" x14ac:dyDescent="0.25">
      <c r="A2785" t="s">
        <v>5310</v>
      </c>
      <c r="B2785" s="3">
        <v>44736</v>
      </c>
      <c r="C2785" t="s">
        <v>1363</v>
      </c>
      <c r="D2785" t="s">
        <v>3502</v>
      </c>
      <c r="E2785">
        <v>1</v>
      </c>
      <c r="F2785" t="s">
        <v>3526</v>
      </c>
      <c r="G2785" t="s">
        <v>3517</v>
      </c>
      <c r="H2785">
        <v>1</v>
      </c>
      <c r="I2785">
        <v>14.9</v>
      </c>
      <c r="J2785">
        <v>14.9</v>
      </c>
    </row>
    <row r="2786" spans="1:10" x14ac:dyDescent="0.25">
      <c r="A2786" t="s">
        <v>5311</v>
      </c>
      <c r="B2786" s="3">
        <v>45451</v>
      </c>
      <c r="C2786" t="s">
        <v>775</v>
      </c>
      <c r="D2786" t="s">
        <v>3482</v>
      </c>
      <c r="E2786">
        <v>4</v>
      </c>
      <c r="F2786" t="s">
        <v>3524</v>
      </c>
      <c r="G2786" t="s">
        <v>3519</v>
      </c>
      <c r="H2786">
        <v>2.5</v>
      </c>
      <c r="I2786">
        <v>22.9</v>
      </c>
      <c r="J2786">
        <v>91.6</v>
      </c>
    </row>
    <row r="2787" spans="1:10" x14ac:dyDescent="0.25">
      <c r="A2787" t="s">
        <v>5312</v>
      </c>
      <c r="B2787" s="3">
        <v>43759</v>
      </c>
      <c r="C2787" t="s">
        <v>2536</v>
      </c>
      <c r="D2787" t="s">
        <v>3516</v>
      </c>
      <c r="E2787">
        <v>3</v>
      </c>
      <c r="F2787" t="s">
        <v>3526</v>
      </c>
      <c r="G2787" t="s">
        <v>3518</v>
      </c>
      <c r="H2787">
        <v>2.5</v>
      </c>
      <c r="I2787">
        <v>27.9</v>
      </c>
      <c r="J2787">
        <v>83.7</v>
      </c>
    </row>
    <row r="2788" spans="1:10" x14ac:dyDescent="0.25">
      <c r="A2788" t="s">
        <v>5313</v>
      </c>
      <c r="B2788" s="3">
        <v>45411</v>
      </c>
      <c r="C2788" t="s">
        <v>2936</v>
      </c>
      <c r="D2788" t="s">
        <v>3492</v>
      </c>
      <c r="E2788">
        <v>6</v>
      </c>
      <c r="F2788" t="s">
        <v>3525</v>
      </c>
      <c r="G2788" t="s">
        <v>3517</v>
      </c>
      <c r="H2788">
        <v>0.5</v>
      </c>
      <c r="I2788">
        <v>9.5</v>
      </c>
      <c r="J2788">
        <v>57</v>
      </c>
    </row>
    <row r="2789" spans="1:10" x14ac:dyDescent="0.25">
      <c r="A2789" t="s">
        <v>5314</v>
      </c>
      <c r="B2789" s="3">
        <v>44751</v>
      </c>
      <c r="C2789" t="s">
        <v>1511</v>
      </c>
      <c r="D2789" t="s">
        <v>3480</v>
      </c>
      <c r="E2789">
        <v>6</v>
      </c>
      <c r="F2789" t="s">
        <v>3524</v>
      </c>
      <c r="G2789" t="s">
        <v>3518</v>
      </c>
      <c r="H2789">
        <v>2.5</v>
      </c>
      <c r="I2789">
        <v>20.6</v>
      </c>
      <c r="J2789">
        <v>123.6</v>
      </c>
    </row>
    <row r="2790" spans="1:10" x14ac:dyDescent="0.25">
      <c r="A2790" t="s">
        <v>5315</v>
      </c>
      <c r="B2790" s="3">
        <v>43687</v>
      </c>
      <c r="C2790" t="s">
        <v>2391</v>
      </c>
      <c r="D2790" t="s">
        <v>3472</v>
      </c>
      <c r="E2790">
        <v>2</v>
      </c>
      <c r="F2790" t="s">
        <v>3526</v>
      </c>
      <c r="G2790" t="s">
        <v>3519</v>
      </c>
      <c r="H2790">
        <v>1</v>
      </c>
      <c r="I2790">
        <v>13.8</v>
      </c>
      <c r="J2790">
        <v>27.6</v>
      </c>
    </row>
    <row r="2791" spans="1:10" x14ac:dyDescent="0.25">
      <c r="A2791" t="s">
        <v>5316</v>
      </c>
      <c r="B2791" s="3">
        <v>45560</v>
      </c>
      <c r="C2791" t="s">
        <v>638</v>
      </c>
      <c r="D2791" t="s">
        <v>3470</v>
      </c>
      <c r="E2791">
        <v>5</v>
      </c>
      <c r="F2791" t="s">
        <v>3526</v>
      </c>
      <c r="G2791" t="s">
        <v>3519</v>
      </c>
      <c r="H2791">
        <v>0.5</v>
      </c>
      <c r="I2791">
        <v>8.3000000000000007</v>
      </c>
      <c r="J2791">
        <v>41.5</v>
      </c>
    </row>
    <row r="2792" spans="1:10" x14ac:dyDescent="0.25">
      <c r="A2792" t="s">
        <v>5317</v>
      </c>
      <c r="B2792" s="3">
        <v>45533</v>
      </c>
      <c r="C2792" t="s">
        <v>1482</v>
      </c>
      <c r="D2792" t="s">
        <v>3496</v>
      </c>
      <c r="E2792">
        <v>4</v>
      </c>
      <c r="F2792" t="s">
        <v>3525</v>
      </c>
      <c r="G2792" t="s">
        <v>3518</v>
      </c>
      <c r="H2792">
        <v>2.5</v>
      </c>
      <c r="I2792">
        <v>29.8</v>
      </c>
      <c r="J2792">
        <v>119.2</v>
      </c>
    </row>
    <row r="2793" spans="1:10" x14ac:dyDescent="0.25">
      <c r="A2793" t="s">
        <v>5318</v>
      </c>
      <c r="B2793" s="3">
        <v>44313</v>
      </c>
      <c r="C2793" t="s">
        <v>3157</v>
      </c>
      <c r="D2793" t="s">
        <v>3490</v>
      </c>
      <c r="E2793">
        <v>2</v>
      </c>
      <c r="F2793" t="s">
        <v>3525</v>
      </c>
      <c r="G2793" t="s">
        <v>3519</v>
      </c>
      <c r="H2793">
        <v>0.2</v>
      </c>
      <c r="I2793">
        <v>4.4000000000000004</v>
      </c>
      <c r="J2793">
        <v>8.8000000000000007</v>
      </c>
    </row>
    <row r="2794" spans="1:10" x14ac:dyDescent="0.25">
      <c r="A2794" t="s">
        <v>5319</v>
      </c>
      <c r="B2794" s="3">
        <v>43782</v>
      </c>
      <c r="C2794" t="s">
        <v>1732</v>
      </c>
      <c r="D2794" t="s">
        <v>3477</v>
      </c>
      <c r="E2794">
        <v>3</v>
      </c>
      <c r="F2794" t="s">
        <v>3524</v>
      </c>
      <c r="G2794" t="s">
        <v>3519</v>
      </c>
      <c r="H2794">
        <v>0.5</v>
      </c>
      <c r="I2794">
        <v>6</v>
      </c>
      <c r="J2794">
        <v>18</v>
      </c>
    </row>
    <row r="2795" spans="1:10" x14ac:dyDescent="0.25">
      <c r="A2795" t="s">
        <v>5320</v>
      </c>
      <c r="B2795" s="3">
        <v>44206</v>
      </c>
      <c r="C2795" t="s">
        <v>823</v>
      </c>
      <c r="D2795" t="s">
        <v>3510</v>
      </c>
      <c r="E2795">
        <v>4</v>
      </c>
      <c r="F2795" t="s">
        <v>3524</v>
      </c>
      <c r="G2795" t="s">
        <v>3517</v>
      </c>
      <c r="H2795">
        <v>1</v>
      </c>
      <c r="I2795">
        <v>12</v>
      </c>
      <c r="J2795">
        <v>48</v>
      </c>
    </row>
    <row r="2796" spans="1:10" x14ac:dyDescent="0.25">
      <c r="A2796" t="s">
        <v>5321</v>
      </c>
      <c r="B2796" s="3">
        <v>44674</v>
      </c>
      <c r="C2796" t="s">
        <v>532</v>
      </c>
      <c r="D2796" t="s">
        <v>3498</v>
      </c>
      <c r="E2796">
        <v>1</v>
      </c>
      <c r="F2796" t="s">
        <v>3523</v>
      </c>
      <c r="G2796" t="s">
        <v>3517</v>
      </c>
      <c r="H2796">
        <v>0.2</v>
      </c>
      <c r="I2796">
        <v>3.9</v>
      </c>
      <c r="J2796">
        <v>3.9</v>
      </c>
    </row>
    <row r="2797" spans="1:10" x14ac:dyDescent="0.25">
      <c r="A2797" t="s">
        <v>5322</v>
      </c>
      <c r="B2797" s="3">
        <v>45067</v>
      </c>
      <c r="C2797" t="s">
        <v>2837</v>
      </c>
      <c r="D2797" t="s">
        <v>3496</v>
      </c>
      <c r="E2797">
        <v>1</v>
      </c>
      <c r="F2797" t="s">
        <v>3525</v>
      </c>
      <c r="G2797" t="s">
        <v>3518</v>
      </c>
      <c r="H2797">
        <v>2.5</v>
      </c>
      <c r="I2797">
        <v>29.8</v>
      </c>
      <c r="J2797">
        <v>29.8</v>
      </c>
    </row>
    <row r="2798" spans="1:10" x14ac:dyDescent="0.25">
      <c r="A2798" t="s">
        <v>5323</v>
      </c>
      <c r="B2798" s="3">
        <v>45472</v>
      </c>
      <c r="C2798" t="s">
        <v>1547</v>
      </c>
      <c r="D2798" t="s">
        <v>3514</v>
      </c>
      <c r="E2798">
        <v>1</v>
      </c>
      <c r="F2798" t="s">
        <v>3526</v>
      </c>
      <c r="G2798" t="s">
        <v>3518</v>
      </c>
      <c r="H2798">
        <v>1</v>
      </c>
      <c r="I2798">
        <v>12.2</v>
      </c>
      <c r="J2798">
        <v>12.2</v>
      </c>
    </row>
    <row r="2799" spans="1:10" x14ac:dyDescent="0.25">
      <c r="A2799" t="s">
        <v>5324</v>
      </c>
      <c r="B2799" s="3">
        <v>44717</v>
      </c>
      <c r="C2799" t="s">
        <v>1591</v>
      </c>
      <c r="D2799" t="s">
        <v>3497</v>
      </c>
      <c r="E2799">
        <v>5</v>
      </c>
      <c r="F2799" t="s">
        <v>3526</v>
      </c>
      <c r="G2799" t="s">
        <v>3519</v>
      </c>
      <c r="H2799">
        <v>2.5</v>
      </c>
      <c r="I2799">
        <v>31.6</v>
      </c>
      <c r="J2799">
        <v>158</v>
      </c>
    </row>
    <row r="2800" spans="1:10" x14ac:dyDescent="0.25">
      <c r="A2800" t="s">
        <v>5325</v>
      </c>
      <c r="B2800" s="3">
        <v>44204</v>
      </c>
      <c r="C2800" t="s">
        <v>2195</v>
      </c>
      <c r="D2800" t="s">
        <v>3489</v>
      </c>
      <c r="E2800">
        <v>3</v>
      </c>
      <c r="F2800" t="s">
        <v>3523</v>
      </c>
      <c r="G2800" t="s">
        <v>3518</v>
      </c>
      <c r="H2800">
        <v>0.5</v>
      </c>
      <c r="I2800">
        <v>6</v>
      </c>
      <c r="J2800">
        <v>18</v>
      </c>
    </row>
    <row r="2801" spans="1:10" x14ac:dyDescent="0.25">
      <c r="A2801" t="s">
        <v>5326</v>
      </c>
      <c r="B2801" s="3">
        <v>45566</v>
      </c>
      <c r="C2801" t="s">
        <v>3435</v>
      </c>
      <c r="D2801" t="s">
        <v>3487</v>
      </c>
      <c r="E2801">
        <v>2</v>
      </c>
      <c r="F2801" t="s">
        <v>3526</v>
      </c>
      <c r="G2801" t="s">
        <v>3519</v>
      </c>
      <c r="H2801">
        <v>0.2</v>
      </c>
      <c r="I2801">
        <v>4.0999999999999996</v>
      </c>
      <c r="J2801">
        <v>8.1999999999999993</v>
      </c>
    </row>
    <row r="2802" spans="1:10" x14ac:dyDescent="0.25">
      <c r="A2802" t="s">
        <v>5327</v>
      </c>
      <c r="B2802" s="3">
        <v>44992</v>
      </c>
      <c r="C2802" t="s">
        <v>1511</v>
      </c>
      <c r="D2802" t="s">
        <v>3511</v>
      </c>
      <c r="E2802">
        <v>6</v>
      </c>
      <c r="F2802" t="s">
        <v>3523</v>
      </c>
      <c r="G2802" t="s">
        <v>3517</v>
      </c>
      <c r="H2802">
        <v>0.5</v>
      </c>
      <c r="I2802">
        <v>7.8</v>
      </c>
      <c r="J2802">
        <v>46.8</v>
      </c>
    </row>
    <row r="2803" spans="1:10" x14ac:dyDescent="0.25">
      <c r="A2803" t="s">
        <v>5328</v>
      </c>
      <c r="B2803" s="3">
        <v>44269</v>
      </c>
      <c r="C2803" t="s">
        <v>3095</v>
      </c>
      <c r="D2803" t="s">
        <v>3496</v>
      </c>
      <c r="E2803">
        <v>2</v>
      </c>
      <c r="F2803" t="s">
        <v>3525</v>
      </c>
      <c r="G2803" t="s">
        <v>3518</v>
      </c>
      <c r="H2803">
        <v>2.5</v>
      </c>
      <c r="I2803">
        <v>29.8</v>
      </c>
      <c r="J2803">
        <v>59.6</v>
      </c>
    </row>
    <row r="2804" spans="1:10" x14ac:dyDescent="0.25">
      <c r="A2804" t="s">
        <v>5329</v>
      </c>
      <c r="B2804" s="3">
        <v>44478</v>
      </c>
      <c r="C2804" t="s">
        <v>1268</v>
      </c>
      <c r="D2804" t="s">
        <v>3490</v>
      </c>
      <c r="E2804">
        <v>3</v>
      </c>
      <c r="F2804" t="s">
        <v>3525</v>
      </c>
      <c r="G2804" t="s">
        <v>3519</v>
      </c>
      <c r="H2804">
        <v>0.2</v>
      </c>
      <c r="I2804">
        <v>4.4000000000000004</v>
      </c>
      <c r="J2804">
        <v>13.2</v>
      </c>
    </row>
    <row r="2805" spans="1:10" x14ac:dyDescent="0.25">
      <c r="A2805" t="s">
        <v>5330</v>
      </c>
      <c r="B2805" s="3">
        <v>45557</v>
      </c>
      <c r="C2805" t="s">
        <v>1015</v>
      </c>
      <c r="D2805" t="s">
        <v>3513</v>
      </c>
      <c r="E2805">
        <v>1</v>
      </c>
      <c r="F2805" t="s">
        <v>3523</v>
      </c>
      <c r="G2805" t="s">
        <v>3517</v>
      </c>
      <c r="H2805">
        <v>2.5</v>
      </c>
      <c r="I2805">
        <v>29.8</v>
      </c>
      <c r="J2805">
        <v>29.8</v>
      </c>
    </row>
    <row r="2806" spans="1:10" x14ac:dyDescent="0.25">
      <c r="A2806" t="s">
        <v>5331</v>
      </c>
      <c r="B2806" s="3">
        <v>45361</v>
      </c>
      <c r="C2806" t="s">
        <v>1423</v>
      </c>
      <c r="D2806" t="s">
        <v>3476</v>
      </c>
      <c r="E2806">
        <v>3</v>
      </c>
      <c r="F2806" t="s">
        <v>3525</v>
      </c>
      <c r="G2806" t="s">
        <v>3517</v>
      </c>
      <c r="H2806">
        <v>0.2</v>
      </c>
      <c r="I2806">
        <v>4.8</v>
      </c>
      <c r="J2806">
        <v>14.4</v>
      </c>
    </row>
    <row r="2807" spans="1:10" x14ac:dyDescent="0.25">
      <c r="A2807" t="s">
        <v>5332</v>
      </c>
      <c r="B2807" s="3">
        <v>45542</v>
      </c>
      <c r="C2807" t="s">
        <v>3252</v>
      </c>
      <c r="D2807" t="s">
        <v>3501</v>
      </c>
      <c r="E2807">
        <v>3</v>
      </c>
      <c r="F2807" t="s">
        <v>3525</v>
      </c>
      <c r="G2807" t="s">
        <v>3517</v>
      </c>
      <c r="H2807">
        <v>1</v>
      </c>
      <c r="I2807">
        <v>15.9</v>
      </c>
      <c r="J2807">
        <v>47.7</v>
      </c>
    </row>
    <row r="2808" spans="1:10" x14ac:dyDescent="0.25">
      <c r="A2808" t="s">
        <v>5333</v>
      </c>
      <c r="B2808" s="3">
        <v>44326</v>
      </c>
      <c r="C2808" t="s">
        <v>1018</v>
      </c>
      <c r="D2808" t="s">
        <v>3474</v>
      </c>
      <c r="E2808">
        <v>4</v>
      </c>
      <c r="F2808" t="s">
        <v>3525</v>
      </c>
      <c r="G2808" t="s">
        <v>3518</v>
      </c>
      <c r="H2808">
        <v>1</v>
      </c>
      <c r="I2808">
        <v>13</v>
      </c>
      <c r="J2808">
        <v>52</v>
      </c>
    </row>
    <row r="2809" spans="1:10" x14ac:dyDescent="0.25">
      <c r="A2809" t="s">
        <v>5334</v>
      </c>
      <c r="B2809" s="3">
        <v>44650</v>
      </c>
      <c r="C2809" t="s">
        <v>2846</v>
      </c>
      <c r="D2809" t="s">
        <v>3478</v>
      </c>
      <c r="E2809">
        <v>4</v>
      </c>
      <c r="F2809" t="s">
        <v>3523</v>
      </c>
      <c r="G2809" t="s">
        <v>3518</v>
      </c>
      <c r="H2809">
        <v>1</v>
      </c>
      <c r="I2809">
        <v>10</v>
      </c>
      <c r="J2809">
        <v>40</v>
      </c>
    </row>
    <row r="2810" spans="1:10" x14ac:dyDescent="0.25">
      <c r="A2810" t="s">
        <v>5335</v>
      </c>
      <c r="B2810" s="3">
        <v>45599</v>
      </c>
      <c r="C2810" t="s">
        <v>2980</v>
      </c>
      <c r="D2810" t="s">
        <v>3479</v>
      </c>
      <c r="E2810">
        <v>5</v>
      </c>
      <c r="F2810" t="s">
        <v>3526</v>
      </c>
      <c r="G2810" t="s">
        <v>3517</v>
      </c>
      <c r="H2810">
        <v>2.5</v>
      </c>
      <c r="I2810">
        <v>34.200000000000003</v>
      </c>
      <c r="J2810">
        <v>171</v>
      </c>
    </row>
    <row r="2811" spans="1:10" x14ac:dyDescent="0.25">
      <c r="A2811" t="s">
        <v>5336</v>
      </c>
      <c r="B2811" s="3">
        <v>45571</v>
      </c>
      <c r="C2811" t="s">
        <v>707</v>
      </c>
      <c r="D2811" t="s">
        <v>3490</v>
      </c>
      <c r="E2811">
        <v>2</v>
      </c>
      <c r="F2811" t="s">
        <v>3525</v>
      </c>
      <c r="G2811" t="s">
        <v>3519</v>
      </c>
      <c r="H2811">
        <v>0.2</v>
      </c>
      <c r="I2811">
        <v>4.4000000000000004</v>
      </c>
      <c r="J2811">
        <v>8.8000000000000007</v>
      </c>
    </row>
    <row r="2812" spans="1:10" x14ac:dyDescent="0.25">
      <c r="A2812" t="s">
        <v>5337</v>
      </c>
      <c r="B2812" s="3">
        <v>45560</v>
      </c>
      <c r="C2812" t="s">
        <v>3270</v>
      </c>
      <c r="D2812" t="s">
        <v>3509</v>
      </c>
      <c r="E2812">
        <v>3</v>
      </c>
      <c r="F2812" t="s">
        <v>3524</v>
      </c>
      <c r="G2812" t="s">
        <v>3517</v>
      </c>
      <c r="H2812">
        <v>0.2</v>
      </c>
      <c r="I2812">
        <v>3.6</v>
      </c>
      <c r="J2812">
        <v>10.8</v>
      </c>
    </row>
    <row r="2813" spans="1:10" x14ac:dyDescent="0.25">
      <c r="A2813" t="s">
        <v>5338</v>
      </c>
      <c r="B2813" s="3">
        <v>44780</v>
      </c>
      <c r="C2813" t="s">
        <v>2257</v>
      </c>
      <c r="D2813" t="s">
        <v>3483</v>
      </c>
      <c r="E2813">
        <v>4</v>
      </c>
      <c r="F2813" t="s">
        <v>3523</v>
      </c>
      <c r="G2813" t="s">
        <v>3519</v>
      </c>
      <c r="H2813">
        <v>0.2</v>
      </c>
      <c r="I2813">
        <v>3.4</v>
      </c>
      <c r="J2813">
        <v>13.6</v>
      </c>
    </row>
    <row r="2814" spans="1:10" x14ac:dyDescent="0.25">
      <c r="A2814" t="s">
        <v>5339</v>
      </c>
      <c r="B2814" s="3">
        <v>45239</v>
      </c>
      <c r="C2814" t="s">
        <v>1384</v>
      </c>
      <c r="D2814" t="s">
        <v>3491</v>
      </c>
      <c r="E2814">
        <v>3</v>
      </c>
      <c r="F2814" t="s">
        <v>3525</v>
      </c>
      <c r="G2814" t="s">
        <v>3519</v>
      </c>
      <c r="H2814">
        <v>0.5</v>
      </c>
      <c r="I2814">
        <v>8.6999999999999993</v>
      </c>
      <c r="J2814">
        <v>26.1</v>
      </c>
    </row>
    <row r="2815" spans="1:10" x14ac:dyDescent="0.25">
      <c r="A2815" t="s">
        <v>5340</v>
      </c>
      <c r="B2815" s="3">
        <v>44622</v>
      </c>
      <c r="C2815" t="s">
        <v>3139</v>
      </c>
      <c r="D2815" t="s">
        <v>3481</v>
      </c>
      <c r="E2815">
        <v>1</v>
      </c>
      <c r="F2815" t="s">
        <v>3525</v>
      </c>
      <c r="G2815" t="s">
        <v>3518</v>
      </c>
      <c r="H2815">
        <v>0.2</v>
      </c>
      <c r="I2815">
        <v>3.9</v>
      </c>
      <c r="J2815">
        <v>3.9</v>
      </c>
    </row>
    <row r="2816" spans="1:10" x14ac:dyDescent="0.25">
      <c r="A2816" t="s">
        <v>5341</v>
      </c>
      <c r="B2816" s="3">
        <v>45377</v>
      </c>
      <c r="C2816" t="s">
        <v>1597</v>
      </c>
      <c r="D2816" t="s">
        <v>3489</v>
      </c>
      <c r="E2816">
        <v>2</v>
      </c>
      <c r="F2816" t="s">
        <v>3523</v>
      </c>
      <c r="G2816" t="s">
        <v>3518</v>
      </c>
      <c r="H2816">
        <v>0.5</v>
      </c>
      <c r="I2816">
        <v>6</v>
      </c>
      <c r="J2816">
        <v>12</v>
      </c>
    </row>
    <row r="2817" spans="1:10" x14ac:dyDescent="0.25">
      <c r="A2817" t="s">
        <v>5342</v>
      </c>
      <c r="B2817" s="3">
        <v>45604</v>
      </c>
      <c r="C2817" t="s">
        <v>1833</v>
      </c>
      <c r="D2817" t="s">
        <v>3495</v>
      </c>
      <c r="E2817">
        <v>5</v>
      </c>
      <c r="F2817" t="s">
        <v>3525</v>
      </c>
      <c r="G2817" t="s">
        <v>3517</v>
      </c>
      <c r="H2817">
        <v>2.5</v>
      </c>
      <c r="I2817">
        <v>36.5</v>
      </c>
      <c r="J2817">
        <v>182.5</v>
      </c>
    </row>
    <row r="2818" spans="1:10" x14ac:dyDescent="0.25">
      <c r="A2818" t="s">
        <v>5343</v>
      </c>
      <c r="B2818" s="3">
        <v>44728</v>
      </c>
      <c r="C2818" t="s">
        <v>713</v>
      </c>
      <c r="D2818" t="s">
        <v>3501</v>
      </c>
      <c r="E2818">
        <v>5</v>
      </c>
      <c r="F2818" t="s">
        <v>3525</v>
      </c>
      <c r="G2818" t="s">
        <v>3517</v>
      </c>
      <c r="H2818">
        <v>1</v>
      </c>
      <c r="I2818">
        <v>15.9</v>
      </c>
      <c r="J2818">
        <v>79.5</v>
      </c>
    </row>
    <row r="2819" spans="1:10" x14ac:dyDescent="0.25">
      <c r="A2819" t="s">
        <v>5344</v>
      </c>
      <c r="B2819" s="3">
        <v>45021</v>
      </c>
      <c r="C2819" t="s">
        <v>541</v>
      </c>
      <c r="D2819" t="s">
        <v>3512</v>
      </c>
      <c r="E2819">
        <v>5</v>
      </c>
      <c r="F2819" t="s">
        <v>3525</v>
      </c>
      <c r="G2819" t="s">
        <v>3519</v>
      </c>
      <c r="H2819">
        <v>2.5</v>
      </c>
      <c r="I2819">
        <v>33.5</v>
      </c>
      <c r="J2819">
        <v>167.5</v>
      </c>
    </row>
    <row r="2820" spans="1:10" x14ac:dyDescent="0.25">
      <c r="A2820" t="s">
        <v>5345</v>
      </c>
      <c r="B2820" s="3">
        <v>44698</v>
      </c>
      <c r="C2820" t="s">
        <v>523</v>
      </c>
      <c r="D2820" t="s">
        <v>3497</v>
      </c>
      <c r="E2820">
        <v>6</v>
      </c>
      <c r="F2820" t="s">
        <v>3526</v>
      </c>
      <c r="G2820" t="s">
        <v>3519</v>
      </c>
      <c r="H2820">
        <v>2.5</v>
      </c>
      <c r="I2820">
        <v>31.6</v>
      </c>
      <c r="J2820">
        <v>189.6</v>
      </c>
    </row>
    <row r="2821" spans="1:10" x14ac:dyDescent="0.25">
      <c r="A2821" t="s">
        <v>5346</v>
      </c>
      <c r="B2821" s="3">
        <v>44181</v>
      </c>
      <c r="C2821" t="s">
        <v>1423</v>
      </c>
      <c r="D2821" t="s">
        <v>3497</v>
      </c>
      <c r="E2821">
        <v>1</v>
      </c>
      <c r="F2821" t="s">
        <v>3526</v>
      </c>
      <c r="G2821" t="s">
        <v>3519</v>
      </c>
      <c r="H2821">
        <v>2.5</v>
      </c>
      <c r="I2821">
        <v>31.6</v>
      </c>
      <c r="J2821">
        <v>31.6</v>
      </c>
    </row>
    <row r="2822" spans="1:10" x14ac:dyDescent="0.25">
      <c r="A2822" t="s">
        <v>5347</v>
      </c>
      <c r="B2822" s="3">
        <v>45280</v>
      </c>
      <c r="C2822" t="s">
        <v>2855</v>
      </c>
      <c r="D2822" t="s">
        <v>3495</v>
      </c>
      <c r="E2822">
        <v>5</v>
      </c>
      <c r="F2822" t="s">
        <v>3525</v>
      </c>
      <c r="G2822" t="s">
        <v>3517</v>
      </c>
      <c r="H2822">
        <v>2.5</v>
      </c>
      <c r="I2822">
        <v>36.5</v>
      </c>
      <c r="J2822">
        <v>182.5</v>
      </c>
    </row>
    <row r="2823" spans="1:10" x14ac:dyDescent="0.25">
      <c r="A2823" t="s">
        <v>5348</v>
      </c>
      <c r="B2823" s="3">
        <v>45539</v>
      </c>
      <c r="C2823" t="s">
        <v>2590</v>
      </c>
      <c r="D2823" t="s">
        <v>3478</v>
      </c>
      <c r="E2823">
        <v>2</v>
      </c>
      <c r="F2823" t="s">
        <v>3523</v>
      </c>
      <c r="G2823" t="s">
        <v>3518</v>
      </c>
      <c r="H2823">
        <v>1</v>
      </c>
      <c r="I2823">
        <v>10</v>
      </c>
      <c r="J2823">
        <v>20</v>
      </c>
    </row>
    <row r="2824" spans="1:10" x14ac:dyDescent="0.25">
      <c r="A2824" t="s">
        <v>5349</v>
      </c>
      <c r="B2824" s="3">
        <v>45421</v>
      </c>
      <c r="C2824" t="s">
        <v>3148</v>
      </c>
      <c r="D2824" t="s">
        <v>3482</v>
      </c>
      <c r="E2824">
        <v>4</v>
      </c>
      <c r="F2824" t="s">
        <v>3524</v>
      </c>
      <c r="G2824" t="s">
        <v>3519</v>
      </c>
      <c r="H2824">
        <v>2.5</v>
      </c>
      <c r="I2824">
        <v>22.9</v>
      </c>
      <c r="J2824">
        <v>91.6</v>
      </c>
    </row>
    <row r="2825" spans="1:10" x14ac:dyDescent="0.25">
      <c r="A2825" t="s">
        <v>5350</v>
      </c>
      <c r="B2825" s="3">
        <v>44797</v>
      </c>
      <c r="C2825" t="s">
        <v>2021</v>
      </c>
      <c r="D2825" t="s">
        <v>3476</v>
      </c>
      <c r="E2825">
        <v>2</v>
      </c>
      <c r="F2825" t="s">
        <v>3525</v>
      </c>
      <c r="G2825" t="s">
        <v>3517</v>
      </c>
      <c r="H2825">
        <v>0.2</v>
      </c>
      <c r="I2825">
        <v>4.8</v>
      </c>
      <c r="J2825">
        <v>9.6</v>
      </c>
    </row>
    <row r="2826" spans="1:10" x14ac:dyDescent="0.25">
      <c r="A2826" t="s">
        <v>5351</v>
      </c>
      <c r="B2826" s="3">
        <v>43673</v>
      </c>
      <c r="C2826" t="s">
        <v>3321</v>
      </c>
      <c r="D2826" t="s">
        <v>3488</v>
      </c>
      <c r="E2826">
        <v>4</v>
      </c>
      <c r="F2826" t="s">
        <v>3523</v>
      </c>
      <c r="G2826" t="s">
        <v>3519</v>
      </c>
      <c r="H2826">
        <v>0.5</v>
      </c>
      <c r="I2826">
        <v>6.8</v>
      </c>
      <c r="J2826">
        <v>27.2</v>
      </c>
    </row>
    <row r="2827" spans="1:10" x14ac:dyDescent="0.25">
      <c r="A2827" t="s">
        <v>5352</v>
      </c>
      <c r="B2827" s="3">
        <v>44844</v>
      </c>
      <c r="C2827" t="s">
        <v>1758</v>
      </c>
      <c r="D2827" t="s">
        <v>3501</v>
      </c>
      <c r="E2827">
        <v>1</v>
      </c>
      <c r="F2827" t="s">
        <v>3525</v>
      </c>
      <c r="G2827" t="s">
        <v>3517</v>
      </c>
      <c r="H2827">
        <v>1</v>
      </c>
      <c r="I2827">
        <v>15.9</v>
      </c>
      <c r="J2827">
        <v>15.9</v>
      </c>
    </row>
    <row r="2828" spans="1:10" x14ac:dyDescent="0.25">
      <c r="A2828" t="s">
        <v>5353</v>
      </c>
      <c r="B2828" s="3">
        <v>44745</v>
      </c>
      <c r="C2828" t="s">
        <v>3060</v>
      </c>
      <c r="D2828" t="s">
        <v>3514</v>
      </c>
      <c r="E2828">
        <v>6</v>
      </c>
      <c r="F2828" t="s">
        <v>3526</v>
      </c>
      <c r="G2828" t="s">
        <v>3518</v>
      </c>
      <c r="H2828">
        <v>1</v>
      </c>
      <c r="I2828">
        <v>12.2</v>
      </c>
      <c r="J2828">
        <v>73.2</v>
      </c>
    </row>
    <row r="2829" spans="1:10" x14ac:dyDescent="0.25">
      <c r="A2829" t="s">
        <v>5354</v>
      </c>
      <c r="B2829" s="3">
        <v>43710</v>
      </c>
      <c r="C2829" t="s">
        <v>3217</v>
      </c>
      <c r="D2829" t="s">
        <v>3473</v>
      </c>
      <c r="E2829">
        <v>5</v>
      </c>
      <c r="F2829" t="s">
        <v>3524</v>
      </c>
      <c r="G2829" t="s">
        <v>3517</v>
      </c>
      <c r="H2829">
        <v>2.5</v>
      </c>
      <c r="I2829">
        <v>27.5</v>
      </c>
      <c r="J2829">
        <v>137.5</v>
      </c>
    </row>
    <row r="2830" spans="1:10" x14ac:dyDescent="0.25">
      <c r="A2830" t="s">
        <v>5355</v>
      </c>
      <c r="B2830" s="3">
        <v>45373</v>
      </c>
      <c r="C2830" t="s">
        <v>2021</v>
      </c>
      <c r="D2830" t="s">
        <v>3475</v>
      </c>
      <c r="E2830">
        <v>3</v>
      </c>
      <c r="F2830" t="s">
        <v>3526</v>
      </c>
      <c r="G2830" t="s">
        <v>3518</v>
      </c>
      <c r="H2830">
        <v>0.5</v>
      </c>
      <c r="I2830">
        <v>7.3</v>
      </c>
      <c r="J2830">
        <v>21.9</v>
      </c>
    </row>
    <row r="2831" spans="1:10" x14ac:dyDescent="0.25">
      <c r="A2831" t="s">
        <v>5356</v>
      </c>
      <c r="B2831" s="3">
        <v>45328</v>
      </c>
      <c r="C2831" t="s">
        <v>658</v>
      </c>
      <c r="D2831" t="s">
        <v>3482</v>
      </c>
      <c r="E2831">
        <v>3</v>
      </c>
      <c r="F2831" t="s">
        <v>3524</v>
      </c>
      <c r="G2831" t="s">
        <v>3519</v>
      </c>
      <c r="H2831">
        <v>2.5</v>
      </c>
      <c r="I2831">
        <v>22.9</v>
      </c>
      <c r="J2831">
        <v>68.7</v>
      </c>
    </row>
    <row r="2832" spans="1:10" x14ac:dyDescent="0.25">
      <c r="A2832" t="s">
        <v>5357</v>
      </c>
      <c r="B2832" s="3">
        <v>44266</v>
      </c>
      <c r="C2832" t="s">
        <v>1529</v>
      </c>
      <c r="D2832" t="s">
        <v>3493</v>
      </c>
      <c r="E2832">
        <v>3</v>
      </c>
      <c r="F2832" t="s">
        <v>3525</v>
      </c>
      <c r="G2832" t="s">
        <v>3519</v>
      </c>
      <c r="H2832">
        <v>1</v>
      </c>
      <c r="I2832">
        <v>14.6</v>
      </c>
      <c r="J2832">
        <v>43.8</v>
      </c>
    </row>
    <row r="2833" spans="1:10" x14ac:dyDescent="0.25">
      <c r="A2833" t="s">
        <v>5358</v>
      </c>
      <c r="B2833" s="3">
        <v>44940</v>
      </c>
      <c r="C2833" t="s">
        <v>2356</v>
      </c>
      <c r="D2833" t="s">
        <v>3505</v>
      </c>
      <c r="E2833">
        <v>4</v>
      </c>
      <c r="F2833" t="s">
        <v>3524</v>
      </c>
      <c r="G2833" t="s">
        <v>3519</v>
      </c>
      <c r="H2833">
        <v>0.2</v>
      </c>
      <c r="I2833">
        <v>3</v>
      </c>
      <c r="J2833">
        <v>12</v>
      </c>
    </row>
    <row r="2834" spans="1:10" x14ac:dyDescent="0.25">
      <c r="A2834" t="s">
        <v>5359</v>
      </c>
      <c r="B2834" s="3">
        <v>44675</v>
      </c>
      <c r="C2834" t="s">
        <v>2786</v>
      </c>
      <c r="D2834" t="s">
        <v>3497</v>
      </c>
      <c r="E2834">
        <v>5</v>
      </c>
      <c r="F2834" t="s">
        <v>3526</v>
      </c>
      <c r="G2834" t="s">
        <v>3519</v>
      </c>
      <c r="H2834">
        <v>2.5</v>
      </c>
      <c r="I2834">
        <v>31.6</v>
      </c>
      <c r="J2834">
        <v>158</v>
      </c>
    </row>
    <row r="2835" spans="1:10" x14ac:dyDescent="0.25">
      <c r="A2835" t="s">
        <v>5360</v>
      </c>
      <c r="B2835" s="3">
        <v>45353</v>
      </c>
      <c r="C2835" t="s">
        <v>3066</v>
      </c>
      <c r="D2835" t="s">
        <v>3493</v>
      </c>
      <c r="E2835">
        <v>2</v>
      </c>
      <c r="F2835" t="s">
        <v>3525</v>
      </c>
      <c r="G2835" t="s">
        <v>3519</v>
      </c>
      <c r="H2835">
        <v>1</v>
      </c>
      <c r="I2835">
        <v>14.6</v>
      </c>
      <c r="J2835">
        <v>29.2</v>
      </c>
    </row>
    <row r="2836" spans="1:10" x14ac:dyDescent="0.25">
      <c r="A2836" t="s">
        <v>5361</v>
      </c>
      <c r="B2836" s="3">
        <v>45044</v>
      </c>
      <c r="C2836" t="s">
        <v>1806</v>
      </c>
      <c r="D2836" t="s">
        <v>3480</v>
      </c>
      <c r="E2836">
        <v>3</v>
      </c>
      <c r="F2836" t="s">
        <v>3524</v>
      </c>
      <c r="G2836" t="s">
        <v>3518</v>
      </c>
      <c r="H2836">
        <v>2.5</v>
      </c>
      <c r="I2836">
        <v>20.6</v>
      </c>
      <c r="J2836">
        <v>61.8</v>
      </c>
    </row>
    <row r="2837" spans="1:10" x14ac:dyDescent="0.25">
      <c r="A2837" t="s">
        <v>5362</v>
      </c>
      <c r="B2837" s="3">
        <v>44496</v>
      </c>
      <c r="C2837" t="s">
        <v>2482</v>
      </c>
      <c r="D2837" t="s">
        <v>3492</v>
      </c>
      <c r="E2837">
        <v>5</v>
      </c>
      <c r="F2837" t="s">
        <v>3525</v>
      </c>
      <c r="G2837" t="s">
        <v>3517</v>
      </c>
      <c r="H2837">
        <v>0.5</v>
      </c>
      <c r="I2837">
        <v>9.5</v>
      </c>
      <c r="J2837">
        <v>47.5</v>
      </c>
    </row>
    <row r="2838" spans="1:10" x14ac:dyDescent="0.25">
      <c r="A2838" t="s">
        <v>5363</v>
      </c>
      <c r="B2838" s="3">
        <v>45386</v>
      </c>
      <c r="C2838" t="s">
        <v>2047</v>
      </c>
      <c r="D2838" t="s">
        <v>3515</v>
      </c>
      <c r="E2838">
        <v>1</v>
      </c>
      <c r="F2838" t="s">
        <v>3526</v>
      </c>
      <c r="G2838" t="s">
        <v>3517</v>
      </c>
      <c r="H2838">
        <v>0.2</v>
      </c>
      <c r="I2838">
        <v>4.5</v>
      </c>
      <c r="J2838">
        <v>4.5</v>
      </c>
    </row>
    <row r="2839" spans="1:10" x14ac:dyDescent="0.25">
      <c r="A2839" t="s">
        <v>5364</v>
      </c>
      <c r="B2839" s="3">
        <v>45061</v>
      </c>
      <c r="C2839" t="s">
        <v>2557</v>
      </c>
      <c r="D2839" t="s">
        <v>3502</v>
      </c>
      <c r="E2839">
        <v>4</v>
      </c>
      <c r="F2839" t="s">
        <v>3526</v>
      </c>
      <c r="G2839" t="s">
        <v>3517</v>
      </c>
      <c r="H2839">
        <v>1</v>
      </c>
      <c r="I2839">
        <v>14.9</v>
      </c>
      <c r="J2839">
        <v>59.6</v>
      </c>
    </row>
    <row r="2840" spans="1:10" x14ac:dyDescent="0.25">
      <c r="A2840" t="s">
        <v>5365</v>
      </c>
      <c r="B2840" s="3">
        <v>44159</v>
      </c>
      <c r="C2840" t="s">
        <v>1109</v>
      </c>
      <c r="D2840" t="s">
        <v>3486</v>
      </c>
      <c r="E2840">
        <v>3</v>
      </c>
      <c r="F2840" t="s">
        <v>3523</v>
      </c>
      <c r="G2840" t="s">
        <v>3519</v>
      </c>
      <c r="H2840">
        <v>1</v>
      </c>
      <c r="I2840">
        <v>11.3</v>
      </c>
      <c r="J2840">
        <v>33.9</v>
      </c>
    </row>
    <row r="2841" spans="1:10" x14ac:dyDescent="0.25">
      <c r="A2841" t="s">
        <v>5366</v>
      </c>
      <c r="B2841" s="3">
        <v>45207</v>
      </c>
      <c r="C2841" t="s">
        <v>658</v>
      </c>
      <c r="D2841" t="s">
        <v>3497</v>
      </c>
      <c r="E2841">
        <v>5</v>
      </c>
      <c r="F2841" t="s">
        <v>3526</v>
      </c>
      <c r="G2841" t="s">
        <v>3519</v>
      </c>
      <c r="H2841">
        <v>2.5</v>
      </c>
      <c r="I2841">
        <v>31.6</v>
      </c>
      <c r="J2841">
        <v>158</v>
      </c>
    </row>
    <row r="2842" spans="1:10" x14ac:dyDescent="0.25">
      <c r="A2842" t="s">
        <v>5367</v>
      </c>
      <c r="B2842" s="3">
        <v>45628</v>
      </c>
      <c r="C2842" t="s">
        <v>1220</v>
      </c>
      <c r="D2842" t="s">
        <v>3501</v>
      </c>
      <c r="E2842">
        <v>1</v>
      </c>
      <c r="F2842" t="s">
        <v>3525</v>
      </c>
      <c r="G2842" t="s">
        <v>3517</v>
      </c>
      <c r="H2842">
        <v>1</v>
      </c>
      <c r="I2842">
        <v>15.9</v>
      </c>
      <c r="J2842">
        <v>15.9</v>
      </c>
    </row>
    <row r="2843" spans="1:10" x14ac:dyDescent="0.25">
      <c r="A2843" t="s">
        <v>5368</v>
      </c>
      <c r="B2843" s="3">
        <v>44660</v>
      </c>
      <c r="C2843" t="s">
        <v>3432</v>
      </c>
      <c r="D2843" t="s">
        <v>3508</v>
      </c>
      <c r="E2843">
        <v>1</v>
      </c>
      <c r="F2843" t="s">
        <v>3524</v>
      </c>
      <c r="G2843" t="s">
        <v>3518</v>
      </c>
      <c r="H2843">
        <v>1</v>
      </c>
      <c r="I2843">
        <v>9</v>
      </c>
      <c r="J2843">
        <v>9</v>
      </c>
    </row>
    <row r="2844" spans="1:10" x14ac:dyDescent="0.25">
      <c r="A2844" t="s">
        <v>5369</v>
      </c>
      <c r="B2844" s="3">
        <v>45184</v>
      </c>
      <c r="C2844" t="s">
        <v>1211</v>
      </c>
      <c r="D2844" t="s">
        <v>3469</v>
      </c>
      <c r="E2844">
        <v>5</v>
      </c>
      <c r="F2844" t="s">
        <v>3524</v>
      </c>
      <c r="G2844" t="s">
        <v>3519</v>
      </c>
      <c r="H2844">
        <v>1</v>
      </c>
      <c r="I2844">
        <v>10</v>
      </c>
      <c r="J2844">
        <v>50</v>
      </c>
    </row>
    <row r="2845" spans="1:10" x14ac:dyDescent="0.25">
      <c r="A2845" t="s">
        <v>5370</v>
      </c>
      <c r="B2845" s="3">
        <v>43515</v>
      </c>
      <c r="C2845" t="s">
        <v>1196</v>
      </c>
      <c r="D2845" t="s">
        <v>3499</v>
      </c>
      <c r="E2845">
        <v>1</v>
      </c>
      <c r="F2845" t="s">
        <v>3523</v>
      </c>
      <c r="G2845" t="s">
        <v>3518</v>
      </c>
      <c r="H2845">
        <v>2.5</v>
      </c>
      <c r="I2845">
        <v>22.9</v>
      </c>
      <c r="J2845">
        <v>22.9</v>
      </c>
    </row>
    <row r="2846" spans="1:10" x14ac:dyDescent="0.25">
      <c r="A2846" t="s">
        <v>5371</v>
      </c>
      <c r="B2846" s="3">
        <v>44864</v>
      </c>
      <c r="C2846" t="s">
        <v>2533</v>
      </c>
      <c r="D2846" t="s">
        <v>3486</v>
      </c>
      <c r="E2846">
        <v>5</v>
      </c>
      <c r="F2846" t="s">
        <v>3523</v>
      </c>
      <c r="G2846" t="s">
        <v>3519</v>
      </c>
      <c r="H2846">
        <v>1</v>
      </c>
      <c r="I2846">
        <v>11.3</v>
      </c>
      <c r="J2846">
        <v>56.5</v>
      </c>
    </row>
    <row r="2847" spans="1:10" x14ac:dyDescent="0.25">
      <c r="A2847" t="s">
        <v>5372</v>
      </c>
      <c r="B2847" s="3">
        <v>45371</v>
      </c>
      <c r="C2847" t="s">
        <v>2786</v>
      </c>
      <c r="D2847" t="s">
        <v>3486</v>
      </c>
      <c r="E2847">
        <v>2</v>
      </c>
      <c r="F2847" t="s">
        <v>3523</v>
      </c>
      <c r="G2847" t="s">
        <v>3519</v>
      </c>
      <c r="H2847">
        <v>1</v>
      </c>
      <c r="I2847">
        <v>11.3</v>
      </c>
      <c r="J2847">
        <v>22.6</v>
      </c>
    </row>
    <row r="2848" spans="1:10" x14ac:dyDescent="0.25">
      <c r="A2848" t="s">
        <v>5373</v>
      </c>
      <c r="B2848" s="3">
        <v>44751</v>
      </c>
      <c r="C2848" t="s">
        <v>1643</v>
      </c>
      <c r="D2848" t="s">
        <v>3509</v>
      </c>
      <c r="E2848">
        <v>1</v>
      </c>
      <c r="F2848" t="s">
        <v>3524</v>
      </c>
      <c r="G2848" t="s">
        <v>3517</v>
      </c>
      <c r="H2848">
        <v>0.2</v>
      </c>
      <c r="I2848">
        <v>3.6</v>
      </c>
      <c r="J2848">
        <v>3.6</v>
      </c>
    </row>
    <row r="2849" spans="1:10" x14ac:dyDescent="0.25">
      <c r="A2849" t="s">
        <v>5374</v>
      </c>
      <c r="B2849" s="3">
        <v>43652</v>
      </c>
      <c r="C2849" t="s">
        <v>2119</v>
      </c>
      <c r="D2849" t="s">
        <v>3482</v>
      </c>
      <c r="E2849">
        <v>2</v>
      </c>
      <c r="F2849" t="s">
        <v>3524</v>
      </c>
      <c r="G2849" t="s">
        <v>3519</v>
      </c>
      <c r="H2849">
        <v>2.5</v>
      </c>
      <c r="I2849">
        <v>22.9</v>
      </c>
      <c r="J2849">
        <v>45.8</v>
      </c>
    </row>
    <row r="2850" spans="1:10" x14ac:dyDescent="0.25">
      <c r="A2850" t="s">
        <v>5375</v>
      </c>
      <c r="B2850" s="3">
        <v>44760</v>
      </c>
      <c r="C2850" t="s">
        <v>2825</v>
      </c>
      <c r="D2850" t="s">
        <v>3482</v>
      </c>
      <c r="E2850">
        <v>1</v>
      </c>
      <c r="F2850" t="s">
        <v>3524</v>
      </c>
      <c r="G2850" t="s">
        <v>3519</v>
      </c>
      <c r="H2850">
        <v>2.5</v>
      </c>
      <c r="I2850">
        <v>22.9</v>
      </c>
      <c r="J2850">
        <v>22.9</v>
      </c>
    </row>
    <row r="2851" spans="1:10" x14ac:dyDescent="0.25">
      <c r="A2851" t="s">
        <v>5376</v>
      </c>
      <c r="B2851" s="3">
        <v>44669</v>
      </c>
      <c r="C2851" t="s">
        <v>1732</v>
      </c>
      <c r="D2851" t="s">
        <v>3511</v>
      </c>
      <c r="E2851">
        <v>3</v>
      </c>
      <c r="F2851" t="s">
        <v>3523</v>
      </c>
      <c r="G2851" t="s">
        <v>3517</v>
      </c>
      <c r="H2851">
        <v>0.5</v>
      </c>
      <c r="I2851">
        <v>7.8</v>
      </c>
      <c r="J2851">
        <v>23.4</v>
      </c>
    </row>
    <row r="2852" spans="1:10" x14ac:dyDescent="0.25">
      <c r="A2852" t="s">
        <v>5377</v>
      </c>
      <c r="B2852" s="3">
        <v>44982</v>
      </c>
      <c r="C2852" t="s">
        <v>981</v>
      </c>
      <c r="D2852" t="s">
        <v>3497</v>
      </c>
      <c r="E2852">
        <v>3</v>
      </c>
      <c r="F2852" t="s">
        <v>3526</v>
      </c>
      <c r="G2852" t="s">
        <v>3519</v>
      </c>
      <c r="H2852">
        <v>2.5</v>
      </c>
      <c r="I2852">
        <v>31.6</v>
      </c>
      <c r="J2852">
        <v>94.8</v>
      </c>
    </row>
    <row r="2853" spans="1:10" x14ac:dyDescent="0.25">
      <c r="A2853" t="s">
        <v>5378</v>
      </c>
      <c r="B2853" s="3">
        <v>44472</v>
      </c>
      <c r="C2853" t="s">
        <v>2590</v>
      </c>
      <c r="D2853" t="s">
        <v>3494</v>
      </c>
      <c r="E2853">
        <v>5</v>
      </c>
      <c r="F2853" t="s">
        <v>3524</v>
      </c>
      <c r="G2853" t="s">
        <v>3518</v>
      </c>
      <c r="H2853">
        <v>0.2</v>
      </c>
      <c r="I2853">
        <v>2.7</v>
      </c>
      <c r="J2853">
        <v>13.5</v>
      </c>
    </row>
    <row r="2854" spans="1:10" x14ac:dyDescent="0.25">
      <c r="A2854" t="s">
        <v>5379</v>
      </c>
      <c r="B2854" s="3">
        <v>45183</v>
      </c>
      <c r="C2854" t="s">
        <v>1009</v>
      </c>
      <c r="D2854" t="s">
        <v>3516</v>
      </c>
      <c r="E2854">
        <v>5</v>
      </c>
      <c r="F2854" t="s">
        <v>3526</v>
      </c>
      <c r="G2854" t="s">
        <v>3518</v>
      </c>
      <c r="H2854">
        <v>2.5</v>
      </c>
      <c r="I2854">
        <v>27.9</v>
      </c>
      <c r="J2854">
        <v>139.5</v>
      </c>
    </row>
    <row r="2855" spans="1:10" x14ac:dyDescent="0.25">
      <c r="A2855" t="s">
        <v>5380</v>
      </c>
      <c r="B2855" s="3">
        <v>43593</v>
      </c>
      <c r="C2855" t="s">
        <v>3106</v>
      </c>
      <c r="D2855" t="s">
        <v>3501</v>
      </c>
      <c r="E2855">
        <v>3</v>
      </c>
      <c r="F2855" t="s">
        <v>3525</v>
      </c>
      <c r="G2855" t="s">
        <v>3517</v>
      </c>
      <c r="H2855">
        <v>1</v>
      </c>
      <c r="I2855">
        <v>15.9</v>
      </c>
      <c r="J2855">
        <v>47.7</v>
      </c>
    </row>
    <row r="2856" spans="1:10" x14ac:dyDescent="0.25">
      <c r="A2856" t="s">
        <v>5381</v>
      </c>
      <c r="B2856" s="3">
        <v>44791</v>
      </c>
      <c r="C2856" t="s">
        <v>2681</v>
      </c>
      <c r="D2856" t="s">
        <v>3502</v>
      </c>
      <c r="E2856">
        <v>6</v>
      </c>
      <c r="F2856" t="s">
        <v>3526</v>
      </c>
      <c r="G2856" t="s">
        <v>3517</v>
      </c>
      <c r="H2856">
        <v>1</v>
      </c>
      <c r="I2856">
        <v>14.9</v>
      </c>
      <c r="J2856">
        <v>89.4</v>
      </c>
    </row>
    <row r="2857" spans="1:10" x14ac:dyDescent="0.25">
      <c r="A2857" t="s">
        <v>5382</v>
      </c>
      <c r="B2857" s="3">
        <v>45010</v>
      </c>
      <c r="C2857" t="s">
        <v>3387</v>
      </c>
      <c r="D2857" t="s">
        <v>3508</v>
      </c>
      <c r="E2857">
        <v>2</v>
      </c>
      <c r="F2857" t="s">
        <v>3524</v>
      </c>
      <c r="G2857" t="s">
        <v>3518</v>
      </c>
      <c r="H2857">
        <v>1</v>
      </c>
      <c r="I2857">
        <v>9</v>
      </c>
      <c r="J2857">
        <v>18</v>
      </c>
    </row>
    <row r="2858" spans="1:10" x14ac:dyDescent="0.25">
      <c r="A2858" t="s">
        <v>5383</v>
      </c>
      <c r="B2858" s="3">
        <v>44917</v>
      </c>
      <c r="C2858" t="s">
        <v>1963</v>
      </c>
      <c r="D2858" t="s">
        <v>3492</v>
      </c>
      <c r="E2858">
        <v>1</v>
      </c>
      <c r="F2858" t="s">
        <v>3525</v>
      </c>
      <c r="G2858" t="s">
        <v>3517</v>
      </c>
      <c r="H2858">
        <v>0.5</v>
      </c>
      <c r="I2858">
        <v>9.5</v>
      </c>
      <c r="J2858">
        <v>9.5</v>
      </c>
    </row>
    <row r="2859" spans="1:10" x14ac:dyDescent="0.25">
      <c r="A2859" t="s">
        <v>5384</v>
      </c>
      <c r="B2859" s="3">
        <v>45249</v>
      </c>
      <c r="C2859" t="s">
        <v>1360</v>
      </c>
      <c r="D2859" t="s">
        <v>3509</v>
      </c>
      <c r="E2859">
        <v>6</v>
      </c>
      <c r="F2859" t="s">
        <v>3524</v>
      </c>
      <c r="G2859" t="s">
        <v>3517</v>
      </c>
      <c r="H2859">
        <v>0.2</v>
      </c>
      <c r="I2859">
        <v>3.6</v>
      </c>
      <c r="J2859">
        <v>21.6</v>
      </c>
    </row>
    <row r="2860" spans="1:10" x14ac:dyDescent="0.25">
      <c r="A2860" t="s">
        <v>5385</v>
      </c>
      <c r="B2860" s="3">
        <v>45469</v>
      </c>
      <c r="C2860" t="s">
        <v>1797</v>
      </c>
      <c r="D2860" t="s">
        <v>3500</v>
      </c>
      <c r="E2860">
        <v>1</v>
      </c>
      <c r="F2860" t="s">
        <v>3525</v>
      </c>
      <c r="G2860" t="s">
        <v>3518</v>
      </c>
      <c r="H2860">
        <v>0.5</v>
      </c>
      <c r="I2860">
        <v>7.8</v>
      </c>
      <c r="J2860">
        <v>7.8</v>
      </c>
    </row>
    <row r="2861" spans="1:10" x14ac:dyDescent="0.25">
      <c r="A2861" t="s">
        <v>5386</v>
      </c>
      <c r="B2861" s="3">
        <v>45577</v>
      </c>
      <c r="C2861" t="s">
        <v>2834</v>
      </c>
      <c r="D2861" t="s">
        <v>3497</v>
      </c>
      <c r="E2861">
        <v>2</v>
      </c>
      <c r="F2861" t="s">
        <v>3526</v>
      </c>
      <c r="G2861" t="s">
        <v>3519</v>
      </c>
      <c r="H2861">
        <v>2.5</v>
      </c>
      <c r="I2861">
        <v>31.6</v>
      </c>
      <c r="J2861">
        <v>63.2</v>
      </c>
    </row>
    <row r="2862" spans="1:10" x14ac:dyDescent="0.25">
      <c r="A2862" t="s">
        <v>5387</v>
      </c>
      <c r="B2862" s="3">
        <v>45249</v>
      </c>
      <c r="C2862" t="s">
        <v>978</v>
      </c>
      <c r="D2862" t="s">
        <v>3515</v>
      </c>
      <c r="E2862">
        <v>4</v>
      </c>
      <c r="F2862" t="s">
        <v>3526</v>
      </c>
      <c r="G2862" t="s">
        <v>3517</v>
      </c>
      <c r="H2862">
        <v>0.2</v>
      </c>
      <c r="I2862">
        <v>4.5</v>
      </c>
      <c r="J2862">
        <v>18</v>
      </c>
    </row>
    <row r="2863" spans="1:10" x14ac:dyDescent="0.25">
      <c r="A2863" t="s">
        <v>5388</v>
      </c>
      <c r="B2863" s="3">
        <v>45387</v>
      </c>
      <c r="C2863" t="s">
        <v>2384</v>
      </c>
      <c r="D2863" t="s">
        <v>3474</v>
      </c>
      <c r="E2863">
        <v>6</v>
      </c>
      <c r="F2863" t="s">
        <v>3525</v>
      </c>
      <c r="G2863" t="s">
        <v>3518</v>
      </c>
      <c r="H2863">
        <v>1</v>
      </c>
      <c r="I2863">
        <v>13</v>
      </c>
      <c r="J2863">
        <v>78</v>
      </c>
    </row>
    <row r="2864" spans="1:10" x14ac:dyDescent="0.25">
      <c r="A2864" t="s">
        <v>5389</v>
      </c>
      <c r="B2864" s="3">
        <v>43767</v>
      </c>
      <c r="C2864" t="s">
        <v>610</v>
      </c>
      <c r="D2864" t="s">
        <v>3514</v>
      </c>
      <c r="E2864">
        <v>6</v>
      </c>
      <c r="F2864" t="s">
        <v>3526</v>
      </c>
      <c r="G2864" t="s">
        <v>3518</v>
      </c>
      <c r="H2864">
        <v>1</v>
      </c>
      <c r="I2864">
        <v>12.2</v>
      </c>
      <c r="J2864">
        <v>73.2</v>
      </c>
    </row>
    <row r="2865" spans="1:10" x14ac:dyDescent="0.25">
      <c r="A2865" t="s">
        <v>5390</v>
      </c>
      <c r="B2865" s="3">
        <v>44936</v>
      </c>
      <c r="C2865" t="s">
        <v>1050</v>
      </c>
      <c r="D2865" t="s">
        <v>3471</v>
      </c>
      <c r="E2865">
        <v>5</v>
      </c>
      <c r="F2865" t="s">
        <v>3523</v>
      </c>
      <c r="G2865" t="s">
        <v>3517</v>
      </c>
      <c r="H2865">
        <v>1</v>
      </c>
      <c r="I2865">
        <v>13</v>
      </c>
      <c r="J2865">
        <v>65</v>
      </c>
    </row>
    <row r="2866" spans="1:10" x14ac:dyDescent="0.25">
      <c r="A2866" t="s">
        <v>5391</v>
      </c>
      <c r="B2866" s="3">
        <v>43469</v>
      </c>
      <c r="C2866" t="s">
        <v>1497</v>
      </c>
      <c r="D2866" t="s">
        <v>3499</v>
      </c>
      <c r="E2866">
        <v>6</v>
      </c>
      <c r="F2866" t="s">
        <v>3523</v>
      </c>
      <c r="G2866" t="s">
        <v>3518</v>
      </c>
      <c r="H2866">
        <v>2.5</v>
      </c>
      <c r="I2866">
        <v>22.9</v>
      </c>
      <c r="J2866">
        <v>137.4</v>
      </c>
    </row>
    <row r="2867" spans="1:10" x14ac:dyDescent="0.25">
      <c r="A2867" t="s">
        <v>5392</v>
      </c>
      <c r="B2867" s="3">
        <v>45554</v>
      </c>
      <c r="C2867" t="s">
        <v>728</v>
      </c>
      <c r="D2867" t="s">
        <v>3489</v>
      </c>
      <c r="E2867">
        <v>5</v>
      </c>
      <c r="F2867" t="s">
        <v>3523</v>
      </c>
      <c r="G2867" t="s">
        <v>3518</v>
      </c>
      <c r="H2867">
        <v>0.5</v>
      </c>
      <c r="I2867">
        <v>6</v>
      </c>
      <c r="J2867">
        <v>30</v>
      </c>
    </row>
    <row r="2868" spans="1:10" x14ac:dyDescent="0.25">
      <c r="A2868" t="s">
        <v>5393</v>
      </c>
      <c r="B2868" s="3">
        <v>44855</v>
      </c>
      <c r="C2868" t="s">
        <v>2642</v>
      </c>
      <c r="D2868" t="s">
        <v>3472</v>
      </c>
      <c r="E2868">
        <v>4</v>
      </c>
      <c r="F2868" t="s">
        <v>3526</v>
      </c>
      <c r="G2868" t="s">
        <v>3519</v>
      </c>
      <c r="H2868">
        <v>1</v>
      </c>
      <c r="I2868">
        <v>13.8</v>
      </c>
      <c r="J2868">
        <v>55.2</v>
      </c>
    </row>
    <row r="2869" spans="1:10" x14ac:dyDescent="0.25">
      <c r="A2869" t="s">
        <v>5394</v>
      </c>
      <c r="B2869" s="3">
        <v>45557</v>
      </c>
      <c r="C2869" t="s">
        <v>2834</v>
      </c>
      <c r="D2869" t="s">
        <v>3496</v>
      </c>
      <c r="E2869">
        <v>1</v>
      </c>
      <c r="F2869" t="s">
        <v>3525</v>
      </c>
      <c r="G2869" t="s">
        <v>3518</v>
      </c>
      <c r="H2869">
        <v>2.5</v>
      </c>
      <c r="I2869">
        <v>29.8</v>
      </c>
      <c r="J2869">
        <v>29.8</v>
      </c>
    </row>
    <row r="2870" spans="1:10" x14ac:dyDescent="0.25">
      <c r="A2870" t="s">
        <v>5395</v>
      </c>
      <c r="B2870" s="3">
        <v>44590</v>
      </c>
      <c r="C2870" t="s">
        <v>772</v>
      </c>
      <c r="D2870" t="s">
        <v>3498</v>
      </c>
      <c r="E2870">
        <v>2</v>
      </c>
      <c r="F2870" t="s">
        <v>3523</v>
      </c>
      <c r="G2870" t="s">
        <v>3517</v>
      </c>
      <c r="H2870">
        <v>0.2</v>
      </c>
      <c r="I2870">
        <v>3.9</v>
      </c>
      <c r="J2870">
        <v>7.8</v>
      </c>
    </row>
    <row r="2871" spans="1:10" x14ac:dyDescent="0.25">
      <c r="A2871" t="s">
        <v>5396</v>
      </c>
      <c r="B2871" s="3">
        <v>44874</v>
      </c>
      <c r="C2871" t="s">
        <v>598</v>
      </c>
      <c r="D2871" t="s">
        <v>3514</v>
      </c>
      <c r="E2871">
        <v>2</v>
      </c>
      <c r="F2871" t="s">
        <v>3526</v>
      </c>
      <c r="G2871" t="s">
        <v>3518</v>
      </c>
      <c r="H2871">
        <v>1</v>
      </c>
      <c r="I2871">
        <v>12.2</v>
      </c>
      <c r="J2871">
        <v>24.4</v>
      </c>
    </row>
    <row r="2872" spans="1:10" x14ac:dyDescent="0.25">
      <c r="A2872" t="s">
        <v>5397</v>
      </c>
      <c r="B2872" s="3">
        <v>44759</v>
      </c>
      <c r="C2872" t="s">
        <v>2566</v>
      </c>
      <c r="D2872" t="s">
        <v>3487</v>
      </c>
      <c r="E2872">
        <v>3</v>
      </c>
      <c r="F2872" t="s">
        <v>3526</v>
      </c>
      <c r="G2872" t="s">
        <v>3519</v>
      </c>
      <c r="H2872">
        <v>0.2</v>
      </c>
      <c r="I2872">
        <v>4.0999999999999996</v>
      </c>
      <c r="J2872">
        <v>12.3</v>
      </c>
    </row>
    <row r="2873" spans="1:10" x14ac:dyDescent="0.25">
      <c r="A2873" t="s">
        <v>5398</v>
      </c>
      <c r="B2873" s="3">
        <v>44450</v>
      </c>
      <c r="C2873" t="s">
        <v>1068</v>
      </c>
      <c r="D2873" t="s">
        <v>3481</v>
      </c>
      <c r="E2873">
        <v>4</v>
      </c>
      <c r="F2873" t="s">
        <v>3525</v>
      </c>
      <c r="G2873" t="s">
        <v>3518</v>
      </c>
      <c r="H2873">
        <v>0.2</v>
      </c>
      <c r="I2873">
        <v>3.9</v>
      </c>
      <c r="J2873">
        <v>15.6</v>
      </c>
    </row>
    <row r="2874" spans="1:10" x14ac:dyDescent="0.25">
      <c r="A2874" t="s">
        <v>5399</v>
      </c>
      <c r="B2874" s="3">
        <v>45567</v>
      </c>
      <c r="C2874" t="s">
        <v>722</v>
      </c>
      <c r="D2874" t="s">
        <v>3516</v>
      </c>
      <c r="E2874">
        <v>4</v>
      </c>
      <c r="F2874" t="s">
        <v>3526</v>
      </c>
      <c r="G2874" t="s">
        <v>3518</v>
      </c>
      <c r="H2874">
        <v>2.5</v>
      </c>
      <c r="I2874">
        <v>27.9</v>
      </c>
      <c r="J2874">
        <v>111.6</v>
      </c>
    </row>
    <row r="2875" spans="1:10" x14ac:dyDescent="0.25">
      <c r="A2875" t="s">
        <v>5400</v>
      </c>
      <c r="B2875" s="3">
        <v>43622</v>
      </c>
      <c r="C2875" t="s">
        <v>2195</v>
      </c>
      <c r="D2875" t="s">
        <v>3477</v>
      </c>
      <c r="E2875">
        <v>5</v>
      </c>
      <c r="F2875" t="s">
        <v>3524</v>
      </c>
      <c r="G2875" t="s">
        <v>3519</v>
      </c>
      <c r="H2875">
        <v>0.5</v>
      </c>
      <c r="I2875">
        <v>6</v>
      </c>
      <c r="J2875">
        <v>30</v>
      </c>
    </row>
    <row r="2876" spans="1:10" x14ac:dyDescent="0.25">
      <c r="A2876" t="s">
        <v>5401</v>
      </c>
      <c r="B2876" s="3">
        <v>45247</v>
      </c>
      <c r="C2876" t="s">
        <v>1556</v>
      </c>
      <c r="D2876" t="s">
        <v>3501</v>
      </c>
      <c r="E2876">
        <v>3</v>
      </c>
      <c r="F2876" t="s">
        <v>3525</v>
      </c>
      <c r="G2876" t="s">
        <v>3517</v>
      </c>
      <c r="H2876">
        <v>1</v>
      </c>
      <c r="I2876">
        <v>15.9</v>
      </c>
      <c r="J2876">
        <v>47.7</v>
      </c>
    </row>
    <row r="2877" spans="1:10" x14ac:dyDescent="0.25">
      <c r="A2877" t="s">
        <v>5402</v>
      </c>
      <c r="B2877" s="3">
        <v>44616</v>
      </c>
      <c r="C2877" t="s">
        <v>2521</v>
      </c>
      <c r="D2877" t="s">
        <v>3502</v>
      </c>
      <c r="E2877">
        <v>6</v>
      </c>
      <c r="F2877" t="s">
        <v>3526</v>
      </c>
      <c r="G2877" t="s">
        <v>3517</v>
      </c>
      <c r="H2877">
        <v>1</v>
      </c>
      <c r="I2877">
        <v>14.9</v>
      </c>
      <c r="J2877">
        <v>89.4</v>
      </c>
    </row>
    <row r="2878" spans="1:10" x14ac:dyDescent="0.25">
      <c r="A2878" t="s">
        <v>5403</v>
      </c>
      <c r="B2878" s="3">
        <v>45124</v>
      </c>
      <c r="C2878" t="s">
        <v>2347</v>
      </c>
      <c r="D2878" t="s">
        <v>3499</v>
      </c>
      <c r="E2878">
        <v>3</v>
      </c>
      <c r="F2878" t="s">
        <v>3523</v>
      </c>
      <c r="G2878" t="s">
        <v>3518</v>
      </c>
      <c r="H2878">
        <v>2.5</v>
      </c>
      <c r="I2878">
        <v>22.9</v>
      </c>
      <c r="J2878">
        <v>68.7</v>
      </c>
    </row>
    <row r="2879" spans="1:10" x14ac:dyDescent="0.25">
      <c r="A2879" t="s">
        <v>5404</v>
      </c>
      <c r="B2879" s="3">
        <v>44002</v>
      </c>
      <c r="C2879" t="s">
        <v>1875</v>
      </c>
      <c r="D2879" t="s">
        <v>3506</v>
      </c>
      <c r="E2879">
        <v>3</v>
      </c>
      <c r="F2879" t="s">
        <v>3523</v>
      </c>
      <c r="G2879" t="s">
        <v>3519</v>
      </c>
      <c r="H2879">
        <v>2.5</v>
      </c>
      <c r="I2879">
        <v>25.9</v>
      </c>
      <c r="J2879">
        <v>77.7</v>
      </c>
    </row>
    <row r="2880" spans="1:10" x14ac:dyDescent="0.25">
      <c r="A2880" t="s">
        <v>5405</v>
      </c>
      <c r="B2880" s="3">
        <v>45153</v>
      </c>
      <c r="C2880" t="s">
        <v>1908</v>
      </c>
      <c r="D2880" t="s">
        <v>3514</v>
      </c>
      <c r="E2880">
        <v>3</v>
      </c>
      <c r="F2880" t="s">
        <v>3526</v>
      </c>
      <c r="G2880" t="s">
        <v>3518</v>
      </c>
      <c r="H2880">
        <v>1</v>
      </c>
      <c r="I2880">
        <v>12.2</v>
      </c>
      <c r="J2880">
        <v>36.6</v>
      </c>
    </row>
    <row r="2881" spans="1:10" x14ac:dyDescent="0.25">
      <c r="A2881" t="s">
        <v>5406</v>
      </c>
      <c r="B2881" s="3">
        <v>43564</v>
      </c>
      <c r="C2881" t="s">
        <v>2482</v>
      </c>
      <c r="D2881" t="s">
        <v>3498</v>
      </c>
      <c r="E2881">
        <v>2</v>
      </c>
      <c r="F2881" t="s">
        <v>3523</v>
      </c>
      <c r="G2881" t="s">
        <v>3517</v>
      </c>
      <c r="H2881">
        <v>0.2</v>
      </c>
      <c r="I2881">
        <v>3.9</v>
      </c>
      <c r="J2881">
        <v>7.8</v>
      </c>
    </row>
    <row r="2882" spans="1:10" x14ac:dyDescent="0.25">
      <c r="A2882" t="s">
        <v>5407</v>
      </c>
      <c r="B2882" s="3">
        <v>45532</v>
      </c>
      <c r="C2882" t="s">
        <v>2372</v>
      </c>
      <c r="D2882" t="s">
        <v>3511</v>
      </c>
      <c r="E2882">
        <v>3</v>
      </c>
      <c r="F2882" t="s">
        <v>3523</v>
      </c>
      <c r="G2882" t="s">
        <v>3517</v>
      </c>
      <c r="H2882">
        <v>0.5</v>
      </c>
      <c r="I2882">
        <v>7.8</v>
      </c>
      <c r="J2882">
        <v>23.4</v>
      </c>
    </row>
    <row r="2883" spans="1:10" x14ac:dyDescent="0.25">
      <c r="A2883" t="s">
        <v>5408</v>
      </c>
      <c r="B2883" s="3">
        <v>45107</v>
      </c>
      <c r="C2883" t="s">
        <v>3166</v>
      </c>
      <c r="D2883" t="s">
        <v>3489</v>
      </c>
      <c r="E2883">
        <v>2</v>
      </c>
      <c r="F2883" t="s">
        <v>3523</v>
      </c>
      <c r="G2883" t="s">
        <v>3518</v>
      </c>
      <c r="H2883">
        <v>0.5</v>
      </c>
      <c r="I2883">
        <v>6</v>
      </c>
      <c r="J2883">
        <v>12</v>
      </c>
    </row>
    <row r="2884" spans="1:10" x14ac:dyDescent="0.25">
      <c r="A2884" t="s">
        <v>5409</v>
      </c>
      <c r="B2884" s="3">
        <v>45359</v>
      </c>
      <c r="C2884" t="s">
        <v>1957</v>
      </c>
      <c r="D2884" t="s">
        <v>3486</v>
      </c>
      <c r="E2884">
        <v>2</v>
      </c>
      <c r="F2884" t="s">
        <v>3523</v>
      </c>
      <c r="G2884" t="s">
        <v>3519</v>
      </c>
      <c r="H2884">
        <v>1</v>
      </c>
      <c r="I2884">
        <v>11.3</v>
      </c>
      <c r="J2884">
        <v>22.6</v>
      </c>
    </row>
    <row r="2885" spans="1:10" x14ac:dyDescent="0.25">
      <c r="A2885" t="s">
        <v>5410</v>
      </c>
      <c r="B2885" s="3">
        <v>44181</v>
      </c>
      <c r="C2885" t="s">
        <v>2840</v>
      </c>
      <c r="D2885" t="s">
        <v>3490</v>
      </c>
      <c r="E2885">
        <v>4</v>
      </c>
      <c r="F2885" t="s">
        <v>3525</v>
      </c>
      <c r="G2885" t="s">
        <v>3519</v>
      </c>
      <c r="H2885">
        <v>0.2</v>
      </c>
      <c r="I2885">
        <v>4.4000000000000004</v>
      </c>
      <c r="J2885">
        <v>17.600000000000001</v>
      </c>
    </row>
    <row r="2886" spans="1:10" x14ac:dyDescent="0.25">
      <c r="A2886" t="s">
        <v>5411</v>
      </c>
      <c r="B2886" s="3">
        <v>45223</v>
      </c>
      <c r="C2886" t="s">
        <v>1250</v>
      </c>
      <c r="D2886" t="s">
        <v>3479</v>
      </c>
      <c r="E2886">
        <v>1</v>
      </c>
      <c r="F2886" t="s">
        <v>3526</v>
      </c>
      <c r="G2886" t="s">
        <v>3517</v>
      </c>
      <c r="H2886">
        <v>2.5</v>
      </c>
      <c r="I2886">
        <v>34.200000000000003</v>
      </c>
      <c r="J2886">
        <v>34.200000000000003</v>
      </c>
    </row>
    <row r="2887" spans="1:10" x14ac:dyDescent="0.25">
      <c r="A2887" t="s">
        <v>5412</v>
      </c>
      <c r="B2887" s="3">
        <v>43816</v>
      </c>
      <c r="C2887" t="s">
        <v>719</v>
      </c>
      <c r="D2887" t="s">
        <v>3478</v>
      </c>
      <c r="E2887">
        <v>6</v>
      </c>
      <c r="F2887" t="s">
        <v>3523</v>
      </c>
      <c r="G2887" t="s">
        <v>3518</v>
      </c>
      <c r="H2887">
        <v>1</v>
      </c>
      <c r="I2887">
        <v>10</v>
      </c>
      <c r="J2887">
        <v>60</v>
      </c>
    </row>
    <row r="2888" spans="1:10" x14ac:dyDescent="0.25">
      <c r="A2888" t="s">
        <v>5413</v>
      </c>
      <c r="B2888" s="3">
        <v>45575</v>
      </c>
      <c r="C2888" t="s">
        <v>1746</v>
      </c>
      <c r="D2888" t="s">
        <v>3515</v>
      </c>
      <c r="E2888">
        <v>1</v>
      </c>
      <c r="F2888" t="s">
        <v>3526</v>
      </c>
      <c r="G2888" t="s">
        <v>3517</v>
      </c>
      <c r="H2888">
        <v>0.2</v>
      </c>
      <c r="I2888">
        <v>4.5</v>
      </c>
      <c r="J2888">
        <v>4.5</v>
      </c>
    </row>
    <row r="2889" spans="1:10" x14ac:dyDescent="0.25">
      <c r="A2889" t="s">
        <v>5414</v>
      </c>
      <c r="B2889" s="3">
        <v>45201</v>
      </c>
      <c r="C2889" t="s">
        <v>1785</v>
      </c>
      <c r="D2889" t="s">
        <v>3505</v>
      </c>
      <c r="E2889">
        <v>2</v>
      </c>
      <c r="F2889" t="s">
        <v>3524</v>
      </c>
      <c r="G2889" t="s">
        <v>3519</v>
      </c>
      <c r="H2889">
        <v>0.2</v>
      </c>
      <c r="I2889">
        <v>3</v>
      </c>
      <c r="J2889">
        <v>6</v>
      </c>
    </row>
    <row r="2890" spans="1:10" x14ac:dyDescent="0.25">
      <c r="A2890" t="s">
        <v>5415</v>
      </c>
      <c r="B2890" s="3">
        <v>44909</v>
      </c>
      <c r="C2890" t="s">
        <v>2233</v>
      </c>
      <c r="D2890" t="s">
        <v>3481</v>
      </c>
      <c r="E2890">
        <v>5</v>
      </c>
      <c r="F2890" t="s">
        <v>3525</v>
      </c>
      <c r="G2890" t="s">
        <v>3518</v>
      </c>
      <c r="H2890">
        <v>0.2</v>
      </c>
      <c r="I2890">
        <v>3.9</v>
      </c>
      <c r="J2890">
        <v>19.5</v>
      </c>
    </row>
    <row r="2891" spans="1:10" x14ac:dyDescent="0.25">
      <c r="A2891" t="s">
        <v>5416</v>
      </c>
      <c r="B2891" s="3">
        <v>44335</v>
      </c>
      <c r="C2891" t="s">
        <v>2651</v>
      </c>
      <c r="D2891" t="s">
        <v>3514</v>
      </c>
      <c r="E2891">
        <v>6</v>
      </c>
      <c r="F2891" t="s">
        <v>3526</v>
      </c>
      <c r="G2891" t="s">
        <v>3518</v>
      </c>
      <c r="H2891">
        <v>1</v>
      </c>
      <c r="I2891">
        <v>12.2</v>
      </c>
      <c r="J2891">
        <v>73.2</v>
      </c>
    </row>
    <row r="2892" spans="1:10" x14ac:dyDescent="0.25">
      <c r="A2892" t="s">
        <v>5417</v>
      </c>
      <c r="B2892" s="3">
        <v>45448</v>
      </c>
      <c r="C2892" t="s">
        <v>3372</v>
      </c>
      <c r="D2892" t="s">
        <v>3483</v>
      </c>
      <c r="E2892">
        <v>2</v>
      </c>
      <c r="F2892" t="s">
        <v>3523</v>
      </c>
      <c r="G2892" t="s">
        <v>3519</v>
      </c>
      <c r="H2892">
        <v>0.2</v>
      </c>
      <c r="I2892">
        <v>3.4</v>
      </c>
      <c r="J2892">
        <v>6.8</v>
      </c>
    </row>
    <row r="2893" spans="1:10" x14ac:dyDescent="0.25">
      <c r="A2893" t="s">
        <v>5418</v>
      </c>
      <c r="B2893" s="3">
        <v>44703</v>
      </c>
      <c r="C2893" t="s">
        <v>2174</v>
      </c>
      <c r="D2893" t="s">
        <v>3492</v>
      </c>
      <c r="E2893">
        <v>3</v>
      </c>
      <c r="F2893" t="s">
        <v>3525</v>
      </c>
      <c r="G2893" t="s">
        <v>3517</v>
      </c>
      <c r="H2893">
        <v>0.5</v>
      </c>
      <c r="I2893">
        <v>9.5</v>
      </c>
      <c r="J2893">
        <v>28.5</v>
      </c>
    </row>
    <row r="2894" spans="1:10" x14ac:dyDescent="0.25">
      <c r="A2894" t="s">
        <v>5419</v>
      </c>
      <c r="B2894" s="3">
        <v>45352</v>
      </c>
      <c r="C2894" t="s">
        <v>2742</v>
      </c>
      <c r="D2894" t="s">
        <v>3476</v>
      </c>
      <c r="E2894">
        <v>5</v>
      </c>
      <c r="F2894" t="s">
        <v>3525</v>
      </c>
      <c r="G2894" t="s">
        <v>3517</v>
      </c>
      <c r="H2894">
        <v>0.2</v>
      </c>
      <c r="I2894">
        <v>4.8</v>
      </c>
      <c r="J2894">
        <v>24</v>
      </c>
    </row>
    <row r="2895" spans="1:10" x14ac:dyDescent="0.25">
      <c r="A2895" t="s">
        <v>5420</v>
      </c>
      <c r="B2895" s="3">
        <v>43924</v>
      </c>
      <c r="C2895" t="s">
        <v>1151</v>
      </c>
      <c r="D2895" t="s">
        <v>3480</v>
      </c>
      <c r="E2895">
        <v>1</v>
      </c>
      <c r="F2895" t="s">
        <v>3524</v>
      </c>
      <c r="G2895" t="s">
        <v>3518</v>
      </c>
      <c r="H2895">
        <v>2.5</v>
      </c>
      <c r="I2895">
        <v>20.6</v>
      </c>
      <c r="J2895">
        <v>20.6</v>
      </c>
    </row>
    <row r="2896" spans="1:10" x14ac:dyDescent="0.25">
      <c r="A2896" t="s">
        <v>5421</v>
      </c>
      <c r="B2896" s="3">
        <v>45214</v>
      </c>
      <c r="C2896" t="s">
        <v>3363</v>
      </c>
      <c r="D2896" t="s">
        <v>3509</v>
      </c>
      <c r="E2896">
        <v>6</v>
      </c>
      <c r="F2896" t="s">
        <v>3524</v>
      </c>
      <c r="G2896" t="s">
        <v>3517</v>
      </c>
      <c r="H2896">
        <v>0.2</v>
      </c>
      <c r="I2896">
        <v>3.6</v>
      </c>
      <c r="J2896">
        <v>21.6</v>
      </c>
    </row>
    <row r="2897" spans="1:10" x14ac:dyDescent="0.25">
      <c r="A2897" t="s">
        <v>5422</v>
      </c>
      <c r="B2897" s="3">
        <v>45255</v>
      </c>
      <c r="C2897" t="s">
        <v>2843</v>
      </c>
      <c r="D2897" t="s">
        <v>3476</v>
      </c>
      <c r="E2897">
        <v>6</v>
      </c>
      <c r="F2897" t="s">
        <v>3525</v>
      </c>
      <c r="G2897" t="s">
        <v>3517</v>
      </c>
      <c r="H2897">
        <v>0.2</v>
      </c>
      <c r="I2897">
        <v>4.8</v>
      </c>
      <c r="J2897">
        <v>28.8</v>
      </c>
    </row>
    <row r="2898" spans="1:10" x14ac:dyDescent="0.25">
      <c r="A2898" t="s">
        <v>5423</v>
      </c>
      <c r="B2898" s="3">
        <v>44231</v>
      </c>
      <c r="C2898" t="s">
        <v>1142</v>
      </c>
      <c r="D2898" t="s">
        <v>3512</v>
      </c>
      <c r="E2898">
        <v>4</v>
      </c>
      <c r="F2898" t="s">
        <v>3525</v>
      </c>
      <c r="G2898" t="s">
        <v>3519</v>
      </c>
      <c r="H2898">
        <v>2.5</v>
      </c>
      <c r="I2898">
        <v>33.5</v>
      </c>
      <c r="J2898">
        <v>134</v>
      </c>
    </row>
    <row r="2899" spans="1:10" x14ac:dyDescent="0.25">
      <c r="A2899" t="s">
        <v>5424</v>
      </c>
      <c r="B2899" s="3">
        <v>44697</v>
      </c>
      <c r="C2899" t="s">
        <v>1312</v>
      </c>
      <c r="D2899" t="s">
        <v>3471</v>
      </c>
      <c r="E2899">
        <v>2</v>
      </c>
      <c r="F2899" t="s">
        <v>3523</v>
      </c>
      <c r="G2899" t="s">
        <v>3517</v>
      </c>
      <c r="H2899">
        <v>1</v>
      </c>
      <c r="I2899">
        <v>13</v>
      </c>
      <c r="J2899">
        <v>26</v>
      </c>
    </row>
    <row r="2900" spans="1:10" x14ac:dyDescent="0.25">
      <c r="A2900" t="s">
        <v>5425</v>
      </c>
      <c r="B2900" s="3">
        <v>44803</v>
      </c>
      <c r="C2900" t="s">
        <v>2792</v>
      </c>
      <c r="D2900" t="s">
        <v>3476</v>
      </c>
      <c r="E2900">
        <v>3</v>
      </c>
      <c r="F2900" t="s">
        <v>3525</v>
      </c>
      <c r="G2900" t="s">
        <v>3517</v>
      </c>
      <c r="H2900">
        <v>0.2</v>
      </c>
      <c r="I2900">
        <v>4.8</v>
      </c>
      <c r="J2900">
        <v>14.4</v>
      </c>
    </row>
    <row r="2901" spans="1:10" x14ac:dyDescent="0.25">
      <c r="A2901" t="s">
        <v>5426</v>
      </c>
      <c r="B2901" s="3">
        <v>45440</v>
      </c>
      <c r="C2901" t="s">
        <v>2359</v>
      </c>
      <c r="D2901" t="s">
        <v>3471</v>
      </c>
      <c r="E2901">
        <v>1</v>
      </c>
      <c r="F2901" t="s">
        <v>3523</v>
      </c>
      <c r="G2901" t="s">
        <v>3517</v>
      </c>
      <c r="H2901">
        <v>1</v>
      </c>
      <c r="I2901">
        <v>13</v>
      </c>
      <c r="J2901">
        <v>13</v>
      </c>
    </row>
    <row r="2902" spans="1:10" x14ac:dyDescent="0.25">
      <c r="A2902" t="s">
        <v>5427</v>
      </c>
      <c r="B2902" s="3">
        <v>45541</v>
      </c>
      <c r="C2902" t="s">
        <v>2491</v>
      </c>
      <c r="D2902" t="s">
        <v>3496</v>
      </c>
      <c r="E2902">
        <v>4</v>
      </c>
      <c r="F2902" t="s">
        <v>3525</v>
      </c>
      <c r="G2902" t="s">
        <v>3518</v>
      </c>
      <c r="H2902">
        <v>2.5</v>
      </c>
      <c r="I2902">
        <v>29.8</v>
      </c>
      <c r="J2902">
        <v>119.2</v>
      </c>
    </row>
    <row r="2903" spans="1:10" x14ac:dyDescent="0.25">
      <c r="A2903" t="s">
        <v>5428</v>
      </c>
      <c r="B2903" s="3">
        <v>44008</v>
      </c>
      <c r="C2903" t="s">
        <v>2438</v>
      </c>
      <c r="D2903" t="s">
        <v>3504</v>
      </c>
      <c r="E2903">
        <v>1</v>
      </c>
      <c r="F2903" t="s">
        <v>3524</v>
      </c>
      <c r="G2903" t="s">
        <v>3517</v>
      </c>
      <c r="H2903">
        <v>0.5</v>
      </c>
      <c r="I2903">
        <v>7.2</v>
      </c>
      <c r="J2903">
        <v>7.2</v>
      </c>
    </row>
    <row r="2904" spans="1:10" x14ac:dyDescent="0.25">
      <c r="A2904" t="s">
        <v>5429</v>
      </c>
      <c r="B2904" s="3">
        <v>44960</v>
      </c>
      <c r="C2904" t="s">
        <v>2227</v>
      </c>
      <c r="D2904" t="s">
        <v>3471</v>
      </c>
      <c r="E2904">
        <v>4</v>
      </c>
      <c r="F2904" t="s">
        <v>3523</v>
      </c>
      <c r="G2904" t="s">
        <v>3517</v>
      </c>
      <c r="H2904">
        <v>1</v>
      </c>
      <c r="I2904">
        <v>13</v>
      </c>
      <c r="J2904">
        <v>52</v>
      </c>
    </row>
    <row r="2905" spans="1:10" x14ac:dyDescent="0.25">
      <c r="A2905" t="s">
        <v>5430</v>
      </c>
      <c r="B2905" s="3">
        <v>45567</v>
      </c>
      <c r="C2905" t="s">
        <v>1426</v>
      </c>
      <c r="D2905" t="s">
        <v>3497</v>
      </c>
      <c r="E2905">
        <v>6</v>
      </c>
      <c r="F2905" t="s">
        <v>3526</v>
      </c>
      <c r="G2905" t="s">
        <v>3519</v>
      </c>
      <c r="H2905">
        <v>2.5</v>
      </c>
      <c r="I2905">
        <v>31.6</v>
      </c>
      <c r="J2905">
        <v>189.6</v>
      </c>
    </row>
    <row r="2906" spans="1:10" x14ac:dyDescent="0.25">
      <c r="A2906" t="s">
        <v>5431</v>
      </c>
      <c r="B2906" s="3">
        <v>44808</v>
      </c>
      <c r="C2906" t="s">
        <v>2612</v>
      </c>
      <c r="D2906" t="s">
        <v>3486</v>
      </c>
      <c r="E2906">
        <v>2</v>
      </c>
      <c r="F2906" t="s">
        <v>3523</v>
      </c>
      <c r="G2906" t="s">
        <v>3519</v>
      </c>
      <c r="H2906">
        <v>1</v>
      </c>
      <c r="I2906">
        <v>11.3</v>
      </c>
      <c r="J2906">
        <v>22.6</v>
      </c>
    </row>
    <row r="2907" spans="1:10" x14ac:dyDescent="0.25">
      <c r="A2907" t="s">
        <v>5432</v>
      </c>
      <c r="B2907" s="3">
        <v>43611</v>
      </c>
      <c r="C2907" t="s">
        <v>921</v>
      </c>
      <c r="D2907" t="s">
        <v>3506</v>
      </c>
      <c r="E2907">
        <v>2</v>
      </c>
      <c r="F2907" t="s">
        <v>3523</v>
      </c>
      <c r="G2907" t="s">
        <v>3519</v>
      </c>
      <c r="H2907">
        <v>2.5</v>
      </c>
      <c r="I2907">
        <v>25.9</v>
      </c>
      <c r="J2907">
        <v>51.8</v>
      </c>
    </row>
    <row r="2908" spans="1:10" x14ac:dyDescent="0.25">
      <c r="A2908" t="s">
        <v>5433</v>
      </c>
      <c r="B2908" s="3">
        <v>44990</v>
      </c>
      <c r="C2908" t="s">
        <v>2837</v>
      </c>
      <c r="D2908" t="s">
        <v>3475</v>
      </c>
      <c r="E2908">
        <v>4</v>
      </c>
      <c r="F2908" t="s">
        <v>3526</v>
      </c>
      <c r="G2908" t="s">
        <v>3518</v>
      </c>
      <c r="H2908">
        <v>0.5</v>
      </c>
      <c r="I2908">
        <v>7.3</v>
      </c>
      <c r="J2908">
        <v>29.2</v>
      </c>
    </row>
    <row r="2909" spans="1:10" x14ac:dyDescent="0.25">
      <c r="A2909" t="s">
        <v>5434</v>
      </c>
      <c r="B2909" s="3">
        <v>45258</v>
      </c>
      <c r="C2909" t="s">
        <v>1006</v>
      </c>
      <c r="D2909" t="s">
        <v>3514</v>
      </c>
      <c r="E2909">
        <v>5</v>
      </c>
      <c r="F2909" t="s">
        <v>3526</v>
      </c>
      <c r="G2909" t="s">
        <v>3518</v>
      </c>
      <c r="H2909">
        <v>1</v>
      </c>
      <c r="I2909">
        <v>12.2</v>
      </c>
      <c r="J2909">
        <v>61</v>
      </c>
    </row>
    <row r="2910" spans="1:10" x14ac:dyDescent="0.25">
      <c r="A2910" t="s">
        <v>5435</v>
      </c>
      <c r="B2910" s="3">
        <v>45153</v>
      </c>
      <c r="C2910" t="s">
        <v>2210</v>
      </c>
      <c r="D2910" t="s">
        <v>3512</v>
      </c>
      <c r="E2910">
        <v>2</v>
      </c>
      <c r="F2910" t="s">
        <v>3525</v>
      </c>
      <c r="G2910" t="s">
        <v>3519</v>
      </c>
      <c r="H2910">
        <v>2.5</v>
      </c>
      <c r="I2910">
        <v>33.5</v>
      </c>
      <c r="J2910">
        <v>67</v>
      </c>
    </row>
    <row r="2911" spans="1:10" x14ac:dyDescent="0.25">
      <c r="A2911" t="s">
        <v>5436</v>
      </c>
      <c r="B2911" s="3">
        <v>45157</v>
      </c>
      <c r="C2911" t="s">
        <v>1024</v>
      </c>
      <c r="D2911" t="s">
        <v>3516</v>
      </c>
      <c r="E2911">
        <v>4</v>
      </c>
      <c r="F2911" t="s">
        <v>3526</v>
      </c>
      <c r="G2911" t="s">
        <v>3518</v>
      </c>
      <c r="H2911">
        <v>2.5</v>
      </c>
      <c r="I2911">
        <v>27.9</v>
      </c>
      <c r="J2911">
        <v>111.6</v>
      </c>
    </row>
    <row r="2912" spans="1:10" x14ac:dyDescent="0.25">
      <c r="A2912" t="s">
        <v>5437</v>
      </c>
      <c r="B2912" s="3">
        <v>44713</v>
      </c>
      <c r="C2912" t="s">
        <v>829</v>
      </c>
      <c r="D2912" t="s">
        <v>3508</v>
      </c>
      <c r="E2912">
        <v>1</v>
      </c>
      <c r="F2912" t="s">
        <v>3524</v>
      </c>
      <c r="G2912" t="s">
        <v>3518</v>
      </c>
      <c r="H2912">
        <v>1</v>
      </c>
      <c r="I2912">
        <v>9</v>
      </c>
      <c r="J2912">
        <v>9</v>
      </c>
    </row>
    <row r="2913" spans="1:10" x14ac:dyDescent="0.25">
      <c r="A2913" t="s">
        <v>5438</v>
      </c>
      <c r="B2913" s="3">
        <v>45414</v>
      </c>
      <c r="C2913" t="s">
        <v>1199</v>
      </c>
      <c r="D2913" t="s">
        <v>3511</v>
      </c>
      <c r="E2913">
        <v>5</v>
      </c>
      <c r="F2913" t="s">
        <v>3523</v>
      </c>
      <c r="G2913" t="s">
        <v>3517</v>
      </c>
      <c r="H2913">
        <v>0.5</v>
      </c>
      <c r="I2913">
        <v>7.8</v>
      </c>
      <c r="J2913">
        <v>39</v>
      </c>
    </row>
    <row r="2914" spans="1:10" x14ac:dyDescent="0.25">
      <c r="A2914" t="s">
        <v>5439</v>
      </c>
      <c r="B2914" s="3">
        <v>45368</v>
      </c>
      <c r="C2914" t="s">
        <v>878</v>
      </c>
      <c r="D2914" t="s">
        <v>3498</v>
      </c>
      <c r="E2914">
        <v>6</v>
      </c>
      <c r="F2914" t="s">
        <v>3523</v>
      </c>
      <c r="G2914" t="s">
        <v>3517</v>
      </c>
      <c r="H2914">
        <v>0.2</v>
      </c>
      <c r="I2914">
        <v>3.9</v>
      </c>
      <c r="J2914">
        <v>23.4</v>
      </c>
    </row>
    <row r="2915" spans="1:10" x14ac:dyDescent="0.25">
      <c r="A2915" t="s">
        <v>5440</v>
      </c>
      <c r="B2915" s="3">
        <v>43891</v>
      </c>
      <c r="C2915" t="s">
        <v>1015</v>
      </c>
      <c r="D2915" t="s">
        <v>3515</v>
      </c>
      <c r="E2915">
        <v>3</v>
      </c>
      <c r="F2915" t="s">
        <v>3526</v>
      </c>
      <c r="G2915" t="s">
        <v>3517</v>
      </c>
      <c r="H2915">
        <v>0.2</v>
      </c>
      <c r="I2915">
        <v>4.5</v>
      </c>
      <c r="J2915">
        <v>13.5</v>
      </c>
    </row>
    <row r="2916" spans="1:10" x14ac:dyDescent="0.25">
      <c r="A2916" t="s">
        <v>5441</v>
      </c>
      <c r="B2916" s="3">
        <v>44316</v>
      </c>
      <c r="C2916" t="s">
        <v>555</v>
      </c>
      <c r="D2916" t="s">
        <v>3505</v>
      </c>
      <c r="E2916">
        <v>3</v>
      </c>
      <c r="F2916" t="s">
        <v>3524</v>
      </c>
      <c r="G2916" t="s">
        <v>3519</v>
      </c>
      <c r="H2916">
        <v>0.2</v>
      </c>
      <c r="I2916">
        <v>3</v>
      </c>
      <c r="J2916">
        <v>9</v>
      </c>
    </row>
    <row r="2917" spans="1:10" x14ac:dyDescent="0.25">
      <c r="A2917" t="s">
        <v>5442</v>
      </c>
      <c r="B2917" s="3">
        <v>44952</v>
      </c>
      <c r="C2917" t="s">
        <v>1059</v>
      </c>
      <c r="D2917" t="s">
        <v>3499</v>
      </c>
      <c r="E2917">
        <v>6</v>
      </c>
      <c r="F2917" t="s">
        <v>3523</v>
      </c>
      <c r="G2917" t="s">
        <v>3518</v>
      </c>
      <c r="H2917">
        <v>2.5</v>
      </c>
      <c r="I2917">
        <v>22.9</v>
      </c>
      <c r="J2917">
        <v>137.4</v>
      </c>
    </row>
    <row r="2918" spans="1:10" x14ac:dyDescent="0.25">
      <c r="A2918" t="s">
        <v>5443</v>
      </c>
      <c r="B2918" s="3">
        <v>45582</v>
      </c>
      <c r="C2918" t="s">
        <v>2876</v>
      </c>
      <c r="D2918" t="s">
        <v>3516</v>
      </c>
      <c r="E2918">
        <v>5</v>
      </c>
      <c r="F2918" t="s">
        <v>3526</v>
      </c>
      <c r="G2918" t="s">
        <v>3518</v>
      </c>
      <c r="H2918">
        <v>2.5</v>
      </c>
      <c r="I2918">
        <v>27.9</v>
      </c>
      <c r="J2918">
        <v>139.5</v>
      </c>
    </row>
    <row r="2919" spans="1:10" x14ac:dyDescent="0.25">
      <c r="A2919" t="s">
        <v>5444</v>
      </c>
      <c r="B2919" s="3">
        <v>44516</v>
      </c>
      <c r="C2919" t="s">
        <v>994</v>
      </c>
      <c r="D2919" t="s">
        <v>3503</v>
      </c>
      <c r="E2919">
        <v>3</v>
      </c>
      <c r="F2919" t="s">
        <v>3524</v>
      </c>
      <c r="G2919" t="s">
        <v>3518</v>
      </c>
      <c r="H2919">
        <v>0.5</v>
      </c>
      <c r="I2919">
        <v>5.4</v>
      </c>
      <c r="J2919">
        <v>16.2</v>
      </c>
    </row>
    <row r="2920" spans="1:10" x14ac:dyDescent="0.25">
      <c r="A2920" t="s">
        <v>5445</v>
      </c>
      <c r="B2920" s="3">
        <v>45490</v>
      </c>
      <c r="C2920" t="s">
        <v>848</v>
      </c>
      <c r="D2920" t="s">
        <v>3512</v>
      </c>
      <c r="E2920">
        <v>3</v>
      </c>
      <c r="F2920" t="s">
        <v>3525</v>
      </c>
      <c r="G2920" t="s">
        <v>3519</v>
      </c>
      <c r="H2920">
        <v>2.5</v>
      </c>
      <c r="I2920">
        <v>33.5</v>
      </c>
      <c r="J2920">
        <v>100.5</v>
      </c>
    </row>
    <row r="2921" spans="1:10" x14ac:dyDescent="0.25">
      <c r="A2921" t="s">
        <v>5446</v>
      </c>
      <c r="B2921" s="3">
        <v>44655</v>
      </c>
      <c r="C2921" t="s">
        <v>655</v>
      </c>
      <c r="D2921" t="s">
        <v>3477</v>
      </c>
      <c r="E2921">
        <v>4</v>
      </c>
      <c r="F2921" t="s">
        <v>3524</v>
      </c>
      <c r="G2921" t="s">
        <v>3519</v>
      </c>
      <c r="H2921">
        <v>0.5</v>
      </c>
      <c r="I2921">
        <v>6</v>
      </c>
      <c r="J2921">
        <v>24</v>
      </c>
    </row>
    <row r="2922" spans="1:10" x14ac:dyDescent="0.25">
      <c r="A2922" t="s">
        <v>5447</v>
      </c>
      <c r="B2922" s="3">
        <v>44807</v>
      </c>
      <c r="C2922" t="s">
        <v>808</v>
      </c>
      <c r="D2922" t="s">
        <v>3490</v>
      </c>
      <c r="E2922">
        <v>2</v>
      </c>
      <c r="F2922" t="s">
        <v>3525</v>
      </c>
      <c r="G2922" t="s">
        <v>3519</v>
      </c>
      <c r="H2922">
        <v>0.2</v>
      </c>
      <c r="I2922">
        <v>4.4000000000000004</v>
      </c>
      <c r="J2922">
        <v>8.8000000000000007</v>
      </c>
    </row>
    <row r="2923" spans="1:10" x14ac:dyDescent="0.25">
      <c r="A2923" t="s">
        <v>5448</v>
      </c>
      <c r="B2923" s="3">
        <v>44388</v>
      </c>
      <c r="C2923" t="s">
        <v>2359</v>
      </c>
      <c r="D2923" t="s">
        <v>3503</v>
      </c>
      <c r="E2923">
        <v>3</v>
      </c>
      <c r="F2923" t="s">
        <v>3524</v>
      </c>
      <c r="G2923" t="s">
        <v>3518</v>
      </c>
      <c r="H2923">
        <v>0.5</v>
      </c>
      <c r="I2923">
        <v>5.4</v>
      </c>
      <c r="J2923">
        <v>16.2</v>
      </c>
    </row>
    <row r="2924" spans="1:10" x14ac:dyDescent="0.25">
      <c r="A2924" t="s">
        <v>5449</v>
      </c>
      <c r="B2924" s="3">
        <v>45247</v>
      </c>
      <c r="C2924" t="s">
        <v>1363</v>
      </c>
      <c r="D2924" t="s">
        <v>3516</v>
      </c>
      <c r="E2924">
        <v>1</v>
      </c>
      <c r="F2924" t="s">
        <v>3526</v>
      </c>
      <c r="G2924" t="s">
        <v>3518</v>
      </c>
      <c r="H2924">
        <v>2.5</v>
      </c>
      <c r="I2924">
        <v>27.9</v>
      </c>
      <c r="J2924">
        <v>27.9</v>
      </c>
    </row>
    <row r="2925" spans="1:10" x14ac:dyDescent="0.25">
      <c r="A2925" t="s">
        <v>5450</v>
      </c>
      <c r="B2925" s="3">
        <v>45422</v>
      </c>
      <c r="C2925" t="s">
        <v>757</v>
      </c>
      <c r="D2925" t="s">
        <v>3507</v>
      </c>
      <c r="E2925">
        <v>1</v>
      </c>
      <c r="F2925" t="s">
        <v>3526</v>
      </c>
      <c r="G2925" t="s">
        <v>3517</v>
      </c>
      <c r="H2925">
        <v>0.5</v>
      </c>
      <c r="I2925">
        <v>8.9</v>
      </c>
      <c r="J2925">
        <v>8.9</v>
      </c>
    </row>
    <row r="2926" spans="1:10" x14ac:dyDescent="0.25">
      <c r="A2926" t="s">
        <v>5451</v>
      </c>
      <c r="B2926" s="3">
        <v>45402</v>
      </c>
      <c r="C2926" t="s">
        <v>667</v>
      </c>
      <c r="D2926" t="s">
        <v>3473</v>
      </c>
      <c r="E2926">
        <v>6</v>
      </c>
      <c r="F2926" t="s">
        <v>3524</v>
      </c>
      <c r="G2926" t="s">
        <v>3517</v>
      </c>
      <c r="H2926">
        <v>2.5</v>
      </c>
      <c r="I2926">
        <v>27.5</v>
      </c>
      <c r="J2926">
        <v>165</v>
      </c>
    </row>
    <row r="2927" spans="1:10" x14ac:dyDescent="0.25">
      <c r="A2927" t="s">
        <v>5452</v>
      </c>
      <c r="B2927" s="3">
        <v>44133</v>
      </c>
      <c r="C2927" t="s">
        <v>3261</v>
      </c>
      <c r="D2927" t="s">
        <v>3511</v>
      </c>
      <c r="E2927">
        <v>3</v>
      </c>
      <c r="F2927" t="s">
        <v>3523</v>
      </c>
      <c r="G2927" t="s">
        <v>3517</v>
      </c>
      <c r="H2927">
        <v>0.5</v>
      </c>
      <c r="I2927">
        <v>7.8</v>
      </c>
      <c r="J2927">
        <v>23.4</v>
      </c>
    </row>
    <row r="2928" spans="1:10" x14ac:dyDescent="0.25">
      <c r="A2928" t="s">
        <v>5453</v>
      </c>
      <c r="B2928" s="3">
        <v>45049</v>
      </c>
      <c r="C2928" t="s">
        <v>3366</v>
      </c>
      <c r="D2928" t="s">
        <v>3499</v>
      </c>
      <c r="E2928">
        <v>3</v>
      </c>
      <c r="F2928" t="s">
        <v>3523</v>
      </c>
      <c r="G2928" t="s">
        <v>3518</v>
      </c>
      <c r="H2928">
        <v>2.5</v>
      </c>
      <c r="I2928">
        <v>22.9</v>
      </c>
      <c r="J2928">
        <v>68.7</v>
      </c>
    </row>
    <row r="2929" spans="1:10" x14ac:dyDescent="0.25">
      <c r="A2929" t="s">
        <v>5454</v>
      </c>
      <c r="B2929" s="3">
        <v>44731</v>
      </c>
      <c r="C2929" t="s">
        <v>2356</v>
      </c>
      <c r="D2929" t="s">
        <v>3482</v>
      </c>
      <c r="E2929">
        <v>2</v>
      </c>
      <c r="F2929" t="s">
        <v>3524</v>
      </c>
      <c r="G2929" t="s">
        <v>3519</v>
      </c>
      <c r="H2929">
        <v>2.5</v>
      </c>
      <c r="I2929">
        <v>22.9</v>
      </c>
      <c r="J2929">
        <v>45.8</v>
      </c>
    </row>
    <row r="2930" spans="1:10" x14ac:dyDescent="0.25">
      <c r="A2930" t="s">
        <v>5455</v>
      </c>
      <c r="B2930" s="3">
        <v>44968</v>
      </c>
      <c r="C2930" t="s">
        <v>881</v>
      </c>
      <c r="D2930" t="s">
        <v>3514</v>
      </c>
      <c r="E2930">
        <v>5</v>
      </c>
      <c r="F2930" t="s">
        <v>3526</v>
      </c>
      <c r="G2930" t="s">
        <v>3518</v>
      </c>
      <c r="H2930">
        <v>1</v>
      </c>
      <c r="I2930">
        <v>12.2</v>
      </c>
      <c r="J2930">
        <v>61</v>
      </c>
    </row>
    <row r="2931" spans="1:10" x14ac:dyDescent="0.25">
      <c r="A2931" t="s">
        <v>5456</v>
      </c>
      <c r="B2931" s="3">
        <v>43930</v>
      </c>
      <c r="C2931" t="s">
        <v>3109</v>
      </c>
      <c r="D2931" t="s">
        <v>3495</v>
      </c>
      <c r="E2931">
        <v>4</v>
      </c>
      <c r="F2931" t="s">
        <v>3525</v>
      </c>
      <c r="G2931" t="s">
        <v>3517</v>
      </c>
      <c r="H2931">
        <v>2.5</v>
      </c>
      <c r="I2931">
        <v>36.5</v>
      </c>
      <c r="J2931">
        <v>146</v>
      </c>
    </row>
    <row r="2932" spans="1:10" x14ac:dyDescent="0.25">
      <c r="A2932" t="s">
        <v>5457</v>
      </c>
      <c r="B2932" s="3">
        <v>44409</v>
      </c>
      <c r="C2932" t="s">
        <v>2968</v>
      </c>
      <c r="D2932" t="s">
        <v>3516</v>
      </c>
      <c r="E2932">
        <v>5</v>
      </c>
      <c r="F2932" t="s">
        <v>3526</v>
      </c>
      <c r="G2932" t="s">
        <v>3518</v>
      </c>
      <c r="H2932">
        <v>2.5</v>
      </c>
      <c r="I2932">
        <v>27.9</v>
      </c>
      <c r="J2932">
        <v>139.5</v>
      </c>
    </row>
    <row r="2933" spans="1:10" x14ac:dyDescent="0.25">
      <c r="A2933" t="s">
        <v>5458</v>
      </c>
      <c r="B2933" s="3">
        <v>44589</v>
      </c>
      <c r="C2933" t="s">
        <v>978</v>
      </c>
      <c r="D2933" t="s">
        <v>3509</v>
      </c>
      <c r="E2933">
        <v>2</v>
      </c>
      <c r="F2933" t="s">
        <v>3524</v>
      </c>
      <c r="G2933" t="s">
        <v>3517</v>
      </c>
      <c r="H2933">
        <v>0.2</v>
      </c>
      <c r="I2933">
        <v>3.6</v>
      </c>
      <c r="J2933">
        <v>7.2</v>
      </c>
    </row>
    <row r="2934" spans="1:10" x14ac:dyDescent="0.25">
      <c r="A2934" t="s">
        <v>5459</v>
      </c>
      <c r="B2934" s="3">
        <v>43545</v>
      </c>
      <c r="C2934" t="s">
        <v>586</v>
      </c>
      <c r="D2934" t="s">
        <v>3474</v>
      </c>
      <c r="E2934">
        <v>1</v>
      </c>
      <c r="F2934" t="s">
        <v>3525</v>
      </c>
      <c r="G2934" t="s">
        <v>3518</v>
      </c>
      <c r="H2934">
        <v>1</v>
      </c>
      <c r="I2934">
        <v>13</v>
      </c>
      <c r="J2934">
        <v>13</v>
      </c>
    </row>
    <row r="2935" spans="1:10" x14ac:dyDescent="0.25">
      <c r="A2935" t="s">
        <v>5460</v>
      </c>
      <c r="B2935" s="3">
        <v>45372</v>
      </c>
      <c r="C2935" t="s">
        <v>3327</v>
      </c>
      <c r="D2935" t="s">
        <v>3516</v>
      </c>
      <c r="E2935">
        <v>3</v>
      </c>
      <c r="F2935" t="s">
        <v>3526</v>
      </c>
      <c r="G2935" t="s">
        <v>3518</v>
      </c>
      <c r="H2935">
        <v>2.5</v>
      </c>
      <c r="I2935">
        <v>27.9</v>
      </c>
      <c r="J2935">
        <v>83.7</v>
      </c>
    </row>
    <row r="2936" spans="1:10" x14ac:dyDescent="0.25">
      <c r="A2936" t="s">
        <v>5461</v>
      </c>
      <c r="B2936" s="3">
        <v>44974</v>
      </c>
      <c r="C2936" t="s">
        <v>1184</v>
      </c>
      <c r="D2936" t="s">
        <v>3496</v>
      </c>
      <c r="E2936">
        <v>2</v>
      </c>
      <c r="F2936" t="s">
        <v>3525</v>
      </c>
      <c r="G2936" t="s">
        <v>3518</v>
      </c>
      <c r="H2936">
        <v>2.5</v>
      </c>
      <c r="I2936">
        <v>29.8</v>
      </c>
      <c r="J2936">
        <v>59.6</v>
      </c>
    </row>
    <row r="2937" spans="1:10" x14ac:dyDescent="0.25">
      <c r="A2937" t="s">
        <v>5462</v>
      </c>
      <c r="B2937" s="3">
        <v>44219</v>
      </c>
      <c r="C2937" t="s">
        <v>2018</v>
      </c>
      <c r="D2937" t="s">
        <v>3476</v>
      </c>
      <c r="E2937">
        <v>3</v>
      </c>
      <c r="F2937" t="s">
        <v>3525</v>
      </c>
      <c r="G2937" t="s">
        <v>3517</v>
      </c>
      <c r="H2937">
        <v>0.2</v>
      </c>
      <c r="I2937">
        <v>4.8</v>
      </c>
      <c r="J2937">
        <v>14.4</v>
      </c>
    </row>
    <row r="2938" spans="1:10" x14ac:dyDescent="0.25">
      <c r="A2938" t="s">
        <v>5463</v>
      </c>
      <c r="B2938" s="3">
        <v>44609</v>
      </c>
      <c r="C2938" t="s">
        <v>2236</v>
      </c>
      <c r="D2938" t="s">
        <v>3490</v>
      </c>
      <c r="E2938">
        <v>6</v>
      </c>
      <c r="F2938" t="s">
        <v>3525</v>
      </c>
      <c r="G2938" t="s">
        <v>3519</v>
      </c>
      <c r="H2938">
        <v>0.2</v>
      </c>
      <c r="I2938">
        <v>4.4000000000000004</v>
      </c>
      <c r="J2938">
        <v>26.4</v>
      </c>
    </row>
    <row r="2939" spans="1:10" x14ac:dyDescent="0.25">
      <c r="A2939" t="s">
        <v>5464</v>
      </c>
      <c r="B2939" s="3">
        <v>44631</v>
      </c>
      <c r="C2939" t="s">
        <v>555</v>
      </c>
      <c r="D2939" t="s">
        <v>3474</v>
      </c>
      <c r="E2939">
        <v>6</v>
      </c>
      <c r="F2939" t="s">
        <v>3525</v>
      </c>
      <c r="G2939" t="s">
        <v>3518</v>
      </c>
      <c r="H2939">
        <v>1</v>
      </c>
      <c r="I2939">
        <v>13</v>
      </c>
      <c r="J2939">
        <v>78</v>
      </c>
    </row>
    <row r="2940" spans="1:10" x14ac:dyDescent="0.25">
      <c r="A2940" t="s">
        <v>5465</v>
      </c>
      <c r="B2940" s="3">
        <v>44770</v>
      </c>
      <c r="C2940" t="s">
        <v>1142</v>
      </c>
      <c r="D2940" t="s">
        <v>3493</v>
      </c>
      <c r="E2940">
        <v>3</v>
      </c>
      <c r="F2940" t="s">
        <v>3525</v>
      </c>
      <c r="G2940" t="s">
        <v>3519</v>
      </c>
      <c r="H2940">
        <v>1</v>
      </c>
      <c r="I2940">
        <v>14.6</v>
      </c>
      <c r="J2940">
        <v>43.8</v>
      </c>
    </row>
    <row r="2941" spans="1:10" x14ac:dyDescent="0.25">
      <c r="A2941" t="s">
        <v>5466</v>
      </c>
      <c r="B2941" s="3">
        <v>43724</v>
      </c>
      <c r="C2941" t="s">
        <v>2260</v>
      </c>
      <c r="D2941" t="s">
        <v>3509</v>
      </c>
      <c r="E2941">
        <v>6</v>
      </c>
      <c r="F2941" t="s">
        <v>3524</v>
      </c>
      <c r="G2941" t="s">
        <v>3517</v>
      </c>
      <c r="H2941">
        <v>0.2</v>
      </c>
      <c r="I2941">
        <v>3.6</v>
      </c>
      <c r="J2941">
        <v>21.6</v>
      </c>
    </row>
    <row r="2942" spans="1:10" x14ac:dyDescent="0.25">
      <c r="A2942" t="s">
        <v>5467</v>
      </c>
      <c r="B2942" s="3">
        <v>43932</v>
      </c>
      <c r="C2942" t="s">
        <v>2059</v>
      </c>
      <c r="D2942" t="s">
        <v>3511</v>
      </c>
      <c r="E2942">
        <v>3</v>
      </c>
      <c r="F2942" t="s">
        <v>3523</v>
      </c>
      <c r="G2942" t="s">
        <v>3517</v>
      </c>
      <c r="H2942">
        <v>0.5</v>
      </c>
      <c r="I2942">
        <v>7.8</v>
      </c>
      <c r="J2942">
        <v>23.4</v>
      </c>
    </row>
    <row r="2943" spans="1:10" x14ac:dyDescent="0.25">
      <c r="A2943" t="s">
        <v>5468</v>
      </c>
      <c r="B2943" s="3">
        <v>44311</v>
      </c>
      <c r="C2943" t="s">
        <v>1822</v>
      </c>
      <c r="D2943" t="s">
        <v>3510</v>
      </c>
      <c r="E2943">
        <v>1</v>
      </c>
      <c r="F2943" t="s">
        <v>3524</v>
      </c>
      <c r="G2943" t="s">
        <v>3517</v>
      </c>
      <c r="H2943">
        <v>1</v>
      </c>
      <c r="I2943">
        <v>12</v>
      </c>
      <c r="J2943">
        <v>12</v>
      </c>
    </row>
    <row r="2944" spans="1:10" x14ac:dyDescent="0.25">
      <c r="A2944" t="s">
        <v>5469</v>
      </c>
      <c r="B2944" s="3">
        <v>45631</v>
      </c>
      <c r="C2944" t="s">
        <v>1752</v>
      </c>
      <c r="D2944" t="s">
        <v>3497</v>
      </c>
      <c r="E2944">
        <v>2</v>
      </c>
      <c r="F2944" t="s">
        <v>3526</v>
      </c>
      <c r="G2944" t="s">
        <v>3519</v>
      </c>
      <c r="H2944">
        <v>2.5</v>
      </c>
      <c r="I2944">
        <v>31.6</v>
      </c>
      <c r="J2944">
        <v>63.2</v>
      </c>
    </row>
    <row r="2945" spans="1:10" x14ac:dyDescent="0.25">
      <c r="A2945" t="s">
        <v>5470</v>
      </c>
      <c r="B2945" s="3">
        <v>43953</v>
      </c>
      <c r="C2945" t="s">
        <v>2482</v>
      </c>
      <c r="D2945" t="s">
        <v>3472</v>
      </c>
      <c r="E2945">
        <v>2</v>
      </c>
      <c r="F2945" t="s">
        <v>3526</v>
      </c>
      <c r="G2945" t="s">
        <v>3519</v>
      </c>
      <c r="H2945">
        <v>1</v>
      </c>
      <c r="I2945">
        <v>13.8</v>
      </c>
      <c r="J2945">
        <v>27.6</v>
      </c>
    </row>
    <row r="2946" spans="1:10" x14ac:dyDescent="0.25">
      <c r="A2946" t="s">
        <v>5471</v>
      </c>
      <c r="B2946" s="3">
        <v>45294</v>
      </c>
      <c r="C2946" t="s">
        <v>1945</v>
      </c>
      <c r="D2946" t="s">
        <v>3489</v>
      </c>
      <c r="E2946">
        <v>5</v>
      </c>
      <c r="F2946" t="s">
        <v>3523</v>
      </c>
      <c r="G2946" t="s">
        <v>3518</v>
      </c>
      <c r="H2946">
        <v>0.5</v>
      </c>
      <c r="I2946">
        <v>6</v>
      </c>
      <c r="J2946">
        <v>30</v>
      </c>
    </row>
    <row r="2947" spans="1:10" x14ac:dyDescent="0.25">
      <c r="A2947" t="s">
        <v>5472</v>
      </c>
      <c r="B2947" s="3">
        <v>44734</v>
      </c>
      <c r="C2947" t="s">
        <v>1693</v>
      </c>
      <c r="D2947" t="s">
        <v>3501</v>
      </c>
      <c r="E2947">
        <v>3</v>
      </c>
      <c r="F2947" t="s">
        <v>3525</v>
      </c>
      <c r="G2947" t="s">
        <v>3517</v>
      </c>
      <c r="H2947">
        <v>1</v>
      </c>
      <c r="I2947">
        <v>15.9</v>
      </c>
      <c r="J2947">
        <v>47.7</v>
      </c>
    </row>
    <row r="2948" spans="1:10" x14ac:dyDescent="0.25">
      <c r="A2948" t="s">
        <v>5473</v>
      </c>
      <c r="B2948" s="3">
        <v>44072</v>
      </c>
      <c r="C2948" t="s">
        <v>1517</v>
      </c>
      <c r="D2948" t="s">
        <v>3478</v>
      </c>
      <c r="E2948">
        <v>1</v>
      </c>
      <c r="F2948" t="s">
        <v>3523</v>
      </c>
      <c r="G2948" t="s">
        <v>3518</v>
      </c>
      <c r="H2948">
        <v>1</v>
      </c>
      <c r="I2948">
        <v>10</v>
      </c>
      <c r="J2948">
        <v>10</v>
      </c>
    </row>
    <row r="2949" spans="1:10" x14ac:dyDescent="0.25">
      <c r="A2949" t="s">
        <v>5474</v>
      </c>
      <c r="B2949" s="3">
        <v>44600</v>
      </c>
      <c r="C2949" t="s">
        <v>3273</v>
      </c>
      <c r="D2949" t="s">
        <v>3507</v>
      </c>
      <c r="E2949">
        <v>2</v>
      </c>
      <c r="F2949" t="s">
        <v>3526</v>
      </c>
      <c r="G2949" t="s">
        <v>3517</v>
      </c>
      <c r="H2949">
        <v>0.5</v>
      </c>
      <c r="I2949">
        <v>8.9</v>
      </c>
      <c r="J2949">
        <v>17.8</v>
      </c>
    </row>
    <row r="2950" spans="1:10" x14ac:dyDescent="0.25">
      <c r="A2950" t="s">
        <v>5475</v>
      </c>
      <c r="B2950" s="3">
        <v>44800</v>
      </c>
      <c r="C2950" t="s">
        <v>1514</v>
      </c>
      <c r="D2950" t="s">
        <v>3510</v>
      </c>
      <c r="E2950">
        <v>5</v>
      </c>
      <c r="F2950" t="s">
        <v>3524</v>
      </c>
      <c r="G2950" t="s">
        <v>3517</v>
      </c>
      <c r="H2950">
        <v>1</v>
      </c>
      <c r="I2950">
        <v>12</v>
      </c>
      <c r="J2950">
        <v>60</v>
      </c>
    </row>
    <row r="2951" spans="1:10" x14ac:dyDescent="0.25">
      <c r="A2951" t="s">
        <v>5476</v>
      </c>
      <c r="B2951" s="3">
        <v>44166</v>
      </c>
      <c r="C2951" t="s">
        <v>538</v>
      </c>
      <c r="D2951" t="s">
        <v>3471</v>
      </c>
      <c r="E2951">
        <v>6</v>
      </c>
      <c r="F2951" t="s">
        <v>3523</v>
      </c>
      <c r="G2951" t="s">
        <v>3517</v>
      </c>
      <c r="H2951">
        <v>1</v>
      </c>
      <c r="I2951">
        <v>13</v>
      </c>
      <c r="J2951">
        <v>78</v>
      </c>
    </row>
    <row r="2952" spans="1:10" x14ac:dyDescent="0.25">
      <c r="A2952" t="s">
        <v>5477</v>
      </c>
      <c r="B2952" s="3">
        <v>45157</v>
      </c>
      <c r="C2952" t="s">
        <v>2180</v>
      </c>
      <c r="D2952" t="s">
        <v>3507</v>
      </c>
      <c r="E2952">
        <v>5</v>
      </c>
      <c r="F2952" t="s">
        <v>3526</v>
      </c>
      <c r="G2952" t="s">
        <v>3517</v>
      </c>
      <c r="H2952">
        <v>0.5</v>
      </c>
      <c r="I2952">
        <v>8.9</v>
      </c>
      <c r="J2952">
        <v>44.5</v>
      </c>
    </row>
    <row r="2953" spans="1:10" x14ac:dyDescent="0.25">
      <c r="A2953" t="s">
        <v>5478</v>
      </c>
      <c r="B2953" s="3">
        <v>44587</v>
      </c>
      <c r="C2953" t="s">
        <v>848</v>
      </c>
      <c r="D2953" t="s">
        <v>3497</v>
      </c>
      <c r="E2953">
        <v>3</v>
      </c>
      <c r="F2953" t="s">
        <v>3526</v>
      </c>
      <c r="G2953" t="s">
        <v>3519</v>
      </c>
      <c r="H2953">
        <v>2.5</v>
      </c>
      <c r="I2953">
        <v>31.6</v>
      </c>
      <c r="J2953">
        <v>94.8</v>
      </c>
    </row>
    <row r="2954" spans="1:10" x14ac:dyDescent="0.25">
      <c r="A2954" t="s">
        <v>5479</v>
      </c>
      <c r="B2954" s="3">
        <v>44709</v>
      </c>
      <c r="C2954" t="s">
        <v>1190</v>
      </c>
      <c r="D2954" t="s">
        <v>3497</v>
      </c>
      <c r="E2954">
        <v>4</v>
      </c>
      <c r="F2954" t="s">
        <v>3526</v>
      </c>
      <c r="G2954" t="s">
        <v>3519</v>
      </c>
      <c r="H2954">
        <v>2.5</v>
      </c>
      <c r="I2954">
        <v>31.6</v>
      </c>
      <c r="J2954">
        <v>126.4</v>
      </c>
    </row>
    <row r="2955" spans="1:10" x14ac:dyDescent="0.25">
      <c r="A2955" t="s">
        <v>5480</v>
      </c>
      <c r="B2955" s="3">
        <v>44950</v>
      </c>
      <c r="C2955" t="s">
        <v>3393</v>
      </c>
      <c r="D2955" t="s">
        <v>3483</v>
      </c>
      <c r="E2955">
        <v>6</v>
      </c>
      <c r="F2955" t="s">
        <v>3523</v>
      </c>
      <c r="G2955" t="s">
        <v>3519</v>
      </c>
      <c r="H2955">
        <v>0.2</v>
      </c>
      <c r="I2955">
        <v>3.4</v>
      </c>
      <c r="J2955">
        <v>20.399999999999999</v>
      </c>
    </row>
    <row r="2956" spans="1:10" x14ac:dyDescent="0.25">
      <c r="A2956" t="s">
        <v>5481</v>
      </c>
      <c r="B2956" s="3">
        <v>45007</v>
      </c>
      <c r="C2956" t="s">
        <v>1281</v>
      </c>
      <c r="D2956" t="s">
        <v>3483</v>
      </c>
      <c r="E2956">
        <v>4</v>
      </c>
      <c r="F2956" t="s">
        <v>3523</v>
      </c>
      <c r="G2956" t="s">
        <v>3519</v>
      </c>
      <c r="H2956">
        <v>0.2</v>
      </c>
      <c r="I2956">
        <v>3.4</v>
      </c>
      <c r="J2956">
        <v>13.6</v>
      </c>
    </row>
    <row r="2957" spans="1:10" x14ac:dyDescent="0.25">
      <c r="A2957" t="s">
        <v>5482</v>
      </c>
      <c r="B2957" s="3">
        <v>43958</v>
      </c>
      <c r="C2957" t="s">
        <v>1293</v>
      </c>
      <c r="D2957" t="s">
        <v>3498</v>
      </c>
      <c r="E2957">
        <v>4</v>
      </c>
      <c r="F2957" t="s">
        <v>3523</v>
      </c>
      <c r="G2957" t="s">
        <v>3517</v>
      </c>
      <c r="H2957">
        <v>0.2</v>
      </c>
      <c r="I2957">
        <v>3.9</v>
      </c>
      <c r="J2957">
        <v>15.6</v>
      </c>
    </row>
    <row r="2958" spans="1:10" x14ac:dyDescent="0.25">
      <c r="A2958" t="s">
        <v>5483</v>
      </c>
      <c r="B2958" s="3">
        <v>43846</v>
      </c>
      <c r="C2958" t="s">
        <v>1523</v>
      </c>
      <c r="D2958" t="s">
        <v>3502</v>
      </c>
      <c r="E2958">
        <v>5</v>
      </c>
      <c r="F2958" t="s">
        <v>3526</v>
      </c>
      <c r="G2958" t="s">
        <v>3517</v>
      </c>
      <c r="H2958">
        <v>1</v>
      </c>
      <c r="I2958">
        <v>14.9</v>
      </c>
      <c r="J2958">
        <v>74.5</v>
      </c>
    </row>
    <row r="2959" spans="1:10" x14ac:dyDescent="0.25">
      <c r="A2959" t="s">
        <v>5484</v>
      </c>
      <c r="B2959" s="3">
        <v>45490</v>
      </c>
      <c r="C2959" t="s">
        <v>2372</v>
      </c>
      <c r="D2959" t="s">
        <v>3473</v>
      </c>
      <c r="E2959">
        <v>4</v>
      </c>
      <c r="F2959" t="s">
        <v>3524</v>
      </c>
      <c r="G2959" t="s">
        <v>3517</v>
      </c>
      <c r="H2959">
        <v>2.5</v>
      </c>
      <c r="I2959">
        <v>27.5</v>
      </c>
      <c r="J2959">
        <v>110</v>
      </c>
    </row>
    <row r="2960" spans="1:10" x14ac:dyDescent="0.25">
      <c r="A2960" t="s">
        <v>5485</v>
      </c>
      <c r="B2960" s="3">
        <v>43702</v>
      </c>
      <c r="C2960" t="s">
        <v>2521</v>
      </c>
      <c r="D2960" t="s">
        <v>3473</v>
      </c>
      <c r="E2960">
        <v>5</v>
      </c>
      <c r="F2960" t="s">
        <v>3524</v>
      </c>
      <c r="G2960" t="s">
        <v>3517</v>
      </c>
      <c r="H2960">
        <v>2.5</v>
      </c>
      <c r="I2960">
        <v>27.5</v>
      </c>
      <c r="J2960">
        <v>137.5</v>
      </c>
    </row>
    <row r="2961" spans="1:10" x14ac:dyDescent="0.25">
      <c r="A2961" t="s">
        <v>5486</v>
      </c>
      <c r="B2961" s="3">
        <v>45130</v>
      </c>
      <c r="C2961" t="s">
        <v>1387</v>
      </c>
      <c r="D2961" t="s">
        <v>3486</v>
      </c>
      <c r="E2961">
        <v>2</v>
      </c>
      <c r="F2961" t="s">
        <v>3523</v>
      </c>
      <c r="G2961" t="s">
        <v>3519</v>
      </c>
      <c r="H2961">
        <v>1</v>
      </c>
      <c r="I2961">
        <v>11.3</v>
      </c>
      <c r="J2961">
        <v>22.6</v>
      </c>
    </row>
    <row r="2962" spans="1:10" x14ac:dyDescent="0.25">
      <c r="A2962" t="s">
        <v>5487</v>
      </c>
      <c r="B2962" s="3">
        <v>43518</v>
      </c>
      <c r="C2962" t="s">
        <v>3261</v>
      </c>
      <c r="D2962" t="s">
        <v>3513</v>
      </c>
      <c r="E2962">
        <v>2</v>
      </c>
      <c r="F2962" t="s">
        <v>3523</v>
      </c>
      <c r="G2962" t="s">
        <v>3517</v>
      </c>
      <c r="H2962">
        <v>2.5</v>
      </c>
      <c r="I2962">
        <v>29.8</v>
      </c>
      <c r="J2962">
        <v>59.6</v>
      </c>
    </row>
    <row r="2963" spans="1:10" x14ac:dyDescent="0.25">
      <c r="A2963" t="s">
        <v>5488</v>
      </c>
      <c r="B2963" s="3">
        <v>45190</v>
      </c>
      <c r="C2963" t="s">
        <v>3205</v>
      </c>
      <c r="D2963" t="s">
        <v>3491</v>
      </c>
      <c r="E2963">
        <v>3</v>
      </c>
      <c r="F2963" t="s">
        <v>3525</v>
      </c>
      <c r="G2963" t="s">
        <v>3519</v>
      </c>
      <c r="H2963">
        <v>0.5</v>
      </c>
      <c r="I2963">
        <v>8.6999999999999993</v>
      </c>
      <c r="J2963">
        <v>26.1</v>
      </c>
    </row>
    <row r="2964" spans="1:10" x14ac:dyDescent="0.25">
      <c r="A2964" t="s">
        <v>5489</v>
      </c>
      <c r="B2964" s="3">
        <v>44899</v>
      </c>
      <c r="C2964" t="s">
        <v>793</v>
      </c>
      <c r="D2964" t="s">
        <v>3505</v>
      </c>
      <c r="E2964">
        <v>5</v>
      </c>
      <c r="F2964" t="s">
        <v>3524</v>
      </c>
      <c r="G2964" t="s">
        <v>3519</v>
      </c>
      <c r="H2964">
        <v>0.2</v>
      </c>
      <c r="I2964">
        <v>3</v>
      </c>
      <c r="J2964">
        <v>15</v>
      </c>
    </row>
    <row r="2965" spans="1:10" x14ac:dyDescent="0.25">
      <c r="A2965" t="s">
        <v>5490</v>
      </c>
      <c r="B2965" s="3">
        <v>45605</v>
      </c>
      <c r="C2965" t="s">
        <v>2476</v>
      </c>
      <c r="D2965" t="s">
        <v>3497</v>
      </c>
      <c r="E2965">
        <v>5</v>
      </c>
      <c r="F2965" t="s">
        <v>3526</v>
      </c>
      <c r="G2965" t="s">
        <v>3519</v>
      </c>
      <c r="H2965">
        <v>2.5</v>
      </c>
      <c r="I2965">
        <v>31.6</v>
      </c>
      <c r="J2965">
        <v>158</v>
      </c>
    </row>
    <row r="2966" spans="1:10" x14ac:dyDescent="0.25">
      <c r="A2966" t="s">
        <v>5491</v>
      </c>
      <c r="B2966" s="3">
        <v>45256</v>
      </c>
      <c r="C2966" t="s">
        <v>3039</v>
      </c>
      <c r="D2966" t="s">
        <v>3480</v>
      </c>
      <c r="E2966">
        <v>1</v>
      </c>
      <c r="F2966" t="s">
        <v>3524</v>
      </c>
      <c r="G2966" t="s">
        <v>3518</v>
      </c>
      <c r="H2966">
        <v>2.5</v>
      </c>
      <c r="I2966">
        <v>20.6</v>
      </c>
      <c r="J2966">
        <v>20.6</v>
      </c>
    </row>
    <row r="2967" spans="1:10" x14ac:dyDescent="0.25">
      <c r="A2967" t="s">
        <v>5492</v>
      </c>
      <c r="B2967" s="3">
        <v>44894</v>
      </c>
      <c r="C2967" t="s">
        <v>2210</v>
      </c>
      <c r="D2967" t="s">
        <v>3488</v>
      </c>
      <c r="E2967">
        <v>6</v>
      </c>
      <c r="F2967" t="s">
        <v>3523</v>
      </c>
      <c r="G2967" t="s">
        <v>3519</v>
      </c>
      <c r="H2967">
        <v>0.5</v>
      </c>
      <c r="I2967">
        <v>6.8</v>
      </c>
      <c r="J2967">
        <v>40.799999999999997</v>
      </c>
    </row>
    <row r="2968" spans="1:10" x14ac:dyDescent="0.25">
      <c r="A2968" t="s">
        <v>5493</v>
      </c>
      <c r="B2968" s="3">
        <v>44914</v>
      </c>
      <c r="C2968" t="s">
        <v>2596</v>
      </c>
      <c r="D2968" t="s">
        <v>3489</v>
      </c>
      <c r="E2968">
        <v>1</v>
      </c>
      <c r="F2968" t="s">
        <v>3523</v>
      </c>
      <c r="G2968" t="s">
        <v>3518</v>
      </c>
      <c r="H2968">
        <v>0.5</v>
      </c>
      <c r="I2968">
        <v>6</v>
      </c>
      <c r="J2968">
        <v>6</v>
      </c>
    </row>
    <row r="2969" spans="1:10" x14ac:dyDescent="0.25">
      <c r="A2969" t="s">
        <v>5494</v>
      </c>
      <c r="B2969" s="3">
        <v>45253</v>
      </c>
      <c r="C2969" t="s">
        <v>1500</v>
      </c>
      <c r="D2969" t="s">
        <v>3481</v>
      </c>
      <c r="E2969">
        <v>2</v>
      </c>
      <c r="F2969" t="s">
        <v>3525</v>
      </c>
      <c r="G2969" t="s">
        <v>3518</v>
      </c>
      <c r="H2969">
        <v>0.2</v>
      </c>
      <c r="I2969">
        <v>3.9</v>
      </c>
      <c r="J2969">
        <v>7.8</v>
      </c>
    </row>
    <row r="2970" spans="1:10" x14ac:dyDescent="0.25">
      <c r="A2970" t="s">
        <v>5495</v>
      </c>
      <c r="B2970" s="3">
        <v>44590</v>
      </c>
      <c r="C2970" t="s">
        <v>1303</v>
      </c>
      <c r="D2970" t="s">
        <v>3469</v>
      </c>
      <c r="E2970">
        <v>5</v>
      </c>
      <c r="F2970" t="s">
        <v>3524</v>
      </c>
      <c r="G2970" t="s">
        <v>3519</v>
      </c>
      <c r="H2970">
        <v>1</v>
      </c>
      <c r="I2970">
        <v>10</v>
      </c>
      <c r="J2970">
        <v>50</v>
      </c>
    </row>
    <row r="2971" spans="1:10" x14ac:dyDescent="0.25">
      <c r="A2971" t="s">
        <v>5496</v>
      </c>
      <c r="B2971" s="3">
        <v>45623</v>
      </c>
      <c r="C2971" t="s">
        <v>890</v>
      </c>
      <c r="D2971" t="s">
        <v>3499</v>
      </c>
      <c r="E2971">
        <v>3</v>
      </c>
      <c r="F2971" t="s">
        <v>3523</v>
      </c>
      <c r="G2971" t="s">
        <v>3518</v>
      </c>
      <c r="H2971">
        <v>2.5</v>
      </c>
      <c r="I2971">
        <v>22.9</v>
      </c>
      <c r="J2971">
        <v>68.7</v>
      </c>
    </row>
    <row r="2972" spans="1:10" x14ac:dyDescent="0.25">
      <c r="A2972" t="s">
        <v>5497</v>
      </c>
      <c r="B2972" s="3">
        <v>44388</v>
      </c>
      <c r="C2972" t="s">
        <v>517</v>
      </c>
      <c r="D2972" t="s">
        <v>3505</v>
      </c>
      <c r="E2972">
        <v>5</v>
      </c>
      <c r="F2972" t="s">
        <v>3524</v>
      </c>
      <c r="G2972" t="s">
        <v>3519</v>
      </c>
      <c r="H2972">
        <v>0.2</v>
      </c>
      <c r="I2972">
        <v>3</v>
      </c>
      <c r="J2972">
        <v>15</v>
      </c>
    </row>
    <row r="2973" spans="1:10" x14ac:dyDescent="0.25">
      <c r="A2973" t="s">
        <v>5498</v>
      </c>
      <c r="B2973" s="3">
        <v>45152</v>
      </c>
      <c r="C2973" t="s">
        <v>2341</v>
      </c>
      <c r="D2973" t="s">
        <v>3476</v>
      </c>
      <c r="E2973">
        <v>3</v>
      </c>
      <c r="F2973" t="s">
        <v>3525</v>
      </c>
      <c r="G2973" t="s">
        <v>3517</v>
      </c>
      <c r="H2973">
        <v>0.2</v>
      </c>
      <c r="I2973">
        <v>4.8</v>
      </c>
      <c r="J2973">
        <v>14.4</v>
      </c>
    </row>
    <row r="2974" spans="1:10" x14ac:dyDescent="0.25">
      <c r="A2974" t="s">
        <v>5499</v>
      </c>
      <c r="B2974" s="3">
        <v>45254</v>
      </c>
      <c r="C2974" t="s">
        <v>971</v>
      </c>
      <c r="D2974" t="s">
        <v>3497</v>
      </c>
      <c r="E2974">
        <v>2</v>
      </c>
      <c r="F2974" t="s">
        <v>3526</v>
      </c>
      <c r="G2974" t="s">
        <v>3519</v>
      </c>
      <c r="H2974">
        <v>2.5</v>
      </c>
      <c r="I2974">
        <v>31.6</v>
      </c>
      <c r="J2974">
        <v>63.2</v>
      </c>
    </row>
    <row r="2975" spans="1:10" x14ac:dyDescent="0.25">
      <c r="A2975" t="s">
        <v>5500</v>
      </c>
      <c r="B2975" s="3">
        <v>44978</v>
      </c>
      <c r="C2975" t="s">
        <v>1523</v>
      </c>
      <c r="D2975" t="s">
        <v>3498</v>
      </c>
      <c r="E2975">
        <v>2</v>
      </c>
      <c r="F2975" t="s">
        <v>3523</v>
      </c>
      <c r="G2975" t="s">
        <v>3517</v>
      </c>
      <c r="H2975">
        <v>0.2</v>
      </c>
      <c r="I2975">
        <v>3.9</v>
      </c>
      <c r="J2975">
        <v>7.8</v>
      </c>
    </row>
    <row r="2976" spans="1:10" x14ac:dyDescent="0.25">
      <c r="A2976" t="s">
        <v>5501</v>
      </c>
      <c r="B2976" s="3">
        <v>44700</v>
      </c>
      <c r="C2976" t="s">
        <v>1476</v>
      </c>
      <c r="D2976" t="s">
        <v>3487</v>
      </c>
      <c r="E2976">
        <v>3</v>
      </c>
      <c r="F2976" t="s">
        <v>3526</v>
      </c>
      <c r="G2976" t="s">
        <v>3519</v>
      </c>
      <c r="H2976">
        <v>0.2</v>
      </c>
      <c r="I2976">
        <v>4.0999999999999996</v>
      </c>
      <c r="J2976">
        <v>12.3</v>
      </c>
    </row>
    <row r="2977" spans="1:10" x14ac:dyDescent="0.25">
      <c r="A2977" t="s">
        <v>5502</v>
      </c>
      <c r="B2977" s="3">
        <v>45004</v>
      </c>
      <c r="C2977" t="s">
        <v>835</v>
      </c>
      <c r="D2977" t="s">
        <v>3502</v>
      </c>
      <c r="E2977">
        <v>1</v>
      </c>
      <c r="F2977" t="s">
        <v>3526</v>
      </c>
      <c r="G2977" t="s">
        <v>3517</v>
      </c>
      <c r="H2977">
        <v>1</v>
      </c>
      <c r="I2977">
        <v>14.9</v>
      </c>
      <c r="J2977">
        <v>14.9</v>
      </c>
    </row>
    <row r="2978" spans="1:10" x14ac:dyDescent="0.25">
      <c r="A2978" t="s">
        <v>5503</v>
      </c>
      <c r="B2978" s="3">
        <v>45452</v>
      </c>
      <c r="C2978" t="s">
        <v>2311</v>
      </c>
      <c r="D2978" t="s">
        <v>3515</v>
      </c>
      <c r="E2978">
        <v>3</v>
      </c>
      <c r="F2978" t="s">
        <v>3526</v>
      </c>
      <c r="G2978" t="s">
        <v>3517</v>
      </c>
      <c r="H2978">
        <v>0.2</v>
      </c>
      <c r="I2978">
        <v>4.5</v>
      </c>
      <c r="J2978">
        <v>13.5</v>
      </c>
    </row>
    <row r="2979" spans="1:10" x14ac:dyDescent="0.25">
      <c r="A2979" t="s">
        <v>5504</v>
      </c>
      <c r="B2979" s="3">
        <v>44598</v>
      </c>
      <c r="C2979" t="s">
        <v>1038</v>
      </c>
      <c r="D2979" t="s">
        <v>3493</v>
      </c>
      <c r="E2979">
        <v>2</v>
      </c>
      <c r="F2979" t="s">
        <v>3525</v>
      </c>
      <c r="G2979" t="s">
        <v>3519</v>
      </c>
      <c r="H2979">
        <v>1</v>
      </c>
      <c r="I2979">
        <v>14.6</v>
      </c>
      <c r="J2979">
        <v>29.2</v>
      </c>
    </row>
    <row r="2980" spans="1:10" x14ac:dyDescent="0.25">
      <c r="A2980" t="s">
        <v>5505</v>
      </c>
      <c r="B2980" s="3">
        <v>44990</v>
      </c>
      <c r="C2980" t="s">
        <v>2621</v>
      </c>
      <c r="D2980" t="s">
        <v>3495</v>
      </c>
      <c r="E2980">
        <v>4</v>
      </c>
      <c r="F2980" t="s">
        <v>3525</v>
      </c>
      <c r="G2980" t="s">
        <v>3517</v>
      </c>
      <c r="H2980">
        <v>2.5</v>
      </c>
      <c r="I2980">
        <v>36.5</v>
      </c>
      <c r="J2980">
        <v>146</v>
      </c>
    </row>
    <row r="2981" spans="1:10" x14ac:dyDescent="0.25">
      <c r="A2981" t="s">
        <v>5506</v>
      </c>
      <c r="B2981" s="3">
        <v>44646</v>
      </c>
      <c r="C2981" t="s">
        <v>1776</v>
      </c>
      <c r="D2981" t="s">
        <v>3504</v>
      </c>
      <c r="E2981">
        <v>2</v>
      </c>
      <c r="F2981" t="s">
        <v>3524</v>
      </c>
      <c r="G2981" t="s">
        <v>3517</v>
      </c>
      <c r="H2981">
        <v>0.5</v>
      </c>
      <c r="I2981">
        <v>7.2</v>
      </c>
      <c r="J2981">
        <v>14.4</v>
      </c>
    </row>
    <row r="2982" spans="1:10" x14ac:dyDescent="0.25">
      <c r="A2982" t="s">
        <v>5507</v>
      </c>
      <c r="B2982" s="3">
        <v>45510</v>
      </c>
      <c r="C2982" t="s">
        <v>2302</v>
      </c>
      <c r="D2982" t="s">
        <v>3487</v>
      </c>
      <c r="E2982">
        <v>2</v>
      </c>
      <c r="F2982" t="s">
        <v>3526</v>
      </c>
      <c r="G2982" t="s">
        <v>3519</v>
      </c>
      <c r="H2982">
        <v>0.2</v>
      </c>
      <c r="I2982">
        <v>4.0999999999999996</v>
      </c>
      <c r="J2982">
        <v>8.1999999999999993</v>
      </c>
    </row>
    <row r="2983" spans="1:10" x14ac:dyDescent="0.25">
      <c r="A2983" t="s">
        <v>5508</v>
      </c>
      <c r="B2983" s="3">
        <v>45431</v>
      </c>
      <c r="C2983" t="s">
        <v>1287</v>
      </c>
      <c r="D2983" t="s">
        <v>3471</v>
      </c>
      <c r="E2983">
        <v>2</v>
      </c>
      <c r="F2983" t="s">
        <v>3523</v>
      </c>
      <c r="G2983" t="s">
        <v>3517</v>
      </c>
      <c r="H2983">
        <v>1</v>
      </c>
      <c r="I2983">
        <v>13</v>
      </c>
      <c r="J2983">
        <v>26</v>
      </c>
    </row>
    <row r="2984" spans="1:10" x14ac:dyDescent="0.25">
      <c r="A2984" t="s">
        <v>5509</v>
      </c>
      <c r="B2984" s="3">
        <v>43676</v>
      </c>
      <c r="C2984" t="s">
        <v>2843</v>
      </c>
      <c r="D2984" t="s">
        <v>3495</v>
      </c>
      <c r="E2984">
        <v>5</v>
      </c>
      <c r="F2984" t="s">
        <v>3525</v>
      </c>
      <c r="G2984" t="s">
        <v>3517</v>
      </c>
      <c r="H2984">
        <v>2.5</v>
      </c>
      <c r="I2984">
        <v>36.5</v>
      </c>
      <c r="J2984">
        <v>182.5</v>
      </c>
    </row>
    <row r="2985" spans="1:10" x14ac:dyDescent="0.25">
      <c r="A2985" t="s">
        <v>5510</v>
      </c>
      <c r="B2985" s="3">
        <v>45074</v>
      </c>
      <c r="C2985" t="s">
        <v>2053</v>
      </c>
      <c r="D2985" t="s">
        <v>3512</v>
      </c>
      <c r="E2985">
        <v>4</v>
      </c>
      <c r="F2985" t="s">
        <v>3525</v>
      </c>
      <c r="G2985" t="s">
        <v>3519</v>
      </c>
      <c r="H2985">
        <v>2.5</v>
      </c>
      <c r="I2985">
        <v>33.5</v>
      </c>
      <c r="J2985">
        <v>134</v>
      </c>
    </row>
    <row r="2986" spans="1:10" x14ac:dyDescent="0.25">
      <c r="A2986" t="s">
        <v>5511</v>
      </c>
      <c r="B2986" s="3">
        <v>45216</v>
      </c>
      <c r="C2986" t="s">
        <v>3321</v>
      </c>
      <c r="D2986" t="s">
        <v>3486</v>
      </c>
      <c r="E2986">
        <v>5</v>
      </c>
      <c r="F2986" t="s">
        <v>3523</v>
      </c>
      <c r="G2986" t="s">
        <v>3519</v>
      </c>
      <c r="H2986">
        <v>1</v>
      </c>
      <c r="I2986">
        <v>11.3</v>
      </c>
      <c r="J2986">
        <v>56.5</v>
      </c>
    </row>
    <row r="2987" spans="1:10" x14ac:dyDescent="0.25">
      <c r="A2987" t="s">
        <v>5512</v>
      </c>
      <c r="B2987" s="3">
        <v>45411</v>
      </c>
      <c r="C2987" t="s">
        <v>2308</v>
      </c>
      <c r="D2987" t="s">
        <v>3504</v>
      </c>
      <c r="E2987">
        <v>3</v>
      </c>
      <c r="F2987" t="s">
        <v>3524</v>
      </c>
      <c r="G2987" t="s">
        <v>3517</v>
      </c>
      <c r="H2987">
        <v>0.5</v>
      </c>
      <c r="I2987">
        <v>7.2</v>
      </c>
      <c r="J2987">
        <v>21.6</v>
      </c>
    </row>
    <row r="2988" spans="1:10" x14ac:dyDescent="0.25">
      <c r="A2988" t="s">
        <v>5513</v>
      </c>
      <c r="B2988" s="3">
        <v>45192</v>
      </c>
      <c r="C2988" t="s">
        <v>3384</v>
      </c>
      <c r="D2988" t="s">
        <v>3504</v>
      </c>
      <c r="E2988">
        <v>1</v>
      </c>
      <c r="F2988" t="s">
        <v>3524</v>
      </c>
      <c r="G2988" t="s">
        <v>3517</v>
      </c>
      <c r="H2988">
        <v>0.5</v>
      </c>
      <c r="I2988">
        <v>7.2</v>
      </c>
      <c r="J2988">
        <v>7.2</v>
      </c>
    </row>
    <row r="2989" spans="1:10" x14ac:dyDescent="0.25">
      <c r="A2989" t="s">
        <v>5514</v>
      </c>
      <c r="B2989" s="3">
        <v>45498</v>
      </c>
      <c r="C2989" t="s">
        <v>2397</v>
      </c>
      <c r="D2989" t="s">
        <v>3510</v>
      </c>
      <c r="E2989">
        <v>1</v>
      </c>
      <c r="F2989" t="s">
        <v>3524</v>
      </c>
      <c r="G2989" t="s">
        <v>3517</v>
      </c>
      <c r="H2989">
        <v>1</v>
      </c>
      <c r="I2989">
        <v>12</v>
      </c>
      <c r="J2989">
        <v>12</v>
      </c>
    </row>
    <row r="2990" spans="1:10" x14ac:dyDescent="0.25">
      <c r="A2990" t="s">
        <v>5515</v>
      </c>
      <c r="B2990" s="3">
        <v>45554</v>
      </c>
      <c r="C2990" t="s">
        <v>2372</v>
      </c>
      <c r="D2990" t="s">
        <v>3514</v>
      </c>
      <c r="E2990">
        <v>4</v>
      </c>
      <c r="F2990" t="s">
        <v>3526</v>
      </c>
      <c r="G2990" t="s">
        <v>3518</v>
      </c>
      <c r="H2990">
        <v>1</v>
      </c>
      <c r="I2990">
        <v>12.2</v>
      </c>
      <c r="J2990">
        <v>48.8</v>
      </c>
    </row>
    <row r="2991" spans="1:10" x14ac:dyDescent="0.25">
      <c r="A2991" t="s">
        <v>5516</v>
      </c>
      <c r="B2991" s="3">
        <v>45311</v>
      </c>
      <c r="C2991" t="s">
        <v>851</v>
      </c>
      <c r="D2991" t="s">
        <v>3511</v>
      </c>
      <c r="E2991">
        <v>4</v>
      </c>
      <c r="F2991" t="s">
        <v>3523</v>
      </c>
      <c r="G2991" t="s">
        <v>3517</v>
      </c>
      <c r="H2991">
        <v>0.5</v>
      </c>
      <c r="I2991">
        <v>7.8</v>
      </c>
      <c r="J2991">
        <v>31.2</v>
      </c>
    </row>
    <row r="2992" spans="1:10" x14ac:dyDescent="0.25">
      <c r="A2992" t="s">
        <v>5517</v>
      </c>
      <c r="B2992" s="3">
        <v>43951</v>
      </c>
      <c r="C2992" t="s">
        <v>688</v>
      </c>
      <c r="D2992" t="s">
        <v>3492</v>
      </c>
      <c r="E2992">
        <v>4</v>
      </c>
      <c r="F2992" t="s">
        <v>3525</v>
      </c>
      <c r="G2992" t="s">
        <v>3517</v>
      </c>
      <c r="H2992">
        <v>0.5</v>
      </c>
      <c r="I2992">
        <v>9.5</v>
      </c>
      <c r="J2992">
        <v>38</v>
      </c>
    </row>
    <row r="2993" spans="1:10" x14ac:dyDescent="0.25">
      <c r="A2993" t="s">
        <v>5518</v>
      </c>
      <c r="B2993" s="3">
        <v>45129</v>
      </c>
      <c r="C2993" t="s">
        <v>2344</v>
      </c>
      <c r="D2993" t="s">
        <v>3501</v>
      </c>
      <c r="E2993">
        <v>1</v>
      </c>
      <c r="F2993" t="s">
        <v>3525</v>
      </c>
      <c r="G2993" t="s">
        <v>3517</v>
      </c>
      <c r="H2993">
        <v>1</v>
      </c>
      <c r="I2993">
        <v>15.9</v>
      </c>
      <c r="J2993">
        <v>15.9</v>
      </c>
    </row>
    <row r="2994" spans="1:10" x14ac:dyDescent="0.25">
      <c r="A2994" t="s">
        <v>5519</v>
      </c>
      <c r="B2994" s="3">
        <v>45089</v>
      </c>
      <c r="C2994" t="s">
        <v>2927</v>
      </c>
      <c r="D2994" t="s">
        <v>3499</v>
      </c>
      <c r="E2994">
        <v>4</v>
      </c>
      <c r="F2994" t="s">
        <v>3523</v>
      </c>
      <c r="G2994" t="s">
        <v>3518</v>
      </c>
      <c r="H2994">
        <v>2.5</v>
      </c>
      <c r="I2994">
        <v>22.9</v>
      </c>
      <c r="J2994">
        <v>91.6</v>
      </c>
    </row>
    <row r="2995" spans="1:10" x14ac:dyDescent="0.25">
      <c r="A2995" t="s">
        <v>5520</v>
      </c>
      <c r="B2995" s="3">
        <v>45646</v>
      </c>
      <c r="C2995" t="s">
        <v>514</v>
      </c>
      <c r="D2995" t="s">
        <v>3508</v>
      </c>
      <c r="E2995">
        <v>1</v>
      </c>
      <c r="F2995" t="s">
        <v>3524</v>
      </c>
      <c r="G2995" t="s">
        <v>3518</v>
      </c>
      <c r="H2995">
        <v>1</v>
      </c>
      <c r="I2995">
        <v>9</v>
      </c>
      <c r="J2995">
        <v>9</v>
      </c>
    </row>
    <row r="2996" spans="1:10" x14ac:dyDescent="0.25">
      <c r="A2996" t="s">
        <v>5521</v>
      </c>
      <c r="B2996" s="3">
        <v>45360</v>
      </c>
      <c r="C2996" t="s">
        <v>1809</v>
      </c>
      <c r="D2996" t="s">
        <v>3480</v>
      </c>
      <c r="E2996">
        <v>2</v>
      </c>
      <c r="F2996" t="s">
        <v>3524</v>
      </c>
      <c r="G2996" t="s">
        <v>3518</v>
      </c>
      <c r="H2996">
        <v>2.5</v>
      </c>
      <c r="I2996">
        <v>20.6</v>
      </c>
      <c r="J2996">
        <v>41.2</v>
      </c>
    </row>
    <row r="2997" spans="1:10" x14ac:dyDescent="0.25">
      <c r="A2997" t="s">
        <v>5522</v>
      </c>
      <c r="B2997" s="3">
        <v>45427</v>
      </c>
      <c r="C2997" t="s">
        <v>2369</v>
      </c>
      <c r="D2997" t="s">
        <v>3493</v>
      </c>
      <c r="E2997">
        <v>6</v>
      </c>
      <c r="F2997" t="s">
        <v>3525</v>
      </c>
      <c r="G2997" t="s">
        <v>3519</v>
      </c>
      <c r="H2997">
        <v>1</v>
      </c>
      <c r="I2997">
        <v>14.6</v>
      </c>
      <c r="J2997">
        <v>87.6</v>
      </c>
    </row>
    <row r="2998" spans="1:10" x14ac:dyDescent="0.25">
      <c r="A2998" t="s">
        <v>5523</v>
      </c>
      <c r="B2998" s="3">
        <v>44726</v>
      </c>
      <c r="C2998" t="s">
        <v>3282</v>
      </c>
      <c r="D2998" t="s">
        <v>3494</v>
      </c>
      <c r="E2998">
        <v>6</v>
      </c>
      <c r="F2998" t="s">
        <v>3524</v>
      </c>
      <c r="G2998" t="s">
        <v>3518</v>
      </c>
      <c r="H2998">
        <v>0.2</v>
      </c>
      <c r="I2998">
        <v>2.7</v>
      </c>
      <c r="J2998">
        <v>16.2</v>
      </c>
    </row>
    <row r="2999" spans="1:10" x14ac:dyDescent="0.25">
      <c r="A2999" t="s">
        <v>5524</v>
      </c>
      <c r="B2999" s="3">
        <v>43983</v>
      </c>
      <c r="C2999" t="s">
        <v>2290</v>
      </c>
      <c r="D2999" t="s">
        <v>3473</v>
      </c>
      <c r="E2999">
        <v>1</v>
      </c>
      <c r="F2999" t="s">
        <v>3524</v>
      </c>
      <c r="G2999" t="s">
        <v>3517</v>
      </c>
      <c r="H2999">
        <v>2.5</v>
      </c>
      <c r="I2999">
        <v>27.5</v>
      </c>
      <c r="J2999">
        <v>27.5</v>
      </c>
    </row>
    <row r="3000" spans="1:10" x14ac:dyDescent="0.25">
      <c r="A3000" t="s">
        <v>5525</v>
      </c>
      <c r="B3000" s="3">
        <v>45455</v>
      </c>
      <c r="C3000" t="s">
        <v>2195</v>
      </c>
      <c r="D3000" t="s">
        <v>3491</v>
      </c>
      <c r="E3000">
        <v>4</v>
      </c>
      <c r="F3000" t="s">
        <v>3525</v>
      </c>
      <c r="G3000" t="s">
        <v>3519</v>
      </c>
      <c r="H3000">
        <v>0.5</v>
      </c>
      <c r="I3000">
        <v>8.6999999999999993</v>
      </c>
      <c r="J3000">
        <v>34.799999999999997</v>
      </c>
    </row>
    <row r="3001" spans="1:10" x14ac:dyDescent="0.25">
      <c r="A3001" t="s">
        <v>5526</v>
      </c>
      <c r="B3001" s="3">
        <v>45023</v>
      </c>
      <c r="C3001" t="s">
        <v>2998</v>
      </c>
      <c r="D3001" t="s">
        <v>3513</v>
      </c>
      <c r="E3001">
        <v>3</v>
      </c>
      <c r="F3001" t="s">
        <v>3523</v>
      </c>
      <c r="G3001" t="s">
        <v>3517</v>
      </c>
      <c r="H3001">
        <v>2.5</v>
      </c>
      <c r="I3001">
        <v>29.8</v>
      </c>
      <c r="J3001">
        <v>89.4</v>
      </c>
    </row>
    <row r="3002" spans="1:10" x14ac:dyDescent="0.25">
      <c r="A3002" t="s">
        <v>5527</v>
      </c>
      <c r="B3002" s="3">
        <v>43879</v>
      </c>
      <c r="C3002" t="s">
        <v>614</v>
      </c>
      <c r="D3002" t="s">
        <v>3471</v>
      </c>
      <c r="E3002">
        <v>2</v>
      </c>
      <c r="F3002" t="s">
        <v>3523</v>
      </c>
      <c r="G3002" t="s">
        <v>3517</v>
      </c>
      <c r="H3002">
        <v>1</v>
      </c>
      <c r="I3002">
        <v>13</v>
      </c>
      <c r="J3002">
        <v>26</v>
      </c>
    </row>
    <row r="3003" spans="1:10" x14ac:dyDescent="0.25">
      <c r="A3003" t="s">
        <v>5528</v>
      </c>
      <c r="B3003" s="3">
        <v>45238</v>
      </c>
      <c r="C3003" t="s">
        <v>2171</v>
      </c>
      <c r="D3003" t="s">
        <v>3514</v>
      </c>
      <c r="E3003">
        <v>1</v>
      </c>
      <c r="F3003" t="s">
        <v>3526</v>
      </c>
      <c r="G3003" t="s">
        <v>3518</v>
      </c>
      <c r="H3003">
        <v>1</v>
      </c>
      <c r="I3003">
        <v>12.2</v>
      </c>
      <c r="J3003">
        <v>12.2</v>
      </c>
    </row>
    <row r="3004" spans="1:10" x14ac:dyDescent="0.25">
      <c r="A3004" t="s">
        <v>5529</v>
      </c>
      <c r="B3004" s="3">
        <v>44524</v>
      </c>
      <c r="C3004" t="s">
        <v>1056</v>
      </c>
      <c r="D3004" t="s">
        <v>3492</v>
      </c>
      <c r="E3004">
        <v>6</v>
      </c>
      <c r="F3004" t="s">
        <v>3525</v>
      </c>
      <c r="G3004" t="s">
        <v>3517</v>
      </c>
      <c r="H3004">
        <v>0.5</v>
      </c>
      <c r="I3004">
        <v>9.5</v>
      </c>
      <c r="J3004">
        <v>57</v>
      </c>
    </row>
    <row r="3005" spans="1:10" x14ac:dyDescent="0.25">
      <c r="A3005" t="s">
        <v>5530</v>
      </c>
      <c r="B3005" s="3">
        <v>45423</v>
      </c>
      <c r="C3005" t="s">
        <v>682</v>
      </c>
      <c r="D3005" t="s">
        <v>3493</v>
      </c>
      <c r="E3005">
        <v>1</v>
      </c>
      <c r="F3005" t="s">
        <v>3525</v>
      </c>
      <c r="G3005" t="s">
        <v>3519</v>
      </c>
      <c r="H3005">
        <v>1</v>
      </c>
      <c r="I3005">
        <v>14.6</v>
      </c>
      <c r="J3005">
        <v>14.6</v>
      </c>
    </row>
    <row r="3006" spans="1:10" x14ac:dyDescent="0.25">
      <c r="A3006" t="s">
        <v>5531</v>
      </c>
      <c r="B3006" s="3">
        <v>43971</v>
      </c>
      <c r="C3006" t="s">
        <v>2995</v>
      </c>
      <c r="D3006" t="s">
        <v>3474</v>
      </c>
      <c r="E3006">
        <v>4</v>
      </c>
      <c r="F3006" t="s">
        <v>3525</v>
      </c>
      <c r="G3006" t="s">
        <v>3518</v>
      </c>
      <c r="H3006">
        <v>1</v>
      </c>
      <c r="I3006">
        <v>13</v>
      </c>
      <c r="J3006">
        <v>52</v>
      </c>
    </row>
    <row r="3007" spans="1:10" x14ac:dyDescent="0.25">
      <c r="A3007" t="s">
        <v>5532</v>
      </c>
      <c r="B3007" s="3">
        <v>43839</v>
      </c>
      <c r="C3007" t="s">
        <v>3420</v>
      </c>
      <c r="D3007" t="s">
        <v>3475</v>
      </c>
      <c r="E3007">
        <v>5</v>
      </c>
      <c r="F3007" t="s">
        <v>3526</v>
      </c>
      <c r="G3007" t="s">
        <v>3518</v>
      </c>
      <c r="H3007">
        <v>0.5</v>
      </c>
      <c r="I3007">
        <v>7.3</v>
      </c>
      <c r="J3007">
        <v>36.5</v>
      </c>
    </row>
    <row r="3008" spans="1:10" x14ac:dyDescent="0.25">
      <c r="A3008" t="s">
        <v>5533</v>
      </c>
      <c r="B3008" s="3">
        <v>44597</v>
      </c>
      <c r="C3008" t="s">
        <v>740</v>
      </c>
      <c r="D3008" t="s">
        <v>3475</v>
      </c>
      <c r="E3008">
        <v>1</v>
      </c>
      <c r="F3008" t="s">
        <v>3526</v>
      </c>
      <c r="G3008" t="s">
        <v>3518</v>
      </c>
      <c r="H3008">
        <v>0.5</v>
      </c>
      <c r="I3008">
        <v>7.3</v>
      </c>
      <c r="J3008">
        <v>7.3</v>
      </c>
    </row>
    <row r="3009" spans="1:10" x14ac:dyDescent="0.25">
      <c r="A3009" t="s">
        <v>5534</v>
      </c>
      <c r="B3009" s="3">
        <v>45115</v>
      </c>
      <c r="C3009" t="s">
        <v>926</v>
      </c>
      <c r="D3009" t="s">
        <v>3471</v>
      </c>
      <c r="E3009">
        <v>3</v>
      </c>
      <c r="F3009" t="s">
        <v>3523</v>
      </c>
      <c r="G3009" t="s">
        <v>3517</v>
      </c>
      <c r="H3009">
        <v>1</v>
      </c>
      <c r="I3009">
        <v>13</v>
      </c>
      <c r="J3009">
        <v>39</v>
      </c>
    </row>
    <row r="3010" spans="1:10" x14ac:dyDescent="0.25">
      <c r="A3010" t="s">
        <v>5535</v>
      </c>
      <c r="B3010" s="3">
        <v>45171</v>
      </c>
      <c r="C3010" t="s">
        <v>2171</v>
      </c>
      <c r="D3010" t="s">
        <v>3471</v>
      </c>
      <c r="E3010">
        <v>5</v>
      </c>
      <c r="F3010" t="s">
        <v>3523</v>
      </c>
      <c r="G3010" t="s">
        <v>3517</v>
      </c>
      <c r="H3010">
        <v>1</v>
      </c>
      <c r="I3010">
        <v>13</v>
      </c>
      <c r="J3010">
        <v>65</v>
      </c>
    </row>
    <row r="3011" spans="1:10" x14ac:dyDescent="0.25">
      <c r="A3011" t="s">
        <v>5536</v>
      </c>
      <c r="B3011" s="3">
        <v>44088</v>
      </c>
      <c r="C3011" t="s">
        <v>2989</v>
      </c>
      <c r="D3011" t="s">
        <v>3511</v>
      </c>
      <c r="E3011">
        <v>5</v>
      </c>
      <c r="F3011" t="s">
        <v>3523</v>
      </c>
      <c r="G3011" t="s">
        <v>3517</v>
      </c>
      <c r="H3011">
        <v>0.5</v>
      </c>
      <c r="I3011">
        <v>7.8</v>
      </c>
      <c r="J3011">
        <v>39</v>
      </c>
    </row>
    <row r="3012" spans="1:10" x14ac:dyDescent="0.25">
      <c r="A3012" t="s">
        <v>5537</v>
      </c>
      <c r="B3012" s="3">
        <v>43472</v>
      </c>
      <c r="C3012" t="s">
        <v>497</v>
      </c>
      <c r="D3012" t="s">
        <v>3484</v>
      </c>
      <c r="E3012">
        <v>6</v>
      </c>
      <c r="F3012" t="s">
        <v>3526</v>
      </c>
      <c r="G3012" t="s">
        <v>3518</v>
      </c>
      <c r="H3012">
        <v>0.2</v>
      </c>
      <c r="I3012">
        <v>3.6</v>
      </c>
      <c r="J3012">
        <v>21.6</v>
      </c>
    </row>
    <row r="3013" spans="1:10" x14ac:dyDescent="0.25">
      <c r="A3013" t="s">
        <v>5538</v>
      </c>
      <c r="B3013" s="3">
        <v>44829</v>
      </c>
      <c r="C3013" t="s">
        <v>2095</v>
      </c>
      <c r="D3013" t="s">
        <v>3483</v>
      </c>
      <c r="E3013">
        <v>5</v>
      </c>
      <c r="F3013" t="s">
        <v>3523</v>
      </c>
      <c r="G3013" t="s">
        <v>3519</v>
      </c>
      <c r="H3013">
        <v>0.2</v>
      </c>
      <c r="I3013">
        <v>3.4</v>
      </c>
      <c r="J3013">
        <v>17</v>
      </c>
    </row>
    <row r="3014" spans="1:10" x14ac:dyDescent="0.25">
      <c r="A3014" t="s">
        <v>5539</v>
      </c>
      <c r="B3014" s="3">
        <v>44695</v>
      </c>
      <c r="C3014" t="s">
        <v>2921</v>
      </c>
      <c r="D3014" t="s">
        <v>3493</v>
      </c>
      <c r="E3014">
        <v>1</v>
      </c>
      <c r="F3014" t="s">
        <v>3525</v>
      </c>
      <c r="G3014" t="s">
        <v>3519</v>
      </c>
      <c r="H3014">
        <v>1</v>
      </c>
      <c r="I3014">
        <v>14.6</v>
      </c>
      <c r="J3014">
        <v>14.6</v>
      </c>
    </row>
    <row r="3015" spans="1:10" x14ac:dyDescent="0.25">
      <c r="A3015" t="s">
        <v>5540</v>
      </c>
      <c r="B3015" s="3">
        <v>44136</v>
      </c>
      <c r="C3015" t="s">
        <v>1109</v>
      </c>
      <c r="D3015" t="s">
        <v>3504</v>
      </c>
      <c r="E3015">
        <v>5</v>
      </c>
      <c r="F3015" t="s">
        <v>3524</v>
      </c>
      <c r="G3015" t="s">
        <v>3517</v>
      </c>
      <c r="H3015">
        <v>0.5</v>
      </c>
      <c r="I3015">
        <v>7.2</v>
      </c>
      <c r="J3015">
        <v>36</v>
      </c>
    </row>
    <row r="3016" spans="1:10" x14ac:dyDescent="0.25">
      <c r="A3016" t="s">
        <v>5541</v>
      </c>
      <c r="B3016" s="3">
        <v>45018</v>
      </c>
      <c r="C3016" t="s">
        <v>1564</v>
      </c>
      <c r="D3016" t="s">
        <v>3472</v>
      </c>
      <c r="E3016">
        <v>5</v>
      </c>
      <c r="F3016" t="s">
        <v>3526</v>
      </c>
      <c r="G3016" t="s">
        <v>3519</v>
      </c>
      <c r="H3016">
        <v>1</v>
      </c>
      <c r="I3016">
        <v>13.8</v>
      </c>
      <c r="J3016">
        <v>69</v>
      </c>
    </row>
    <row r="3017" spans="1:10" x14ac:dyDescent="0.25">
      <c r="A3017" t="s">
        <v>5542</v>
      </c>
      <c r="B3017" s="3">
        <v>44571</v>
      </c>
      <c r="C3017" t="s">
        <v>2621</v>
      </c>
      <c r="D3017" t="s">
        <v>3512</v>
      </c>
      <c r="E3017">
        <v>2</v>
      </c>
      <c r="F3017" t="s">
        <v>3525</v>
      </c>
      <c r="G3017" t="s">
        <v>3519</v>
      </c>
      <c r="H3017">
        <v>2.5</v>
      </c>
      <c r="I3017">
        <v>33.5</v>
      </c>
      <c r="J3017">
        <v>67</v>
      </c>
    </row>
    <row r="3018" spans="1:10" x14ac:dyDescent="0.25">
      <c r="A3018" t="s">
        <v>5543</v>
      </c>
      <c r="B3018" s="3">
        <v>45617</v>
      </c>
      <c r="C3018" t="s">
        <v>2727</v>
      </c>
      <c r="D3018" t="s">
        <v>3491</v>
      </c>
      <c r="E3018">
        <v>3</v>
      </c>
      <c r="F3018" t="s">
        <v>3525</v>
      </c>
      <c r="G3018" t="s">
        <v>3519</v>
      </c>
      <c r="H3018">
        <v>0.5</v>
      </c>
      <c r="I3018">
        <v>8.6999999999999993</v>
      </c>
      <c r="J3018">
        <v>26.1</v>
      </c>
    </row>
    <row r="3019" spans="1:10" x14ac:dyDescent="0.25">
      <c r="A3019" t="s">
        <v>5544</v>
      </c>
      <c r="B3019" s="3">
        <v>45644</v>
      </c>
      <c r="C3019" t="s">
        <v>1705</v>
      </c>
      <c r="D3019" t="s">
        <v>3498</v>
      </c>
      <c r="E3019">
        <v>4</v>
      </c>
      <c r="F3019" t="s">
        <v>3523</v>
      </c>
      <c r="G3019" t="s">
        <v>3517</v>
      </c>
      <c r="H3019">
        <v>0.2</v>
      </c>
      <c r="I3019">
        <v>3.9</v>
      </c>
      <c r="J3019">
        <v>15.6</v>
      </c>
    </row>
    <row r="3020" spans="1:10" x14ac:dyDescent="0.25">
      <c r="A3020" t="s">
        <v>5545</v>
      </c>
      <c r="B3020" s="3">
        <v>45037</v>
      </c>
      <c r="C3020" t="s">
        <v>2630</v>
      </c>
      <c r="D3020" t="s">
        <v>3496</v>
      </c>
      <c r="E3020">
        <v>4</v>
      </c>
      <c r="F3020" t="s">
        <v>3525</v>
      </c>
      <c r="G3020" t="s">
        <v>3518</v>
      </c>
      <c r="H3020">
        <v>2.5</v>
      </c>
      <c r="I3020">
        <v>29.8</v>
      </c>
      <c r="J3020">
        <v>119.2</v>
      </c>
    </row>
    <row r="3021" spans="1:10" x14ac:dyDescent="0.25">
      <c r="A3021" t="s">
        <v>5546</v>
      </c>
      <c r="B3021" s="3">
        <v>45128</v>
      </c>
      <c r="C3021" t="s">
        <v>872</v>
      </c>
      <c r="D3021" t="s">
        <v>3515</v>
      </c>
      <c r="E3021">
        <v>4</v>
      </c>
      <c r="F3021" t="s">
        <v>3526</v>
      </c>
      <c r="G3021" t="s">
        <v>3517</v>
      </c>
      <c r="H3021">
        <v>0.2</v>
      </c>
      <c r="I3021">
        <v>4.5</v>
      </c>
      <c r="J3021">
        <v>18</v>
      </c>
    </row>
    <row r="3022" spans="1:10" x14ac:dyDescent="0.25">
      <c r="A3022" t="s">
        <v>5547</v>
      </c>
      <c r="B3022" s="3">
        <v>45652</v>
      </c>
      <c r="C3022" t="s">
        <v>1616</v>
      </c>
      <c r="D3022" t="s">
        <v>3508</v>
      </c>
      <c r="E3022">
        <v>1</v>
      </c>
      <c r="F3022" t="s">
        <v>3524</v>
      </c>
      <c r="G3022" t="s">
        <v>3518</v>
      </c>
      <c r="H3022">
        <v>1</v>
      </c>
      <c r="I3022">
        <v>9</v>
      </c>
      <c r="J3022">
        <v>9</v>
      </c>
    </row>
    <row r="3023" spans="1:10" x14ac:dyDescent="0.25">
      <c r="A3023" t="s">
        <v>5548</v>
      </c>
      <c r="B3023" s="3">
        <v>44970</v>
      </c>
      <c r="C3023" t="s">
        <v>3420</v>
      </c>
      <c r="D3023" t="s">
        <v>3483</v>
      </c>
      <c r="E3023">
        <v>4</v>
      </c>
      <c r="F3023" t="s">
        <v>3523</v>
      </c>
      <c r="G3023" t="s">
        <v>3519</v>
      </c>
      <c r="H3023">
        <v>0.2</v>
      </c>
      <c r="I3023">
        <v>3.4</v>
      </c>
      <c r="J3023">
        <v>13.6</v>
      </c>
    </row>
    <row r="3024" spans="1:10" x14ac:dyDescent="0.25">
      <c r="A3024" t="s">
        <v>5549</v>
      </c>
      <c r="B3024" s="3">
        <v>44363</v>
      </c>
      <c r="C3024" t="s">
        <v>1163</v>
      </c>
      <c r="D3024" t="s">
        <v>3514</v>
      </c>
      <c r="E3024">
        <v>6</v>
      </c>
      <c r="F3024" t="s">
        <v>3526</v>
      </c>
      <c r="G3024" t="s">
        <v>3518</v>
      </c>
      <c r="H3024">
        <v>1</v>
      </c>
      <c r="I3024">
        <v>12.2</v>
      </c>
      <c r="J3024">
        <v>73.2</v>
      </c>
    </row>
    <row r="3025" spans="1:10" x14ac:dyDescent="0.25">
      <c r="A3025" t="s">
        <v>5550</v>
      </c>
      <c r="B3025" s="3">
        <v>44717</v>
      </c>
      <c r="C3025" t="s">
        <v>1275</v>
      </c>
      <c r="D3025" t="s">
        <v>3498</v>
      </c>
      <c r="E3025">
        <v>6</v>
      </c>
      <c r="F3025" t="s">
        <v>3523</v>
      </c>
      <c r="G3025" t="s">
        <v>3517</v>
      </c>
      <c r="H3025">
        <v>0.2</v>
      </c>
      <c r="I3025">
        <v>3.9</v>
      </c>
      <c r="J3025">
        <v>23.4</v>
      </c>
    </row>
    <row r="3026" spans="1:10" x14ac:dyDescent="0.25">
      <c r="A3026" t="s">
        <v>5551</v>
      </c>
      <c r="B3026" s="3">
        <v>44487</v>
      </c>
      <c r="C3026" t="s">
        <v>1118</v>
      </c>
      <c r="D3026" t="s">
        <v>3491</v>
      </c>
      <c r="E3026">
        <v>3</v>
      </c>
      <c r="F3026" t="s">
        <v>3525</v>
      </c>
      <c r="G3026" t="s">
        <v>3519</v>
      </c>
      <c r="H3026">
        <v>0.5</v>
      </c>
      <c r="I3026">
        <v>8.6999999999999993</v>
      </c>
      <c r="J3026">
        <v>26.1</v>
      </c>
    </row>
    <row r="3027" spans="1:10" x14ac:dyDescent="0.25">
      <c r="A3027" t="s">
        <v>5552</v>
      </c>
      <c r="B3027" s="3">
        <v>45131</v>
      </c>
      <c r="C3027" t="s">
        <v>2086</v>
      </c>
      <c r="D3027" t="s">
        <v>3474</v>
      </c>
      <c r="E3027">
        <v>2</v>
      </c>
      <c r="F3027" t="s">
        <v>3525</v>
      </c>
      <c r="G3027" t="s">
        <v>3518</v>
      </c>
      <c r="H3027">
        <v>1</v>
      </c>
      <c r="I3027">
        <v>13</v>
      </c>
      <c r="J3027">
        <v>26</v>
      </c>
    </row>
    <row r="3028" spans="1:10" x14ac:dyDescent="0.25">
      <c r="A3028" t="s">
        <v>5553</v>
      </c>
      <c r="B3028" s="3">
        <v>45357</v>
      </c>
      <c r="C3028" t="s">
        <v>1056</v>
      </c>
      <c r="D3028" t="s">
        <v>3492</v>
      </c>
      <c r="E3028">
        <v>4</v>
      </c>
      <c r="F3028" t="s">
        <v>3525</v>
      </c>
      <c r="G3028" t="s">
        <v>3517</v>
      </c>
      <c r="H3028">
        <v>0.5</v>
      </c>
      <c r="I3028">
        <v>9.5</v>
      </c>
      <c r="J3028">
        <v>38</v>
      </c>
    </row>
    <row r="3029" spans="1:10" x14ac:dyDescent="0.25">
      <c r="A3029" t="s">
        <v>5554</v>
      </c>
      <c r="B3029" s="3">
        <v>44521</v>
      </c>
      <c r="C3029" t="s">
        <v>555</v>
      </c>
      <c r="D3029" t="s">
        <v>3484</v>
      </c>
      <c r="E3029">
        <v>5</v>
      </c>
      <c r="F3029" t="s">
        <v>3526</v>
      </c>
      <c r="G3029" t="s">
        <v>3518</v>
      </c>
      <c r="H3029">
        <v>0.2</v>
      </c>
      <c r="I3029">
        <v>3.6</v>
      </c>
      <c r="J3029">
        <v>18</v>
      </c>
    </row>
    <row r="3030" spans="1:10" x14ac:dyDescent="0.25">
      <c r="A3030" t="s">
        <v>5555</v>
      </c>
      <c r="B3030" s="3">
        <v>45435</v>
      </c>
      <c r="C3030" t="s">
        <v>2873</v>
      </c>
      <c r="D3030" t="s">
        <v>3494</v>
      </c>
      <c r="E3030">
        <v>6</v>
      </c>
      <c r="F3030" t="s">
        <v>3524</v>
      </c>
      <c r="G3030" t="s">
        <v>3518</v>
      </c>
      <c r="H3030">
        <v>0.2</v>
      </c>
      <c r="I3030">
        <v>2.7</v>
      </c>
      <c r="J3030">
        <v>16.2</v>
      </c>
    </row>
    <row r="3031" spans="1:10" x14ac:dyDescent="0.25">
      <c r="A3031" t="s">
        <v>5556</v>
      </c>
      <c r="B3031" s="3">
        <v>45379</v>
      </c>
      <c r="C3031" t="s">
        <v>632</v>
      </c>
      <c r="D3031" t="s">
        <v>3474</v>
      </c>
      <c r="E3031">
        <v>2</v>
      </c>
      <c r="F3031" t="s">
        <v>3525</v>
      </c>
      <c r="G3031" t="s">
        <v>3518</v>
      </c>
      <c r="H3031">
        <v>1</v>
      </c>
      <c r="I3031">
        <v>13</v>
      </c>
      <c r="J3031">
        <v>26</v>
      </c>
    </row>
    <row r="3032" spans="1:10" x14ac:dyDescent="0.25">
      <c r="A3032" t="s">
        <v>5557</v>
      </c>
      <c r="B3032" s="3">
        <v>45389</v>
      </c>
      <c r="C3032" t="s">
        <v>2186</v>
      </c>
      <c r="D3032" t="s">
        <v>3509</v>
      </c>
      <c r="E3032">
        <v>3</v>
      </c>
      <c r="F3032" t="s">
        <v>3524</v>
      </c>
      <c r="G3032" t="s">
        <v>3517</v>
      </c>
      <c r="H3032">
        <v>0.2</v>
      </c>
      <c r="I3032">
        <v>3.6</v>
      </c>
      <c r="J3032">
        <v>10.8</v>
      </c>
    </row>
    <row r="3033" spans="1:10" x14ac:dyDescent="0.25">
      <c r="A3033" t="s">
        <v>5558</v>
      </c>
      <c r="B3033" s="3">
        <v>45036</v>
      </c>
      <c r="C3033" t="s">
        <v>1503</v>
      </c>
      <c r="D3033" t="s">
        <v>3484</v>
      </c>
      <c r="E3033">
        <v>4</v>
      </c>
      <c r="F3033" t="s">
        <v>3526</v>
      </c>
      <c r="G3033" t="s">
        <v>3518</v>
      </c>
      <c r="H3033">
        <v>0.2</v>
      </c>
      <c r="I3033">
        <v>3.6</v>
      </c>
      <c r="J3033">
        <v>14.4</v>
      </c>
    </row>
    <row r="3034" spans="1:10" x14ac:dyDescent="0.25">
      <c r="A3034" t="s">
        <v>5559</v>
      </c>
      <c r="B3034" s="3">
        <v>43804</v>
      </c>
      <c r="C3034" t="s">
        <v>1514</v>
      </c>
      <c r="D3034" t="s">
        <v>3502</v>
      </c>
      <c r="E3034">
        <v>3</v>
      </c>
      <c r="F3034" t="s">
        <v>3526</v>
      </c>
      <c r="G3034" t="s">
        <v>3517</v>
      </c>
      <c r="H3034">
        <v>1</v>
      </c>
      <c r="I3034">
        <v>14.9</v>
      </c>
      <c r="J3034">
        <v>44.7</v>
      </c>
    </row>
    <row r="3035" spans="1:10" x14ac:dyDescent="0.25">
      <c r="A3035" t="s">
        <v>5560</v>
      </c>
      <c r="B3035" s="3">
        <v>45508</v>
      </c>
      <c r="C3035" t="s">
        <v>1452</v>
      </c>
      <c r="D3035" t="s">
        <v>3515</v>
      </c>
      <c r="E3035">
        <v>5</v>
      </c>
      <c r="F3035" t="s">
        <v>3526</v>
      </c>
      <c r="G3035" t="s">
        <v>3517</v>
      </c>
      <c r="H3035">
        <v>0.2</v>
      </c>
      <c r="I3035">
        <v>4.5</v>
      </c>
      <c r="J3035">
        <v>22.5</v>
      </c>
    </row>
    <row r="3036" spans="1:10" x14ac:dyDescent="0.25">
      <c r="A3036" t="s">
        <v>5561</v>
      </c>
      <c r="B3036" s="3">
        <v>45640</v>
      </c>
      <c r="C3036" t="s">
        <v>2350</v>
      </c>
      <c r="D3036" t="s">
        <v>3482</v>
      </c>
      <c r="E3036">
        <v>1</v>
      </c>
      <c r="F3036" t="s">
        <v>3524</v>
      </c>
      <c r="G3036" t="s">
        <v>3519</v>
      </c>
      <c r="H3036">
        <v>2.5</v>
      </c>
      <c r="I3036">
        <v>22.9</v>
      </c>
      <c r="J3036">
        <v>22.9</v>
      </c>
    </row>
    <row r="3037" spans="1:10" x14ac:dyDescent="0.25">
      <c r="A3037" t="s">
        <v>5562</v>
      </c>
      <c r="B3037" s="3">
        <v>45238</v>
      </c>
      <c r="C3037" t="s">
        <v>1324</v>
      </c>
      <c r="D3037" t="s">
        <v>3477</v>
      </c>
      <c r="E3037">
        <v>1</v>
      </c>
      <c r="F3037" t="s">
        <v>3524</v>
      </c>
      <c r="G3037" t="s">
        <v>3519</v>
      </c>
      <c r="H3037">
        <v>0.5</v>
      </c>
      <c r="I3037">
        <v>6</v>
      </c>
      <c r="J3037">
        <v>6</v>
      </c>
    </row>
    <row r="3038" spans="1:10" x14ac:dyDescent="0.25">
      <c r="A3038" t="s">
        <v>5563</v>
      </c>
      <c r="B3038" s="3">
        <v>45496</v>
      </c>
      <c r="C3038" t="s">
        <v>1494</v>
      </c>
      <c r="D3038" t="s">
        <v>3513</v>
      </c>
      <c r="E3038">
        <v>2</v>
      </c>
      <c r="F3038" t="s">
        <v>3523</v>
      </c>
      <c r="G3038" t="s">
        <v>3517</v>
      </c>
      <c r="H3038">
        <v>2.5</v>
      </c>
      <c r="I3038">
        <v>29.8</v>
      </c>
      <c r="J3038">
        <v>59.6</v>
      </c>
    </row>
    <row r="3039" spans="1:10" x14ac:dyDescent="0.25">
      <c r="A3039" t="s">
        <v>5564</v>
      </c>
      <c r="B3039" s="3">
        <v>45611</v>
      </c>
      <c r="C3039" t="s">
        <v>1275</v>
      </c>
      <c r="D3039" t="s">
        <v>3506</v>
      </c>
      <c r="E3039">
        <v>6</v>
      </c>
      <c r="F3039" t="s">
        <v>3523</v>
      </c>
      <c r="G3039" t="s">
        <v>3519</v>
      </c>
      <c r="H3039">
        <v>2.5</v>
      </c>
      <c r="I3039">
        <v>25.9</v>
      </c>
      <c r="J3039">
        <v>155.4</v>
      </c>
    </row>
    <row r="3040" spans="1:10" x14ac:dyDescent="0.25">
      <c r="A3040" t="s">
        <v>5565</v>
      </c>
      <c r="B3040" s="3">
        <v>45320</v>
      </c>
      <c r="C3040" t="s">
        <v>2423</v>
      </c>
      <c r="D3040" t="s">
        <v>3473</v>
      </c>
      <c r="E3040">
        <v>3</v>
      </c>
      <c r="F3040" t="s">
        <v>3524</v>
      </c>
      <c r="G3040" t="s">
        <v>3517</v>
      </c>
      <c r="H3040">
        <v>2.5</v>
      </c>
      <c r="I3040">
        <v>27.5</v>
      </c>
      <c r="J3040">
        <v>82.5</v>
      </c>
    </row>
    <row r="3041" spans="1:10" x14ac:dyDescent="0.25">
      <c r="A3041" t="s">
        <v>5566</v>
      </c>
      <c r="B3041" s="3">
        <v>45638</v>
      </c>
      <c r="C3041" t="s">
        <v>3202</v>
      </c>
      <c r="D3041" t="s">
        <v>3490</v>
      </c>
      <c r="E3041">
        <v>2</v>
      </c>
      <c r="F3041" t="s">
        <v>3525</v>
      </c>
      <c r="G3041" t="s">
        <v>3519</v>
      </c>
      <c r="H3041">
        <v>0.2</v>
      </c>
      <c r="I3041">
        <v>4.4000000000000004</v>
      </c>
      <c r="J3041">
        <v>8.8000000000000007</v>
      </c>
    </row>
    <row r="3042" spans="1:10" x14ac:dyDescent="0.25">
      <c r="A3042" t="s">
        <v>5567</v>
      </c>
      <c r="B3042" s="3">
        <v>45250</v>
      </c>
      <c r="C3042" t="s">
        <v>959</v>
      </c>
      <c r="D3042" t="s">
        <v>3485</v>
      </c>
      <c r="E3042">
        <v>5</v>
      </c>
      <c r="F3042" t="s">
        <v>3523</v>
      </c>
      <c r="G3042" t="s">
        <v>3518</v>
      </c>
      <c r="H3042">
        <v>0.2</v>
      </c>
      <c r="I3042">
        <v>3</v>
      </c>
      <c r="J3042">
        <v>15</v>
      </c>
    </row>
    <row r="3043" spans="1:10" x14ac:dyDescent="0.25">
      <c r="A3043" t="s">
        <v>5568</v>
      </c>
      <c r="B3043" s="3">
        <v>44382</v>
      </c>
      <c r="C3043" t="s">
        <v>2858</v>
      </c>
      <c r="D3043" t="s">
        <v>3513</v>
      </c>
      <c r="E3043">
        <v>5</v>
      </c>
      <c r="F3043" t="s">
        <v>3523</v>
      </c>
      <c r="G3043" t="s">
        <v>3517</v>
      </c>
      <c r="H3043">
        <v>2.5</v>
      </c>
      <c r="I3043">
        <v>29.8</v>
      </c>
      <c r="J3043">
        <v>149</v>
      </c>
    </row>
    <row r="3044" spans="1:10" x14ac:dyDescent="0.25">
      <c r="A3044" t="s">
        <v>5569</v>
      </c>
      <c r="B3044" s="3">
        <v>44671</v>
      </c>
      <c r="C3044" t="s">
        <v>1423</v>
      </c>
      <c r="D3044" t="s">
        <v>3510</v>
      </c>
      <c r="E3044">
        <v>4</v>
      </c>
      <c r="F3044" t="s">
        <v>3524</v>
      </c>
      <c r="G3044" t="s">
        <v>3517</v>
      </c>
      <c r="H3044">
        <v>1</v>
      </c>
      <c r="I3044">
        <v>12</v>
      </c>
      <c r="J3044">
        <v>48</v>
      </c>
    </row>
    <row r="3045" spans="1:10" x14ac:dyDescent="0.25">
      <c r="A3045" t="s">
        <v>5570</v>
      </c>
      <c r="B3045" s="3">
        <v>44772</v>
      </c>
      <c r="C3045" t="s">
        <v>1767</v>
      </c>
      <c r="D3045" t="s">
        <v>3488</v>
      </c>
      <c r="E3045">
        <v>5</v>
      </c>
      <c r="F3045" t="s">
        <v>3523</v>
      </c>
      <c r="G3045" t="s">
        <v>3519</v>
      </c>
      <c r="H3045">
        <v>0.5</v>
      </c>
      <c r="I3045">
        <v>6.8</v>
      </c>
      <c r="J3045">
        <v>34</v>
      </c>
    </row>
    <row r="3046" spans="1:10" x14ac:dyDescent="0.25">
      <c r="A3046" t="s">
        <v>5571</v>
      </c>
      <c r="B3046" s="3">
        <v>45035</v>
      </c>
      <c r="C3046" t="s">
        <v>3019</v>
      </c>
      <c r="D3046" t="s">
        <v>3483</v>
      </c>
      <c r="E3046">
        <v>5</v>
      </c>
      <c r="F3046" t="s">
        <v>3523</v>
      </c>
      <c r="G3046" t="s">
        <v>3519</v>
      </c>
      <c r="H3046">
        <v>0.2</v>
      </c>
      <c r="I3046">
        <v>3.4</v>
      </c>
      <c r="J3046">
        <v>17</v>
      </c>
    </row>
    <row r="3047" spans="1:10" x14ac:dyDescent="0.25">
      <c r="A3047" t="s">
        <v>5572</v>
      </c>
      <c r="B3047" s="3">
        <v>44446</v>
      </c>
      <c r="C3047" t="s">
        <v>2375</v>
      </c>
      <c r="D3047" t="s">
        <v>3486</v>
      </c>
      <c r="E3047">
        <v>2</v>
      </c>
      <c r="F3047" t="s">
        <v>3523</v>
      </c>
      <c r="G3047" t="s">
        <v>3519</v>
      </c>
      <c r="H3047">
        <v>1</v>
      </c>
      <c r="I3047">
        <v>11.3</v>
      </c>
      <c r="J3047">
        <v>22.6</v>
      </c>
    </row>
    <row r="3048" spans="1:10" x14ac:dyDescent="0.25">
      <c r="A3048" t="s">
        <v>5573</v>
      </c>
      <c r="B3048" s="3">
        <v>45408</v>
      </c>
      <c r="C3048" t="s">
        <v>710</v>
      </c>
      <c r="D3048" t="s">
        <v>3501</v>
      </c>
      <c r="E3048">
        <v>5</v>
      </c>
      <c r="F3048" t="s">
        <v>3525</v>
      </c>
      <c r="G3048" t="s">
        <v>3517</v>
      </c>
      <c r="H3048">
        <v>1</v>
      </c>
      <c r="I3048">
        <v>15.9</v>
      </c>
      <c r="J3048">
        <v>79.5</v>
      </c>
    </row>
    <row r="3049" spans="1:10" x14ac:dyDescent="0.25">
      <c r="A3049" t="s">
        <v>5574</v>
      </c>
      <c r="B3049" s="3">
        <v>45230</v>
      </c>
      <c r="C3049" t="s">
        <v>2879</v>
      </c>
      <c r="D3049" t="s">
        <v>3491</v>
      </c>
      <c r="E3049">
        <v>4</v>
      </c>
      <c r="F3049" t="s">
        <v>3525</v>
      </c>
      <c r="G3049" t="s">
        <v>3519</v>
      </c>
      <c r="H3049">
        <v>0.5</v>
      </c>
      <c r="I3049">
        <v>8.6999999999999993</v>
      </c>
      <c r="J3049">
        <v>34.799999999999997</v>
      </c>
    </row>
    <row r="3050" spans="1:10" x14ac:dyDescent="0.25">
      <c r="A3050" t="s">
        <v>5575</v>
      </c>
      <c r="B3050" s="3">
        <v>44973</v>
      </c>
      <c r="C3050" t="s">
        <v>1271</v>
      </c>
      <c r="D3050" t="s">
        <v>3494</v>
      </c>
      <c r="E3050">
        <v>6</v>
      </c>
      <c r="F3050" t="s">
        <v>3524</v>
      </c>
      <c r="G3050" t="s">
        <v>3518</v>
      </c>
      <c r="H3050">
        <v>0.2</v>
      </c>
      <c r="I3050">
        <v>2.7</v>
      </c>
      <c r="J3050">
        <v>16.2</v>
      </c>
    </row>
    <row r="3051" spans="1:10" x14ac:dyDescent="0.25">
      <c r="A3051" t="s">
        <v>5576</v>
      </c>
      <c r="B3051" s="3">
        <v>44863</v>
      </c>
      <c r="C3051" t="s">
        <v>959</v>
      </c>
      <c r="D3051" t="s">
        <v>3486</v>
      </c>
      <c r="E3051">
        <v>4</v>
      </c>
      <c r="F3051" t="s">
        <v>3523</v>
      </c>
      <c r="G3051" t="s">
        <v>3519</v>
      </c>
      <c r="H3051">
        <v>1</v>
      </c>
      <c r="I3051">
        <v>11.3</v>
      </c>
      <c r="J3051">
        <v>45.2</v>
      </c>
    </row>
    <row r="3052" spans="1:10" x14ac:dyDescent="0.25">
      <c r="A3052" t="s">
        <v>5577</v>
      </c>
      <c r="B3052" s="3">
        <v>45136</v>
      </c>
      <c r="C3052" t="s">
        <v>2769</v>
      </c>
      <c r="D3052" t="s">
        <v>3514</v>
      </c>
      <c r="E3052">
        <v>4</v>
      </c>
      <c r="F3052" t="s">
        <v>3526</v>
      </c>
      <c r="G3052" t="s">
        <v>3518</v>
      </c>
      <c r="H3052">
        <v>1</v>
      </c>
      <c r="I3052">
        <v>12.2</v>
      </c>
      <c r="J3052">
        <v>48.8</v>
      </c>
    </row>
    <row r="3053" spans="1:10" x14ac:dyDescent="0.25">
      <c r="A3053" t="s">
        <v>5578</v>
      </c>
      <c r="B3053" s="3">
        <v>43948</v>
      </c>
      <c r="C3053" t="s">
        <v>1655</v>
      </c>
      <c r="D3053" t="s">
        <v>3499</v>
      </c>
      <c r="E3053">
        <v>6</v>
      </c>
      <c r="F3053" t="s">
        <v>3523</v>
      </c>
      <c r="G3053" t="s">
        <v>3518</v>
      </c>
      <c r="H3053">
        <v>2.5</v>
      </c>
      <c r="I3053">
        <v>22.9</v>
      </c>
      <c r="J3053">
        <v>137.4</v>
      </c>
    </row>
    <row r="3054" spans="1:10" x14ac:dyDescent="0.25">
      <c r="A3054" t="s">
        <v>5579</v>
      </c>
      <c r="B3054" s="3">
        <v>45410</v>
      </c>
      <c r="C3054" t="s">
        <v>3142</v>
      </c>
      <c r="D3054" t="s">
        <v>3504</v>
      </c>
      <c r="E3054">
        <v>3</v>
      </c>
      <c r="F3054" t="s">
        <v>3524</v>
      </c>
      <c r="G3054" t="s">
        <v>3517</v>
      </c>
      <c r="H3054">
        <v>0.5</v>
      </c>
      <c r="I3054">
        <v>7.2</v>
      </c>
      <c r="J3054">
        <v>21.6</v>
      </c>
    </row>
    <row r="3055" spans="1:10" x14ac:dyDescent="0.25">
      <c r="A3055" t="s">
        <v>5580</v>
      </c>
      <c r="B3055" s="3">
        <v>45203</v>
      </c>
      <c r="C3055" t="s">
        <v>751</v>
      </c>
      <c r="D3055" t="s">
        <v>3471</v>
      </c>
      <c r="E3055">
        <v>1</v>
      </c>
      <c r="F3055" t="s">
        <v>3523</v>
      </c>
      <c r="G3055" t="s">
        <v>3517</v>
      </c>
      <c r="H3055">
        <v>1</v>
      </c>
      <c r="I3055">
        <v>13</v>
      </c>
      <c r="J3055">
        <v>13</v>
      </c>
    </row>
    <row r="3056" spans="1:10" x14ac:dyDescent="0.25">
      <c r="A3056" t="s">
        <v>5581</v>
      </c>
      <c r="B3056" s="3">
        <v>44669</v>
      </c>
      <c r="C3056" t="s">
        <v>935</v>
      </c>
      <c r="D3056" t="s">
        <v>3495</v>
      </c>
      <c r="E3056">
        <v>5</v>
      </c>
      <c r="F3056" t="s">
        <v>3525</v>
      </c>
      <c r="G3056" t="s">
        <v>3517</v>
      </c>
      <c r="H3056">
        <v>2.5</v>
      </c>
      <c r="I3056">
        <v>36.5</v>
      </c>
      <c r="J3056">
        <v>182.5</v>
      </c>
    </row>
    <row r="3057" spans="1:10" x14ac:dyDescent="0.25">
      <c r="A3057" t="s">
        <v>5582</v>
      </c>
      <c r="B3057" s="3">
        <v>45214</v>
      </c>
      <c r="C3057" t="s">
        <v>3039</v>
      </c>
      <c r="D3057" t="s">
        <v>3491</v>
      </c>
      <c r="E3057">
        <v>5</v>
      </c>
      <c r="F3057" t="s">
        <v>3525</v>
      </c>
      <c r="G3057" t="s">
        <v>3519</v>
      </c>
      <c r="H3057">
        <v>0.5</v>
      </c>
      <c r="I3057">
        <v>8.6999999999999993</v>
      </c>
      <c r="J3057">
        <v>43.5</v>
      </c>
    </row>
    <row r="3058" spans="1:10" x14ac:dyDescent="0.25">
      <c r="A3058" t="s">
        <v>5583</v>
      </c>
      <c r="B3058" s="3">
        <v>45409</v>
      </c>
      <c r="C3058" t="s">
        <v>3193</v>
      </c>
      <c r="D3058" t="s">
        <v>3486</v>
      </c>
      <c r="E3058">
        <v>2</v>
      </c>
      <c r="F3058" t="s">
        <v>3523</v>
      </c>
      <c r="G3058" t="s">
        <v>3519</v>
      </c>
      <c r="H3058">
        <v>1</v>
      </c>
      <c r="I3058">
        <v>11.3</v>
      </c>
      <c r="J3058">
        <v>22.6</v>
      </c>
    </row>
    <row r="3059" spans="1:10" x14ac:dyDescent="0.25">
      <c r="A3059" t="s">
        <v>5584</v>
      </c>
      <c r="B3059" s="3">
        <v>45622</v>
      </c>
      <c r="C3059" t="s">
        <v>2272</v>
      </c>
      <c r="D3059" t="s">
        <v>3494</v>
      </c>
      <c r="E3059">
        <v>3</v>
      </c>
      <c r="F3059" t="s">
        <v>3524</v>
      </c>
      <c r="G3059" t="s">
        <v>3518</v>
      </c>
      <c r="H3059">
        <v>0.2</v>
      </c>
      <c r="I3059">
        <v>2.7</v>
      </c>
      <c r="J3059">
        <v>8.1</v>
      </c>
    </row>
    <row r="3060" spans="1:10" x14ac:dyDescent="0.25">
      <c r="A3060" t="s">
        <v>5585</v>
      </c>
      <c r="B3060" s="3">
        <v>44597</v>
      </c>
      <c r="C3060" t="s">
        <v>1296</v>
      </c>
      <c r="D3060" t="s">
        <v>3507</v>
      </c>
      <c r="E3060">
        <v>5</v>
      </c>
      <c r="F3060" t="s">
        <v>3526</v>
      </c>
      <c r="G3060" t="s">
        <v>3517</v>
      </c>
      <c r="H3060">
        <v>0.5</v>
      </c>
      <c r="I3060">
        <v>8.9</v>
      </c>
      <c r="J3060">
        <v>44.5</v>
      </c>
    </row>
    <row r="3061" spans="1:10" x14ac:dyDescent="0.25">
      <c r="A3061" t="s">
        <v>5586</v>
      </c>
      <c r="B3061" s="3">
        <v>45360</v>
      </c>
      <c r="C3061" t="s">
        <v>589</v>
      </c>
      <c r="D3061" t="s">
        <v>3504</v>
      </c>
      <c r="E3061">
        <v>2</v>
      </c>
      <c r="F3061" t="s">
        <v>3524</v>
      </c>
      <c r="G3061" t="s">
        <v>3517</v>
      </c>
      <c r="H3061">
        <v>0.5</v>
      </c>
      <c r="I3061">
        <v>7.2</v>
      </c>
      <c r="J3061">
        <v>14.4</v>
      </c>
    </row>
    <row r="3062" spans="1:10" x14ac:dyDescent="0.25">
      <c r="A3062" t="s">
        <v>5587</v>
      </c>
      <c r="B3062" s="3">
        <v>44996</v>
      </c>
      <c r="C3062" t="s">
        <v>2207</v>
      </c>
      <c r="D3062" t="s">
        <v>3514</v>
      </c>
      <c r="E3062">
        <v>1</v>
      </c>
      <c r="F3062" t="s">
        <v>3526</v>
      </c>
      <c r="G3062" t="s">
        <v>3518</v>
      </c>
      <c r="H3062">
        <v>1</v>
      </c>
      <c r="I3062">
        <v>12.2</v>
      </c>
      <c r="J3062">
        <v>12.2</v>
      </c>
    </row>
    <row r="3063" spans="1:10" x14ac:dyDescent="0.25">
      <c r="A3063" t="s">
        <v>5588</v>
      </c>
      <c r="B3063" s="3">
        <v>44735</v>
      </c>
      <c r="C3063" t="s">
        <v>2384</v>
      </c>
      <c r="D3063" t="s">
        <v>3499</v>
      </c>
      <c r="E3063">
        <v>3</v>
      </c>
      <c r="F3063" t="s">
        <v>3523</v>
      </c>
      <c r="G3063" t="s">
        <v>3518</v>
      </c>
      <c r="H3063">
        <v>2.5</v>
      </c>
      <c r="I3063">
        <v>22.9</v>
      </c>
      <c r="J3063">
        <v>68.7</v>
      </c>
    </row>
    <row r="3064" spans="1:10" x14ac:dyDescent="0.25">
      <c r="A3064" t="s">
        <v>5589</v>
      </c>
      <c r="B3064" s="3">
        <v>45130</v>
      </c>
      <c r="C3064" t="s">
        <v>2819</v>
      </c>
      <c r="D3064" t="s">
        <v>3511</v>
      </c>
      <c r="E3064">
        <v>5</v>
      </c>
      <c r="F3064" t="s">
        <v>3523</v>
      </c>
      <c r="G3064" t="s">
        <v>3517</v>
      </c>
      <c r="H3064">
        <v>0.5</v>
      </c>
      <c r="I3064">
        <v>7.8</v>
      </c>
      <c r="J3064">
        <v>39</v>
      </c>
    </row>
    <row r="3065" spans="1:10" x14ac:dyDescent="0.25">
      <c r="A3065" t="s">
        <v>5590</v>
      </c>
      <c r="B3065" s="3">
        <v>44846</v>
      </c>
      <c r="C3065" t="s">
        <v>2572</v>
      </c>
      <c r="D3065" t="s">
        <v>3471</v>
      </c>
      <c r="E3065">
        <v>6</v>
      </c>
      <c r="F3065" t="s">
        <v>3523</v>
      </c>
      <c r="G3065" t="s">
        <v>3517</v>
      </c>
      <c r="H3065">
        <v>1</v>
      </c>
      <c r="I3065">
        <v>13</v>
      </c>
      <c r="J3065">
        <v>78</v>
      </c>
    </row>
    <row r="3066" spans="1:10" x14ac:dyDescent="0.25">
      <c r="A3066" t="s">
        <v>5591</v>
      </c>
      <c r="B3066" s="3">
        <v>43538</v>
      </c>
      <c r="C3066" t="s">
        <v>2663</v>
      </c>
      <c r="D3066" t="s">
        <v>3514</v>
      </c>
      <c r="E3066">
        <v>6</v>
      </c>
      <c r="F3066" t="s">
        <v>3526</v>
      </c>
      <c r="G3066" t="s">
        <v>3518</v>
      </c>
      <c r="H3066">
        <v>1</v>
      </c>
      <c r="I3066">
        <v>12.2</v>
      </c>
      <c r="J3066">
        <v>73.2</v>
      </c>
    </row>
    <row r="3067" spans="1:10" x14ac:dyDescent="0.25">
      <c r="A3067" t="s">
        <v>5592</v>
      </c>
      <c r="B3067" s="3">
        <v>44923</v>
      </c>
      <c r="C3067" t="s">
        <v>1157</v>
      </c>
      <c r="D3067" t="s">
        <v>3472</v>
      </c>
      <c r="E3067">
        <v>1</v>
      </c>
      <c r="F3067" t="s">
        <v>3526</v>
      </c>
      <c r="G3067" t="s">
        <v>3519</v>
      </c>
      <c r="H3067">
        <v>1</v>
      </c>
      <c r="I3067">
        <v>13.8</v>
      </c>
      <c r="J3067">
        <v>13.8</v>
      </c>
    </row>
    <row r="3068" spans="1:10" x14ac:dyDescent="0.25">
      <c r="A3068" t="s">
        <v>5593</v>
      </c>
      <c r="B3068" s="3">
        <v>44037</v>
      </c>
      <c r="C3068" t="s">
        <v>2663</v>
      </c>
      <c r="D3068" t="s">
        <v>3490</v>
      </c>
      <c r="E3068">
        <v>1</v>
      </c>
      <c r="F3068" t="s">
        <v>3525</v>
      </c>
      <c r="G3068" t="s">
        <v>3519</v>
      </c>
      <c r="H3068">
        <v>0.2</v>
      </c>
      <c r="I3068">
        <v>4.4000000000000004</v>
      </c>
      <c r="J3068">
        <v>4.4000000000000004</v>
      </c>
    </row>
    <row r="3069" spans="1:10" x14ac:dyDescent="0.25">
      <c r="A3069" t="s">
        <v>5594</v>
      </c>
      <c r="B3069" s="3">
        <v>45043</v>
      </c>
      <c r="C3069" t="s">
        <v>1930</v>
      </c>
      <c r="D3069" t="s">
        <v>3514</v>
      </c>
      <c r="E3069">
        <v>2</v>
      </c>
      <c r="F3069" t="s">
        <v>3526</v>
      </c>
      <c r="G3069" t="s">
        <v>3518</v>
      </c>
      <c r="H3069">
        <v>1</v>
      </c>
      <c r="I3069">
        <v>12.2</v>
      </c>
      <c r="J3069">
        <v>24.4</v>
      </c>
    </row>
    <row r="3070" spans="1:10" x14ac:dyDescent="0.25">
      <c r="A3070" t="s">
        <v>5595</v>
      </c>
      <c r="B3070" s="3">
        <v>44343</v>
      </c>
      <c r="C3070" t="s">
        <v>1262</v>
      </c>
      <c r="D3070" t="s">
        <v>3499</v>
      </c>
      <c r="E3070">
        <v>2</v>
      </c>
      <c r="F3070" t="s">
        <v>3523</v>
      </c>
      <c r="G3070" t="s">
        <v>3518</v>
      </c>
      <c r="H3070">
        <v>2.5</v>
      </c>
      <c r="I3070">
        <v>22.9</v>
      </c>
      <c r="J3070">
        <v>45.8</v>
      </c>
    </row>
    <row r="3071" spans="1:10" x14ac:dyDescent="0.25">
      <c r="A3071" t="s">
        <v>5596</v>
      </c>
      <c r="B3071" s="3">
        <v>45220</v>
      </c>
      <c r="C3071" t="s">
        <v>2924</v>
      </c>
      <c r="D3071" t="s">
        <v>3484</v>
      </c>
      <c r="E3071">
        <v>2</v>
      </c>
      <c r="F3071" t="s">
        <v>3526</v>
      </c>
      <c r="G3071" t="s">
        <v>3518</v>
      </c>
      <c r="H3071">
        <v>0.2</v>
      </c>
      <c r="I3071">
        <v>3.6</v>
      </c>
      <c r="J3071">
        <v>7.2</v>
      </c>
    </row>
    <row r="3072" spans="1:10" x14ac:dyDescent="0.25">
      <c r="A3072" t="s">
        <v>5597</v>
      </c>
      <c r="B3072" s="3">
        <v>45208</v>
      </c>
      <c r="C3072" t="s">
        <v>848</v>
      </c>
      <c r="D3072" t="s">
        <v>3470</v>
      </c>
      <c r="E3072">
        <v>5</v>
      </c>
      <c r="F3072" t="s">
        <v>3526</v>
      </c>
      <c r="G3072" t="s">
        <v>3519</v>
      </c>
      <c r="H3072">
        <v>0.5</v>
      </c>
      <c r="I3072">
        <v>8.3000000000000007</v>
      </c>
      <c r="J3072">
        <v>41.5</v>
      </c>
    </row>
    <row r="3073" spans="1:10" x14ac:dyDescent="0.25">
      <c r="A3073" t="s">
        <v>5598</v>
      </c>
      <c r="B3073" s="3">
        <v>45159</v>
      </c>
      <c r="C3073" t="s">
        <v>734</v>
      </c>
      <c r="D3073" t="s">
        <v>3487</v>
      </c>
      <c r="E3073">
        <v>5</v>
      </c>
      <c r="F3073" t="s">
        <v>3526</v>
      </c>
      <c r="G3073" t="s">
        <v>3519</v>
      </c>
      <c r="H3073">
        <v>0.2</v>
      </c>
      <c r="I3073">
        <v>4.0999999999999996</v>
      </c>
      <c r="J3073">
        <v>20.5</v>
      </c>
    </row>
    <row r="3074" spans="1:10" x14ac:dyDescent="0.25">
      <c r="A3074" t="s">
        <v>5599</v>
      </c>
      <c r="B3074" s="3">
        <v>45297</v>
      </c>
      <c r="C3074" t="s">
        <v>3112</v>
      </c>
      <c r="D3074" t="s">
        <v>3487</v>
      </c>
      <c r="E3074">
        <v>1</v>
      </c>
      <c r="F3074" t="s">
        <v>3526</v>
      </c>
      <c r="G3074" t="s">
        <v>3519</v>
      </c>
      <c r="H3074">
        <v>0.2</v>
      </c>
      <c r="I3074">
        <v>4.0999999999999996</v>
      </c>
      <c r="J3074">
        <v>4.0999999999999996</v>
      </c>
    </row>
    <row r="3075" spans="1:10" x14ac:dyDescent="0.25">
      <c r="A3075" t="s">
        <v>5600</v>
      </c>
      <c r="B3075" s="3">
        <v>45001</v>
      </c>
      <c r="C3075" t="s">
        <v>2915</v>
      </c>
      <c r="D3075" t="s">
        <v>3508</v>
      </c>
      <c r="E3075">
        <v>5</v>
      </c>
      <c r="F3075" t="s">
        <v>3524</v>
      </c>
      <c r="G3075" t="s">
        <v>3518</v>
      </c>
      <c r="H3075">
        <v>1</v>
      </c>
      <c r="I3075">
        <v>9</v>
      </c>
      <c r="J3075">
        <v>45</v>
      </c>
    </row>
    <row r="3076" spans="1:10" x14ac:dyDescent="0.25">
      <c r="A3076" t="s">
        <v>5601</v>
      </c>
      <c r="B3076" s="3">
        <v>44062</v>
      </c>
      <c r="C3076" t="s">
        <v>1420</v>
      </c>
      <c r="D3076" t="s">
        <v>3479</v>
      </c>
      <c r="E3076">
        <v>3</v>
      </c>
      <c r="F3076" t="s">
        <v>3526</v>
      </c>
      <c r="G3076" t="s">
        <v>3517</v>
      </c>
      <c r="H3076">
        <v>2.5</v>
      </c>
      <c r="I3076">
        <v>34.200000000000003</v>
      </c>
      <c r="J3076">
        <v>102.6</v>
      </c>
    </row>
    <row r="3077" spans="1:10" x14ac:dyDescent="0.25">
      <c r="A3077" t="s">
        <v>5602</v>
      </c>
      <c r="B3077" s="3">
        <v>43635</v>
      </c>
      <c r="C3077" t="s">
        <v>2143</v>
      </c>
      <c r="D3077" t="s">
        <v>3469</v>
      </c>
      <c r="E3077">
        <v>4</v>
      </c>
      <c r="F3077" t="s">
        <v>3524</v>
      </c>
      <c r="G3077" t="s">
        <v>3519</v>
      </c>
      <c r="H3077">
        <v>1</v>
      </c>
      <c r="I3077">
        <v>10</v>
      </c>
      <c r="J3077">
        <v>40</v>
      </c>
    </row>
    <row r="3078" spans="1:10" x14ac:dyDescent="0.25">
      <c r="A3078" t="s">
        <v>5603</v>
      </c>
      <c r="B3078" s="3">
        <v>45265</v>
      </c>
      <c r="C3078" t="s">
        <v>1399</v>
      </c>
      <c r="D3078" t="s">
        <v>3475</v>
      </c>
      <c r="E3078">
        <v>6</v>
      </c>
      <c r="F3078" t="s">
        <v>3526</v>
      </c>
      <c r="G3078" t="s">
        <v>3518</v>
      </c>
      <c r="H3078">
        <v>0.5</v>
      </c>
      <c r="I3078">
        <v>7.3</v>
      </c>
      <c r="J3078">
        <v>43.8</v>
      </c>
    </row>
    <row r="3079" spans="1:10" x14ac:dyDescent="0.25">
      <c r="A3079" t="s">
        <v>5604</v>
      </c>
      <c r="B3079" s="3">
        <v>43861</v>
      </c>
      <c r="C3079" t="s">
        <v>2639</v>
      </c>
      <c r="D3079" t="s">
        <v>3504</v>
      </c>
      <c r="E3079">
        <v>1</v>
      </c>
      <c r="F3079" t="s">
        <v>3524</v>
      </c>
      <c r="G3079" t="s">
        <v>3517</v>
      </c>
      <c r="H3079">
        <v>0.5</v>
      </c>
      <c r="I3079">
        <v>7.2</v>
      </c>
      <c r="J3079">
        <v>7.2</v>
      </c>
    </row>
    <row r="3080" spans="1:10" x14ac:dyDescent="0.25">
      <c r="A3080" t="s">
        <v>5605</v>
      </c>
      <c r="B3080" s="3">
        <v>43478</v>
      </c>
      <c r="C3080" t="s">
        <v>3449</v>
      </c>
      <c r="D3080" t="s">
        <v>3504</v>
      </c>
      <c r="E3080">
        <v>2</v>
      </c>
      <c r="F3080" t="s">
        <v>3524</v>
      </c>
      <c r="G3080" t="s">
        <v>3517</v>
      </c>
      <c r="H3080">
        <v>0.5</v>
      </c>
      <c r="I3080">
        <v>7.2</v>
      </c>
      <c r="J3080">
        <v>14.4</v>
      </c>
    </row>
    <row r="3081" spans="1:10" x14ac:dyDescent="0.25">
      <c r="A3081" t="s">
        <v>5606</v>
      </c>
      <c r="B3081" s="3">
        <v>44752</v>
      </c>
      <c r="C3081" t="s">
        <v>1071</v>
      </c>
      <c r="D3081" t="s">
        <v>3492</v>
      </c>
      <c r="E3081">
        <v>3</v>
      </c>
      <c r="F3081" t="s">
        <v>3525</v>
      </c>
      <c r="G3081" t="s">
        <v>3517</v>
      </c>
      <c r="H3081">
        <v>0.5</v>
      </c>
      <c r="I3081">
        <v>9.5</v>
      </c>
      <c r="J3081">
        <v>28.5</v>
      </c>
    </row>
    <row r="3082" spans="1:10" x14ac:dyDescent="0.25">
      <c r="A3082" t="s">
        <v>5607</v>
      </c>
      <c r="B3082" s="3">
        <v>45656</v>
      </c>
      <c r="C3082" t="s">
        <v>1582</v>
      </c>
      <c r="D3082" t="s">
        <v>3485</v>
      </c>
      <c r="E3082">
        <v>5</v>
      </c>
      <c r="F3082" t="s">
        <v>3523</v>
      </c>
      <c r="G3082" t="s">
        <v>3518</v>
      </c>
      <c r="H3082">
        <v>0.2</v>
      </c>
      <c r="I3082">
        <v>3</v>
      </c>
      <c r="J3082">
        <v>15</v>
      </c>
    </row>
    <row r="3083" spans="1:10" x14ac:dyDescent="0.25">
      <c r="A3083" t="s">
        <v>5608</v>
      </c>
      <c r="B3083" s="3">
        <v>43544</v>
      </c>
      <c r="C3083" t="s">
        <v>781</v>
      </c>
      <c r="D3083" t="s">
        <v>3487</v>
      </c>
      <c r="E3083">
        <v>1</v>
      </c>
      <c r="F3083" t="s">
        <v>3526</v>
      </c>
      <c r="G3083" t="s">
        <v>3519</v>
      </c>
      <c r="H3083">
        <v>0.2</v>
      </c>
      <c r="I3083">
        <v>4.0999999999999996</v>
      </c>
      <c r="J3083">
        <v>4.0999999999999996</v>
      </c>
    </row>
    <row r="3084" spans="1:10" x14ac:dyDescent="0.25">
      <c r="A3084" t="s">
        <v>5609</v>
      </c>
      <c r="B3084" s="3">
        <v>45477</v>
      </c>
      <c r="C3084" t="s">
        <v>1717</v>
      </c>
      <c r="D3084" t="s">
        <v>3480</v>
      </c>
      <c r="E3084">
        <v>6</v>
      </c>
      <c r="F3084" t="s">
        <v>3524</v>
      </c>
      <c r="G3084" t="s">
        <v>3518</v>
      </c>
      <c r="H3084">
        <v>2.5</v>
      </c>
      <c r="I3084">
        <v>20.6</v>
      </c>
      <c r="J3084">
        <v>123.6</v>
      </c>
    </row>
    <row r="3085" spans="1:10" x14ac:dyDescent="0.25">
      <c r="A3085" t="s">
        <v>5610</v>
      </c>
      <c r="B3085" s="3">
        <v>45120</v>
      </c>
      <c r="C3085" t="s">
        <v>1669</v>
      </c>
      <c r="D3085" t="s">
        <v>3492</v>
      </c>
      <c r="E3085">
        <v>6</v>
      </c>
      <c r="F3085" t="s">
        <v>3525</v>
      </c>
      <c r="G3085" t="s">
        <v>3517</v>
      </c>
      <c r="H3085">
        <v>0.5</v>
      </c>
      <c r="I3085">
        <v>9.5</v>
      </c>
      <c r="J3085">
        <v>57</v>
      </c>
    </row>
    <row r="3086" spans="1:10" x14ac:dyDescent="0.25">
      <c r="A3086" t="s">
        <v>5611</v>
      </c>
      <c r="B3086" s="3">
        <v>44933</v>
      </c>
      <c r="C3086" t="s">
        <v>1363</v>
      </c>
      <c r="D3086" t="s">
        <v>3505</v>
      </c>
      <c r="E3086">
        <v>3</v>
      </c>
      <c r="F3086" t="s">
        <v>3524</v>
      </c>
      <c r="G3086" t="s">
        <v>3519</v>
      </c>
      <c r="H3086">
        <v>0.2</v>
      </c>
      <c r="I3086">
        <v>3</v>
      </c>
      <c r="J3086">
        <v>9</v>
      </c>
    </row>
    <row r="3087" spans="1:10" x14ac:dyDescent="0.25">
      <c r="A3087" t="s">
        <v>5612</v>
      </c>
      <c r="B3087" s="3">
        <v>45502</v>
      </c>
      <c r="C3087" t="s">
        <v>1690</v>
      </c>
      <c r="D3087" t="s">
        <v>3473</v>
      </c>
      <c r="E3087">
        <v>1</v>
      </c>
      <c r="F3087" t="s">
        <v>3524</v>
      </c>
      <c r="G3087" t="s">
        <v>3517</v>
      </c>
      <c r="H3087">
        <v>2.5</v>
      </c>
      <c r="I3087">
        <v>27.5</v>
      </c>
      <c r="J3087">
        <v>27.5</v>
      </c>
    </row>
    <row r="3088" spans="1:10" x14ac:dyDescent="0.25">
      <c r="A3088" t="s">
        <v>5613</v>
      </c>
      <c r="B3088" s="3">
        <v>43540</v>
      </c>
      <c r="C3088" t="s">
        <v>1485</v>
      </c>
      <c r="D3088" t="s">
        <v>3476</v>
      </c>
      <c r="E3088">
        <v>5</v>
      </c>
      <c r="F3088" t="s">
        <v>3525</v>
      </c>
      <c r="G3088" t="s">
        <v>3517</v>
      </c>
      <c r="H3088">
        <v>0.2</v>
      </c>
      <c r="I3088">
        <v>4.8</v>
      </c>
      <c r="J3088">
        <v>24</v>
      </c>
    </row>
    <row r="3089" spans="1:10" x14ac:dyDescent="0.25">
      <c r="A3089" t="s">
        <v>5614</v>
      </c>
      <c r="B3089" s="3">
        <v>44633</v>
      </c>
      <c r="C3089" t="s">
        <v>1942</v>
      </c>
      <c r="D3089" t="s">
        <v>3516</v>
      </c>
      <c r="E3089">
        <v>6</v>
      </c>
      <c r="F3089" t="s">
        <v>3526</v>
      </c>
      <c r="G3089" t="s">
        <v>3518</v>
      </c>
      <c r="H3089">
        <v>2.5</v>
      </c>
      <c r="I3089">
        <v>27.9</v>
      </c>
      <c r="J3089">
        <v>167.4</v>
      </c>
    </row>
    <row r="3090" spans="1:10" x14ac:dyDescent="0.25">
      <c r="A3090" t="s">
        <v>5615</v>
      </c>
      <c r="B3090" s="3">
        <v>45370</v>
      </c>
      <c r="C3090" t="s">
        <v>1351</v>
      </c>
      <c r="D3090" t="s">
        <v>3481</v>
      </c>
      <c r="E3090">
        <v>6</v>
      </c>
      <c r="F3090" t="s">
        <v>3525</v>
      </c>
      <c r="G3090" t="s">
        <v>3518</v>
      </c>
      <c r="H3090">
        <v>0.2</v>
      </c>
      <c r="I3090">
        <v>3.9</v>
      </c>
      <c r="J3090">
        <v>23.4</v>
      </c>
    </row>
    <row r="3091" spans="1:10" x14ac:dyDescent="0.25">
      <c r="A3091" t="s">
        <v>5616</v>
      </c>
      <c r="B3091" s="3">
        <v>43970</v>
      </c>
      <c r="C3091" t="s">
        <v>2397</v>
      </c>
      <c r="D3091" t="s">
        <v>3511</v>
      </c>
      <c r="E3091">
        <v>6</v>
      </c>
      <c r="F3091" t="s">
        <v>3523</v>
      </c>
      <c r="G3091" t="s">
        <v>3517</v>
      </c>
      <c r="H3091">
        <v>0.5</v>
      </c>
      <c r="I3091">
        <v>7.8</v>
      </c>
      <c r="J3091">
        <v>46.8</v>
      </c>
    </row>
    <row r="3092" spans="1:10" x14ac:dyDescent="0.25">
      <c r="A3092" t="s">
        <v>5617</v>
      </c>
      <c r="B3092" s="3">
        <v>45448</v>
      </c>
      <c r="C3092" t="s">
        <v>3366</v>
      </c>
      <c r="D3092" t="s">
        <v>3483</v>
      </c>
      <c r="E3092">
        <v>4</v>
      </c>
      <c r="F3092" t="s">
        <v>3523</v>
      </c>
      <c r="G3092" t="s">
        <v>3519</v>
      </c>
      <c r="H3092">
        <v>0.2</v>
      </c>
      <c r="I3092">
        <v>3.4</v>
      </c>
      <c r="J3092">
        <v>13.6</v>
      </c>
    </row>
    <row r="3093" spans="1:10" x14ac:dyDescent="0.25">
      <c r="A3093" t="s">
        <v>5618</v>
      </c>
      <c r="B3093" s="3">
        <v>45513</v>
      </c>
      <c r="C3093" t="s">
        <v>2904</v>
      </c>
      <c r="D3093" t="s">
        <v>3511</v>
      </c>
      <c r="E3093">
        <v>2</v>
      </c>
      <c r="F3093" t="s">
        <v>3523</v>
      </c>
      <c r="G3093" t="s">
        <v>3517</v>
      </c>
      <c r="H3093">
        <v>0.5</v>
      </c>
      <c r="I3093">
        <v>7.8</v>
      </c>
      <c r="J3093">
        <v>15.6</v>
      </c>
    </row>
    <row r="3094" spans="1:10" x14ac:dyDescent="0.25">
      <c r="A3094" t="s">
        <v>5619</v>
      </c>
      <c r="B3094" s="3">
        <v>44885</v>
      </c>
      <c r="C3094" t="s">
        <v>1797</v>
      </c>
      <c r="D3094" t="s">
        <v>3494</v>
      </c>
      <c r="E3094">
        <v>6</v>
      </c>
      <c r="F3094" t="s">
        <v>3524</v>
      </c>
      <c r="G3094" t="s">
        <v>3518</v>
      </c>
      <c r="H3094">
        <v>0.2</v>
      </c>
      <c r="I3094">
        <v>2.7</v>
      </c>
      <c r="J3094">
        <v>16.2</v>
      </c>
    </row>
    <row r="3095" spans="1:10" x14ac:dyDescent="0.25">
      <c r="A3095" t="s">
        <v>5620</v>
      </c>
      <c r="B3095" s="3">
        <v>43897</v>
      </c>
      <c r="C3095" t="s">
        <v>3175</v>
      </c>
      <c r="D3095" t="s">
        <v>3503</v>
      </c>
      <c r="E3095">
        <v>6</v>
      </c>
      <c r="F3095" t="s">
        <v>3524</v>
      </c>
      <c r="G3095" t="s">
        <v>3518</v>
      </c>
      <c r="H3095">
        <v>0.5</v>
      </c>
      <c r="I3095">
        <v>5.4</v>
      </c>
      <c r="J3095">
        <v>32.4</v>
      </c>
    </row>
    <row r="3096" spans="1:10" x14ac:dyDescent="0.25">
      <c r="A3096" t="s">
        <v>5621</v>
      </c>
      <c r="B3096" s="3">
        <v>45358</v>
      </c>
      <c r="C3096" t="s">
        <v>1015</v>
      </c>
      <c r="D3096" t="s">
        <v>3510</v>
      </c>
      <c r="E3096">
        <v>3</v>
      </c>
      <c r="F3096" t="s">
        <v>3524</v>
      </c>
      <c r="G3096" t="s">
        <v>3517</v>
      </c>
      <c r="H3096">
        <v>1</v>
      </c>
      <c r="I3096">
        <v>12</v>
      </c>
      <c r="J3096">
        <v>36</v>
      </c>
    </row>
    <row r="3097" spans="1:10" x14ac:dyDescent="0.25">
      <c r="A3097" t="s">
        <v>5622</v>
      </c>
      <c r="B3097" s="3">
        <v>45465</v>
      </c>
      <c r="C3097" t="s">
        <v>676</v>
      </c>
      <c r="D3097" t="s">
        <v>3485</v>
      </c>
      <c r="E3097">
        <v>6</v>
      </c>
      <c r="F3097" t="s">
        <v>3523</v>
      </c>
      <c r="G3097" t="s">
        <v>3518</v>
      </c>
      <c r="H3097">
        <v>0.2</v>
      </c>
      <c r="I3097">
        <v>3</v>
      </c>
      <c r="J3097">
        <v>18</v>
      </c>
    </row>
    <row r="3098" spans="1:10" x14ac:dyDescent="0.25">
      <c r="A3098" t="s">
        <v>5623</v>
      </c>
      <c r="B3098" s="3">
        <v>45001</v>
      </c>
      <c r="C3098" t="s">
        <v>3369</v>
      </c>
      <c r="D3098" t="s">
        <v>3514</v>
      </c>
      <c r="E3098">
        <v>6</v>
      </c>
      <c r="F3098" t="s">
        <v>3526</v>
      </c>
      <c r="G3098" t="s">
        <v>3518</v>
      </c>
      <c r="H3098">
        <v>1</v>
      </c>
      <c r="I3098">
        <v>12.2</v>
      </c>
      <c r="J3098">
        <v>73.2</v>
      </c>
    </row>
    <row r="3099" spans="1:10" x14ac:dyDescent="0.25">
      <c r="A3099" t="s">
        <v>5624</v>
      </c>
      <c r="B3099" s="3">
        <v>45422</v>
      </c>
      <c r="C3099" t="s">
        <v>1711</v>
      </c>
      <c r="D3099" t="s">
        <v>3512</v>
      </c>
      <c r="E3099">
        <v>1</v>
      </c>
      <c r="F3099" t="s">
        <v>3525</v>
      </c>
      <c r="G3099" t="s">
        <v>3519</v>
      </c>
      <c r="H3099">
        <v>2.5</v>
      </c>
      <c r="I3099">
        <v>33.5</v>
      </c>
      <c r="J3099">
        <v>33.5</v>
      </c>
    </row>
    <row r="3100" spans="1:10" x14ac:dyDescent="0.25">
      <c r="A3100" t="s">
        <v>5625</v>
      </c>
      <c r="B3100" s="3">
        <v>44865</v>
      </c>
      <c r="C3100" t="s">
        <v>1250</v>
      </c>
      <c r="D3100" t="s">
        <v>3495</v>
      </c>
      <c r="E3100">
        <v>6</v>
      </c>
      <c r="F3100" t="s">
        <v>3525</v>
      </c>
      <c r="G3100" t="s">
        <v>3517</v>
      </c>
      <c r="H3100">
        <v>2.5</v>
      </c>
      <c r="I3100">
        <v>36.5</v>
      </c>
      <c r="J3100">
        <v>219</v>
      </c>
    </row>
    <row r="3101" spans="1:10" x14ac:dyDescent="0.25">
      <c r="A3101" t="s">
        <v>5626</v>
      </c>
      <c r="B3101" s="3">
        <v>44675</v>
      </c>
      <c r="C3101" t="s">
        <v>763</v>
      </c>
      <c r="D3101" t="s">
        <v>3498</v>
      </c>
      <c r="E3101">
        <v>5</v>
      </c>
      <c r="F3101" t="s">
        <v>3523</v>
      </c>
      <c r="G3101" t="s">
        <v>3517</v>
      </c>
      <c r="H3101">
        <v>0.2</v>
      </c>
      <c r="I3101">
        <v>3.9</v>
      </c>
      <c r="J3101">
        <v>19.5</v>
      </c>
    </row>
    <row r="3102" spans="1:10" x14ac:dyDescent="0.25">
      <c r="A3102" t="s">
        <v>5627</v>
      </c>
      <c r="B3102" s="3">
        <v>45477</v>
      </c>
      <c r="C3102" t="s">
        <v>626</v>
      </c>
      <c r="D3102" t="s">
        <v>3512</v>
      </c>
      <c r="E3102">
        <v>6</v>
      </c>
      <c r="F3102" t="s">
        <v>3525</v>
      </c>
      <c r="G3102" t="s">
        <v>3519</v>
      </c>
      <c r="H3102">
        <v>2.5</v>
      </c>
      <c r="I3102">
        <v>33.5</v>
      </c>
      <c r="J3102">
        <v>201</v>
      </c>
    </row>
    <row r="3103" spans="1:10" x14ac:dyDescent="0.25">
      <c r="A3103" t="s">
        <v>5628</v>
      </c>
      <c r="B3103" s="3">
        <v>45194</v>
      </c>
      <c r="C3103" t="s">
        <v>646</v>
      </c>
      <c r="D3103" t="s">
        <v>3497</v>
      </c>
      <c r="E3103">
        <v>2</v>
      </c>
      <c r="F3103" t="s">
        <v>3526</v>
      </c>
      <c r="G3103" t="s">
        <v>3519</v>
      </c>
      <c r="H3103">
        <v>2.5</v>
      </c>
      <c r="I3103">
        <v>31.6</v>
      </c>
      <c r="J3103">
        <v>63.2</v>
      </c>
    </row>
    <row r="3104" spans="1:10" x14ac:dyDescent="0.25">
      <c r="A3104" t="s">
        <v>5629</v>
      </c>
      <c r="B3104" s="3">
        <v>45191</v>
      </c>
      <c r="C3104" t="s">
        <v>707</v>
      </c>
      <c r="D3104" t="s">
        <v>3476</v>
      </c>
      <c r="E3104">
        <v>3</v>
      </c>
      <c r="F3104" t="s">
        <v>3525</v>
      </c>
      <c r="G3104" t="s">
        <v>3517</v>
      </c>
      <c r="H3104">
        <v>0.2</v>
      </c>
      <c r="I3104">
        <v>4.8</v>
      </c>
      <c r="J3104">
        <v>14.4</v>
      </c>
    </row>
    <row r="3105" spans="1:10" x14ac:dyDescent="0.25">
      <c r="A3105" t="s">
        <v>5630</v>
      </c>
      <c r="B3105" s="3">
        <v>43586</v>
      </c>
      <c r="C3105" t="s">
        <v>3296</v>
      </c>
      <c r="D3105" t="s">
        <v>3502</v>
      </c>
      <c r="E3105">
        <v>2</v>
      </c>
      <c r="F3105" t="s">
        <v>3526</v>
      </c>
      <c r="G3105" t="s">
        <v>3517</v>
      </c>
      <c r="H3105">
        <v>1</v>
      </c>
      <c r="I3105">
        <v>14.9</v>
      </c>
      <c r="J3105">
        <v>29.8</v>
      </c>
    </row>
    <row r="3106" spans="1:10" x14ac:dyDescent="0.25">
      <c r="A3106" t="s">
        <v>5631</v>
      </c>
      <c r="B3106" s="3">
        <v>44610</v>
      </c>
      <c r="C3106" t="s">
        <v>2485</v>
      </c>
      <c r="D3106" t="s">
        <v>3474</v>
      </c>
      <c r="E3106">
        <v>2</v>
      </c>
      <c r="F3106" t="s">
        <v>3525</v>
      </c>
      <c r="G3106" t="s">
        <v>3518</v>
      </c>
      <c r="H3106">
        <v>1</v>
      </c>
      <c r="I3106">
        <v>13</v>
      </c>
      <c r="J3106">
        <v>26</v>
      </c>
    </row>
    <row r="3107" spans="1:10" x14ac:dyDescent="0.25">
      <c r="A3107" t="s">
        <v>5632</v>
      </c>
      <c r="B3107" s="3">
        <v>44376</v>
      </c>
      <c r="C3107" t="s">
        <v>2506</v>
      </c>
      <c r="D3107" t="s">
        <v>3475</v>
      </c>
      <c r="E3107">
        <v>2</v>
      </c>
      <c r="F3107" t="s">
        <v>3526</v>
      </c>
      <c r="G3107" t="s">
        <v>3518</v>
      </c>
      <c r="H3107">
        <v>0.5</v>
      </c>
      <c r="I3107">
        <v>7.3</v>
      </c>
      <c r="J3107">
        <v>14.6</v>
      </c>
    </row>
    <row r="3108" spans="1:10" x14ac:dyDescent="0.25">
      <c r="A3108" t="s">
        <v>5633</v>
      </c>
      <c r="B3108" s="3">
        <v>45492</v>
      </c>
      <c r="C3108" t="s">
        <v>2414</v>
      </c>
      <c r="D3108" t="s">
        <v>3482</v>
      </c>
      <c r="E3108">
        <v>6</v>
      </c>
      <c r="F3108" t="s">
        <v>3524</v>
      </c>
      <c r="G3108" t="s">
        <v>3519</v>
      </c>
      <c r="H3108">
        <v>2.5</v>
      </c>
      <c r="I3108">
        <v>22.9</v>
      </c>
      <c r="J3108">
        <v>137.4</v>
      </c>
    </row>
    <row r="3109" spans="1:10" x14ac:dyDescent="0.25">
      <c r="A3109" t="s">
        <v>5634</v>
      </c>
      <c r="B3109" s="3">
        <v>45609</v>
      </c>
      <c r="C3109" t="s">
        <v>2155</v>
      </c>
      <c r="D3109" t="s">
        <v>3472</v>
      </c>
      <c r="E3109">
        <v>4</v>
      </c>
      <c r="F3109" t="s">
        <v>3526</v>
      </c>
      <c r="G3109" t="s">
        <v>3519</v>
      </c>
      <c r="H3109">
        <v>1</v>
      </c>
      <c r="I3109">
        <v>13.8</v>
      </c>
      <c r="J3109">
        <v>55.2</v>
      </c>
    </row>
    <row r="3110" spans="1:10" x14ac:dyDescent="0.25">
      <c r="A3110" t="s">
        <v>5635</v>
      </c>
      <c r="B3110" s="3">
        <v>45243</v>
      </c>
      <c r="C3110" t="s">
        <v>1767</v>
      </c>
      <c r="D3110" t="s">
        <v>3507</v>
      </c>
      <c r="E3110">
        <v>2</v>
      </c>
      <c r="F3110" t="s">
        <v>3526</v>
      </c>
      <c r="G3110" t="s">
        <v>3517</v>
      </c>
      <c r="H3110">
        <v>0.5</v>
      </c>
      <c r="I3110">
        <v>8.9</v>
      </c>
      <c r="J3110">
        <v>17.8</v>
      </c>
    </row>
    <row r="3111" spans="1:10" x14ac:dyDescent="0.25">
      <c r="A3111" t="s">
        <v>5636</v>
      </c>
      <c r="B3111" s="3">
        <v>43699</v>
      </c>
      <c r="C3111" t="s">
        <v>3133</v>
      </c>
      <c r="D3111" t="s">
        <v>3488</v>
      </c>
      <c r="E3111">
        <v>4</v>
      </c>
      <c r="F3111" t="s">
        <v>3523</v>
      </c>
      <c r="G3111" t="s">
        <v>3519</v>
      </c>
      <c r="H3111">
        <v>0.5</v>
      </c>
      <c r="I3111">
        <v>6.8</v>
      </c>
      <c r="J3111">
        <v>27.2</v>
      </c>
    </row>
    <row r="3112" spans="1:10" x14ac:dyDescent="0.25">
      <c r="A3112" t="s">
        <v>5637</v>
      </c>
      <c r="B3112" s="3">
        <v>44617</v>
      </c>
      <c r="C3112" t="s">
        <v>3258</v>
      </c>
      <c r="D3112" t="s">
        <v>3493</v>
      </c>
      <c r="E3112">
        <v>6</v>
      </c>
      <c r="F3112" t="s">
        <v>3525</v>
      </c>
      <c r="G3112" t="s">
        <v>3519</v>
      </c>
      <c r="H3112">
        <v>1</v>
      </c>
      <c r="I3112">
        <v>14.6</v>
      </c>
      <c r="J3112">
        <v>87.6</v>
      </c>
    </row>
    <row r="3113" spans="1:10" x14ac:dyDescent="0.25">
      <c r="A3113" t="s">
        <v>5638</v>
      </c>
      <c r="B3113" s="3">
        <v>44349</v>
      </c>
      <c r="C3113" t="s">
        <v>851</v>
      </c>
      <c r="D3113" t="s">
        <v>3495</v>
      </c>
      <c r="E3113">
        <v>6</v>
      </c>
      <c r="F3113" t="s">
        <v>3525</v>
      </c>
      <c r="G3113" t="s">
        <v>3517</v>
      </c>
      <c r="H3113">
        <v>2.5</v>
      </c>
      <c r="I3113">
        <v>36.5</v>
      </c>
      <c r="J3113">
        <v>219</v>
      </c>
    </row>
    <row r="3114" spans="1:10" x14ac:dyDescent="0.25">
      <c r="A3114" t="s">
        <v>5639</v>
      </c>
      <c r="B3114" s="3">
        <v>44739</v>
      </c>
      <c r="C3114" t="s">
        <v>2388</v>
      </c>
      <c r="D3114" t="s">
        <v>3482</v>
      </c>
      <c r="E3114">
        <v>3</v>
      </c>
      <c r="F3114" t="s">
        <v>3524</v>
      </c>
      <c r="G3114" t="s">
        <v>3519</v>
      </c>
      <c r="H3114">
        <v>2.5</v>
      </c>
      <c r="I3114">
        <v>22.9</v>
      </c>
      <c r="J3114">
        <v>68.7</v>
      </c>
    </row>
    <row r="3115" spans="1:10" x14ac:dyDescent="0.25">
      <c r="A3115" t="s">
        <v>5640</v>
      </c>
      <c r="B3115" s="3">
        <v>43491</v>
      </c>
      <c r="C3115" t="s">
        <v>1951</v>
      </c>
      <c r="D3115" t="s">
        <v>3508</v>
      </c>
      <c r="E3115">
        <v>6</v>
      </c>
      <c r="F3115" t="s">
        <v>3524</v>
      </c>
      <c r="G3115" t="s">
        <v>3518</v>
      </c>
      <c r="H3115">
        <v>1</v>
      </c>
      <c r="I3115">
        <v>9</v>
      </c>
      <c r="J3115">
        <v>54</v>
      </c>
    </row>
    <row r="3116" spans="1:10" x14ac:dyDescent="0.25">
      <c r="A3116" t="s">
        <v>5641</v>
      </c>
      <c r="B3116" s="3">
        <v>45213</v>
      </c>
      <c r="C3116" t="s">
        <v>2397</v>
      </c>
      <c r="D3116" t="s">
        <v>3470</v>
      </c>
      <c r="E3116">
        <v>6</v>
      </c>
      <c r="F3116" t="s">
        <v>3526</v>
      </c>
      <c r="G3116" t="s">
        <v>3519</v>
      </c>
      <c r="H3116">
        <v>0.5</v>
      </c>
      <c r="I3116">
        <v>8.3000000000000007</v>
      </c>
      <c r="J3116">
        <v>49.8</v>
      </c>
    </row>
    <row r="3117" spans="1:10" x14ac:dyDescent="0.25">
      <c r="A3117" t="s">
        <v>5642</v>
      </c>
      <c r="B3117" s="3">
        <v>45254</v>
      </c>
      <c r="C3117" t="s">
        <v>2314</v>
      </c>
      <c r="D3117" t="s">
        <v>3513</v>
      </c>
      <c r="E3117">
        <v>3</v>
      </c>
      <c r="F3117" t="s">
        <v>3523</v>
      </c>
      <c r="G3117" t="s">
        <v>3517</v>
      </c>
      <c r="H3117">
        <v>2.5</v>
      </c>
      <c r="I3117">
        <v>29.8</v>
      </c>
      <c r="J3117">
        <v>89.4</v>
      </c>
    </row>
    <row r="3118" spans="1:10" x14ac:dyDescent="0.25">
      <c r="A3118" t="s">
        <v>5643</v>
      </c>
      <c r="B3118" s="3">
        <v>45500</v>
      </c>
      <c r="C3118" t="s">
        <v>3458</v>
      </c>
      <c r="D3118" t="s">
        <v>3487</v>
      </c>
      <c r="E3118">
        <v>3</v>
      </c>
      <c r="F3118" t="s">
        <v>3526</v>
      </c>
      <c r="G3118" t="s">
        <v>3519</v>
      </c>
      <c r="H3118">
        <v>0.2</v>
      </c>
      <c r="I3118">
        <v>4.0999999999999996</v>
      </c>
      <c r="J3118">
        <v>12.3</v>
      </c>
    </row>
    <row r="3119" spans="1:10" x14ac:dyDescent="0.25">
      <c r="A3119" t="s">
        <v>5644</v>
      </c>
      <c r="B3119" s="3">
        <v>44510</v>
      </c>
      <c r="C3119" t="s">
        <v>2423</v>
      </c>
      <c r="D3119" t="s">
        <v>3482</v>
      </c>
      <c r="E3119">
        <v>2</v>
      </c>
      <c r="F3119" t="s">
        <v>3524</v>
      </c>
      <c r="G3119" t="s">
        <v>3519</v>
      </c>
      <c r="H3119">
        <v>2.5</v>
      </c>
      <c r="I3119">
        <v>22.9</v>
      </c>
      <c r="J3119">
        <v>45.8</v>
      </c>
    </row>
    <row r="3120" spans="1:10" x14ac:dyDescent="0.25">
      <c r="A3120" t="s">
        <v>5645</v>
      </c>
      <c r="B3120" s="3">
        <v>44147</v>
      </c>
      <c r="C3120" t="s">
        <v>811</v>
      </c>
      <c r="D3120" t="s">
        <v>3486</v>
      </c>
      <c r="E3120">
        <v>2</v>
      </c>
      <c r="F3120" t="s">
        <v>3523</v>
      </c>
      <c r="G3120" t="s">
        <v>3519</v>
      </c>
      <c r="H3120">
        <v>1</v>
      </c>
      <c r="I3120">
        <v>11.3</v>
      </c>
      <c r="J3120">
        <v>22.6</v>
      </c>
    </row>
    <row r="3121" spans="1:10" x14ac:dyDescent="0.25">
      <c r="A3121" t="s">
        <v>5646</v>
      </c>
      <c r="B3121" s="3">
        <v>43626</v>
      </c>
      <c r="C3121" t="s">
        <v>710</v>
      </c>
      <c r="D3121" t="s">
        <v>3483</v>
      </c>
      <c r="E3121">
        <v>5</v>
      </c>
      <c r="F3121" t="s">
        <v>3523</v>
      </c>
      <c r="G3121" t="s">
        <v>3519</v>
      </c>
      <c r="H3121">
        <v>0.2</v>
      </c>
      <c r="I3121">
        <v>3.4</v>
      </c>
      <c r="J3121">
        <v>17</v>
      </c>
    </row>
    <row r="3122" spans="1:10" x14ac:dyDescent="0.25">
      <c r="A3122" t="s">
        <v>5647</v>
      </c>
      <c r="B3122" s="3">
        <v>45281</v>
      </c>
      <c r="C3122" t="s">
        <v>2207</v>
      </c>
      <c r="D3122" t="s">
        <v>3516</v>
      </c>
      <c r="E3122">
        <v>4</v>
      </c>
      <c r="F3122" t="s">
        <v>3526</v>
      </c>
      <c r="G3122" t="s">
        <v>3518</v>
      </c>
      <c r="H3122">
        <v>2.5</v>
      </c>
      <c r="I3122">
        <v>27.9</v>
      </c>
      <c r="J3122">
        <v>111.6</v>
      </c>
    </row>
    <row r="3123" spans="1:10" x14ac:dyDescent="0.25">
      <c r="A3123" t="s">
        <v>5648</v>
      </c>
      <c r="B3123" s="3">
        <v>43734</v>
      </c>
      <c r="C3123" t="s">
        <v>1408</v>
      </c>
      <c r="D3123" t="s">
        <v>3496</v>
      </c>
      <c r="E3123">
        <v>2</v>
      </c>
      <c r="F3123" t="s">
        <v>3525</v>
      </c>
      <c r="G3123" t="s">
        <v>3518</v>
      </c>
      <c r="H3123">
        <v>2.5</v>
      </c>
      <c r="I3123">
        <v>29.8</v>
      </c>
      <c r="J3123">
        <v>59.6</v>
      </c>
    </row>
    <row r="3124" spans="1:10" x14ac:dyDescent="0.25">
      <c r="A3124" t="s">
        <v>5649</v>
      </c>
      <c r="B3124" s="3">
        <v>44418</v>
      </c>
      <c r="C3124" t="s">
        <v>2684</v>
      </c>
      <c r="D3124" t="s">
        <v>3470</v>
      </c>
      <c r="E3124">
        <v>3</v>
      </c>
      <c r="F3124" t="s">
        <v>3526</v>
      </c>
      <c r="G3124" t="s">
        <v>3519</v>
      </c>
      <c r="H3124">
        <v>0.5</v>
      </c>
      <c r="I3124">
        <v>8.3000000000000007</v>
      </c>
      <c r="J3124">
        <v>24.9</v>
      </c>
    </row>
    <row r="3125" spans="1:10" x14ac:dyDescent="0.25">
      <c r="A3125" t="s">
        <v>5650</v>
      </c>
      <c r="B3125" s="3">
        <v>45524</v>
      </c>
      <c r="C3125" t="s">
        <v>1068</v>
      </c>
      <c r="D3125" t="s">
        <v>3494</v>
      </c>
      <c r="E3125">
        <v>4</v>
      </c>
      <c r="F3125" t="s">
        <v>3524</v>
      </c>
      <c r="G3125" t="s">
        <v>3518</v>
      </c>
      <c r="H3125">
        <v>0.2</v>
      </c>
      <c r="I3125">
        <v>2.7</v>
      </c>
      <c r="J3125">
        <v>10.8</v>
      </c>
    </row>
    <row r="3126" spans="1:10" x14ac:dyDescent="0.25">
      <c r="A3126" t="s">
        <v>5651</v>
      </c>
      <c r="B3126" s="3">
        <v>43493</v>
      </c>
      <c r="C3126" t="s">
        <v>2745</v>
      </c>
      <c r="D3126" t="s">
        <v>3516</v>
      </c>
      <c r="E3126">
        <v>4</v>
      </c>
      <c r="F3126" t="s">
        <v>3526</v>
      </c>
      <c r="G3126" t="s">
        <v>3518</v>
      </c>
      <c r="H3126">
        <v>2.5</v>
      </c>
      <c r="I3126">
        <v>27.9</v>
      </c>
      <c r="J3126">
        <v>111.6</v>
      </c>
    </row>
    <row r="3127" spans="1:10" x14ac:dyDescent="0.25">
      <c r="A3127" t="s">
        <v>5652</v>
      </c>
      <c r="B3127" s="3">
        <v>44092</v>
      </c>
      <c r="C3127" t="s">
        <v>1588</v>
      </c>
      <c r="D3127" t="s">
        <v>3490</v>
      </c>
      <c r="E3127">
        <v>2</v>
      </c>
      <c r="F3127" t="s">
        <v>3525</v>
      </c>
      <c r="G3127" t="s">
        <v>3519</v>
      </c>
      <c r="H3127">
        <v>0.2</v>
      </c>
      <c r="I3127">
        <v>4.4000000000000004</v>
      </c>
      <c r="J3127">
        <v>8.8000000000000007</v>
      </c>
    </row>
    <row r="3128" spans="1:10" x14ac:dyDescent="0.25">
      <c r="A3128" t="s">
        <v>5653</v>
      </c>
      <c r="B3128" s="3">
        <v>45270</v>
      </c>
      <c r="C3128" t="s">
        <v>2381</v>
      </c>
      <c r="D3128" t="s">
        <v>3501</v>
      </c>
      <c r="E3128">
        <v>5</v>
      </c>
      <c r="F3128" t="s">
        <v>3525</v>
      </c>
      <c r="G3128" t="s">
        <v>3517</v>
      </c>
      <c r="H3128">
        <v>1</v>
      </c>
      <c r="I3128">
        <v>15.9</v>
      </c>
      <c r="J3128">
        <v>79.5</v>
      </c>
    </row>
    <row r="3129" spans="1:10" x14ac:dyDescent="0.25">
      <c r="A3129" t="s">
        <v>5654</v>
      </c>
      <c r="B3129" s="3">
        <v>45342</v>
      </c>
      <c r="C3129" t="s">
        <v>2822</v>
      </c>
      <c r="D3129" t="s">
        <v>3469</v>
      </c>
      <c r="E3129">
        <v>4</v>
      </c>
      <c r="F3129" t="s">
        <v>3524</v>
      </c>
      <c r="G3129" t="s">
        <v>3519</v>
      </c>
      <c r="H3129">
        <v>1</v>
      </c>
      <c r="I3129">
        <v>10</v>
      </c>
      <c r="J3129">
        <v>40</v>
      </c>
    </row>
    <row r="3130" spans="1:10" x14ac:dyDescent="0.25">
      <c r="A3130" t="s">
        <v>5655</v>
      </c>
      <c r="B3130" s="3">
        <v>45453</v>
      </c>
      <c r="C3130" t="s">
        <v>1384</v>
      </c>
      <c r="D3130" t="s">
        <v>3486</v>
      </c>
      <c r="E3130">
        <v>4</v>
      </c>
      <c r="F3130" t="s">
        <v>3523</v>
      </c>
      <c r="G3130" t="s">
        <v>3519</v>
      </c>
      <c r="H3130">
        <v>1</v>
      </c>
      <c r="I3130">
        <v>11.3</v>
      </c>
      <c r="J3130">
        <v>45.2</v>
      </c>
    </row>
    <row r="3131" spans="1:10" x14ac:dyDescent="0.25">
      <c r="A3131" t="s">
        <v>5656</v>
      </c>
      <c r="B3131" s="3">
        <v>45525</v>
      </c>
      <c r="C3131" t="s">
        <v>1035</v>
      </c>
      <c r="D3131" t="s">
        <v>3471</v>
      </c>
      <c r="E3131">
        <v>1</v>
      </c>
      <c r="F3131" t="s">
        <v>3523</v>
      </c>
      <c r="G3131" t="s">
        <v>3517</v>
      </c>
      <c r="H3131">
        <v>1</v>
      </c>
      <c r="I3131">
        <v>13</v>
      </c>
      <c r="J3131">
        <v>13</v>
      </c>
    </row>
    <row r="3132" spans="1:10" x14ac:dyDescent="0.25">
      <c r="A3132" t="s">
        <v>5657</v>
      </c>
      <c r="B3132" s="3">
        <v>44832</v>
      </c>
      <c r="C3132" t="s">
        <v>586</v>
      </c>
      <c r="D3132" t="s">
        <v>3491</v>
      </c>
      <c r="E3132">
        <v>2</v>
      </c>
      <c r="F3132" t="s">
        <v>3525</v>
      </c>
      <c r="G3132" t="s">
        <v>3519</v>
      </c>
      <c r="H3132">
        <v>0.5</v>
      </c>
      <c r="I3132">
        <v>8.6999999999999993</v>
      </c>
      <c r="J3132">
        <v>17.399999999999999</v>
      </c>
    </row>
    <row r="3133" spans="1:10" x14ac:dyDescent="0.25">
      <c r="A3133" t="s">
        <v>5658</v>
      </c>
      <c r="B3133" s="3">
        <v>45230</v>
      </c>
      <c r="C3133" t="s">
        <v>2861</v>
      </c>
      <c r="D3133" t="s">
        <v>3493</v>
      </c>
      <c r="E3133">
        <v>2</v>
      </c>
      <c r="F3133" t="s">
        <v>3525</v>
      </c>
      <c r="G3133" t="s">
        <v>3519</v>
      </c>
      <c r="H3133">
        <v>1</v>
      </c>
      <c r="I3133">
        <v>14.6</v>
      </c>
      <c r="J3133">
        <v>29.2</v>
      </c>
    </row>
    <row r="3134" spans="1:10" x14ac:dyDescent="0.25">
      <c r="A3134" t="s">
        <v>5659</v>
      </c>
      <c r="B3134" s="3">
        <v>45183</v>
      </c>
      <c r="C3134" t="s">
        <v>505</v>
      </c>
      <c r="D3134" t="s">
        <v>3503</v>
      </c>
      <c r="E3134">
        <v>4</v>
      </c>
      <c r="F3134" t="s">
        <v>3524</v>
      </c>
      <c r="G3134" t="s">
        <v>3518</v>
      </c>
      <c r="H3134">
        <v>0.5</v>
      </c>
      <c r="I3134">
        <v>5.4</v>
      </c>
      <c r="J3134">
        <v>21.6</v>
      </c>
    </row>
    <row r="3135" spans="1:10" x14ac:dyDescent="0.25">
      <c r="A3135" t="s">
        <v>5660</v>
      </c>
      <c r="B3135" s="3">
        <v>45543</v>
      </c>
      <c r="C3135" t="s">
        <v>1375</v>
      </c>
      <c r="D3135" t="s">
        <v>3512</v>
      </c>
      <c r="E3135">
        <v>2</v>
      </c>
      <c r="F3135" t="s">
        <v>3525</v>
      </c>
      <c r="G3135" t="s">
        <v>3519</v>
      </c>
      <c r="H3135">
        <v>2.5</v>
      </c>
      <c r="I3135">
        <v>33.5</v>
      </c>
      <c r="J3135">
        <v>67</v>
      </c>
    </row>
    <row r="3136" spans="1:10" x14ac:dyDescent="0.25">
      <c r="A3136" t="s">
        <v>5661</v>
      </c>
      <c r="B3136" s="3">
        <v>43874</v>
      </c>
      <c r="C3136" t="s">
        <v>3243</v>
      </c>
      <c r="D3136" t="s">
        <v>3513</v>
      </c>
      <c r="E3136">
        <v>1</v>
      </c>
      <c r="F3136" t="s">
        <v>3523</v>
      </c>
      <c r="G3136" t="s">
        <v>3517</v>
      </c>
      <c r="H3136">
        <v>2.5</v>
      </c>
      <c r="I3136">
        <v>29.8</v>
      </c>
      <c r="J3136">
        <v>29.8</v>
      </c>
    </row>
    <row r="3137" spans="1:10" x14ac:dyDescent="0.25">
      <c r="A3137" t="s">
        <v>5662</v>
      </c>
      <c r="B3137" s="3">
        <v>45120</v>
      </c>
      <c r="C3137" t="s">
        <v>2867</v>
      </c>
      <c r="D3137" t="s">
        <v>3502</v>
      </c>
      <c r="E3137">
        <v>3</v>
      </c>
      <c r="F3137" t="s">
        <v>3526</v>
      </c>
      <c r="G3137" t="s">
        <v>3517</v>
      </c>
      <c r="H3137">
        <v>1</v>
      </c>
      <c r="I3137">
        <v>14.9</v>
      </c>
      <c r="J3137">
        <v>44.7</v>
      </c>
    </row>
    <row r="3138" spans="1:10" x14ac:dyDescent="0.25">
      <c r="A3138" t="s">
        <v>5663</v>
      </c>
      <c r="B3138" s="3">
        <v>44812</v>
      </c>
      <c r="C3138" t="s">
        <v>1109</v>
      </c>
      <c r="D3138" t="s">
        <v>3500</v>
      </c>
      <c r="E3138">
        <v>5</v>
      </c>
      <c r="F3138" t="s">
        <v>3525</v>
      </c>
      <c r="G3138" t="s">
        <v>3518</v>
      </c>
      <c r="H3138">
        <v>0.5</v>
      </c>
      <c r="I3138">
        <v>7.8</v>
      </c>
      <c r="J3138">
        <v>39</v>
      </c>
    </row>
    <row r="3139" spans="1:10" x14ac:dyDescent="0.25">
      <c r="A3139" t="s">
        <v>5664</v>
      </c>
      <c r="B3139" s="3">
        <v>44377</v>
      </c>
      <c r="C3139" t="s">
        <v>1601</v>
      </c>
      <c r="D3139" t="s">
        <v>3496</v>
      </c>
      <c r="E3139">
        <v>6</v>
      </c>
      <c r="F3139" t="s">
        <v>3525</v>
      </c>
      <c r="G3139" t="s">
        <v>3518</v>
      </c>
      <c r="H3139">
        <v>2.5</v>
      </c>
      <c r="I3139">
        <v>29.8</v>
      </c>
      <c r="J3139">
        <v>178.8</v>
      </c>
    </row>
    <row r="3140" spans="1:10" x14ac:dyDescent="0.25">
      <c r="A3140" t="s">
        <v>5665</v>
      </c>
      <c r="B3140" s="3">
        <v>43953</v>
      </c>
      <c r="C3140" t="s">
        <v>1699</v>
      </c>
      <c r="D3140" t="s">
        <v>3514</v>
      </c>
      <c r="E3140">
        <v>5</v>
      </c>
      <c r="F3140" t="s">
        <v>3526</v>
      </c>
      <c r="G3140" t="s">
        <v>3518</v>
      </c>
      <c r="H3140">
        <v>1</v>
      </c>
      <c r="I3140">
        <v>12.2</v>
      </c>
      <c r="J3140">
        <v>61</v>
      </c>
    </row>
    <row r="3141" spans="1:10" x14ac:dyDescent="0.25">
      <c r="A3141" t="s">
        <v>5666</v>
      </c>
      <c r="B3141" s="3">
        <v>45479</v>
      </c>
      <c r="C3141" t="s">
        <v>899</v>
      </c>
      <c r="D3141" t="s">
        <v>3494</v>
      </c>
      <c r="E3141">
        <v>3</v>
      </c>
      <c r="F3141" t="s">
        <v>3524</v>
      </c>
      <c r="G3141" t="s">
        <v>3518</v>
      </c>
      <c r="H3141">
        <v>0.2</v>
      </c>
      <c r="I3141">
        <v>2.7</v>
      </c>
      <c r="J3141">
        <v>8.1</v>
      </c>
    </row>
    <row r="3142" spans="1:10" x14ac:dyDescent="0.25">
      <c r="A3142" t="s">
        <v>5667</v>
      </c>
      <c r="B3142" s="3">
        <v>44843</v>
      </c>
      <c r="C3142" t="s">
        <v>1050</v>
      </c>
      <c r="D3142" t="s">
        <v>3515</v>
      </c>
      <c r="E3142">
        <v>5</v>
      </c>
      <c r="F3142" t="s">
        <v>3526</v>
      </c>
      <c r="G3142" t="s">
        <v>3517</v>
      </c>
      <c r="H3142">
        <v>0.2</v>
      </c>
      <c r="I3142">
        <v>4.5</v>
      </c>
      <c r="J3142">
        <v>22.5</v>
      </c>
    </row>
    <row r="3143" spans="1:10" x14ac:dyDescent="0.25">
      <c r="A3143" t="s">
        <v>5668</v>
      </c>
      <c r="B3143" s="3">
        <v>44575</v>
      </c>
      <c r="C3143" t="s">
        <v>1321</v>
      </c>
      <c r="D3143" t="s">
        <v>3511</v>
      </c>
      <c r="E3143">
        <v>6</v>
      </c>
      <c r="F3143" t="s">
        <v>3523</v>
      </c>
      <c r="G3143" t="s">
        <v>3517</v>
      </c>
      <c r="H3143">
        <v>0.5</v>
      </c>
      <c r="I3143">
        <v>7.8</v>
      </c>
      <c r="J3143">
        <v>46.8</v>
      </c>
    </row>
    <row r="3144" spans="1:10" x14ac:dyDescent="0.25">
      <c r="A3144" t="s">
        <v>5669</v>
      </c>
      <c r="B3144" s="3">
        <v>44272</v>
      </c>
      <c r="C3144" t="s">
        <v>3455</v>
      </c>
      <c r="D3144" t="s">
        <v>3493</v>
      </c>
      <c r="E3144">
        <v>4</v>
      </c>
      <c r="F3144" t="s">
        <v>3525</v>
      </c>
      <c r="G3144" t="s">
        <v>3519</v>
      </c>
      <c r="H3144">
        <v>1</v>
      </c>
      <c r="I3144">
        <v>14.6</v>
      </c>
      <c r="J3144">
        <v>58.4</v>
      </c>
    </row>
    <row r="3145" spans="1:10" x14ac:dyDescent="0.25">
      <c r="A3145" t="s">
        <v>5670</v>
      </c>
      <c r="B3145" s="3">
        <v>45003</v>
      </c>
      <c r="C3145" t="s">
        <v>3261</v>
      </c>
      <c r="D3145" t="s">
        <v>3500</v>
      </c>
      <c r="E3145">
        <v>3</v>
      </c>
      <c r="F3145" t="s">
        <v>3525</v>
      </c>
      <c r="G3145" t="s">
        <v>3518</v>
      </c>
      <c r="H3145">
        <v>0.5</v>
      </c>
      <c r="I3145">
        <v>7.8</v>
      </c>
      <c r="J3145">
        <v>23.4</v>
      </c>
    </row>
    <row r="3146" spans="1:10" x14ac:dyDescent="0.25">
      <c r="A3146" t="s">
        <v>5671</v>
      </c>
      <c r="B3146" s="3">
        <v>45029</v>
      </c>
      <c r="C3146" t="s">
        <v>2736</v>
      </c>
      <c r="D3146" t="s">
        <v>3512</v>
      </c>
      <c r="E3146">
        <v>2</v>
      </c>
      <c r="F3146" t="s">
        <v>3525</v>
      </c>
      <c r="G3146" t="s">
        <v>3519</v>
      </c>
      <c r="H3146">
        <v>2.5</v>
      </c>
      <c r="I3146">
        <v>33.5</v>
      </c>
      <c r="J3146">
        <v>67</v>
      </c>
    </row>
    <row r="3147" spans="1:10" x14ac:dyDescent="0.25">
      <c r="A3147" t="s">
        <v>5672</v>
      </c>
      <c r="B3147" s="3">
        <v>43779</v>
      </c>
      <c r="C3147" t="s">
        <v>2769</v>
      </c>
      <c r="D3147" t="s">
        <v>3477</v>
      </c>
      <c r="E3147">
        <v>3</v>
      </c>
      <c r="F3147" t="s">
        <v>3524</v>
      </c>
      <c r="G3147" t="s">
        <v>3519</v>
      </c>
      <c r="H3147">
        <v>0.5</v>
      </c>
      <c r="I3147">
        <v>6</v>
      </c>
      <c r="J3147">
        <v>18</v>
      </c>
    </row>
    <row r="3148" spans="1:10" x14ac:dyDescent="0.25">
      <c r="A3148" t="s">
        <v>5673</v>
      </c>
      <c r="B3148" s="3">
        <v>45606</v>
      </c>
      <c r="C3148" t="s">
        <v>1994</v>
      </c>
      <c r="D3148" t="s">
        <v>3515</v>
      </c>
      <c r="E3148">
        <v>6</v>
      </c>
      <c r="F3148" t="s">
        <v>3526</v>
      </c>
      <c r="G3148" t="s">
        <v>3517</v>
      </c>
      <c r="H3148">
        <v>0.2</v>
      </c>
      <c r="I3148">
        <v>4.5</v>
      </c>
      <c r="J3148">
        <v>27</v>
      </c>
    </row>
    <row r="3149" spans="1:10" x14ac:dyDescent="0.25">
      <c r="A3149" t="s">
        <v>5674</v>
      </c>
      <c r="B3149" s="3">
        <v>45328</v>
      </c>
      <c r="C3149" t="s">
        <v>2974</v>
      </c>
      <c r="D3149" t="s">
        <v>3485</v>
      </c>
      <c r="E3149">
        <v>1</v>
      </c>
      <c r="F3149" t="s">
        <v>3523</v>
      </c>
      <c r="G3149" t="s">
        <v>3518</v>
      </c>
      <c r="H3149">
        <v>0.2</v>
      </c>
      <c r="I3149">
        <v>3</v>
      </c>
      <c r="J3149">
        <v>3</v>
      </c>
    </row>
    <row r="3150" spans="1:10" x14ac:dyDescent="0.25">
      <c r="A3150" t="s">
        <v>5675</v>
      </c>
      <c r="B3150" s="3">
        <v>45010</v>
      </c>
      <c r="C3150" t="s">
        <v>567</v>
      </c>
      <c r="D3150" t="s">
        <v>3493</v>
      </c>
      <c r="E3150">
        <v>5</v>
      </c>
      <c r="F3150" t="s">
        <v>3525</v>
      </c>
      <c r="G3150" t="s">
        <v>3519</v>
      </c>
      <c r="H3150">
        <v>1</v>
      </c>
      <c r="I3150">
        <v>14.6</v>
      </c>
      <c r="J3150">
        <v>73</v>
      </c>
    </row>
    <row r="3151" spans="1:10" x14ac:dyDescent="0.25">
      <c r="A3151" t="s">
        <v>5676</v>
      </c>
      <c r="B3151" s="3">
        <v>44589</v>
      </c>
      <c r="C3151" t="s">
        <v>751</v>
      </c>
      <c r="D3151" t="s">
        <v>3511</v>
      </c>
      <c r="E3151">
        <v>4</v>
      </c>
      <c r="F3151" t="s">
        <v>3523</v>
      </c>
      <c r="G3151" t="s">
        <v>3517</v>
      </c>
      <c r="H3151">
        <v>0.5</v>
      </c>
      <c r="I3151">
        <v>7.8</v>
      </c>
      <c r="J3151">
        <v>31.2</v>
      </c>
    </row>
    <row r="3152" spans="1:10" x14ac:dyDescent="0.25">
      <c r="A3152" t="s">
        <v>5677</v>
      </c>
      <c r="B3152" s="3">
        <v>43633</v>
      </c>
      <c r="C3152" t="s">
        <v>1309</v>
      </c>
      <c r="D3152" t="s">
        <v>3508</v>
      </c>
      <c r="E3152">
        <v>6</v>
      </c>
      <c r="F3152" t="s">
        <v>3524</v>
      </c>
      <c r="G3152" t="s">
        <v>3518</v>
      </c>
      <c r="H3152">
        <v>1</v>
      </c>
      <c r="I3152">
        <v>9</v>
      </c>
      <c r="J3152">
        <v>54</v>
      </c>
    </row>
    <row r="3153" spans="1:10" x14ac:dyDescent="0.25">
      <c r="A3153" t="s">
        <v>5678</v>
      </c>
      <c r="B3153" s="3">
        <v>45451</v>
      </c>
      <c r="C3153" t="s">
        <v>1435</v>
      </c>
      <c r="D3153" t="s">
        <v>3488</v>
      </c>
      <c r="E3153">
        <v>1</v>
      </c>
      <c r="F3153" t="s">
        <v>3523</v>
      </c>
      <c r="G3153" t="s">
        <v>3519</v>
      </c>
      <c r="H3153">
        <v>0.5</v>
      </c>
      <c r="I3153">
        <v>6.8</v>
      </c>
      <c r="J3153">
        <v>6.8</v>
      </c>
    </row>
    <row r="3154" spans="1:10" x14ac:dyDescent="0.25">
      <c r="A3154" t="s">
        <v>5679</v>
      </c>
      <c r="B3154" s="3">
        <v>44656</v>
      </c>
      <c r="C3154" t="s">
        <v>740</v>
      </c>
      <c r="D3154" t="s">
        <v>3491</v>
      </c>
      <c r="E3154">
        <v>1</v>
      </c>
      <c r="F3154" t="s">
        <v>3525</v>
      </c>
      <c r="G3154" t="s">
        <v>3519</v>
      </c>
      <c r="H3154">
        <v>0.5</v>
      </c>
      <c r="I3154">
        <v>8.6999999999999993</v>
      </c>
      <c r="J3154">
        <v>8.6999999999999993</v>
      </c>
    </row>
    <row r="3155" spans="1:10" x14ac:dyDescent="0.25">
      <c r="A3155" t="s">
        <v>5680</v>
      </c>
      <c r="B3155" s="3">
        <v>44634</v>
      </c>
      <c r="C3155" t="s">
        <v>3063</v>
      </c>
      <c r="D3155" t="s">
        <v>3487</v>
      </c>
      <c r="E3155">
        <v>4</v>
      </c>
      <c r="F3155" t="s">
        <v>3526</v>
      </c>
      <c r="G3155" t="s">
        <v>3519</v>
      </c>
      <c r="H3155">
        <v>0.2</v>
      </c>
      <c r="I3155">
        <v>4.0999999999999996</v>
      </c>
      <c r="J3155">
        <v>16.399999999999999</v>
      </c>
    </row>
    <row r="3156" spans="1:10" x14ac:dyDescent="0.25">
      <c r="A3156" t="s">
        <v>5681</v>
      </c>
      <c r="B3156" s="3">
        <v>43919</v>
      </c>
      <c r="C3156" t="s">
        <v>1699</v>
      </c>
      <c r="D3156" t="s">
        <v>3498</v>
      </c>
      <c r="E3156">
        <v>2</v>
      </c>
      <c r="F3156" t="s">
        <v>3523</v>
      </c>
      <c r="G3156" t="s">
        <v>3517</v>
      </c>
      <c r="H3156">
        <v>0.2</v>
      </c>
      <c r="I3156">
        <v>3.9</v>
      </c>
      <c r="J3156">
        <v>7.8</v>
      </c>
    </row>
    <row r="3157" spans="1:10" x14ac:dyDescent="0.25">
      <c r="A3157" t="s">
        <v>5682</v>
      </c>
      <c r="B3157" s="3">
        <v>45557</v>
      </c>
      <c r="C3157" t="s">
        <v>1128</v>
      </c>
      <c r="D3157" t="s">
        <v>3469</v>
      </c>
      <c r="E3157">
        <v>3</v>
      </c>
      <c r="F3157" t="s">
        <v>3524</v>
      </c>
      <c r="G3157" t="s">
        <v>3519</v>
      </c>
      <c r="H3157">
        <v>1</v>
      </c>
      <c r="I3157">
        <v>10</v>
      </c>
      <c r="J3157">
        <v>30</v>
      </c>
    </row>
    <row r="3158" spans="1:10" x14ac:dyDescent="0.25">
      <c r="A3158" t="s">
        <v>5683</v>
      </c>
      <c r="B3158" s="3">
        <v>45441</v>
      </c>
      <c r="C3158" t="s">
        <v>517</v>
      </c>
      <c r="D3158" t="s">
        <v>3487</v>
      </c>
      <c r="E3158">
        <v>4</v>
      </c>
      <c r="F3158" t="s">
        <v>3526</v>
      </c>
      <c r="G3158" t="s">
        <v>3519</v>
      </c>
      <c r="H3158">
        <v>0.2</v>
      </c>
      <c r="I3158">
        <v>4.0999999999999996</v>
      </c>
      <c r="J3158">
        <v>16.399999999999999</v>
      </c>
    </row>
    <row r="3159" spans="1:10" x14ac:dyDescent="0.25">
      <c r="A3159" t="s">
        <v>5684</v>
      </c>
      <c r="B3159" s="3">
        <v>45345</v>
      </c>
      <c r="C3159" t="s">
        <v>2251</v>
      </c>
      <c r="D3159" t="s">
        <v>3477</v>
      </c>
      <c r="E3159">
        <v>4</v>
      </c>
      <c r="F3159" t="s">
        <v>3524</v>
      </c>
      <c r="G3159" t="s">
        <v>3519</v>
      </c>
      <c r="H3159">
        <v>0.5</v>
      </c>
      <c r="I3159">
        <v>6</v>
      </c>
      <c r="J3159">
        <v>24</v>
      </c>
    </row>
    <row r="3160" spans="1:10" x14ac:dyDescent="0.25">
      <c r="A3160" t="s">
        <v>5685</v>
      </c>
      <c r="B3160" s="3">
        <v>44587</v>
      </c>
      <c r="C3160" t="s">
        <v>2110</v>
      </c>
      <c r="D3160" t="s">
        <v>3478</v>
      </c>
      <c r="E3160">
        <v>3</v>
      </c>
      <c r="F3160" t="s">
        <v>3523</v>
      </c>
      <c r="G3160" t="s">
        <v>3518</v>
      </c>
      <c r="H3160">
        <v>1</v>
      </c>
      <c r="I3160">
        <v>10</v>
      </c>
      <c r="J3160">
        <v>30</v>
      </c>
    </row>
    <row r="3161" spans="1:10" x14ac:dyDescent="0.25">
      <c r="A3161" t="s">
        <v>5686</v>
      </c>
      <c r="B3161" s="3">
        <v>44818</v>
      </c>
      <c r="C3161" t="s">
        <v>1381</v>
      </c>
      <c r="D3161" t="s">
        <v>3473</v>
      </c>
      <c r="E3161">
        <v>3</v>
      </c>
      <c r="F3161" t="s">
        <v>3524</v>
      </c>
      <c r="G3161" t="s">
        <v>3517</v>
      </c>
      <c r="H3161">
        <v>2.5</v>
      </c>
      <c r="I3161">
        <v>27.5</v>
      </c>
      <c r="J3161">
        <v>82.5</v>
      </c>
    </row>
    <row r="3162" spans="1:10" x14ac:dyDescent="0.25">
      <c r="A3162" t="s">
        <v>5687</v>
      </c>
      <c r="B3162" s="3">
        <v>45197</v>
      </c>
      <c r="C3162" t="s">
        <v>2411</v>
      </c>
      <c r="D3162" t="s">
        <v>3483</v>
      </c>
      <c r="E3162">
        <v>2</v>
      </c>
      <c r="F3162" t="s">
        <v>3523</v>
      </c>
      <c r="G3162" t="s">
        <v>3519</v>
      </c>
      <c r="H3162">
        <v>0.2</v>
      </c>
      <c r="I3162">
        <v>3.4</v>
      </c>
      <c r="J3162">
        <v>6.8</v>
      </c>
    </row>
    <row r="3163" spans="1:10" x14ac:dyDescent="0.25">
      <c r="A3163" t="s">
        <v>5688</v>
      </c>
      <c r="B3163" s="3">
        <v>45143</v>
      </c>
      <c r="C3163" t="s">
        <v>1125</v>
      </c>
      <c r="D3163" t="s">
        <v>3505</v>
      </c>
      <c r="E3163">
        <v>2</v>
      </c>
      <c r="F3163" t="s">
        <v>3524</v>
      </c>
      <c r="G3163" t="s">
        <v>3519</v>
      </c>
      <c r="H3163">
        <v>0.2</v>
      </c>
      <c r="I3163">
        <v>3</v>
      </c>
      <c r="J3163">
        <v>6</v>
      </c>
    </row>
    <row r="3164" spans="1:10" x14ac:dyDescent="0.25">
      <c r="A3164" t="s">
        <v>5689</v>
      </c>
      <c r="B3164" s="3">
        <v>45417</v>
      </c>
      <c r="C3164" t="s">
        <v>1142</v>
      </c>
      <c r="D3164" t="s">
        <v>3490</v>
      </c>
      <c r="E3164">
        <v>1</v>
      </c>
      <c r="F3164" t="s">
        <v>3525</v>
      </c>
      <c r="G3164" t="s">
        <v>3519</v>
      </c>
      <c r="H3164">
        <v>0.2</v>
      </c>
      <c r="I3164">
        <v>4.4000000000000004</v>
      </c>
      <c r="J3164">
        <v>4.4000000000000004</v>
      </c>
    </row>
    <row r="3165" spans="1:10" x14ac:dyDescent="0.25">
      <c r="A3165" t="s">
        <v>5690</v>
      </c>
      <c r="B3165" s="3">
        <v>45007</v>
      </c>
      <c r="C3165" t="s">
        <v>2560</v>
      </c>
      <c r="D3165" t="s">
        <v>3494</v>
      </c>
      <c r="E3165">
        <v>4</v>
      </c>
      <c r="F3165" t="s">
        <v>3524</v>
      </c>
      <c r="G3165" t="s">
        <v>3518</v>
      </c>
      <c r="H3165">
        <v>0.2</v>
      </c>
      <c r="I3165">
        <v>2.7</v>
      </c>
      <c r="J3165">
        <v>10.8</v>
      </c>
    </row>
    <row r="3166" spans="1:10" x14ac:dyDescent="0.25">
      <c r="A3166" t="s">
        <v>5691</v>
      </c>
      <c r="B3166" s="3">
        <v>45331</v>
      </c>
      <c r="C3166" t="s">
        <v>2462</v>
      </c>
      <c r="D3166" t="s">
        <v>3490</v>
      </c>
      <c r="E3166">
        <v>2</v>
      </c>
      <c r="F3166" t="s">
        <v>3525</v>
      </c>
      <c r="G3166" t="s">
        <v>3519</v>
      </c>
      <c r="H3166">
        <v>0.2</v>
      </c>
      <c r="I3166">
        <v>4.4000000000000004</v>
      </c>
      <c r="J3166">
        <v>8.8000000000000007</v>
      </c>
    </row>
    <row r="3167" spans="1:10" x14ac:dyDescent="0.25">
      <c r="A3167" t="s">
        <v>5692</v>
      </c>
      <c r="B3167" s="3">
        <v>45124</v>
      </c>
      <c r="C3167" t="s">
        <v>701</v>
      </c>
      <c r="D3167" t="s">
        <v>3515</v>
      </c>
      <c r="E3167">
        <v>3</v>
      </c>
      <c r="F3167" t="s">
        <v>3526</v>
      </c>
      <c r="G3167" t="s">
        <v>3517</v>
      </c>
      <c r="H3167">
        <v>0.2</v>
      </c>
      <c r="I3167">
        <v>4.5</v>
      </c>
      <c r="J3167">
        <v>13.5</v>
      </c>
    </row>
    <row r="3168" spans="1:10" x14ac:dyDescent="0.25">
      <c r="A3168" t="s">
        <v>5693</v>
      </c>
      <c r="B3168" s="3">
        <v>45242</v>
      </c>
      <c r="C3168" t="s">
        <v>2786</v>
      </c>
      <c r="D3168" t="s">
        <v>3489</v>
      </c>
      <c r="E3168">
        <v>3</v>
      </c>
      <c r="F3168" t="s">
        <v>3523</v>
      </c>
      <c r="G3168" t="s">
        <v>3518</v>
      </c>
      <c r="H3168">
        <v>0.5</v>
      </c>
      <c r="I3168">
        <v>6</v>
      </c>
      <c r="J3168">
        <v>18</v>
      </c>
    </row>
    <row r="3169" spans="1:10" x14ac:dyDescent="0.25">
      <c r="A3169" t="s">
        <v>5694</v>
      </c>
      <c r="B3169" s="3">
        <v>45139</v>
      </c>
      <c r="C3169" t="s">
        <v>848</v>
      </c>
      <c r="D3169" t="s">
        <v>3469</v>
      </c>
      <c r="E3169">
        <v>5</v>
      </c>
      <c r="F3169" t="s">
        <v>3524</v>
      </c>
      <c r="G3169" t="s">
        <v>3519</v>
      </c>
      <c r="H3169">
        <v>1</v>
      </c>
      <c r="I3169">
        <v>10</v>
      </c>
      <c r="J3169">
        <v>50</v>
      </c>
    </row>
    <row r="3170" spans="1:10" x14ac:dyDescent="0.25">
      <c r="A3170" t="s">
        <v>5695</v>
      </c>
      <c r="B3170" s="3">
        <v>43776</v>
      </c>
      <c r="C3170" t="s">
        <v>2687</v>
      </c>
      <c r="D3170" t="s">
        <v>3503</v>
      </c>
      <c r="E3170">
        <v>2</v>
      </c>
      <c r="F3170" t="s">
        <v>3524</v>
      </c>
      <c r="G3170" t="s">
        <v>3518</v>
      </c>
      <c r="H3170">
        <v>0.5</v>
      </c>
      <c r="I3170">
        <v>5.4</v>
      </c>
      <c r="J3170">
        <v>10.8</v>
      </c>
    </row>
    <row r="3171" spans="1:10" x14ac:dyDescent="0.25">
      <c r="A3171" t="s">
        <v>5696</v>
      </c>
      <c r="B3171" s="3">
        <v>44846</v>
      </c>
      <c r="C3171" t="s">
        <v>3148</v>
      </c>
      <c r="D3171" t="s">
        <v>3495</v>
      </c>
      <c r="E3171">
        <v>6</v>
      </c>
      <c r="F3171" t="s">
        <v>3525</v>
      </c>
      <c r="G3171" t="s">
        <v>3517</v>
      </c>
      <c r="H3171">
        <v>2.5</v>
      </c>
      <c r="I3171">
        <v>36.5</v>
      </c>
      <c r="J3171">
        <v>219</v>
      </c>
    </row>
    <row r="3172" spans="1:10" x14ac:dyDescent="0.25">
      <c r="A3172" t="s">
        <v>5697</v>
      </c>
      <c r="B3172" s="3">
        <v>44705</v>
      </c>
      <c r="C3172" t="s">
        <v>2384</v>
      </c>
      <c r="D3172" t="s">
        <v>3504</v>
      </c>
      <c r="E3172">
        <v>2</v>
      </c>
      <c r="F3172" t="s">
        <v>3524</v>
      </c>
      <c r="G3172" t="s">
        <v>3517</v>
      </c>
      <c r="H3172">
        <v>0.5</v>
      </c>
      <c r="I3172">
        <v>7.2</v>
      </c>
      <c r="J3172">
        <v>14.4</v>
      </c>
    </row>
    <row r="3173" spans="1:10" x14ac:dyDescent="0.25">
      <c r="A3173" t="s">
        <v>5698</v>
      </c>
      <c r="B3173" s="3">
        <v>45303</v>
      </c>
      <c r="C3173" t="s">
        <v>1857</v>
      </c>
      <c r="D3173" t="s">
        <v>3486</v>
      </c>
      <c r="E3173">
        <v>5</v>
      </c>
      <c r="F3173" t="s">
        <v>3523</v>
      </c>
      <c r="G3173" t="s">
        <v>3519</v>
      </c>
      <c r="H3173">
        <v>1</v>
      </c>
      <c r="I3173">
        <v>11.3</v>
      </c>
      <c r="J3173">
        <v>56.5</v>
      </c>
    </row>
    <row r="3174" spans="1:10" x14ac:dyDescent="0.25">
      <c r="A3174" t="s">
        <v>5699</v>
      </c>
      <c r="B3174" s="3">
        <v>43621</v>
      </c>
      <c r="C3174" t="s">
        <v>2260</v>
      </c>
      <c r="D3174" t="s">
        <v>3481</v>
      </c>
      <c r="E3174">
        <v>1</v>
      </c>
      <c r="F3174" t="s">
        <v>3525</v>
      </c>
      <c r="G3174" t="s">
        <v>3518</v>
      </c>
      <c r="H3174">
        <v>0.2</v>
      </c>
      <c r="I3174">
        <v>3.9</v>
      </c>
      <c r="J3174">
        <v>3.9</v>
      </c>
    </row>
    <row r="3175" spans="1:10" x14ac:dyDescent="0.25">
      <c r="A3175" t="s">
        <v>5700</v>
      </c>
      <c r="B3175" s="3">
        <v>45082</v>
      </c>
      <c r="C3175" t="s">
        <v>965</v>
      </c>
      <c r="D3175" t="s">
        <v>3504</v>
      </c>
      <c r="E3175">
        <v>3</v>
      </c>
      <c r="F3175" t="s">
        <v>3524</v>
      </c>
      <c r="G3175" t="s">
        <v>3517</v>
      </c>
      <c r="H3175">
        <v>0.5</v>
      </c>
      <c r="I3175">
        <v>7.2</v>
      </c>
      <c r="J3175">
        <v>21.6</v>
      </c>
    </row>
    <row r="3176" spans="1:10" x14ac:dyDescent="0.25">
      <c r="A3176" t="s">
        <v>5701</v>
      </c>
      <c r="B3176" s="3">
        <v>45622</v>
      </c>
      <c r="C3176" t="s">
        <v>1526</v>
      </c>
      <c r="D3176" t="s">
        <v>3479</v>
      </c>
      <c r="E3176">
        <v>6</v>
      </c>
      <c r="F3176" t="s">
        <v>3526</v>
      </c>
      <c r="G3176" t="s">
        <v>3517</v>
      </c>
      <c r="H3176">
        <v>2.5</v>
      </c>
      <c r="I3176">
        <v>34.200000000000003</v>
      </c>
      <c r="J3176">
        <v>205.2</v>
      </c>
    </row>
    <row r="3177" spans="1:10" x14ac:dyDescent="0.25">
      <c r="A3177" t="s">
        <v>5702</v>
      </c>
      <c r="B3177" s="3">
        <v>45004</v>
      </c>
      <c r="C3177" t="s">
        <v>1306</v>
      </c>
      <c r="D3177" t="s">
        <v>3476</v>
      </c>
      <c r="E3177">
        <v>5</v>
      </c>
      <c r="F3177" t="s">
        <v>3525</v>
      </c>
      <c r="G3177" t="s">
        <v>3517</v>
      </c>
      <c r="H3177">
        <v>0.2</v>
      </c>
      <c r="I3177">
        <v>4.8</v>
      </c>
      <c r="J3177">
        <v>24</v>
      </c>
    </row>
    <row r="3178" spans="1:10" x14ac:dyDescent="0.25">
      <c r="A3178" t="s">
        <v>5703</v>
      </c>
      <c r="B3178" s="3">
        <v>45581</v>
      </c>
      <c r="C3178" t="s">
        <v>1038</v>
      </c>
      <c r="D3178" t="s">
        <v>3500</v>
      </c>
      <c r="E3178">
        <v>1</v>
      </c>
      <c r="F3178" t="s">
        <v>3525</v>
      </c>
      <c r="G3178" t="s">
        <v>3518</v>
      </c>
      <c r="H3178">
        <v>0.5</v>
      </c>
      <c r="I3178">
        <v>7.8</v>
      </c>
      <c r="J3178">
        <v>7.8</v>
      </c>
    </row>
    <row r="3179" spans="1:10" x14ac:dyDescent="0.25">
      <c r="A3179" t="s">
        <v>5704</v>
      </c>
      <c r="B3179" s="3">
        <v>44146</v>
      </c>
      <c r="C3179" t="s">
        <v>2426</v>
      </c>
      <c r="D3179" t="s">
        <v>3495</v>
      </c>
      <c r="E3179">
        <v>2</v>
      </c>
      <c r="F3179" t="s">
        <v>3525</v>
      </c>
      <c r="G3179" t="s">
        <v>3517</v>
      </c>
      <c r="H3179">
        <v>2.5</v>
      </c>
      <c r="I3179">
        <v>36.5</v>
      </c>
      <c r="J3179">
        <v>73</v>
      </c>
    </row>
    <row r="3180" spans="1:10" x14ac:dyDescent="0.25">
      <c r="A3180" t="s">
        <v>5705</v>
      </c>
      <c r="B3180" s="3">
        <v>43969</v>
      </c>
      <c r="C3180" t="s">
        <v>3205</v>
      </c>
      <c r="D3180" t="s">
        <v>3486</v>
      </c>
      <c r="E3180">
        <v>4</v>
      </c>
      <c r="F3180" t="s">
        <v>3523</v>
      </c>
      <c r="G3180" t="s">
        <v>3519</v>
      </c>
      <c r="H3180">
        <v>1</v>
      </c>
      <c r="I3180">
        <v>11.3</v>
      </c>
      <c r="J3180">
        <v>45.2</v>
      </c>
    </row>
    <row r="3181" spans="1:10" x14ac:dyDescent="0.25">
      <c r="A3181" t="s">
        <v>5706</v>
      </c>
      <c r="B3181" s="3">
        <v>44737</v>
      </c>
      <c r="C3181" t="s">
        <v>1803</v>
      </c>
      <c r="D3181" t="s">
        <v>3481</v>
      </c>
      <c r="E3181">
        <v>2</v>
      </c>
      <c r="F3181" t="s">
        <v>3525</v>
      </c>
      <c r="G3181" t="s">
        <v>3518</v>
      </c>
      <c r="H3181">
        <v>0.2</v>
      </c>
      <c r="I3181">
        <v>3.9</v>
      </c>
      <c r="J3181">
        <v>7.8</v>
      </c>
    </row>
    <row r="3182" spans="1:10" x14ac:dyDescent="0.25">
      <c r="A3182" t="s">
        <v>5707</v>
      </c>
      <c r="B3182" s="3">
        <v>44268</v>
      </c>
      <c r="C3182" t="s">
        <v>2009</v>
      </c>
      <c r="D3182" t="s">
        <v>3470</v>
      </c>
      <c r="E3182">
        <v>2</v>
      </c>
      <c r="F3182" t="s">
        <v>3526</v>
      </c>
      <c r="G3182" t="s">
        <v>3519</v>
      </c>
      <c r="H3182">
        <v>0.5</v>
      </c>
      <c r="I3182">
        <v>8.3000000000000007</v>
      </c>
      <c r="J3182">
        <v>16.600000000000001</v>
      </c>
    </row>
    <row r="3183" spans="1:10" x14ac:dyDescent="0.25">
      <c r="A3183" t="s">
        <v>5708</v>
      </c>
      <c r="B3183" s="3">
        <v>43875</v>
      </c>
      <c r="C3183" t="s">
        <v>2497</v>
      </c>
      <c r="D3183" t="s">
        <v>3514</v>
      </c>
      <c r="E3183">
        <v>2</v>
      </c>
      <c r="F3183" t="s">
        <v>3526</v>
      </c>
      <c r="G3183" t="s">
        <v>3518</v>
      </c>
      <c r="H3183">
        <v>1</v>
      </c>
      <c r="I3183">
        <v>12.2</v>
      </c>
      <c r="J3183">
        <v>24.4</v>
      </c>
    </row>
    <row r="3184" spans="1:10" x14ac:dyDescent="0.25">
      <c r="A3184" t="s">
        <v>5709</v>
      </c>
      <c r="B3184" s="3">
        <v>43823</v>
      </c>
      <c r="C3184" t="s">
        <v>3455</v>
      </c>
      <c r="D3184" t="s">
        <v>3501</v>
      </c>
      <c r="E3184">
        <v>5</v>
      </c>
      <c r="F3184" t="s">
        <v>3525</v>
      </c>
      <c r="G3184" t="s">
        <v>3517</v>
      </c>
      <c r="H3184">
        <v>1</v>
      </c>
      <c r="I3184">
        <v>15.9</v>
      </c>
      <c r="J3184">
        <v>79.5</v>
      </c>
    </row>
    <row r="3185" spans="1:10" x14ac:dyDescent="0.25">
      <c r="A3185" t="s">
        <v>5710</v>
      </c>
      <c r="B3185" s="3">
        <v>45268</v>
      </c>
      <c r="C3185" t="s">
        <v>2071</v>
      </c>
      <c r="D3185" t="s">
        <v>3475</v>
      </c>
      <c r="E3185">
        <v>2</v>
      </c>
      <c r="F3185" t="s">
        <v>3526</v>
      </c>
      <c r="G3185" t="s">
        <v>3518</v>
      </c>
      <c r="H3185">
        <v>0.5</v>
      </c>
      <c r="I3185">
        <v>7.3</v>
      </c>
      <c r="J3185">
        <v>14.6</v>
      </c>
    </row>
    <row r="3186" spans="1:10" x14ac:dyDescent="0.25">
      <c r="A3186" t="s">
        <v>5711</v>
      </c>
      <c r="B3186" s="3">
        <v>44990</v>
      </c>
      <c r="C3186" t="s">
        <v>2977</v>
      </c>
      <c r="D3186" t="s">
        <v>3515</v>
      </c>
      <c r="E3186">
        <v>3</v>
      </c>
      <c r="F3186" t="s">
        <v>3526</v>
      </c>
      <c r="G3186" t="s">
        <v>3517</v>
      </c>
      <c r="H3186">
        <v>0.2</v>
      </c>
      <c r="I3186">
        <v>4.5</v>
      </c>
      <c r="J3186">
        <v>13.5</v>
      </c>
    </row>
    <row r="3187" spans="1:10" x14ac:dyDescent="0.25">
      <c r="A3187" t="s">
        <v>5712</v>
      </c>
      <c r="B3187" s="3">
        <v>44696</v>
      </c>
      <c r="C3187" t="s">
        <v>2554</v>
      </c>
      <c r="D3187" t="s">
        <v>3474</v>
      </c>
      <c r="E3187">
        <v>3</v>
      </c>
      <c r="F3187" t="s">
        <v>3525</v>
      </c>
      <c r="G3187" t="s">
        <v>3518</v>
      </c>
      <c r="H3187">
        <v>1</v>
      </c>
      <c r="I3187">
        <v>13</v>
      </c>
      <c r="J3187">
        <v>39</v>
      </c>
    </row>
    <row r="3188" spans="1:10" x14ac:dyDescent="0.25">
      <c r="A3188" t="s">
        <v>5713</v>
      </c>
      <c r="B3188" s="3">
        <v>44759</v>
      </c>
      <c r="C3188" t="s">
        <v>3214</v>
      </c>
      <c r="D3188" t="s">
        <v>3510</v>
      </c>
      <c r="E3188">
        <v>3</v>
      </c>
      <c r="F3188" t="s">
        <v>3524</v>
      </c>
      <c r="G3188" t="s">
        <v>3517</v>
      </c>
      <c r="H3188">
        <v>1</v>
      </c>
      <c r="I3188">
        <v>12</v>
      </c>
      <c r="J3188">
        <v>36</v>
      </c>
    </row>
    <row r="3189" spans="1:10" x14ac:dyDescent="0.25">
      <c r="A3189" t="s">
        <v>5714</v>
      </c>
      <c r="B3189" s="3">
        <v>45250</v>
      </c>
      <c r="C3189" t="s">
        <v>909</v>
      </c>
      <c r="D3189" t="s">
        <v>3475</v>
      </c>
      <c r="E3189">
        <v>1</v>
      </c>
      <c r="F3189" t="s">
        <v>3526</v>
      </c>
      <c r="G3189" t="s">
        <v>3518</v>
      </c>
      <c r="H3189">
        <v>0.5</v>
      </c>
      <c r="I3189">
        <v>7.3</v>
      </c>
      <c r="J3189">
        <v>7.3</v>
      </c>
    </row>
    <row r="3190" spans="1:10" x14ac:dyDescent="0.25">
      <c r="A3190" t="s">
        <v>5715</v>
      </c>
      <c r="B3190" s="3">
        <v>44605</v>
      </c>
      <c r="C3190" t="s">
        <v>1071</v>
      </c>
      <c r="D3190" t="s">
        <v>3487</v>
      </c>
      <c r="E3190">
        <v>3</v>
      </c>
      <c r="F3190" t="s">
        <v>3526</v>
      </c>
      <c r="G3190" t="s">
        <v>3519</v>
      </c>
      <c r="H3190">
        <v>0.2</v>
      </c>
      <c r="I3190">
        <v>4.0999999999999996</v>
      </c>
      <c r="J3190">
        <v>12.3</v>
      </c>
    </row>
    <row r="3191" spans="1:10" x14ac:dyDescent="0.25">
      <c r="A3191" t="s">
        <v>5716</v>
      </c>
      <c r="B3191" s="3">
        <v>45293</v>
      </c>
      <c r="C3191" t="s">
        <v>541</v>
      </c>
      <c r="D3191" t="s">
        <v>3476</v>
      </c>
      <c r="E3191">
        <v>3</v>
      </c>
      <c r="F3191" t="s">
        <v>3525</v>
      </c>
      <c r="G3191" t="s">
        <v>3517</v>
      </c>
      <c r="H3191">
        <v>0.2</v>
      </c>
      <c r="I3191">
        <v>4.8</v>
      </c>
      <c r="J3191">
        <v>14.4</v>
      </c>
    </row>
    <row r="3192" spans="1:10" x14ac:dyDescent="0.25">
      <c r="A3192" t="s">
        <v>5717</v>
      </c>
      <c r="B3192" s="3">
        <v>44906</v>
      </c>
      <c r="C3192" t="s">
        <v>3327</v>
      </c>
      <c r="D3192" t="s">
        <v>3504</v>
      </c>
      <c r="E3192">
        <v>4</v>
      </c>
      <c r="F3192" t="s">
        <v>3524</v>
      </c>
      <c r="G3192" t="s">
        <v>3517</v>
      </c>
      <c r="H3192">
        <v>0.5</v>
      </c>
      <c r="I3192">
        <v>7.2</v>
      </c>
      <c r="J3192">
        <v>28.8</v>
      </c>
    </row>
    <row r="3193" spans="1:10" x14ac:dyDescent="0.25">
      <c r="A3193" t="s">
        <v>5718</v>
      </c>
      <c r="B3193" s="3">
        <v>44880</v>
      </c>
      <c r="C3193" t="s">
        <v>2044</v>
      </c>
      <c r="D3193" t="s">
        <v>3516</v>
      </c>
      <c r="E3193">
        <v>3</v>
      </c>
      <c r="F3193" t="s">
        <v>3526</v>
      </c>
      <c r="G3193" t="s">
        <v>3518</v>
      </c>
      <c r="H3193">
        <v>2.5</v>
      </c>
      <c r="I3193">
        <v>27.9</v>
      </c>
      <c r="J3193">
        <v>83.7</v>
      </c>
    </row>
    <row r="3194" spans="1:10" x14ac:dyDescent="0.25">
      <c r="A3194" t="s">
        <v>5719</v>
      </c>
      <c r="B3194" s="3">
        <v>45387</v>
      </c>
      <c r="C3194" t="s">
        <v>722</v>
      </c>
      <c r="D3194" t="s">
        <v>3506</v>
      </c>
      <c r="E3194">
        <v>3</v>
      </c>
      <c r="F3194" t="s">
        <v>3523</v>
      </c>
      <c r="G3194" t="s">
        <v>3519</v>
      </c>
      <c r="H3194">
        <v>2.5</v>
      </c>
      <c r="I3194">
        <v>25.9</v>
      </c>
      <c r="J3194">
        <v>77.7</v>
      </c>
    </row>
    <row r="3195" spans="1:10" x14ac:dyDescent="0.25">
      <c r="A3195" t="s">
        <v>5720</v>
      </c>
      <c r="B3195" s="3">
        <v>45018</v>
      </c>
      <c r="C3195" t="s">
        <v>799</v>
      </c>
      <c r="D3195" t="s">
        <v>3469</v>
      </c>
      <c r="E3195">
        <v>2</v>
      </c>
      <c r="F3195" t="s">
        <v>3524</v>
      </c>
      <c r="G3195" t="s">
        <v>3519</v>
      </c>
      <c r="H3195">
        <v>1</v>
      </c>
      <c r="I3195">
        <v>10</v>
      </c>
      <c r="J3195">
        <v>20</v>
      </c>
    </row>
    <row r="3196" spans="1:10" x14ac:dyDescent="0.25">
      <c r="A3196" t="s">
        <v>5721</v>
      </c>
      <c r="B3196" s="3">
        <v>44948</v>
      </c>
      <c r="C3196" t="s">
        <v>1699</v>
      </c>
      <c r="D3196" t="s">
        <v>3513</v>
      </c>
      <c r="E3196">
        <v>1</v>
      </c>
      <c r="F3196" t="s">
        <v>3523</v>
      </c>
      <c r="G3196" t="s">
        <v>3517</v>
      </c>
      <c r="H3196">
        <v>2.5</v>
      </c>
      <c r="I3196">
        <v>29.8</v>
      </c>
      <c r="J3196">
        <v>29.8</v>
      </c>
    </row>
    <row r="3197" spans="1:10" x14ac:dyDescent="0.25">
      <c r="A3197" t="s">
        <v>5722</v>
      </c>
      <c r="B3197" s="3">
        <v>45368</v>
      </c>
      <c r="C3197" t="s">
        <v>2071</v>
      </c>
      <c r="D3197" t="s">
        <v>3471</v>
      </c>
      <c r="E3197">
        <v>3</v>
      </c>
      <c r="F3197" t="s">
        <v>3523</v>
      </c>
      <c r="G3197" t="s">
        <v>3517</v>
      </c>
      <c r="H3197">
        <v>1</v>
      </c>
      <c r="I3197">
        <v>13</v>
      </c>
      <c r="J3197">
        <v>39</v>
      </c>
    </row>
    <row r="3198" spans="1:10" x14ac:dyDescent="0.25">
      <c r="A3198" t="s">
        <v>5723</v>
      </c>
      <c r="B3198" s="3">
        <v>45407</v>
      </c>
      <c r="C3198" t="s">
        <v>1503</v>
      </c>
      <c r="D3198" t="s">
        <v>3488</v>
      </c>
      <c r="E3198">
        <v>4</v>
      </c>
      <c r="F3198" t="s">
        <v>3523</v>
      </c>
      <c r="G3198" t="s">
        <v>3519</v>
      </c>
      <c r="H3198">
        <v>0.5</v>
      </c>
      <c r="I3198">
        <v>6.8</v>
      </c>
      <c r="J3198">
        <v>27.2</v>
      </c>
    </row>
    <row r="3199" spans="1:10" x14ac:dyDescent="0.25">
      <c r="A3199" t="s">
        <v>5724</v>
      </c>
      <c r="B3199" s="3">
        <v>44589</v>
      </c>
      <c r="C3199" t="s">
        <v>3255</v>
      </c>
      <c r="D3199" t="s">
        <v>3515</v>
      </c>
      <c r="E3199">
        <v>1</v>
      </c>
      <c r="F3199" t="s">
        <v>3526</v>
      </c>
      <c r="G3199" t="s">
        <v>3517</v>
      </c>
      <c r="H3199">
        <v>0.2</v>
      </c>
      <c r="I3199">
        <v>4.5</v>
      </c>
      <c r="J3199">
        <v>4.5</v>
      </c>
    </row>
    <row r="3200" spans="1:10" x14ac:dyDescent="0.25">
      <c r="A3200" t="s">
        <v>5725</v>
      </c>
      <c r="B3200" s="3">
        <v>45077</v>
      </c>
      <c r="C3200" t="s">
        <v>3175</v>
      </c>
      <c r="D3200" t="s">
        <v>3498</v>
      </c>
      <c r="E3200">
        <v>3</v>
      </c>
      <c r="F3200" t="s">
        <v>3523</v>
      </c>
      <c r="G3200" t="s">
        <v>3517</v>
      </c>
      <c r="H3200">
        <v>0.2</v>
      </c>
      <c r="I3200">
        <v>3.9</v>
      </c>
      <c r="J3200">
        <v>11.7</v>
      </c>
    </row>
    <row r="3201" spans="1:10" x14ac:dyDescent="0.25">
      <c r="A3201" t="s">
        <v>5726</v>
      </c>
      <c r="B3201" s="3">
        <v>44501</v>
      </c>
      <c r="C3201" t="s">
        <v>3016</v>
      </c>
      <c r="D3201" t="s">
        <v>3477</v>
      </c>
      <c r="E3201">
        <v>4</v>
      </c>
      <c r="F3201" t="s">
        <v>3524</v>
      </c>
      <c r="G3201" t="s">
        <v>3519</v>
      </c>
      <c r="H3201">
        <v>0.5</v>
      </c>
      <c r="I3201">
        <v>6</v>
      </c>
      <c r="J3201">
        <v>24</v>
      </c>
    </row>
    <row r="3202" spans="1:10" x14ac:dyDescent="0.25">
      <c r="A3202" t="s">
        <v>5727</v>
      </c>
      <c r="B3202" s="3">
        <v>45246</v>
      </c>
      <c r="C3202" t="s">
        <v>1131</v>
      </c>
      <c r="D3202" t="s">
        <v>3486</v>
      </c>
      <c r="E3202">
        <v>5</v>
      </c>
      <c r="F3202" t="s">
        <v>3523</v>
      </c>
      <c r="G3202" t="s">
        <v>3519</v>
      </c>
      <c r="H3202">
        <v>1</v>
      </c>
      <c r="I3202">
        <v>11.3</v>
      </c>
      <c r="J3202">
        <v>56.5</v>
      </c>
    </row>
    <row r="3203" spans="1:10" x14ac:dyDescent="0.25">
      <c r="A3203" t="s">
        <v>5728</v>
      </c>
      <c r="B3203" s="3">
        <v>45274</v>
      </c>
      <c r="C3203" t="s">
        <v>3019</v>
      </c>
      <c r="D3203" t="s">
        <v>3507</v>
      </c>
      <c r="E3203">
        <v>6</v>
      </c>
      <c r="F3203" t="s">
        <v>3526</v>
      </c>
      <c r="G3203" t="s">
        <v>3517</v>
      </c>
      <c r="H3203">
        <v>0.5</v>
      </c>
      <c r="I3203">
        <v>8.9</v>
      </c>
      <c r="J3203">
        <v>53.4</v>
      </c>
    </row>
    <row r="3204" spans="1:10" x14ac:dyDescent="0.25">
      <c r="A3204" t="s">
        <v>5729</v>
      </c>
      <c r="B3204" s="3">
        <v>45378</v>
      </c>
      <c r="C3204" t="s">
        <v>2612</v>
      </c>
      <c r="D3204" t="s">
        <v>3487</v>
      </c>
      <c r="E3204">
        <v>3</v>
      </c>
      <c r="F3204" t="s">
        <v>3526</v>
      </c>
      <c r="G3204" t="s">
        <v>3519</v>
      </c>
      <c r="H3204">
        <v>0.2</v>
      </c>
      <c r="I3204">
        <v>4.0999999999999996</v>
      </c>
      <c r="J3204">
        <v>12.3</v>
      </c>
    </row>
    <row r="3205" spans="1:10" x14ac:dyDescent="0.25">
      <c r="A3205" t="s">
        <v>5730</v>
      </c>
      <c r="B3205" s="3">
        <v>44747</v>
      </c>
      <c r="C3205" t="s">
        <v>1616</v>
      </c>
      <c r="D3205" t="s">
        <v>3483</v>
      </c>
      <c r="E3205">
        <v>3</v>
      </c>
      <c r="F3205" t="s">
        <v>3523</v>
      </c>
      <c r="G3205" t="s">
        <v>3519</v>
      </c>
      <c r="H3205">
        <v>0.2</v>
      </c>
      <c r="I3205">
        <v>3.4</v>
      </c>
      <c r="J3205">
        <v>10.199999999999999</v>
      </c>
    </row>
    <row r="3206" spans="1:10" x14ac:dyDescent="0.25">
      <c r="A3206" t="s">
        <v>5731</v>
      </c>
      <c r="B3206" s="3">
        <v>43691</v>
      </c>
      <c r="C3206" t="s">
        <v>1128</v>
      </c>
      <c r="D3206" t="s">
        <v>3516</v>
      </c>
      <c r="E3206">
        <v>3</v>
      </c>
      <c r="F3206" t="s">
        <v>3526</v>
      </c>
      <c r="G3206" t="s">
        <v>3518</v>
      </c>
      <c r="H3206">
        <v>2.5</v>
      </c>
      <c r="I3206">
        <v>27.9</v>
      </c>
      <c r="J3206">
        <v>83.7</v>
      </c>
    </row>
    <row r="3207" spans="1:10" x14ac:dyDescent="0.25">
      <c r="A3207" t="s">
        <v>5732</v>
      </c>
      <c r="B3207" s="3">
        <v>44659</v>
      </c>
      <c r="C3207" t="s">
        <v>820</v>
      </c>
      <c r="D3207" t="s">
        <v>3507</v>
      </c>
      <c r="E3207">
        <v>2</v>
      </c>
      <c r="F3207" t="s">
        <v>3526</v>
      </c>
      <c r="G3207" t="s">
        <v>3517</v>
      </c>
      <c r="H3207">
        <v>0.5</v>
      </c>
      <c r="I3207">
        <v>8.9</v>
      </c>
      <c r="J3207">
        <v>17.8</v>
      </c>
    </row>
    <row r="3208" spans="1:10" x14ac:dyDescent="0.25">
      <c r="A3208" t="s">
        <v>5733</v>
      </c>
      <c r="B3208" s="3">
        <v>44824</v>
      </c>
      <c r="C3208" t="s">
        <v>3327</v>
      </c>
      <c r="D3208" t="s">
        <v>3488</v>
      </c>
      <c r="E3208">
        <v>4</v>
      </c>
      <c r="F3208" t="s">
        <v>3523</v>
      </c>
      <c r="G3208" t="s">
        <v>3519</v>
      </c>
      <c r="H3208">
        <v>0.5</v>
      </c>
      <c r="I3208">
        <v>6.8</v>
      </c>
      <c r="J3208">
        <v>27.2</v>
      </c>
    </row>
    <row r="3209" spans="1:10" x14ac:dyDescent="0.25">
      <c r="A3209" t="s">
        <v>5734</v>
      </c>
      <c r="B3209" s="3">
        <v>45604</v>
      </c>
      <c r="C3209" t="s">
        <v>814</v>
      </c>
      <c r="D3209" t="s">
        <v>3500</v>
      </c>
      <c r="E3209">
        <v>5</v>
      </c>
      <c r="F3209" t="s">
        <v>3525</v>
      </c>
      <c r="G3209" t="s">
        <v>3518</v>
      </c>
      <c r="H3209">
        <v>0.5</v>
      </c>
      <c r="I3209">
        <v>7.8</v>
      </c>
      <c r="J3209">
        <v>39</v>
      </c>
    </row>
    <row r="3210" spans="1:10" x14ac:dyDescent="0.25">
      <c r="A3210" t="s">
        <v>5735</v>
      </c>
      <c r="B3210" s="3">
        <v>43906</v>
      </c>
      <c r="C3210" t="s">
        <v>1908</v>
      </c>
      <c r="D3210" t="s">
        <v>3484</v>
      </c>
      <c r="E3210">
        <v>2</v>
      </c>
      <c r="F3210" t="s">
        <v>3526</v>
      </c>
      <c r="G3210" t="s">
        <v>3518</v>
      </c>
      <c r="H3210">
        <v>0.2</v>
      </c>
      <c r="I3210">
        <v>3.6</v>
      </c>
      <c r="J3210">
        <v>7.2</v>
      </c>
    </row>
    <row r="3211" spans="1:10" x14ac:dyDescent="0.25">
      <c r="A3211" t="s">
        <v>5736</v>
      </c>
      <c r="B3211" s="3">
        <v>45366</v>
      </c>
      <c r="C3211" t="s">
        <v>3157</v>
      </c>
      <c r="D3211" t="s">
        <v>3495</v>
      </c>
      <c r="E3211">
        <v>6</v>
      </c>
      <c r="F3211" t="s">
        <v>3525</v>
      </c>
      <c r="G3211" t="s">
        <v>3517</v>
      </c>
      <c r="H3211">
        <v>2.5</v>
      </c>
      <c r="I3211">
        <v>36.5</v>
      </c>
      <c r="J3211">
        <v>219</v>
      </c>
    </row>
    <row r="3212" spans="1:10" x14ac:dyDescent="0.25">
      <c r="A3212" t="s">
        <v>5737</v>
      </c>
      <c r="B3212" s="3">
        <v>45214</v>
      </c>
      <c r="C3212" t="s">
        <v>1511</v>
      </c>
      <c r="D3212" t="s">
        <v>3496</v>
      </c>
      <c r="E3212">
        <v>4</v>
      </c>
      <c r="F3212" t="s">
        <v>3525</v>
      </c>
      <c r="G3212" t="s">
        <v>3518</v>
      </c>
      <c r="H3212">
        <v>2.5</v>
      </c>
      <c r="I3212">
        <v>29.8</v>
      </c>
      <c r="J3212">
        <v>119.2</v>
      </c>
    </row>
    <row r="3213" spans="1:10" x14ac:dyDescent="0.25">
      <c r="A3213" t="s">
        <v>5738</v>
      </c>
      <c r="B3213" s="3">
        <v>44912</v>
      </c>
      <c r="C3213" t="s">
        <v>2717</v>
      </c>
      <c r="D3213" t="s">
        <v>3492</v>
      </c>
      <c r="E3213">
        <v>3</v>
      </c>
      <c r="F3213" t="s">
        <v>3525</v>
      </c>
      <c r="G3213" t="s">
        <v>3517</v>
      </c>
      <c r="H3213">
        <v>0.5</v>
      </c>
      <c r="I3213">
        <v>9.5</v>
      </c>
      <c r="J3213">
        <v>28.5</v>
      </c>
    </row>
    <row r="3214" spans="1:10" x14ac:dyDescent="0.25">
      <c r="A3214" t="s">
        <v>5739</v>
      </c>
      <c r="B3214" s="3">
        <v>45092</v>
      </c>
      <c r="C3214" t="s">
        <v>2074</v>
      </c>
      <c r="D3214" t="s">
        <v>3483</v>
      </c>
      <c r="E3214">
        <v>4</v>
      </c>
      <c r="F3214" t="s">
        <v>3523</v>
      </c>
      <c r="G3214" t="s">
        <v>3519</v>
      </c>
      <c r="H3214">
        <v>0.2</v>
      </c>
      <c r="I3214">
        <v>3.4</v>
      </c>
      <c r="J3214">
        <v>13.6</v>
      </c>
    </row>
    <row r="3215" spans="1:10" x14ac:dyDescent="0.25">
      <c r="A3215" t="s">
        <v>5740</v>
      </c>
      <c r="B3215" s="3">
        <v>44930</v>
      </c>
      <c r="C3215" t="s">
        <v>2995</v>
      </c>
      <c r="D3215" t="s">
        <v>3475</v>
      </c>
      <c r="E3215">
        <v>3</v>
      </c>
      <c r="F3215" t="s">
        <v>3526</v>
      </c>
      <c r="G3215" t="s">
        <v>3518</v>
      </c>
      <c r="H3215">
        <v>0.5</v>
      </c>
      <c r="I3215">
        <v>7.3</v>
      </c>
      <c r="J3215">
        <v>21.9</v>
      </c>
    </row>
    <row r="3216" spans="1:10" x14ac:dyDescent="0.25">
      <c r="A3216" t="s">
        <v>5741</v>
      </c>
      <c r="B3216" s="3">
        <v>44668</v>
      </c>
      <c r="C3216" t="s">
        <v>1573</v>
      </c>
      <c r="D3216" t="s">
        <v>3510</v>
      </c>
      <c r="E3216">
        <v>6</v>
      </c>
      <c r="F3216" t="s">
        <v>3524</v>
      </c>
      <c r="G3216" t="s">
        <v>3517</v>
      </c>
      <c r="H3216">
        <v>1</v>
      </c>
      <c r="I3216">
        <v>12</v>
      </c>
      <c r="J3216">
        <v>72</v>
      </c>
    </row>
    <row r="3217" spans="1:10" x14ac:dyDescent="0.25">
      <c r="A3217" t="s">
        <v>5742</v>
      </c>
      <c r="B3217" s="3">
        <v>44725</v>
      </c>
      <c r="C3217" t="s">
        <v>2263</v>
      </c>
      <c r="D3217" t="s">
        <v>3479</v>
      </c>
      <c r="E3217">
        <v>1</v>
      </c>
      <c r="F3217" t="s">
        <v>3526</v>
      </c>
      <c r="G3217" t="s">
        <v>3517</v>
      </c>
      <c r="H3217">
        <v>2.5</v>
      </c>
      <c r="I3217">
        <v>34.200000000000003</v>
      </c>
      <c r="J3217">
        <v>34.200000000000003</v>
      </c>
    </row>
    <row r="3218" spans="1:10" x14ac:dyDescent="0.25">
      <c r="A3218" t="s">
        <v>5743</v>
      </c>
      <c r="B3218" s="3">
        <v>44736</v>
      </c>
      <c r="C3218" t="s">
        <v>1336</v>
      </c>
      <c r="D3218" t="s">
        <v>3511</v>
      </c>
      <c r="E3218">
        <v>6</v>
      </c>
      <c r="F3218" t="s">
        <v>3523</v>
      </c>
      <c r="G3218" t="s">
        <v>3517</v>
      </c>
      <c r="H3218">
        <v>0.5</v>
      </c>
      <c r="I3218">
        <v>7.8</v>
      </c>
      <c r="J3218">
        <v>46.8</v>
      </c>
    </row>
    <row r="3219" spans="1:10" x14ac:dyDescent="0.25">
      <c r="A3219" t="s">
        <v>5744</v>
      </c>
      <c r="B3219" s="3">
        <v>43620</v>
      </c>
      <c r="C3219" t="s">
        <v>1452</v>
      </c>
      <c r="D3219" t="s">
        <v>3480</v>
      </c>
      <c r="E3219">
        <v>2</v>
      </c>
      <c r="F3219" t="s">
        <v>3524</v>
      </c>
      <c r="G3219" t="s">
        <v>3518</v>
      </c>
      <c r="H3219">
        <v>2.5</v>
      </c>
      <c r="I3219">
        <v>20.6</v>
      </c>
      <c r="J3219">
        <v>41.2</v>
      </c>
    </row>
    <row r="3220" spans="1:10" x14ac:dyDescent="0.25">
      <c r="A3220" t="s">
        <v>5745</v>
      </c>
      <c r="B3220" s="3">
        <v>45329</v>
      </c>
      <c r="C3220" t="s">
        <v>3118</v>
      </c>
      <c r="D3220" t="s">
        <v>3479</v>
      </c>
      <c r="E3220">
        <v>2</v>
      </c>
      <c r="F3220" t="s">
        <v>3526</v>
      </c>
      <c r="G3220" t="s">
        <v>3517</v>
      </c>
      <c r="H3220">
        <v>2.5</v>
      </c>
      <c r="I3220">
        <v>34.200000000000003</v>
      </c>
      <c r="J3220">
        <v>68.400000000000006</v>
      </c>
    </row>
    <row r="3221" spans="1:10" x14ac:dyDescent="0.25">
      <c r="A3221" t="s">
        <v>5746</v>
      </c>
      <c r="B3221" s="3">
        <v>45296</v>
      </c>
      <c r="C3221" t="s">
        <v>2530</v>
      </c>
      <c r="D3221" t="s">
        <v>3492</v>
      </c>
      <c r="E3221">
        <v>4</v>
      </c>
      <c r="F3221" t="s">
        <v>3525</v>
      </c>
      <c r="G3221" t="s">
        <v>3517</v>
      </c>
      <c r="H3221">
        <v>0.5</v>
      </c>
      <c r="I3221">
        <v>9.5</v>
      </c>
      <c r="J3221">
        <v>38</v>
      </c>
    </row>
    <row r="3222" spans="1:10" x14ac:dyDescent="0.25">
      <c r="A3222" t="s">
        <v>5747</v>
      </c>
      <c r="B3222" s="3">
        <v>45118</v>
      </c>
      <c r="C3222" t="s">
        <v>1508</v>
      </c>
      <c r="D3222" t="s">
        <v>3482</v>
      </c>
      <c r="E3222">
        <v>3</v>
      </c>
      <c r="F3222" t="s">
        <v>3524</v>
      </c>
      <c r="G3222" t="s">
        <v>3519</v>
      </c>
      <c r="H3222">
        <v>2.5</v>
      </c>
      <c r="I3222">
        <v>22.9</v>
      </c>
      <c r="J3222">
        <v>68.7</v>
      </c>
    </row>
    <row r="3223" spans="1:10" x14ac:dyDescent="0.25">
      <c r="A3223" t="s">
        <v>5748</v>
      </c>
      <c r="B3223" s="3">
        <v>45518</v>
      </c>
      <c r="C3223" t="s">
        <v>3211</v>
      </c>
      <c r="D3223" t="s">
        <v>3487</v>
      </c>
      <c r="E3223">
        <v>5</v>
      </c>
      <c r="F3223" t="s">
        <v>3526</v>
      </c>
      <c r="G3223" t="s">
        <v>3519</v>
      </c>
      <c r="H3223">
        <v>0.2</v>
      </c>
      <c r="I3223">
        <v>4.0999999999999996</v>
      </c>
      <c r="J3223">
        <v>20.5</v>
      </c>
    </row>
    <row r="3224" spans="1:10" x14ac:dyDescent="0.25">
      <c r="A3224" t="s">
        <v>5749</v>
      </c>
      <c r="B3224" s="3">
        <v>44264</v>
      </c>
      <c r="C3224" t="s">
        <v>3330</v>
      </c>
      <c r="D3224" t="s">
        <v>3495</v>
      </c>
      <c r="E3224">
        <v>5</v>
      </c>
      <c r="F3224" t="s">
        <v>3525</v>
      </c>
      <c r="G3224" t="s">
        <v>3517</v>
      </c>
      <c r="H3224">
        <v>2.5</v>
      </c>
      <c r="I3224">
        <v>36.5</v>
      </c>
      <c r="J3224">
        <v>182.5</v>
      </c>
    </row>
    <row r="3225" spans="1:10" x14ac:dyDescent="0.25">
      <c r="A3225" t="s">
        <v>5750</v>
      </c>
      <c r="B3225" s="3">
        <v>44998</v>
      </c>
      <c r="C3225" t="s">
        <v>857</v>
      </c>
      <c r="D3225" t="s">
        <v>3506</v>
      </c>
      <c r="E3225">
        <v>2</v>
      </c>
      <c r="F3225" t="s">
        <v>3523</v>
      </c>
      <c r="G3225" t="s">
        <v>3519</v>
      </c>
      <c r="H3225">
        <v>2.5</v>
      </c>
      <c r="I3225">
        <v>25.9</v>
      </c>
      <c r="J3225">
        <v>51.8</v>
      </c>
    </row>
    <row r="3226" spans="1:10" x14ac:dyDescent="0.25">
      <c r="A3226" t="s">
        <v>5751</v>
      </c>
      <c r="B3226" s="3">
        <v>45257</v>
      </c>
      <c r="C3226" t="s">
        <v>1452</v>
      </c>
      <c r="D3226" t="s">
        <v>3494</v>
      </c>
      <c r="E3226">
        <v>4</v>
      </c>
      <c r="F3226" t="s">
        <v>3524</v>
      </c>
      <c r="G3226" t="s">
        <v>3518</v>
      </c>
      <c r="H3226">
        <v>0.2</v>
      </c>
      <c r="I3226">
        <v>2.7</v>
      </c>
      <c r="J3226">
        <v>10.8</v>
      </c>
    </row>
    <row r="3227" spans="1:10" x14ac:dyDescent="0.25">
      <c r="A3227" t="s">
        <v>5752</v>
      </c>
      <c r="B3227" s="3">
        <v>45534</v>
      </c>
      <c r="C3227" t="s">
        <v>796</v>
      </c>
      <c r="D3227" t="s">
        <v>3484</v>
      </c>
      <c r="E3227">
        <v>4</v>
      </c>
      <c r="F3227" t="s">
        <v>3526</v>
      </c>
      <c r="G3227" t="s">
        <v>3518</v>
      </c>
      <c r="H3227">
        <v>0.2</v>
      </c>
      <c r="I3227">
        <v>3.6</v>
      </c>
      <c r="J3227">
        <v>14.4</v>
      </c>
    </row>
    <row r="3228" spans="1:10" x14ac:dyDescent="0.25">
      <c r="A3228" t="s">
        <v>5753</v>
      </c>
      <c r="B3228" s="3">
        <v>45138</v>
      </c>
      <c r="C3228" t="s">
        <v>1303</v>
      </c>
      <c r="D3228" t="s">
        <v>3514</v>
      </c>
      <c r="E3228">
        <v>4</v>
      </c>
      <c r="F3228" t="s">
        <v>3526</v>
      </c>
      <c r="G3228" t="s">
        <v>3518</v>
      </c>
      <c r="H3228">
        <v>1</v>
      </c>
      <c r="I3228">
        <v>12.2</v>
      </c>
      <c r="J3228">
        <v>48.8</v>
      </c>
    </row>
    <row r="3229" spans="1:10" x14ac:dyDescent="0.25">
      <c r="A3229" t="s">
        <v>5754</v>
      </c>
      <c r="B3229" s="3">
        <v>45199</v>
      </c>
      <c r="C3229" t="s">
        <v>3438</v>
      </c>
      <c r="D3229" t="s">
        <v>3507</v>
      </c>
      <c r="E3229">
        <v>2</v>
      </c>
      <c r="F3229" t="s">
        <v>3526</v>
      </c>
      <c r="G3229" t="s">
        <v>3517</v>
      </c>
      <c r="H3229">
        <v>0.5</v>
      </c>
      <c r="I3229">
        <v>8.9</v>
      </c>
      <c r="J3229">
        <v>17.8</v>
      </c>
    </row>
    <row r="3230" spans="1:10" x14ac:dyDescent="0.25">
      <c r="A3230" t="s">
        <v>5755</v>
      </c>
      <c r="B3230" s="3">
        <v>45019</v>
      </c>
      <c r="C3230" t="s">
        <v>1372</v>
      </c>
      <c r="D3230" t="s">
        <v>3505</v>
      </c>
      <c r="E3230">
        <v>5</v>
      </c>
      <c r="F3230" t="s">
        <v>3524</v>
      </c>
      <c r="G3230" t="s">
        <v>3519</v>
      </c>
      <c r="H3230">
        <v>0.2</v>
      </c>
      <c r="I3230">
        <v>3</v>
      </c>
      <c r="J3230">
        <v>15</v>
      </c>
    </row>
    <row r="3231" spans="1:10" x14ac:dyDescent="0.25">
      <c r="A3231" t="s">
        <v>5756</v>
      </c>
      <c r="B3231" s="3">
        <v>44812</v>
      </c>
      <c r="C3231" t="s">
        <v>589</v>
      </c>
      <c r="D3231" t="s">
        <v>3470</v>
      </c>
      <c r="E3231">
        <v>6</v>
      </c>
      <c r="F3231" t="s">
        <v>3526</v>
      </c>
      <c r="G3231" t="s">
        <v>3519</v>
      </c>
      <c r="H3231">
        <v>0.5</v>
      </c>
      <c r="I3231">
        <v>8.3000000000000007</v>
      </c>
      <c r="J3231">
        <v>49.8</v>
      </c>
    </row>
    <row r="3232" spans="1:10" x14ac:dyDescent="0.25">
      <c r="A3232" t="s">
        <v>5757</v>
      </c>
      <c r="B3232" s="3">
        <v>43783</v>
      </c>
      <c r="C3232" t="s">
        <v>511</v>
      </c>
      <c r="D3232" t="s">
        <v>3501</v>
      </c>
      <c r="E3232">
        <v>2</v>
      </c>
      <c r="F3232" t="s">
        <v>3525</v>
      </c>
      <c r="G3232" t="s">
        <v>3517</v>
      </c>
      <c r="H3232">
        <v>1</v>
      </c>
      <c r="I3232">
        <v>15.9</v>
      </c>
      <c r="J3232">
        <v>31.8</v>
      </c>
    </row>
    <row r="3233" spans="1:10" x14ac:dyDescent="0.25">
      <c r="A3233" t="s">
        <v>5758</v>
      </c>
      <c r="B3233" s="3">
        <v>44342</v>
      </c>
      <c r="C3233" t="s">
        <v>1717</v>
      </c>
      <c r="D3233" t="s">
        <v>3510</v>
      </c>
      <c r="E3233">
        <v>6</v>
      </c>
      <c r="F3233" t="s">
        <v>3524</v>
      </c>
      <c r="G3233" t="s">
        <v>3517</v>
      </c>
      <c r="H3233">
        <v>1</v>
      </c>
      <c r="I3233">
        <v>12</v>
      </c>
      <c r="J3233">
        <v>72</v>
      </c>
    </row>
    <row r="3234" spans="1:10" x14ac:dyDescent="0.25">
      <c r="A3234" t="s">
        <v>5759</v>
      </c>
      <c r="B3234" s="3">
        <v>45002</v>
      </c>
      <c r="C3234" t="s">
        <v>1094</v>
      </c>
      <c r="D3234" t="s">
        <v>3490</v>
      </c>
      <c r="E3234">
        <v>2</v>
      </c>
      <c r="F3234" t="s">
        <v>3525</v>
      </c>
      <c r="G3234" t="s">
        <v>3519</v>
      </c>
      <c r="H3234">
        <v>0.2</v>
      </c>
      <c r="I3234">
        <v>4.4000000000000004</v>
      </c>
      <c r="J3234">
        <v>8.8000000000000007</v>
      </c>
    </row>
    <row r="3235" spans="1:10" x14ac:dyDescent="0.25">
      <c r="A3235" t="s">
        <v>5760</v>
      </c>
      <c r="B3235" s="3">
        <v>44860</v>
      </c>
      <c r="C3235" t="s">
        <v>2539</v>
      </c>
      <c r="D3235" t="s">
        <v>3493</v>
      </c>
      <c r="E3235">
        <v>2</v>
      </c>
      <c r="F3235" t="s">
        <v>3525</v>
      </c>
      <c r="G3235" t="s">
        <v>3519</v>
      </c>
      <c r="H3235">
        <v>1</v>
      </c>
      <c r="I3235">
        <v>14.6</v>
      </c>
      <c r="J3235">
        <v>29.2</v>
      </c>
    </row>
    <row r="3236" spans="1:10" x14ac:dyDescent="0.25">
      <c r="A3236" t="s">
        <v>5761</v>
      </c>
      <c r="B3236" s="3">
        <v>44827</v>
      </c>
      <c r="C3236" t="s">
        <v>2524</v>
      </c>
      <c r="D3236" t="s">
        <v>3473</v>
      </c>
      <c r="E3236">
        <v>3</v>
      </c>
      <c r="F3236" t="s">
        <v>3524</v>
      </c>
      <c r="G3236" t="s">
        <v>3517</v>
      </c>
      <c r="H3236">
        <v>2.5</v>
      </c>
      <c r="I3236">
        <v>27.5</v>
      </c>
      <c r="J3236">
        <v>82.5</v>
      </c>
    </row>
    <row r="3237" spans="1:10" x14ac:dyDescent="0.25">
      <c r="A3237" t="s">
        <v>5762</v>
      </c>
      <c r="B3237" s="3">
        <v>44438</v>
      </c>
      <c r="C3237" t="s">
        <v>2341</v>
      </c>
      <c r="D3237" t="s">
        <v>3471</v>
      </c>
      <c r="E3237">
        <v>6</v>
      </c>
      <c r="F3237" t="s">
        <v>3523</v>
      </c>
      <c r="G3237" t="s">
        <v>3517</v>
      </c>
      <c r="H3237">
        <v>1</v>
      </c>
      <c r="I3237">
        <v>13</v>
      </c>
      <c r="J3237">
        <v>78</v>
      </c>
    </row>
    <row r="3238" spans="1:10" x14ac:dyDescent="0.25">
      <c r="A3238" t="s">
        <v>5763</v>
      </c>
      <c r="B3238" s="3">
        <v>45167</v>
      </c>
      <c r="C3238" t="s">
        <v>2296</v>
      </c>
      <c r="D3238" t="s">
        <v>3515</v>
      </c>
      <c r="E3238">
        <v>6</v>
      </c>
      <c r="F3238" t="s">
        <v>3526</v>
      </c>
      <c r="G3238" t="s">
        <v>3517</v>
      </c>
      <c r="H3238">
        <v>0.2</v>
      </c>
      <c r="I3238">
        <v>4.5</v>
      </c>
      <c r="J3238">
        <v>27</v>
      </c>
    </row>
    <row r="3239" spans="1:10" x14ac:dyDescent="0.25">
      <c r="A3239" t="s">
        <v>5764</v>
      </c>
      <c r="B3239" s="3">
        <v>45104</v>
      </c>
      <c r="C3239" t="s">
        <v>2575</v>
      </c>
      <c r="D3239" t="s">
        <v>3479</v>
      </c>
      <c r="E3239">
        <v>6</v>
      </c>
      <c r="F3239" t="s">
        <v>3526</v>
      </c>
      <c r="G3239" t="s">
        <v>3517</v>
      </c>
      <c r="H3239">
        <v>2.5</v>
      </c>
      <c r="I3239">
        <v>34.200000000000003</v>
      </c>
      <c r="J3239">
        <v>205.2</v>
      </c>
    </row>
    <row r="3240" spans="1:10" x14ac:dyDescent="0.25">
      <c r="A3240" t="s">
        <v>5765</v>
      </c>
      <c r="B3240" s="3">
        <v>44880</v>
      </c>
      <c r="C3240" t="s">
        <v>1247</v>
      </c>
      <c r="D3240" t="s">
        <v>3509</v>
      </c>
      <c r="E3240">
        <v>6</v>
      </c>
      <c r="F3240" t="s">
        <v>3524</v>
      </c>
      <c r="G3240" t="s">
        <v>3517</v>
      </c>
      <c r="H3240">
        <v>0.2</v>
      </c>
      <c r="I3240">
        <v>3.6</v>
      </c>
      <c r="J3240">
        <v>21.6</v>
      </c>
    </row>
    <row r="3241" spans="1:10" x14ac:dyDescent="0.25">
      <c r="A3241" t="s">
        <v>5766</v>
      </c>
      <c r="B3241" s="3">
        <v>43814</v>
      </c>
      <c r="C3241" t="s">
        <v>1217</v>
      </c>
      <c r="D3241" t="s">
        <v>3508</v>
      </c>
      <c r="E3241">
        <v>6</v>
      </c>
      <c r="F3241" t="s">
        <v>3524</v>
      </c>
      <c r="G3241" t="s">
        <v>3518</v>
      </c>
      <c r="H3241">
        <v>1</v>
      </c>
      <c r="I3241">
        <v>9</v>
      </c>
      <c r="J3241">
        <v>54</v>
      </c>
    </row>
    <row r="3242" spans="1:10" x14ac:dyDescent="0.25">
      <c r="A3242" t="s">
        <v>5767</v>
      </c>
      <c r="B3242" s="3">
        <v>44633</v>
      </c>
      <c r="C3242" t="s">
        <v>3255</v>
      </c>
      <c r="D3242" t="s">
        <v>3489</v>
      </c>
      <c r="E3242">
        <v>1</v>
      </c>
      <c r="F3242" t="s">
        <v>3523</v>
      </c>
      <c r="G3242" t="s">
        <v>3518</v>
      </c>
      <c r="H3242">
        <v>0.5</v>
      </c>
      <c r="I3242">
        <v>6</v>
      </c>
      <c r="J3242">
        <v>6</v>
      </c>
    </row>
    <row r="3243" spans="1:10" x14ac:dyDescent="0.25">
      <c r="A3243" t="s">
        <v>5768</v>
      </c>
      <c r="B3243" s="3">
        <v>43868</v>
      </c>
      <c r="C3243" t="s">
        <v>1154</v>
      </c>
      <c r="D3243" t="s">
        <v>3500</v>
      </c>
      <c r="E3243">
        <v>4</v>
      </c>
      <c r="F3243" t="s">
        <v>3525</v>
      </c>
      <c r="G3243" t="s">
        <v>3518</v>
      </c>
      <c r="H3243">
        <v>0.5</v>
      </c>
      <c r="I3243">
        <v>7.8</v>
      </c>
      <c r="J3243">
        <v>31.2</v>
      </c>
    </row>
    <row r="3244" spans="1:10" x14ac:dyDescent="0.25">
      <c r="A3244" t="s">
        <v>5769</v>
      </c>
      <c r="B3244" s="3">
        <v>45639</v>
      </c>
      <c r="C3244" t="s">
        <v>713</v>
      </c>
      <c r="D3244" t="s">
        <v>3515</v>
      </c>
      <c r="E3244">
        <v>3</v>
      </c>
      <c r="F3244" t="s">
        <v>3526</v>
      </c>
      <c r="G3244" t="s">
        <v>3517</v>
      </c>
      <c r="H3244">
        <v>0.2</v>
      </c>
      <c r="I3244">
        <v>4.5</v>
      </c>
      <c r="J3244">
        <v>13.5</v>
      </c>
    </row>
    <row r="3245" spans="1:10" x14ac:dyDescent="0.25">
      <c r="A3245" t="s">
        <v>5770</v>
      </c>
      <c r="B3245" s="3">
        <v>45269</v>
      </c>
      <c r="C3245" t="s">
        <v>1732</v>
      </c>
      <c r="D3245" t="s">
        <v>3487</v>
      </c>
      <c r="E3245">
        <v>5</v>
      </c>
      <c r="F3245" t="s">
        <v>3526</v>
      </c>
      <c r="G3245" t="s">
        <v>3519</v>
      </c>
      <c r="H3245">
        <v>0.2</v>
      </c>
      <c r="I3245">
        <v>4.0999999999999996</v>
      </c>
      <c r="J3245">
        <v>20.5</v>
      </c>
    </row>
    <row r="3246" spans="1:10" x14ac:dyDescent="0.25">
      <c r="A3246" t="s">
        <v>5771</v>
      </c>
      <c r="B3246" s="3">
        <v>45473</v>
      </c>
      <c r="C3246" t="s">
        <v>2792</v>
      </c>
      <c r="D3246" t="s">
        <v>3501</v>
      </c>
      <c r="E3246">
        <v>6</v>
      </c>
      <c r="F3246" t="s">
        <v>3525</v>
      </c>
      <c r="G3246" t="s">
        <v>3517</v>
      </c>
      <c r="H3246">
        <v>1</v>
      </c>
      <c r="I3246">
        <v>15.9</v>
      </c>
      <c r="J3246">
        <v>95.4</v>
      </c>
    </row>
    <row r="3247" spans="1:10" x14ac:dyDescent="0.25">
      <c r="A3247" t="s">
        <v>5772</v>
      </c>
      <c r="B3247" s="3">
        <v>44797</v>
      </c>
      <c r="C3247" t="s">
        <v>3118</v>
      </c>
      <c r="D3247" t="s">
        <v>3500</v>
      </c>
      <c r="E3247">
        <v>3</v>
      </c>
      <c r="F3247" t="s">
        <v>3525</v>
      </c>
      <c r="G3247" t="s">
        <v>3518</v>
      </c>
      <c r="H3247">
        <v>0.5</v>
      </c>
      <c r="I3247">
        <v>7.8</v>
      </c>
      <c r="J3247">
        <v>23.4</v>
      </c>
    </row>
    <row r="3248" spans="1:10" x14ac:dyDescent="0.25">
      <c r="A3248" t="s">
        <v>5773</v>
      </c>
      <c r="B3248" s="3">
        <v>44811</v>
      </c>
      <c r="C3248" t="s">
        <v>3190</v>
      </c>
      <c r="D3248" t="s">
        <v>3475</v>
      </c>
      <c r="E3248">
        <v>2</v>
      </c>
      <c r="F3248" t="s">
        <v>3526</v>
      </c>
      <c r="G3248" t="s">
        <v>3518</v>
      </c>
      <c r="H3248">
        <v>0.5</v>
      </c>
      <c r="I3248">
        <v>7.3</v>
      </c>
      <c r="J3248">
        <v>14.6</v>
      </c>
    </row>
    <row r="3249" spans="1:10" x14ac:dyDescent="0.25">
      <c r="A3249" t="s">
        <v>5774</v>
      </c>
      <c r="B3249" s="3">
        <v>45490</v>
      </c>
      <c r="C3249" t="s">
        <v>740</v>
      </c>
      <c r="D3249" t="s">
        <v>3482</v>
      </c>
      <c r="E3249">
        <v>2</v>
      </c>
      <c r="F3249" t="s">
        <v>3524</v>
      </c>
      <c r="G3249" t="s">
        <v>3519</v>
      </c>
      <c r="H3249">
        <v>2.5</v>
      </c>
      <c r="I3249">
        <v>22.9</v>
      </c>
      <c r="J3249">
        <v>45.8</v>
      </c>
    </row>
    <row r="3250" spans="1:10" x14ac:dyDescent="0.25">
      <c r="A3250" t="s">
        <v>5775</v>
      </c>
      <c r="B3250" s="3">
        <v>44613</v>
      </c>
      <c r="C3250" t="s">
        <v>2615</v>
      </c>
      <c r="D3250" t="s">
        <v>3495</v>
      </c>
      <c r="E3250">
        <v>2</v>
      </c>
      <c r="F3250" t="s">
        <v>3525</v>
      </c>
      <c r="G3250" t="s">
        <v>3517</v>
      </c>
      <c r="H3250">
        <v>2.5</v>
      </c>
      <c r="I3250">
        <v>36.5</v>
      </c>
      <c r="J3250">
        <v>73</v>
      </c>
    </row>
    <row r="3251" spans="1:10" x14ac:dyDescent="0.25">
      <c r="A3251" t="s">
        <v>5776</v>
      </c>
      <c r="B3251" s="3">
        <v>44952</v>
      </c>
      <c r="C3251" t="s">
        <v>1187</v>
      </c>
      <c r="D3251" t="s">
        <v>3479</v>
      </c>
      <c r="E3251">
        <v>1</v>
      </c>
      <c r="F3251" t="s">
        <v>3526</v>
      </c>
      <c r="G3251" t="s">
        <v>3517</v>
      </c>
      <c r="H3251">
        <v>2.5</v>
      </c>
      <c r="I3251">
        <v>34.200000000000003</v>
      </c>
      <c r="J3251">
        <v>34.200000000000003</v>
      </c>
    </row>
    <row r="3252" spans="1:10" x14ac:dyDescent="0.25">
      <c r="A3252" t="s">
        <v>5777</v>
      </c>
      <c r="B3252" s="3">
        <v>45048</v>
      </c>
      <c r="C3252" t="s">
        <v>3095</v>
      </c>
      <c r="D3252" t="s">
        <v>3477</v>
      </c>
      <c r="E3252">
        <v>4</v>
      </c>
      <c r="F3252" t="s">
        <v>3524</v>
      </c>
      <c r="G3252" t="s">
        <v>3519</v>
      </c>
      <c r="H3252">
        <v>0.5</v>
      </c>
      <c r="I3252">
        <v>6</v>
      </c>
      <c r="J3252">
        <v>24</v>
      </c>
    </row>
    <row r="3253" spans="1:10" x14ac:dyDescent="0.25">
      <c r="A3253" t="s">
        <v>5778</v>
      </c>
      <c r="B3253" s="3">
        <v>44024</v>
      </c>
      <c r="C3253" t="s">
        <v>3231</v>
      </c>
      <c r="D3253" t="s">
        <v>3509</v>
      </c>
      <c r="E3253">
        <v>3</v>
      </c>
      <c r="F3253" t="s">
        <v>3524</v>
      </c>
      <c r="G3253" t="s">
        <v>3517</v>
      </c>
      <c r="H3253">
        <v>0.2</v>
      </c>
      <c r="I3253">
        <v>3.6</v>
      </c>
      <c r="J3253">
        <v>10.8</v>
      </c>
    </row>
    <row r="3254" spans="1:10" x14ac:dyDescent="0.25">
      <c r="A3254" t="s">
        <v>5779</v>
      </c>
      <c r="B3254" s="3">
        <v>43934</v>
      </c>
      <c r="C3254" t="s">
        <v>2074</v>
      </c>
      <c r="D3254" t="s">
        <v>3482</v>
      </c>
      <c r="E3254">
        <v>2</v>
      </c>
      <c r="F3254" t="s">
        <v>3524</v>
      </c>
      <c r="G3254" t="s">
        <v>3519</v>
      </c>
      <c r="H3254">
        <v>2.5</v>
      </c>
      <c r="I3254">
        <v>22.9</v>
      </c>
      <c r="J3254">
        <v>45.8</v>
      </c>
    </row>
    <row r="3255" spans="1:10" x14ac:dyDescent="0.25">
      <c r="A3255" t="s">
        <v>5780</v>
      </c>
      <c r="B3255" s="3">
        <v>43808</v>
      </c>
      <c r="C3255" t="s">
        <v>629</v>
      </c>
      <c r="D3255" t="s">
        <v>3496</v>
      </c>
      <c r="E3255">
        <v>2</v>
      </c>
      <c r="F3255" t="s">
        <v>3525</v>
      </c>
      <c r="G3255" t="s">
        <v>3518</v>
      </c>
      <c r="H3255">
        <v>2.5</v>
      </c>
      <c r="I3255">
        <v>29.8</v>
      </c>
      <c r="J3255">
        <v>59.6</v>
      </c>
    </row>
    <row r="3256" spans="1:10" x14ac:dyDescent="0.25">
      <c r="A3256" t="s">
        <v>5781</v>
      </c>
      <c r="B3256" s="3">
        <v>43739</v>
      </c>
      <c r="C3256" t="s">
        <v>1520</v>
      </c>
      <c r="D3256" t="s">
        <v>3483</v>
      </c>
      <c r="E3256">
        <v>2</v>
      </c>
      <c r="F3256" t="s">
        <v>3523</v>
      </c>
      <c r="G3256" t="s">
        <v>3519</v>
      </c>
      <c r="H3256">
        <v>0.2</v>
      </c>
      <c r="I3256">
        <v>3.4</v>
      </c>
      <c r="J3256">
        <v>6.8</v>
      </c>
    </row>
    <row r="3257" spans="1:10" x14ac:dyDescent="0.25">
      <c r="A3257" t="s">
        <v>5782</v>
      </c>
      <c r="B3257" s="3">
        <v>45608</v>
      </c>
      <c r="C3257" t="s">
        <v>1121</v>
      </c>
      <c r="D3257" t="s">
        <v>3471</v>
      </c>
      <c r="E3257">
        <v>2</v>
      </c>
      <c r="F3257" t="s">
        <v>3523</v>
      </c>
      <c r="G3257" t="s">
        <v>3517</v>
      </c>
      <c r="H3257">
        <v>1</v>
      </c>
      <c r="I3257">
        <v>13</v>
      </c>
      <c r="J3257">
        <v>26</v>
      </c>
    </row>
    <row r="3258" spans="1:10" x14ac:dyDescent="0.25">
      <c r="A3258" t="s">
        <v>5783</v>
      </c>
      <c r="B3258" s="3">
        <v>44579</v>
      </c>
      <c r="C3258" t="s">
        <v>1708</v>
      </c>
      <c r="D3258" t="s">
        <v>3494</v>
      </c>
      <c r="E3258">
        <v>4</v>
      </c>
      <c r="F3258" t="s">
        <v>3524</v>
      </c>
      <c r="G3258" t="s">
        <v>3518</v>
      </c>
      <c r="H3258">
        <v>0.2</v>
      </c>
      <c r="I3258">
        <v>2.7</v>
      </c>
      <c r="J3258">
        <v>10.8</v>
      </c>
    </row>
    <row r="3259" spans="1:10" x14ac:dyDescent="0.25">
      <c r="A3259" t="s">
        <v>5784</v>
      </c>
      <c r="B3259" s="3">
        <v>45431</v>
      </c>
      <c r="C3259" t="s">
        <v>1145</v>
      </c>
      <c r="D3259" t="s">
        <v>3492</v>
      </c>
      <c r="E3259">
        <v>4</v>
      </c>
      <c r="F3259" t="s">
        <v>3525</v>
      </c>
      <c r="G3259" t="s">
        <v>3517</v>
      </c>
      <c r="H3259">
        <v>0.5</v>
      </c>
      <c r="I3259">
        <v>9.5</v>
      </c>
      <c r="J3259">
        <v>38</v>
      </c>
    </row>
    <row r="3260" spans="1:10" x14ac:dyDescent="0.25">
      <c r="A3260" t="s">
        <v>5785</v>
      </c>
      <c r="B3260" s="3">
        <v>45171</v>
      </c>
      <c r="C3260" t="s">
        <v>1154</v>
      </c>
      <c r="D3260" t="s">
        <v>3509</v>
      </c>
      <c r="E3260">
        <v>3</v>
      </c>
      <c r="F3260" t="s">
        <v>3524</v>
      </c>
      <c r="G3260" t="s">
        <v>3517</v>
      </c>
      <c r="H3260">
        <v>0.2</v>
      </c>
      <c r="I3260">
        <v>3.6</v>
      </c>
      <c r="J3260">
        <v>10.8</v>
      </c>
    </row>
    <row r="3261" spans="1:10" x14ac:dyDescent="0.25">
      <c r="A3261" t="s">
        <v>5786</v>
      </c>
      <c r="B3261" s="3">
        <v>44971</v>
      </c>
      <c r="C3261" t="s">
        <v>3142</v>
      </c>
      <c r="D3261" t="s">
        <v>3489</v>
      </c>
      <c r="E3261">
        <v>2</v>
      </c>
      <c r="F3261" t="s">
        <v>3523</v>
      </c>
      <c r="G3261" t="s">
        <v>3518</v>
      </c>
      <c r="H3261">
        <v>0.5</v>
      </c>
      <c r="I3261">
        <v>6</v>
      </c>
      <c r="J3261">
        <v>12</v>
      </c>
    </row>
    <row r="3262" spans="1:10" x14ac:dyDescent="0.25">
      <c r="A3262" t="s">
        <v>5787</v>
      </c>
      <c r="B3262" s="3">
        <v>44784</v>
      </c>
      <c r="C3262" t="s">
        <v>2557</v>
      </c>
      <c r="D3262" t="s">
        <v>3495</v>
      </c>
      <c r="E3262">
        <v>6</v>
      </c>
      <c r="F3262" t="s">
        <v>3525</v>
      </c>
      <c r="G3262" t="s">
        <v>3517</v>
      </c>
      <c r="H3262">
        <v>2.5</v>
      </c>
      <c r="I3262">
        <v>36.5</v>
      </c>
      <c r="J3262">
        <v>219</v>
      </c>
    </row>
    <row r="3263" spans="1:10" x14ac:dyDescent="0.25">
      <c r="A3263" t="s">
        <v>5788</v>
      </c>
      <c r="B3263" s="3">
        <v>45364</v>
      </c>
      <c r="C3263" t="s">
        <v>3087</v>
      </c>
      <c r="D3263" t="s">
        <v>3506</v>
      </c>
      <c r="E3263">
        <v>3</v>
      </c>
      <c r="F3263" t="s">
        <v>3523</v>
      </c>
      <c r="G3263" t="s">
        <v>3519</v>
      </c>
      <c r="H3263">
        <v>2.5</v>
      </c>
      <c r="I3263">
        <v>25.9</v>
      </c>
      <c r="J3263">
        <v>77.7</v>
      </c>
    </row>
    <row r="3264" spans="1:10" x14ac:dyDescent="0.25">
      <c r="A3264" t="s">
        <v>5789</v>
      </c>
      <c r="B3264" s="3">
        <v>44752</v>
      </c>
      <c r="C3264" t="s">
        <v>552</v>
      </c>
      <c r="D3264" t="s">
        <v>3490</v>
      </c>
      <c r="E3264">
        <v>6</v>
      </c>
      <c r="F3264" t="s">
        <v>3525</v>
      </c>
      <c r="G3264" t="s">
        <v>3519</v>
      </c>
      <c r="H3264">
        <v>0.2</v>
      </c>
      <c r="I3264">
        <v>4.4000000000000004</v>
      </c>
      <c r="J3264">
        <v>26.4</v>
      </c>
    </row>
    <row r="3265" spans="1:10" x14ac:dyDescent="0.25">
      <c r="A3265" t="s">
        <v>5790</v>
      </c>
      <c r="B3265" s="3">
        <v>45238</v>
      </c>
      <c r="C3265" t="s">
        <v>2227</v>
      </c>
      <c r="D3265" t="s">
        <v>3479</v>
      </c>
      <c r="E3265">
        <v>2</v>
      </c>
      <c r="F3265" t="s">
        <v>3526</v>
      </c>
      <c r="G3265" t="s">
        <v>3517</v>
      </c>
      <c r="H3265">
        <v>2.5</v>
      </c>
      <c r="I3265">
        <v>34.200000000000003</v>
      </c>
      <c r="J3265">
        <v>68.400000000000006</v>
      </c>
    </row>
    <row r="3266" spans="1:10" x14ac:dyDescent="0.25">
      <c r="A3266" t="s">
        <v>5791</v>
      </c>
      <c r="B3266" s="3">
        <v>43763</v>
      </c>
      <c r="C3266" t="s">
        <v>1145</v>
      </c>
      <c r="D3266" t="s">
        <v>3499</v>
      </c>
      <c r="E3266">
        <v>4</v>
      </c>
      <c r="F3266" t="s">
        <v>3523</v>
      </c>
      <c r="G3266" t="s">
        <v>3518</v>
      </c>
      <c r="H3266">
        <v>2.5</v>
      </c>
      <c r="I3266">
        <v>22.9</v>
      </c>
      <c r="J3266">
        <v>91.6</v>
      </c>
    </row>
    <row r="3267" spans="1:10" x14ac:dyDescent="0.25">
      <c r="A3267" t="s">
        <v>5792</v>
      </c>
      <c r="B3267" s="3">
        <v>45006</v>
      </c>
      <c r="C3267" t="s">
        <v>1773</v>
      </c>
      <c r="D3267" t="s">
        <v>3476</v>
      </c>
      <c r="E3267">
        <v>3</v>
      </c>
      <c r="F3267" t="s">
        <v>3525</v>
      </c>
      <c r="G3267" t="s">
        <v>3517</v>
      </c>
      <c r="H3267">
        <v>0.2</v>
      </c>
      <c r="I3267">
        <v>4.8</v>
      </c>
      <c r="J3267">
        <v>14.4</v>
      </c>
    </row>
    <row r="3268" spans="1:10" x14ac:dyDescent="0.25">
      <c r="A3268" t="s">
        <v>5793</v>
      </c>
      <c r="B3268" s="3">
        <v>45017</v>
      </c>
      <c r="C3268" t="s">
        <v>2149</v>
      </c>
      <c r="D3268" t="s">
        <v>3484</v>
      </c>
      <c r="E3268">
        <v>1</v>
      </c>
      <c r="F3268" t="s">
        <v>3526</v>
      </c>
      <c r="G3268" t="s">
        <v>3518</v>
      </c>
      <c r="H3268">
        <v>0.2</v>
      </c>
      <c r="I3268">
        <v>3.6</v>
      </c>
      <c r="J3268">
        <v>3.6</v>
      </c>
    </row>
    <row r="3269" spans="1:10" x14ac:dyDescent="0.25">
      <c r="A3269" t="s">
        <v>5794</v>
      </c>
      <c r="B3269" s="3">
        <v>45314</v>
      </c>
      <c r="C3269" t="s">
        <v>2215</v>
      </c>
      <c r="D3269" t="s">
        <v>3476</v>
      </c>
      <c r="E3269">
        <v>3</v>
      </c>
      <c r="F3269" t="s">
        <v>3525</v>
      </c>
      <c r="G3269" t="s">
        <v>3517</v>
      </c>
      <c r="H3269">
        <v>0.2</v>
      </c>
      <c r="I3269">
        <v>4.8</v>
      </c>
      <c r="J3269">
        <v>14.4</v>
      </c>
    </row>
    <row r="3270" spans="1:10" x14ac:dyDescent="0.25">
      <c r="A3270" t="s">
        <v>5795</v>
      </c>
      <c r="B3270" s="3">
        <v>45163</v>
      </c>
      <c r="C3270" t="s">
        <v>649</v>
      </c>
      <c r="D3270" t="s">
        <v>3478</v>
      </c>
      <c r="E3270">
        <v>2</v>
      </c>
      <c r="F3270" t="s">
        <v>3523</v>
      </c>
      <c r="G3270" t="s">
        <v>3518</v>
      </c>
      <c r="H3270">
        <v>1</v>
      </c>
      <c r="I3270">
        <v>10</v>
      </c>
      <c r="J3270">
        <v>20</v>
      </c>
    </row>
    <row r="3271" spans="1:10" x14ac:dyDescent="0.25">
      <c r="A3271" t="s">
        <v>5796</v>
      </c>
      <c r="B3271" s="3">
        <v>45222</v>
      </c>
      <c r="C3271" t="s">
        <v>1570</v>
      </c>
      <c r="D3271" t="s">
        <v>3484</v>
      </c>
      <c r="E3271">
        <v>1</v>
      </c>
      <c r="F3271" t="s">
        <v>3526</v>
      </c>
      <c r="G3271" t="s">
        <v>3518</v>
      </c>
      <c r="H3271">
        <v>0.2</v>
      </c>
      <c r="I3271">
        <v>3.6</v>
      </c>
      <c r="J3271">
        <v>3.6</v>
      </c>
    </row>
    <row r="3272" spans="1:10" x14ac:dyDescent="0.25">
      <c r="A3272" t="s">
        <v>5797</v>
      </c>
      <c r="B3272" s="3">
        <v>45140</v>
      </c>
      <c r="C3272" t="s">
        <v>1423</v>
      </c>
      <c r="D3272" t="s">
        <v>3502</v>
      </c>
      <c r="E3272">
        <v>2</v>
      </c>
      <c r="F3272" t="s">
        <v>3526</v>
      </c>
      <c r="G3272" t="s">
        <v>3517</v>
      </c>
      <c r="H3272">
        <v>1</v>
      </c>
      <c r="I3272">
        <v>14.9</v>
      </c>
      <c r="J3272">
        <v>29.8</v>
      </c>
    </row>
    <row r="3273" spans="1:10" x14ac:dyDescent="0.25">
      <c r="A3273" t="s">
        <v>5798</v>
      </c>
      <c r="B3273" s="3">
        <v>45630</v>
      </c>
      <c r="C3273" t="s">
        <v>1982</v>
      </c>
      <c r="D3273" t="s">
        <v>3476</v>
      </c>
      <c r="E3273">
        <v>2</v>
      </c>
      <c r="F3273" t="s">
        <v>3525</v>
      </c>
      <c r="G3273" t="s">
        <v>3517</v>
      </c>
      <c r="H3273">
        <v>0.2</v>
      </c>
      <c r="I3273">
        <v>4.8</v>
      </c>
      <c r="J3273">
        <v>9.6</v>
      </c>
    </row>
    <row r="3274" spans="1:10" x14ac:dyDescent="0.25">
      <c r="A3274" t="s">
        <v>5799</v>
      </c>
      <c r="B3274" s="3">
        <v>45113</v>
      </c>
      <c r="C3274" t="s">
        <v>3169</v>
      </c>
      <c r="D3274" t="s">
        <v>3500</v>
      </c>
      <c r="E3274">
        <v>1</v>
      </c>
      <c r="F3274" t="s">
        <v>3525</v>
      </c>
      <c r="G3274" t="s">
        <v>3518</v>
      </c>
      <c r="H3274">
        <v>0.5</v>
      </c>
      <c r="I3274">
        <v>7.8</v>
      </c>
      <c r="J3274">
        <v>7.8</v>
      </c>
    </row>
    <row r="3275" spans="1:10" x14ac:dyDescent="0.25">
      <c r="A3275" t="s">
        <v>5800</v>
      </c>
      <c r="B3275" s="3">
        <v>43865</v>
      </c>
      <c r="C3275" t="s">
        <v>1044</v>
      </c>
      <c r="D3275" t="s">
        <v>3503</v>
      </c>
      <c r="E3275">
        <v>4</v>
      </c>
      <c r="F3275" t="s">
        <v>3524</v>
      </c>
      <c r="G3275" t="s">
        <v>3518</v>
      </c>
      <c r="H3275">
        <v>0.5</v>
      </c>
      <c r="I3275">
        <v>5.4</v>
      </c>
      <c r="J3275">
        <v>21.6</v>
      </c>
    </row>
    <row r="3276" spans="1:10" x14ac:dyDescent="0.25">
      <c r="A3276" t="s">
        <v>5801</v>
      </c>
      <c r="B3276" s="3">
        <v>45460</v>
      </c>
      <c r="C3276" t="s">
        <v>1770</v>
      </c>
      <c r="D3276" t="s">
        <v>3497</v>
      </c>
      <c r="E3276">
        <v>6</v>
      </c>
      <c r="F3276" t="s">
        <v>3526</v>
      </c>
      <c r="G3276" t="s">
        <v>3519</v>
      </c>
      <c r="H3276">
        <v>2.5</v>
      </c>
      <c r="I3276">
        <v>31.6</v>
      </c>
      <c r="J3276">
        <v>189.6</v>
      </c>
    </row>
    <row r="3277" spans="1:10" x14ac:dyDescent="0.25">
      <c r="A3277" t="s">
        <v>5802</v>
      </c>
      <c r="B3277" s="3">
        <v>44780</v>
      </c>
      <c r="C3277" t="s">
        <v>2287</v>
      </c>
      <c r="D3277" t="s">
        <v>3499</v>
      </c>
      <c r="E3277">
        <v>6</v>
      </c>
      <c r="F3277" t="s">
        <v>3523</v>
      </c>
      <c r="G3277" t="s">
        <v>3518</v>
      </c>
      <c r="H3277">
        <v>2.5</v>
      </c>
      <c r="I3277">
        <v>22.9</v>
      </c>
      <c r="J3277">
        <v>137.4</v>
      </c>
    </row>
    <row r="3278" spans="1:10" x14ac:dyDescent="0.25">
      <c r="A3278" t="s">
        <v>5803</v>
      </c>
      <c r="B3278" s="3">
        <v>45292</v>
      </c>
      <c r="C3278" t="s">
        <v>2059</v>
      </c>
      <c r="D3278" t="s">
        <v>3499</v>
      </c>
      <c r="E3278">
        <v>1</v>
      </c>
      <c r="F3278" t="s">
        <v>3523</v>
      </c>
      <c r="G3278" t="s">
        <v>3518</v>
      </c>
      <c r="H3278">
        <v>2.5</v>
      </c>
      <c r="I3278">
        <v>22.9</v>
      </c>
      <c r="J3278">
        <v>22.9</v>
      </c>
    </row>
    <row r="3279" spans="1:10" x14ac:dyDescent="0.25">
      <c r="A3279" t="s">
        <v>5804</v>
      </c>
      <c r="B3279" s="3">
        <v>45304</v>
      </c>
      <c r="C3279" t="s">
        <v>2748</v>
      </c>
      <c r="D3279" t="s">
        <v>3505</v>
      </c>
      <c r="E3279">
        <v>5</v>
      </c>
      <c r="F3279" t="s">
        <v>3524</v>
      </c>
      <c r="G3279" t="s">
        <v>3519</v>
      </c>
      <c r="H3279">
        <v>0.2</v>
      </c>
      <c r="I3279">
        <v>3</v>
      </c>
      <c r="J3279">
        <v>15</v>
      </c>
    </row>
    <row r="3280" spans="1:10" x14ac:dyDescent="0.25">
      <c r="A3280" t="s">
        <v>5805</v>
      </c>
      <c r="B3280" s="3">
        <v>45271</v>
      </c>
      <c r="C3280" t="s">
        <v>2092</v>
      </c>
      <c r="D3280" t="s">
        <v>3513</v>
      </c>
      <c r="E3280">
        <v>3</v>
      </c>
      <c r="F3280" t="s">
        <v>3523</v>
      </c>
      <c r="G3280" t="s">
        <v>3517</v>
      </c>
      <c r="H3280">
        <v>2.5</v>
      </c>
      <c r="I3280">
        <v>29.8</v>
      </c>
      <c r="J3280">
        <v>89.4</v>
      </c>
    </row>
    <row r="3281" spans="1:10" x14ac:dyDescent="0.25">
      <c r="A3281" t="s">
        <v>5806</v>
      </c>
      <c r="B3281" s="3">
        <v>44720</v>
      </c>
      <c r="C3281" t="s">
        <v>772</v>
      </c>
      <c r="D3281" t="s">
        <v>3512</v>
      </c>
      <c r="E3281">
        <v>3</v>
      </c>
      <c r="F3281" t="s">
        <v>3525</v>
      </c>
      <c r="G3281" t="s">
        <v>3519</v>
      </c>
      <c r="H3281">
        <v>2.5</v>
      </c>
      <c r="I3281">
        <v>33.5</v>
      </c>
      <c r="J3281">
        <v>100.5</v>
      </c>
    </row>
    <row r="3282" spans="1:10" x14ac:dyDescent="0.25">
      <c r="A3282" t="s">
        <v>5807</v>
      </c>
      <c r="B3282" s="3">
        <v>45244</v>
      </c>
      <c r="C3282" t="s">
        <v>2068</v>
      </c>
      <c r="D3282" t="s">
        <v>3472</v>
      </c>
      <c r="E3282">
        <v>6</v>
      </c>
      <c r="F3282" t="s">
        <v>3526</v>
      </c>
      <c r="G3282" t="s">
        <v>3519</v>
      </c>
      <c r="H3282">
        <v>1</v>
      </c>
      <c r="I3282">
        <v>13.8</v>
      </c>
      <c r="J3282">
        <v>82.8</v>
      </c>
    </row>
    <row r="3283" spans="1:10" x14ac:dyDescent="0.25">
      <c r="A3283" t="s">
        <v>5808</v>
      </c>
      <c r="B3283" s="3">
        <v>45634</v>
      </c>
      <c r="C3283" t="s">
        <v>2006</v>
      </c>
      <c r="D3283" t="s">
        <v>3485</v>
      </c>
      <c r="E3283">
        <v>6</v>
      </c>
      <c r="F3283" t="s">
        <v>3523</v>
      </c>
      <c r="G3283" t="s">
        <v>3518</v>
      </c>
      <c r="H3283">
        <v>0.2</v>
      </c>
      <c r="I3283">
        <v>3</v>
      </c>
      <c r="J3283">
        <v>18</v>
      </c>
    </row>
    <row r="3284" spans="1:10" x14ac:dyDescent="0.25">
      <c r="A3284" t="s">
        <v>5809</v>
      </c>
      <c r="B3284" s="3">
        <v>44654</v>
      </c>
      <c r="C3284" t="s">
        <v>2885</v>
      </c>
      <c r="D3284" t="s">
        <v>3477</v>
      </c>
      <c r="E3284">
        <v>3</v>
      </c>
      <c r="F3284" t="s">
        <v>3524</v>
      </c>
      <c r="G3284" t="s">
        <v>3519</v>
      </c>
      <c r="H3284">
        <v>0.5</v>
      </c>
      <c r="I3284">
        <v>6</v>
      </c>
      <c r="J3284">
        <v>18</v>
      </c>
    </row>
    <row r="3285" spans="1:10" x14ac:dyDescent="0.25">
      <c r="A3285" t="s">
        <v>5810</v>
      </c>
      <c r="B3285" s="3">
        <v>45453</v>
      </c>
      <c r="C3285" t="s">
        <v>2891</v>
      </c>
      <c r="D3285" t="s">
        <v>3481</v>
      </c>
      <c r="E3285">
        <v>1</v>
      </c>
      <c r="F3285" t="s">
        <v>3525</v>
      </c>
      <c r="G3285" t="s">
        <v>3518</v>
      </c>
      <c r="H3285">
        <v>0.2</v>
      </c>
      <c r="I3285">
        <v>3.9</v>
      </c>
      <c r="J3285">
        <v>3.9</v>
      </c>
    </row>
    <row r="3286" spans="1:10" x14ac:dyDescent="0.25">
      <c r="A3286" t="s">
        <v>5811</v>
      </c>
      <c r="B3286" s="3">
        <v>45382</v>
      </c>
      <c r="C3286" t="s">
        <v>1588</v>
      </c>
      <c r="D3286" t="s">
        <v>3513</v>
      </c>
      <c r="E3286">
        <v>1</v>
      </c>
      <c r="F3286" t="s">
        <v>3523</v>
      </c>
      <c r="G3286" t="s">
        <v>3517</v>
      </c>
      <c r="H3286">
        <v>2.5</v>
      </c>
      <c r="I3286">
        <v>29.8</v>
      </c>
      <c r="J3286">
        <v>29.8</v>
      </c>
    </row>
    <row r="3287" spans="1:10" x14ac:dyDescent="0.25">
      <c r="A3287" t="s">
        <v>5812</v>
      </c>
      <c r="B3287" s="3">
        <v>45337</v>
      </c>
      <c r="C3287" t="s">
        <v>1732</v>
      </c>
      <c r="D3287" t="s">
        <v>3488</v>
      </c>
      <c r="E3287">
        <v>2</v>
      </c>
      <c r="F3287" t="s">
        <v>3523</v>
      </c>
      <c r="G3287" t="s">
        <v>3519</v>
      </c>
      <c r="H3287">
        <v>0.5</v>
      </c>
      <c r="I3287">
        <v>6.8</v>
      </c>
      <c r="J3287">
        <v>13.6</v>
      </c>
    </row>
    <row r="3288" spans="1:10" x14ac:dyDescent="0.25">
      <c r="A3288" t="s">
        <v>5813</v>
      </c>
      <c r="B3288" s="3">
        <v>44641</v>
      </c>
      <c r="C3288" t="s">
        <v>1059</v>
      </c>
      <c r="D3288" t="s">
        <v>3491</v>
      </c>
      <c r="E3288">
        <v>4</v>
      </c>
      <c r="F3288" t="s">
        <v>3525</v>
      </c>
      <c r="G3288" t="s">
        <v>3519</v>
      </c>
      <c r="H3288">
        <v>0.5</v>
      </c>
      <c r="I3288">
        <v>8.6999999999999993</v>
      </c>
      <c r="J3288">
        <v>34.799999999999997</v>
      </c>
    </row>
    <row r="3289" spans="1:10" x14ac:dyDescent="0.25">
      <c r="A3289" t="s">
        <v>5814</v>
      </c>
      <c r="B3289" s="3">
        <v>44548</v>
      </c>
      <c r="C3289" t="s">
        <v>2708</v>
      </c>
      <c r="D3289" t="s">
        <v>3490</v>
      </c>
      <c r="E3289">
        <v>1</v>
      </c>
      <c r="F3289" t="s">
        <v>3525</v>
      </c>
      <c r="G3289" t="s">
        <v>3519</v>
      </c>
      <c r="H3289">
        <v>0.2</v>
      </c>
      <c r="I3289">
        <v>4.4000000000000004</v>
      </c>
      <c r="J3289">
        <v>4.4000000000000004</v>
      </c>
    </row>
    <row r="3290" spans="1:10" x14ac:dyDescent="0.25">
      <c r="A3290" t="s">
        <v>5815</v>
      </c>
      <c r="B3290" s="3">
        <v>45251</v>
      </c>
      <c r="C3290" t="s">
        <v>2278</v>
      </c>
      <c r="D3290" t="s">
        <v>3482</v>
      </c>
      <c r="E3290">
        <v>4</v>
      </c>
      <c r="F3290" t="s">
        <v>3524</v>
      </c>
      <c r="G3290" t="s">
        <v>3519</v>
      </c>
      <c r="H3290">
        <v>2.5</v>
      </c>
      <c r="I3290">
        <v>22.9</v>
      </c>
      <c r="J3290">
        <v>91.6</v>
      </c>
    </row>
    <row r="3291" spans="1:10" x14ac:dyDescent="0.25">
      <c r="A3291" t="s">
        <v>5816</v>
      </c>
      <c r="B3291" s="3">
        <v>45093</v>
      </c>
      <c r="C3291" t="s">
        <v>1047</v>
      </c>
      <c r="D3291" t="s">
        <v>3488</v>
      </c>
      <c r="E3291">
        <v>2</v>
      </c>
      <c r="F3291" t="s">
        <v>3523</v>
      </c>
      <c r="G3291" t="s">
        <v>3519</v>
      </c>
      <c r="H3291">
        <v>0.5</v>
      </c>
      <c r="I3291">
        <v>6.8</v>
      </c>
      <c r="J3291">
        <v>13.6</v>
      </c>
    </row>
    <row r="3292" spans="1:10" x14ac:dyDescent="0.25">
      <c r="A3292" t="s">
        <v>5817</v>
      </c>
      <c r="B3292" s="3">
        <v>44645</v>
      </c>
      <c r="C3292" t="s">
        <v>1318</v>
      </c>
      <c r="D3292" t="s">
        <v>3472</v>
      </c>
      <c r="E3292">
        <v>5</v>
      </c>
      <c r="F3292" t="s">
        <v>3526</v>
      </c>
      <c r="G3292" t="s">
        <v>3519</v>
      </c>
      <c r="H3292">
        <v>1</v>
      </c>
      <c r="I3292">
        <v>13.8</v>
      </c>
      <c r="J3292">
        <v>69</v>
      </c>
    </row>
    <row r="3293" spans="1:10" x14ac:dyDescent="0.25">
      <c r="A3293" t="s">
        <v>5818</v>
      </c>
      <c r="B3293" s="3">
        <v>43881</v>
      </c>
      <c r="C3293" t="s">
        <v>2891</v>
      </c>
      <c r="D3293" t="s">
        <v>3489</v>
      </c>
      <c r="E3293">
        <v>5</v>
      </c>
      <c r="F3293" t="s">
        <v>3523</v>
      </c>
      <c r="G3293" t="s">
        <v>3518</v>
      </c>
      <c r="H3293">
        <v>0.5</v>
      </c>
      <c r="I3293">
        <v>6</v>
      </c>
      <c r="J3293">
        <v>30</v>
      </c>
    </row>
    <row r="3294" spans="1:10" x14ac:dyDescent="0.25">
      <c r="A3294" t="s">
        <v>5819</v>
      </c>
      <c r="B3294" s="3">
        <v>45610</v>
      </c>
      <c r="C3294" t="s">
        <v>3393</v>
      </c>
      <c r="D3294" t="s">
        <v>3489</v>
      </c>
      <c r="E3294">
        <v>1</v>
      </c>
      <c r="F3294" t="s">
        <v>3523</v>
      </c>
      <c r="G3294" t="s">
        <v>3518</v>
      </c>
      <c r="H3294">
        <v>0.5</v>
      </c>
      <c r="I3294">
        <v>6</v>
      </c>
      <c r="J3294">
        <v>6</v>
      </c>
    </row>
    <row r="3295" spans="1:10" x14ac:dyDescent="0.25">
      <c r="A3295" t="s">
        <v>5820</v>
      </c>
      <c r="B3295" s="3">
        <v>45249</v>
      </c>
      <c r="C3295" t="s">
        <v>2730</v>
      </c>
      <c r="D3295" t="s">
        <v>3480</v>
      </c>
      <c r="E3295">
        <v>6</v>
      </c>
      <c r="F3295" t="s">
        <v>3524</v>
      </c>
      <c r="G3295" t="s">
        <v>3518</v>
      </c>
      <c r="H3295">
        <v>2.5</v>
      </c>
      <c r="I3295">
        <v>20.6</v>
      </c>
      <c r="J3295">
        <v>123.6</v>
      </c>
    </row>
    <row r="3296" spans="1:10" x14ac:dyDescent="0.25">
      <c r="A3296" t="s">
        <v>5821</v>
      </c>
      <c r="B3296" s="3">
        <v>45377</v>
      </c>
      <c r="C3296" t="s">
        <v>1773</v>
      </c>
      <c r="D3296" t="s">
        <v>3508</v>
      </c>
      <c r="E3296">
        <v>2</v>
      </c>
      <c r="F3296" t="s">
        <v>3524</v>
      </c>
      <c r="G3296" t="s">
        <v>3518</v>
      </c>
      <c r="H3296">
        <v>1</v>
      </c>
      <c r="I3296">
        <v>9</v>
      </c>
      <c r="J3296">
        <v>18</v>
      </c>
    </row>
    <row r="3297" spans="1:10" x14ac:dyDescent="0.25">
      <c r="A3297" t="s">
        <v>5822</v>
      </c>
      <c r="B3297" s="3">
        <v>44378</v>
      </c>
      <c r="C3297" t="s">
        <v>2050</v>
      </c>
      <c r="D3297" t="s">
        <v>3498</v>
      </c>
      <c r="E3297">
        <v>1</v>
      </c>
      <c r="F3297" t="s">
        <v>3523</v>
      </c>
      <c r="G3297" t="s">
        <v>3517</v>
      </c>
      <c r="H3297">
        <v>0.2</v>
      </c>
      <c r="I3297">
        <v>3.9</v>
      </c>
      <c r="J3297">
        <v>3.9</v>
      </c>
    </row>
    <row r="3298" spans="1:10" x14ac:dyDescent="0.25">
      <c r="A3298" t="s">
        <v>5823</v>
      </c>
      <c r="B3298" s="3">
        <v>43567</v>
      </c>
      <c r="C3298" t="s">
        <v>2438</v>
      </c>
      <c r="D3298" t="s">
        <v>3480</v>
      </c>
      <c r="E3298">
        <v>2</v>
      </c>
      <c r="F3298" t="s">
        <v>3524</v>
      </c>
      <c r="G3298" t="s">
        <v>3518</v>
      </c>
      <c r="H3298">
        <v>2.5</v>
      </c>
      <c r="I3298">
        <v>20.6</v>
      </c>
      <c r="J3298">
        <v>41.2</v>
      </c>
    </row>
    <row r="3299" spans="1:10" x14ac:dyDescent="0.25">
      <c r="A3299" t="s">
        <v>5824</v>
      </c>
      <c r="B3299" s="3">
        <v>45316</v>
      </c>
      <c r="C3299" t="s">
        <v>3309</v>
      </c>
      <c r="D3299" t="s">
        <v>3510</v>
      </c>
      <c r="E3299">
        <v>3</v>
      </c>
      <c r="F3299" t="s">
        <v>3524</v>
      </c>
      <c r="G3299" t="s">
        <v>3517</v>
      </c>
      <c r="H3299">
        <v>1</v>
      </c>
      <c r="I3299">
        <v>12</v>
      </c>
      <c r="J3299">
        <v>36</v>
      </c>
    </row>
    <row r="3300" spans="1:10" x14ac:dyDescent="0.25">
      <c r="A3300" t="s">
        <v>5825</v>
      </c>
      <c r="B3300" s="3">
        <v>45408</v>
      </c>
      <c r="C3300" t="s">
        <v>1610</v>
      </c>
      <c r="D3300" t="s">
        <v>3503</v>
      </c>
      <c r="E3300">
        <v>2</v>
      </c>
      <c r="F3300" t="s">
        <v>3524</v>
      </c>
      <c r="G3300" t="s">
        <v>3518</v>
      </c>
      <c r="H3300">
        <v>0.5</v>
      </c>
      <c r="I3300">
        <v>5.4</v>
      </c>
      <c r="J3300">
        <v>10.8</v>
      </c>
    </row>
    <row r="3301" spans="1:10" x14ac:dyDescent="0.25">
      <c r="A3301" t="s">
        <v>5826</v>
      </c>
      <c r="B3301" s="3">
        <v>44638</v>
      </c>
      <c r="C3301" t="s">
        <v>3390</v>
      </c>
      <c r="D3301" t="s">
        <v>3509</v>
      </c>
      <c r="E3301">
        <v>3</v>
      </c>
      <c r="F3301" t="s">
        <v>3524</v>
      </c>
      <c r="G3301" t="s">
        <v>3517</v>
      </c>
      <c r="H3301">
        <v>0.2</v>
      </c>
      <c r="I3301">
        <v>3.6</v>
      </c>
      <c r="J3301">
        <v>10.8</v>
      </c>
    </row>
    <row r="3302" spans="1:10" x14ac:dyDescent="0.25">
      <c r="A3302" t="s">
        <v>5827</v>
      </c>
      <c r="B3302" s="3">
        <v>44793</v>
      </c>
      <c r="C3302" t="s">
        <v>1112</v>
      </c>
      <c r="D3302" t="s">
        <v>3503</v>
      </c>
      <c r="E3302">
        <v>5</v>
      </c>
      <c r="F3302" t="s">
        <v>3524</v>
      </c>
      <c r="G3302" t="s">
        <v>3518</v>
      </c>
      <c r="H3302">
        <v>0.5</v>
      </c>
      <c r="I3302">
        <v>5.4</v>
      </c>
      <c r="J3302">
        <v>27</v>
      </c>
    </row>
    <row r="3303" spans="1:10" x14ac:dyDescent="0.25">
      <c r="A3303" t="s">
        <v>5828</v>
      </c>
      <c r="B3303" s="3">
        <v>43624</v>
      </c>
      <c r="C3303" t="s">
        <v>2269</v>
      </c>
      <c r="D3303" t="s">
        <v>3509</v>
      </c>
      <c r="E3303">
        <v>5</v>
      </c>
      <c r="F3303" t="s">
        <v>3524</v>
      </c>
      <c r="G3303" t="s">
        <v>3517</v>
      </c>
      <c r="H3303">
        <v>0.2</v>
      </c>
      <c r="I3303">
        <v>3.6</v>
      </c>
      <c r="J3303">
        <v>18</v>
      </c>
    </row>
    <row r="3304" spans="1:10" x14ac:dyDescent="0.25">
      <c r="A3304" t="s">
        <v>5829</v>
      </c>
      <c r="B3304" s="3">
        <v>45112</v>
      </c>
      <c r="C3304" t="s">
        <v>2723</v>
      </c>
      <c r="D3304" t="s">
        <v>3495</v>
      </c>
      <c r="E3304">
        <v>6</v>
      </c>
      <c r="F3304" t="s">
        <v>3525</v>
      </c>
      <c r="G3304" t="s">
        <v>3517</v>
      </c>
      <c r="H3304">
        <v>2.5</v>
      </c>
      <c r="I3304">
        <v>36.5</v>
      </c>
      <c r="J3304">
        <v>219</v>
      </c>
    </row>
    <row r="3305" spans="1:10" x14ac:dyDescent="0.25">
      <c r="A3305" t="s">
        <v>5830</v>
      </c>
      <c r="B3305" s="3">
        <v>45324</v>
      </c>
      <c r="C3305" t="s">
        <v>3467</v>
      </c>
      <c r="D3305" t="s">
        <v>3475</v>
      </c>
      <c r="E3305">
        <v>4</v>
      </c>
      <c r="F3305" t="s">
        <v>3526</v>
      </c>
      <c r="G3305" t="s">
        <v>3518</v>
      </c>
      <c r="H3305">
        <v>0.5</v>
      </c>
      <c r="I3305">
        <v>7.3</v>
      </c>
      <c r="J3305">
        <v>29.2</v>
      </c>
    </row>
    <row r="3306" spans="1:10" x14ac:dyDescent="0.25">
      <c r="A3306" t="s">
        <v>5831</v>
      </c>
      <c r="B3306" s="3">
        <v>44598</v>
      </c>
      <c r="C3306" t="s">
        <v>2512</v>
      </c>
      <c r="D3306" t="s">
        <v>3491</v>
      </c>
      <c r="E3306">
        <v>2</v>
      </c>
      <c r="F3306" t="s">
        <v>3525</v>
      </c>
      <c r="G3306" t="s">
        <v>3519</v>
      </c>
      <c r="H3306">
        <v>0.5</v>
      </c>
      <c r="I3306">
        <v>8.6999999999999993</v>
      </c>
      <c r="J3306">
        <v>17.399999999999999</v>
      </c>
    </row>
    <row r="3307" spans="1:10" x14ac:dyDescent="0.25">
      <c r="A3307" t="s">
        <v>5832</v>
      </c>
      <c r="B3307" s="3">
        <v>44860</v>
      </c>
      <c r="C3307" t="s">
        <v>2177</v>
      </c>
      <c r="D3307" t="s">
        <v>3503</v>
      </c>
      <c r="E3307">
        <v>3</v>
      </c>
      <c r="F3307" t="s">
        <v>3524</v>
      </c>
      <c r="G3307" t="s">
        <v>3518</v>
      </c>
      <c r="H3307">
        <v>0.5</v>
      </c>
      <c r="I3307">
        <v>5.4</v>
      </c>
      <c r="J3307">
        <v>16.2</v>
      </c>
    </row>
    <row r="3308" spans="1:10" x14ac:dyDescent="0.25">
      <c r="A3308" t="s">
        <v>5833</v>
      </c>
      <c r="B3308" s="3">
        <v>43956</v>
      </c>
      <c r="C3308" t="s">
        <v>2155</v>
      </c>
      <c r="D3308" t="s">
        <v>3490</v>
      </c>
      <c r="E3308">
        <v>3</v>
      </c>
      <c r="F3308" t="s">
        <v>3525</v>
      </c>
      <c r="G3308" t="s">
        <v>3519</v>
      </c>
      <c r="H3308">
        <v>0.2</v>
      </c>
      <c r="I3308">
        <v>4.4000000000000004</v>
      </c>
      <c r="J3308">
        <v>13.2</v>
      </c>
    </row>
    <row r="3309" spans="1:10" x14ac:dyDescent="0.25">
      <c r="A3309" t="s">
        <v>5834</v>
      </c>
      <c r="B3309" s="3">
        <v>44845</v>
      </c>
      <c r="C3309" t="s">
        <v>2533</v>
      </c>
      <c r="D3309" t="s">
        <v>3490</v>
      </c>
      <c r="E3309">
        <v>4</v>
      </c>
      <c r="F3309" t="s">
        <v>3525</v>
      </c>
      <c r="G3309" t="s">
        <v>3519</v>
      </c>
      <c r="H3309">
        <v>0.2</v>
      </c>
      <c r="I3309">
        <v>4.4000000000000004</v>
      </c>
      <c r="J3309">
        <v>17.600000000000001</v>
      </c>
    </row>
    <row r="3310" spans="1:10" x14ac:dyDescent="0.25">
      <c r="A3310" t="s">
        <v>5835</v>
      </c>
      <c r="B3310" s="3">
        <v>45451</v>
      </c>
      <c r="C3310" t="s">
        <v>1411</v>
      </c>
      <c r="D3310" t="s">
        <v>3487</v>
      </c>
      <c r="E3310">
        <v>4</v>
      </c>
      <c r="F3310" t="s">
        <v>3526</v>
      </c>
      <c r="G3310" t="s">
        <v>3519</v>
      </c>
      <c r="H3310">
        <v>0.2</v>
      </c>
      <c r="I3310">
        <v>4.0999999999999996</v>
      </c>
      <c r="J3310">
        <v>16.399999999999999</v>
      </c>
    </row>
    <row r="3311" spans="1:10" x14ac:dyDescent="0.25">
      <c r="A3311" t="s">
        <v>5836</v>
      </c>
      <c r="B3311" s="3">
        <v>44952</v>
      </c>
      <c r="C3311" t="s">
        <v>3330</v>
      </c>
      <c r="D3311" t="s">
        <v>3471</v>
      </c>
      <c r="E3311">
        <v>2</v>
      </c>
      <c r="F3311" t="s">
        <v>3523</v>
      </c>
      <c r="G3311" t="s">
        <v>3517</v>
      </c>
      <c r="H3311">
        <v>1</v>
      </c>
      <c r="I3311">
        <v>13</v>
      </c>
      <c r="J3311">
        <v>26</v>
      </c>
    </row>
    <row r="3312" spans="1:10" x14ac:dyDescent="0.25">
      <c r="A3312" t="s">
        <v>5837</v>
      </c>
      <c r="B3312" s="3">
        <v>45152</v>
      </c>
      <c r="C3312" t="s">
        <v>2338</v>
      </c>
      <c r="D3312" t="s">
        <v>3496</v>
      </c>
      <c r="E3312">
        <v>6</v>
      </c>
      <c r="F3312" t="s">
        <v>3525</v>
      </c>
      <c r="G3312" t="s">
        <v>3518</v>
      </c>
      <c r="H3312">
        <v>2.5</v>
      </c>
      <c r="I3312">
        <v>29.8</v>
      </c>
      <c r="J3312">
        <v>178.8</v>
      </c>
    </row>
    <row r="3313" spans="1:10" x14ac:dyDescent="0.25">
      <c r="A3313" t="s">
        <v>5838</v>
      </c>
      <c r="B3313" s="3">
        <v>45389</v>
      </c>
      <c r="C3313" t="s">
        <v>2910</v>
      </c>
      <c r="D3313" t="s">
        <v>3473</v>
      </c>
      <c r="E3313">
        <v>5</v>
      </c>
      <c r="F3313" t="s">
        <v>3524</v>
      </c>
      <c r="G3313" t="s">
        <v>3517</v>
      </c>
      <c r="H3313">
        <v>2.5</v>
      </c>
      <c r="I3313">
        <v>27.5</v>
      </c>
      <c r="J3313">
        <v>137.5</v>
      </c>
    </row>
    <row r="3314" spans="1:10" x14ac:dyDescent="0.25">
      <c r="A3314" t="s">
        <v>5839</v>
      </c>
      <c r="B3314" s="3">
        <v>43695</v>
      </c>
      <c r="C3314" t="s">
        <v>2819</v>
      </c>
      <c r="D3314" t="s">
        <v>3476</v>
      </c>
      <c r="E3314">
        <v>1</v>
      </c>
      <c r="F3314" t="s">
        <v>3525</v>
      </c>
      <c r="G3314" t="s">
        <v>3517</v>
      </c>
      <c r="H3314">
        <v>0.2</v>
      </c>
      <c r="I3314">
        <v>4.8</v>
      </c>
      <c r="J3314">
        <v>4.8</v>
      </c>
    </row>
    <row r="3315" spans="1:10" x14ac:dyDescent="0.25">
      <c r="A3315" t="s">
        <v>5840</v>
      </c>
      <c r="B3315" s="3">
        <v>45370</v>
      </c>
      <c r="C3315" t="s">
        <v>1854</v>
      </c>
      <c r="D3315" t="s">
        <v>3480</v>
      </c>
      <c r="E3315">
        <v>4</v>
      </c>
      <c r="F3315" t="s">
        <v>3524</v>
      </c>
      <c r="G3315" t="s">
        <v>3518</v>
      </c>
      <c r="H3315">
        <v>2.5</v>
      </c>
      <c r="I3315">
        <v>20.6</v>
      </c>
      <c r="J3315">
        <v>82.4</v>
      </c>
    </row>
    <row r="3316" spans="1:10" x14ac:dyDescent="0.25">
      <c r="A3316" t="s">
        <v>5841</v>
      </c>
      <c r="B3316" s="3">
        <v>44605</v>
      </c>
      <c r="C3316" t="s">
        <v>2400</v>
      </c>
      <c r="D3316" t="s">
        <v>3485</v>
      </c>
      <c r="E3316">
        <v>3</v>
      </c>
      <c r="F3316" t="s">
        <v>3523</v>
      </c>
      <c r="G3316" t="s">
        <v>3518</v>
      </c>
      <c r="H3316">
        <v>0.2</v>
      </c>
      <c r="I3316">
        <v>3</v>
      </c>
      <c r="J3316">
        <v>9</v>
      </c>
    </row>
    <row r="3317" spans="1:10" x14ac:dyDescent="0.25">
      <c r="A3317" t="s">
        <v>5842</v>
      </c>
      <c r="B3317" s="3">
        <v>44675</v>
      </c>
      <c r="C3317" t="s">
        <v>704</v>
      </c>
      <c r="D3317" t="s">
        <v>3498</v>
      </c>
      <c r="E3317">
        <v>5</v>
      </c>
      <c r="F3317" t="s">
        <v>3523</v>
      </c>
      <c r="G3317" t="s">
        <v>3517</v>
      </c>
      <c r="H3317">
        <v>0.2</v>
      </c>
      <c r="I3317">
        <v>3.9</v>
      </c>
      <c r="J3317">
        <v>19.5</v>
      </c>
    </row>
    <row r="3318" spans="1:10" x14ac:dyDescent="0.25">
      <c r="A3318" t="s">
        <v>5843</v>
      </c>
      <c r="B3318" s="3">
        <v>45559</v>
      </c>
      <c r="C3318" t="s">
        <v>1112</v>
      </c>
      <c r="D3318" t="s">
        <v>3479</v>
      </c>
      <c r="E3318">
        <v>1</v>
      </c>
      <c r="F3318" t="s">
        <v>3526</v>
      </c>
      <c r="G3318" t="s">
        <v>3517</v>
      </c>
      <c r="H3318">
        <v>2.5</v>
      </c>
      <c r="I3318">
        <v>34.200000000000003</v>
      </c>
      <c r="J3318">
        <v>34.200000000000003</v>
      </c>
    </row>
    <row r="3319" spans="1:10" x14ac:dyDescent="0.25">
      <c r="A3319" t="s">
        <v>5844</v>
      </c>
      <c r="B3319" s="3">
        <v>45543</v>
      </c>
      <c r="C3319" t="s">
        <v>3081</v>
      </c>
      <c r="D3319" t="s">
        <v>3516</v>
      </c>
      <c r="E3319">
        <v>6</v>
      </c>
      <c r="F3319" t="s">
        <v>3526</v>
      </c>
      <c r="G3319" t="s">
        <v>3518</v>
      </c>
      <c r="H3319">
        <v>2.5</v>
      </c>
      <c r="I3319">
        <v>27.9</v>
      </c>
      <c r="J3319">
        <v>167.4</v>
      </c>
    </row>
    <row r="3320" spans="1:10" x14ac:dyDescent="0.25">
      <c r="A3320" t="s">
        <v>5845</v>
      </c>
      <c r="B3320" s="3">
        <v>44898</v>
      </c>
      <c r="C3320" t="s">
        <v>2488</v>
      </c>
      <c r="D3320" t="s">
        <v>3509</v>
      </c>
      <c r="E3320">
        <v>4</v>
      </c>
      <c r="F3320" t="s">
        <v>3524</v>
      </c>
      <c r="G3320" t="s">
        <v>3517</v>
      </c>
      <c r="H3320">
        <v>0.2</v>
      </c>
      <c r="I3320">
        <v>3.6</v>
      </c>
      <c r="J3320">
        <v>14.4</v>
      </c>
    </row>
    <row r="3321" spans="1:10" x14ac:dyDescent="0.25">
      <c r="A3321" t="s">
        <v>5846</v>
      </c>
      <c r="B3321" s="3">
        <v>44238</v>
      </c>
      <c r="C3321" t="s">
        <v>3163</v>
      </c>
      <c r="D3321" t="s">
        <v>3515</v>
      </c>
      <c r="E3321">
        <v>4</v>
      </c>
      <c r="F3321" t="s">
        <v>3526</v>
      </c>
      <c r="G3321" t="s">
        <v>3517</v>
      </c>
      <c r="H3321">
        <v>0.2</v>
      </c>
      <c r="I3321">
        <v>4.5</v>
      </c>
      <c r="J3321">
        <v>18</v>
      </c>
    </row>
    <row r="3322" spans="1:10" x14ac:dyDescent="0.25">
      <c r="A3322" t="s">
        <v>5847</v>
      </c>
      <c r="B3322" s="3">
        <v>44563</v>
      </c>
      <c r="C3322" t="s">
        <v>3351</v>
      </c>
      <c r="D3322" t="s">
        <v>3499</v>
      </c>
      <c r="E3322">
        <v>5</v>
      </c>
      <c r="F3322" t="s">
        <v>3523</v>
      </c>
      <c r="G3322" t="s">
        <v>3518</v>
      </c>
      <c r="H3322">
        <v>2.5</v>
      </c>
      <c r="I3322">
        <v>22.9</v>
      </c>
      <c r="J3322">
        <v>114.5</v>
      </c>
    </row>
    <row r="3323" spans="1:10" x14ac:dyDescent="0.25">
      <c r="A3323" t="s">
        <v>5848</v>
      </c>
      <c r="B3323" s="3">
        <v>44477</v>
      </c>
      <c r="C3323" t="s">
        <v>863</v>
      </c>
      <c r="D3323" t="s">
        <v>3513</v>
      </c>
      <c r="E3323">
        <v>3</v>
      </c>
      <c r="F3323" t="s">
        <v>3523</v>
      </c>
      <c r="G3323" t="s">
        <v>3517</v>
      </c>
      <c r="H3323">
        <v>2.5</v>
      </c>
      <c r="I3323">
        <v>29.8</v>
      </c>
      <c r="J3323">
        <v>89.4</v>
      </c>
    </row>
    <row r="3324" spans="1:10" x14ac:dyDescent="0.25">
      <c r="A3324" t="s">
        <v>5849</v>
      </c>
      <c r="B3324" s="3">
        <v>44903</v>
      </c>
      <c r="C3324" t="s">
        <v>1625</v>
      </c>
      <c r="D3324" t="s">
        <v>3511</v>
      </c>
      <c r="E3324">
        <v>6</v>
      </c>
      <c r="F3324" t="s">
        <v>3523</v>
      </c>
      <c r="G3324" t="s">
        <v>3517</v>
      </c>
      <c r="H3324">
        <v>0.5</v>
      </c>
      <c r="I3324">
        <v>7.8</v>
      </c>
      <c r="J3324">
        <v>46.8</v>
      </c>
    </row>
    <row r="3325" spans="1:10" x14ac:dyDescent="0.25">
      <c r="A3325" t="s">
        <v>5850</v>
      </c>
      <c r="B3325" s="3">
        <v>44302</v>
      </c>
      <c r="C3325" t="s">
        <v>3078</v>
      </c>
      <c r="D3325" t="s">
        <v>3481</v>
      </c>
      <c r="E3325">
        <v>4</v>
      </c>
      <c r="F3325" t="s">
        <v>3525</v>
      </c>
      <c r="G3325" t="s">
        <v>3518</v>
      </c>
      <c r="H3325">
        <v>0.2</v>
      </c>
      <c r="I3325">
        <v>3.9</v>
      </c>
      <c r="J3325">
        <v>15.6</v>
      </c>
    </row>
    <row r="3326" spans="1:10" x14ac:dyDescent="0.25">
      <c r="A3326" t="s">
        <v>5851</v>
      </c>
      <c r="B3326" s="3">
        <v>45102</v>
      </c>
      <c r="C3326" t="s">
        <v>1015</v>
      </c>
      <c r="D3326" t="s">
        <v>3501</v>
      </c>
      <c r="E3326">
        <v>5</v>
      </c>
      <c r="F3326" t="s">
        <v>3525</v>
      </c>
      <c r="G3326" t="s">
        <v>3517</v>
      </c>
      <c r="H3326">
        <v>1</v>
      </c>
      <c r="I3326">
        <v>15.9</v>
      </c>
      <c r="J3326">
        <v>79.5</v>
      </c>
    </row>
    <row r="3327" spans="1:10" x14ac:dyDescent="0.25">
      <c r="A3327" t="s">
        <v>5852</v>
      </c>
      <c r="B3327" s="3">
        <v>43747</v>
      </c>
      <c r="C3327" t="s">
        <v>2329</v>
      </c>
      <c r="D3327" t="s">
        <v>3496</v>
      </c>
      <c r="E3327">
        <v>2</v>
      </c>
      <c r="F3327" t="s">
        <v>3525</v>
      </c>
      <c r="G3327" t="s">
        <v>3518</v>
      </c>
      <c r="H3327">
        <v>2.5</v>
      </c>
      <c r="I3327">
        <v>29.8</v>
      </c>
      <c r="J3327">
        <v>59.6</v>
      </c>
    </row>
    <row r="3328" spans="1:10" x14ac:dyDescent="0.25">
      <c r="A3328" t="s">
        <v>5853</v>
      </c>
      <c r="B3328" s="3">
        <v>45055</v>
      </c>
      <c r="C3328" t="s">
        <v>2400</v>
      </c>
      <c r="D3328" t="s">
        <v>3508</v>
      </c>
      <c r="E3328">
        <v>4</v>
      </c>
      <c r="F3328" t="s">
        <v>3524</v>
      </c>
      <c r="G3328" t="s">
        <v>3518</v>
      </c>
      <c r="H3328">
        <v>1</v>
      </c>
      <c r="I3328">
        <v>9</v>
      </c>
      <c r="J3328">
        <v>36</v>
      </c>
    </row>
    <row r="3329" spans="1:10" x14ac:dyDescent="0.25">
      <c r="A3329" t="s">
        <v>5854</v>
      </c>
      <c r="B3329" s="3">
        <v>44673</v>
      </c>
      <c r="C3329" t="s">
        <v>2236</v>
      </c>
      <c r="D3329" t="s">
        <v>3498</v>
      </c>
      <c r="E3329">
        <v>2</v>
      </c>
      <c r="F3329" t="s">
        <v>3523</v>
      </c>
      <c r="G3329" t="s">
        <v>3517</v>
      </c>
      <c r="H3329">
        <v>0.2</v>
      </c>
      <c r="I3329">
        <v>3.9</v>
      </c>
      <c r="J3329">
        <v>7.8</v>
      </c>
    </row>
    <row r="3330" spans="1:10" x14ac:dyDescent="0.25">
      <c r="A3330" t="s">
        <v>5855</v>
      </c>
      <c r="B3330" s="3">
        <v>45107</v>
      </c>
      <c r="C3330" t="s">
        <v>667</v>
      </c>
      <c r="D3330" t="s">
        <v>3516</v>
      </c>
      <c r="E3330">
        <v>4</v>
      </c>
      <c r="F3330" t="s">
        <v>3526</v>
      </c>
      <c r="G3330" t="s">
        <v>3518</v>
      </c>
      <c r="H3330">
        <v>2.5</v>
      </c>
      <c r="I3330">
        <v>27.9</v>
      </c>
      <c r="J3330">
        <v>111.6</v>
      </c>
    </row>
    <row r="3331" spans="1:10" x14ac:dyDescent="0.25">
      <c r="A3331" t="s">
        <v>5856</v>
      </c>
      <c r="B3331" s="3">
        <v>45331</v>
      </c>
      <c r="C3331" t="s">
        <v>981</v>
      </c>
      <c r="D3331" t="s">
        <v>3470</v>
      </c>
      <c r="E3331">
        <v>4</v>
      </c>
      <c r="F3331" t="s">
        <v>3526</v>
      </c>
      <c r="G3331" t="s">
        <v>3519</v>
      </c>
      <c r="H3331">
        <v>0.5</v>
      </c>
      <c r="I3331">
        <v>8.3000000000000007</v>
      </c>
      <c r="J3331">
        <v>33.200000000000003</v>
      </c>
    </row>
    <row r="3332" spans="1:10" x14ac:dyDescent="0.25">
      <c r="A3332" t="s">
        <v>5857</v>
      </c>
      <c r="B3332" s="3">
        <v>44698</v>
      </c>
      <c r="C3332" t="s">
        <v>1927</v>
      </c>
      <c r="D3332" t="s">
        <v>3489</v>
      </c>
      <c r="E3332">
        <v>5</v>
      </c>
      <c r="F3332" t="s">
        <v>3523</v>
      </c>
      <c r="G3332" t="s">
        <v>3518</v>
      </c>
      <c r="H3332">
        <v>0.5</v>
      </c>
      <c r="I3332">
        <v>6</v>
      </c>
      <c r="J3332">
        <v>30</v>
      </c>
    </row>
    <row r="3333" spans="1:10" x14ac:dyDescent="0.25">
      <c r="A3333" t="s">
        <v>5858</v>
      </c>
      <c r="B3333" s="3">
        <v>45067</v>
      </c>
      <c r="C3333" t="s">
        <v>1607</v>
      </c>
      <c r="D3333" t="s">
        <v>3499</v>
      </c>
      <c r="E3333">
        <v>1</v>
      </c>
      <c r="F3333" t="s">
        <v>3523</v>
      </c>
      <c r="G3333" t="s">
        <v>3518</v>
      </c>
      <c r="H3333">
        <v>2.5</v>
      </c>
      <c r="I3333">
        <v>22.9</v>
      </c>
      <c r="J3333">
        <v>22.9</v>
      </c>
    </row>
    <row r="3334" spans="1:10" x14ac:dyDescent="0.25">
      <c r="A3334" t="s">
        <v>5859</v>
      </c>
      <c r="B3334" s="3">
        <v>44507</v>
      </c>
      <c r="C3334" t="s">
        <v>2852</v>
      </c>
      <c r="D3334" t="s">
        <v>3488</v>
      </c>
      <c r="E3334">
        <v>4</v>
      </c>
      <c r="F3334" t="s">
        <v>3523</v>
      </c>
      <c r="G3334" t="s">
        <v>3519</v>
      </c>
      <c r="H3334">
        <v>0.5</v>
      </c>
      <c r="I3334">
        <v>6.8</v>
      </c>
      <c r="J3334">
        <v>27.2</v>
      </c>
    </row>
    <row r="3335" spans="1:10" x14ac:dyDescent="0.25">
      <c r="A3335" t="s">
        <v>5860</v>
      </c>
      <c r="B3335" s="3">
        <v>45030</v>
      </c>
      <c r="C3335" t="s">
        <v>829</v>
      </c>
      <c r="D3335" t="s">
        <v>3494</v>
      </c>
      <c r="E3335">
        <v>2</v>
      </c>
      <c r="F3335" t="s">
        <v>3524</v>
      </c>
      <c r="G3335" t="s">
        <v>3518</v>
      </c>
      <c r="H3335">
        <v>0.2</v>
      </c>
      <c r="I3335">
        <v>2.7</v>
      </c>
      <c r="J3335">
        <v>5.4</v>
      </c>
    </row>
    <row r="3336" spans="1:10" x14ac:dyDescent="0.25">
      <c r="A3336" t="s">
        <v>5861</v>
      </c>
      <c r="B3336" s="3">
        <v>44993</v>
      </c>
      <c r="C3336" t="s">
        <v>757</v>
      </c>
      <c r="D3336" t="s">
        <v>3474</v>
      </c>
      <c r="E3336">
        <v>5</v>
      </c>
      <c r="F3336" t="s">
        <v>3525</v>
      </c>
      <c r="G3336" t="s">
        <v>3518</v>
      </c>
      <c r="H3336">
        <v>1</v>
      </c>
      <c r="I3336">
        <v>13</v>
      </c>
      <c r="J3336">
        <v>65</v>
      </c>
    </row>
    <row r="3337" spans="1:10" x14ac:dyDescent="0.25">
      <c r="A3337" t="s">
        <v>5862</v>
      </c>
      <c r="B3337" s="3">
        <v>45537</v>
      </c>
      <c r="C3337" t="s">
        <v>2248</v>
      </c>
      <c r="D3337" t="s">
        <v>3489</v>
      </c>
      <c r="E3337">
        <v>3</v>
      </c>
      <c r="F3337" t="s">
        <v>3523</v>
      </c>
      <c r="G3337" t="s">
        <v>3518</v>
      </c>
      <c r="H3337">
        <v>0.5</v>
      </c>
      <c r="I3337">
        <v>6</v>
      </c>
      <c r="J3337">
        <v>18</v>
      </c>
    </row>
    <row r="3338" spans="1:10" x14ac:dyDescent="0.25">
      <c r="A3338" t="s">
        <v>5863</v>
      </c>
      <c r="B3338" s="3">
        <v>45498</v>
      </c>
      <c r="C3338" t="s">
        <v>3318</v>
      </c>
      <c r="D3338" t="s">
        <v>3498</v>
      </c>
      <c r="E3338">
        <v>4</v>
      </c>
      <c r="F3338" t="s">
        <v>3523</v>
      </c>
      <c r="G3338" t="s">
        <v>3517</v>
      </c>
      <c r="H3338">
        <v>0.2</v>
      </c>
      <c r="I3338">
        <v>3.9</v>
      </c>
      <c r="J3338">
        <v>15.6</v>
      </c>
    </row>
    <row r="3339" spans="1:10" x14ac:dyDescent="0.25">
      <c r="A3339" t="s">
        <v>5864</v>
      </c>
      <c r="B3339" s="3">
        <v>45360</v>
      </c>
      <c r="C3339" t="s">
        <v>1118</v>
      </c>
      <c r="D3339" t="s">
        <v>3482</v>
      </c>
      <c r="E3339">
        <v>6</v>
      </c>
      <c r="F3339" t="s">
        <v>3524</v>
      </c>
      <c r="G3339" t="s">
        <v>3519</v>
      </c>
      <c r="H3339">
        <v>2.5</v>
      </c>
      <c r="I3339">
        <v>22.9</v>
      </c>
      <c r="J3339">
        <v>137.4</v>
      </c>
    </row>
    <row r="3340" spans="1:10" x14ac:dyDescent="0.25">
      <c r="A3340" t="s">
        <v>5865</v>
      </c>
      <c r="B3340" s="3">
        <v>44899</v>
      </c>
      <c r="C3340" t="s">
        <v>1109</v>
      </c>
      <c r="D3340" t="s">
        <v>3486</v>
      </c>
      <c r="E3340">
        <v>3</v>
      </c>
      <c r="F3340" t="s">
        <v>3523</v>
      </c>
      <c r="G3340" t="s">
        <v>3519</v>
      </c>
      <c r="H3340">
        <v>1</v>
      </c>
      <c r="I3340">
        <v>11.3</v>
      </c>
      <c r="J3340">
        <v>33.9</v>
      </c>
    </row>
    <row r="3341" spans="1:10" x14ac:dyDescent="0.25">
      <c r="A3341" t="s">
        <v>5866</v>
      </c>
      <c r="B3341" s="3">
        <v>44957</v>
      </c>
      <c r="C3341" t="s">
        <v>1142</v>
      </c>
      <c r="D3341" t="s">
        <v>3503</v>
      </c>
      <c r="E3341">
        <v>3</v>
      </c>
      <c r="F3341" t="s">
        <v>3524</v>
      </c>
      <c r="G3341" t="s">
        <v>3518</v>
      </c>
      <c r="H3341">
        <v>0.5</v>
      </c>
      <c r="I3341">
        <v>5.4</v>
      </c>
      <c r="J3341">
        <v>16.2</v>
      </c>
    </row>
    <row r="3342" spans="1:10" x14ac:dyDescent="0.25">
      <c r="A3342" t="s">
        <v>5867</v>
      </c>
      <c r="B3342" s="3">
        <v>45126</v>
      </c>
      <c r="C3342" t="s">
        <v>2642</v>
      </c>
      <c r="D3342" t="s">
        <v>3483</v>
      </c>
      <c r="E3342">
        <v>6</v>
      </c>
      <c r="F3342" t="s">
        <v>3523</v>
      </c>
      <c r="G3342" t="s">
        <v>3519</v>
      </c>
      <c r="H3342">
        <v>0.2</v>
      </c>
      <c r="I3342">
        <v>3.4</v>
      </c>
      <c r="J3342">
        <v>20.399999999999999</v>
      </c>
    </row>
    <row r="3343" spans="1:10" x14ac:dyDescent="0.25">
      <c r="A3343" t="s">
        <v>5868</v>
      </c>
      <c r="B3343" s="3">
        <v>44635</v>
      </c>
      <c r="C3343" t="s">
        <v>1520</v>
      </c>
      <c r="D3343" t="s">
        <v>3505</v>
      </c>
      <c r="E3343">
        <v>1</v>
      </c>
      <c r="F3343" t="s">
        <v>3524</v>
      </c>
      <c r="G3343" t="s">
        <v>3519</v>
      </c>
      <c r="H3343">
        <v>0.2</v>
      </c>
      <c r="I3343">
        <v>3</v>
      </c>
      <c r="J3343">
        <v>3</v>
      </c>
    </row>
    <row r="3344" spans="1:10" x14ac:dyDescent="0.25">
      <c r="A3344" t="s">
        <v>5869</v>
      </c>
      <c r="B3344" s="3">
        <v>45303</v>
      </c>
      <c r="C3344" t="s">
        <v>2705</v>
      </c>
      <c r="D3344" t="s">
        <v>3478</v>
      </c>
      <c r="E3344">
        <v>1</v>
      </c>
      <c r="F3344" t="s">
        <v>3523</v>
      </c>
      <c r="G3344" t="s">
        <v>3518</v>
      </c>
      <c r="H3344">
        <v>1</v>
      </c>
      <c r="I3344">
        <v>10</v>
      </c>
      <c r="J3344">
        <v>10</v>
      </c>
    </row>
    <row r="3345" spans="1:10" x14ac:dyDescent="0.25">
      <c r="A3345" t="s">
        <v>5870</v>
      </c>
      <c r="B3345" s="3">
        <v>45598</v>
      </c>
      <c r="C3345" t="s">
        <v>1024</v>
      </c>
      <c r="D3345" t="s">
        <v>3491</v>
      </c>
      <c r="E3345">
        <v>2</v>
      </c>
      <c r="F3345" t="s">
        <v>3525</v>
      </c>
      <c r="G3345" t="s">
        <v>3519</v>
      </c>
      <c r="H3345">
        <v>0.5</v>
      </c>
      <c r="I3345">
        <v>8.6999999999999993</v>
      </c>
      <c r="J3345">
        <v>17.399999999999999</v>
      </c>
    </row>
    <row r="3346" spans="1:10" x14ac:dyDescent="0.25">
      <c r="A3346" t="s">
        <v>5871</v>
      </c>
      <c r="B3346" s="3">
        <v>43986</v>
      </c>
      <c r="C3346" t="s">
        <v>638</v>
      </c>
      <c r="D3346" t="s">
        <v>3511</v>
      </c>
      <c r="E3346">
        <v>5</v>
      </c>
      <c r="F3346" t="s">
        <v>3523</v>
      </c>
      <c r="G3346" t="s">
        <v>3517</v>
      </c>
      <c r="H3346">
        <v>0.5</v>
      </c>
      <c r="I3346">
        <v>7.8</v>
      </c>
      <c r="J3346">
        <v>39</v>
      </c>
    </row>
    <row r="3347" spans="1:10" x14ac:dyDescent="0.25">
      <c r="A3347" t="s">
        <v>5872</v>
      </c>
      <c r="B3347" s="3">
        <v>44827</v>
      </c>
      <c r="C3347" t="s">
        <v>3258</v>
      </c>
      <c r="D3347" t="s">
        <v>3490</v>
      </c>
      <c r="E3347">
        <v>2</v>
      </c>
      <c r="F3347" t="s">
        <v>3525</v>
      </c>
      <c r="G3347" t="s">
        <v>3519</v>
      </c>
      <c r="H3347">
        <v>0.2</v>
      </c>
      <c r="I3347">
        <v>4.4000000000000004</v>
      </c>
      <c r="J3347">
        <v>8.8000000000000007</v>
      </c>
    </row>
    <row r="3348" spans="1:10" x14ac:dyDescent="0.25">
      <c r="A3348" t="s">
        <v>5873</v>
      </c>
      <c r="B3348" s="3">
        <v>44888</v>
      </c>
      <c r="C3348" t="s">
        <v>1816</v>
      </c>
      <c r="D3348" t="s">
        <v>3481</v>
      </c>
      <c r="E3348">
        <v>6</v>
      </c>
      <c r="F3348" t="s">
        <v>3525</v>
      </c>
      <c r="G3348" t="s">
        <v>3518</v>
      </c>
      <c r="H3348">
        <v>0.2</v>
      </c>
      <c r="I3348">
        <v>3.9</v>
      </c>
      <c r="J3348">
        <v>23.4</v>
      </c>
    </row>
    <row r="3349" spans="1:10" x14ac:dyDescent="0.25">
      <c r="A3349" t="s">
        <v>5874</v>
      </c>
      <c r="B3349" s="3">
        <v>44687</v>
      </c>
      <c r="C3349" t="s">
        <v>673</v>
      </c>
      <c r="D3349" t="s">
        <v>3479</v>
      </c>
      <c r="E3349">
        <v>1</v>
      </c>
      <c r="F3349" t="s">
        <v>3526</v>
      </c>
      <c r="G3349" t="s">
        <v>3517</v>
      </c>
      <c r="H3349">
        <v>2.5</v>
      </c>
      <c r="I3349">
        <v>34.200000000000003</v>
      </c>
      <c r="J3349">
        <v>34.200000000000003</v>
      </c>
    </row>
    <row r="3350" spans="1:10" x14ac:dyDescent="0.25">
      <c r="A3350" t="s">
        <v>5875</v>
      </c>
      <c r="B3350" s="3">
        <v>43670</v>
      </c>
      <c r="C3350" t="s">
        <v>2417</v>
      </c>
      <c r="D3350" t="s">
        <v>3505</v>
      </c>
      <c r="E3350">
        <v>3</v>
      </c>
      <c r="F3350" t="s">
        <v>3524</v>
      </c>
      <c r="G3350" t="s">
        <v>3519</v>
      </c>
      <c r="H3350">
        <v>0.2</v>
      </c>
      <c r="I3350">
        <v>3</v>
      </c>
      <c r="J3350">
        <v>9</v>
      </c>
    </row>
    <row r="3351" spans="1:10" x14ac:dyDescent="0.25">
      <c r="A3351" t="s">
        <v>5876</v>
      </c>
      <c r="B3351" s="3">
        <v>45634</v>
      </c>
      <c r="C3351" t="s">
        <v>2539</v>
      </c>
      <c r="D3351" t="s">
        <v>3492</v>
      </c>
      <c r="E3351">
        <v>5</v>
      </c>
      <c r="F3351" t="s">
        <v>3525</v>
      </c>
      <c r="G3351" t="s">
        <v>3517</v>
      </c>
      <c r="H3351">
        <v>0.5</v>
      </c>
      <c r="I3351">
        <v>9.5</v>
      </c>
      <c r="J3351">
        <v>47.5</v>
      </c>
    </row>
    <row r="3352" spans="1:10" x14ac:dyDescent="0.25">
      <c r="A3352" t="s">
        <v>5877</v>
      </c>
      <c r="B3352" s="3">
        <v>44810</v>
      </c>
      <c r="C3352" t="s">
        <v>1050</v>
      </c>
      <c r="D3352" t="s">
        <v>3478</v>
      </c>
      <c r="E3352">
        <v>2</v>
      </c>
      <c r="F3352" t="s">
        <v>3523</v>
      </c>
      <c r="G3352" t="s">
        <v>3518</v>
      </c>
      <c r="H3352">
        <v>1</v>
      </c>
      <c r="I3352">
        <v>10</v>
      </c>
      <c r="J3352">
        <v>20</v>
      </c>
    </row>
    <row r="3353" spans="1:10" x14ac:dyDescent="0.25">
      <c r="A3353" t="s">
        <v>5878</v>
      </c>
      <c r="B3353" s="3">
        <v>45205</v>
      </c>
      <c r="C3353" t="s">
        <v>811</v>
      </c>
      <c r="D3353" t="s">
        <v>3488</v>
      </c>
      <c r="E3353">
        <v>1</v>
      </c>
      <c r="F3353" t="s">
        <v>3523</v>
      </c>
      <c r="G3353" t="s">
        <v>3519</v>
      </c>
      <c r="H3353">
        <v>0.5</v>
      </c>
      <c r="I3353">
        <v>6.8</v>
      </c>
      <c r="J3353">
        <v>6.8</v>
      </c>
    </row>
    <row r="3354" spans="1:10" x14ac:dyDescent="0.25">
      <c r="A3354" t="s">
        <v>5879</v>
      </c>
      <c r="B3354" s="3">
        <v>44553</v>
      </c>
      <c r="C3354" t="s">
        <v>2459</v>
      </c>
      <c r="D3354" t="s">
        <v>3512</v>
      </c>
      <c r="E3354">
        <v>3</v>
      </c>
      <c r="F3354" t="s">
        <v>3525</v>
      </c>
      <c r="G3354" t="s">
        <v>3519</v>
      </c>
      <c r="H3354">
        <v>2.5</v>
      </c>
      <c r="I3354">
        <v>33.5</v>
      </c>
      <c r="J3354">
        <v>100.5</v>
      </c>
    </row>
    <row r="3355" spans="1:10" x14ac:dyDescent="0.25">
      <c r="A3355" t="s">
        <v>5880</v>
      </c>
      <c r="B3355" s="3">
        <v>45370</v>
      </c>
      <c r="C3355" t="s">
        <v>2080</v>
      </c>
      <c r="D3355" t="s">
        <v>3506</v>
      </c>
      <c r="E3355">
        <v>5</v>
      </c>
      <c r="F3355" t="s">
        <v>3523</v>
      </c>
      <c r="G3355" t="s">
        <v>3519</v>
      </c>
      <c r="H3355">
        <v>2.5</v>
      </c>
      <c r="I3355">
        <v>25.9</v>
      </c>
      <c r="J3355">
        <v>129.5</v>
      </c>
    </row>
    <row r="3356" spans="1:10" x14ac:dyDescent="0.25">
      <c r="A3356" t="s">
        <v>5881</v>
      </c>
      <c r="B3356" s="3">
        <v>45518</v>
      </c>
      <c r="C3356" t="s">
        <v>3452</v>
      </c>
      <c r="D3356" t="s">
        <v>3471</v>
      </c>
      <c r="E3356">
        <v>3</v>
      </c>
      <c r="F3356" t="s">
        <v>3523</v>
      </c>
      <c r="G3356" t="s">
        <v>3517</v>
      </c>
      <c r="H3356">
        <v>1</v>
      </c>
      <c r="I3356">
        <v>13</v>
      </c>
      <c r="J3356">
        <v>39</v>
      </c>
    </row>
    <row r="3357" spans="1:10" x14ac:dyDescent="0.25">
      <c r="A3357" t="s">
        <v>5882</v>
      </c>
      <c r="B3357" s="3">
        <v>43853</v>
      </c>
      <c r="C3357" t="s">
        <v>981</v>
      </c>
      <c r="D3357" t="s">
        <v>3490</v>
      </c>
      <c r="E3357">
        <v>2</v>
      </c>
      <c r="F3357" t="s">
        <v>3525</v>
      </c>
      <c r="G3357" t="s">
        <v>3519</v>
      </c>
      <c r="H3357">
        <v>0.2</v>
      </c>
      <c r="I3357">
        <v>4.4000000000000004</v>
      </c>
      <c r="J3357">
        <v>8.8000000000000007</v>
      </c>
    </row>
    <row r="3358" spans="1:10" x14ac:dyDescent="0.25">
      <c r="A3358" t="s">
        <v>5883</v>
      </c>
      <c r="B3358" s="3">
        <v>44916</v>
      </c>
      <c r="C3358" t="s">
        <v>2527</v>
      </c>
      <c r="D3358" t="s">
        <v>3506</v>
      </c>
      <c r="E3358">
        <v>1</v>
      </c>
      <c r="F3358" t="s">
        <v>3523</v>
      </c>
      <c r="G3358" t="s">
        <v>3519</v>
      </c>
      <c r="H3358">
        <v>2.5</v>
      </c>
      <c r="I3358">
        <v>25.9</v>
      </c>
      <c r="J3358">
        <v>25.9</v>
      </c>
    </row>
    <row r="3359" spans="1:10" x14ac:dyDescent="0.25">
      <c r="A3359" t="s">
        <v>5884</v>
      </c>
      <c r="B3359" s="3">
        <v>44932</v>
      </c>
      <c r="C3359" t="s">
        <v>740</v>
      </c>
      <c r="D3359" t="s">
        <v>3478</v>
      </c>
      <c r="E3359">
        <v>6</v>
      </c>
      <c r="F3359" t="s">
        <v>3523</v>
      </c>
      <c r="G3359" t="s">
        <v>3518</v>
      </c>
      <c r="H3359">
        <v>1</v>
      </c>
      <c r="I3359">
        <v>10</v>
      </c>
      <c r="J3359">
        <v>60</v>
      </c>
    </row>
    <row r="3360" spans="1:10" x14ac:dyDescent="0.25">
      <c r="A3360" t="s">
        <v>5885</v>
      </c>
      <c r="B3360" s="3">
        <v>45508</v>
      </c>
      <c r="C3360" t="s">
        <v>701</v>
      </c>
      <c r="D3360" t="s">
        <v>3490</v>
      </c>
      <c r="E3360">
        <v>1</v>
      </c>
      <c r="F3360" t="s">
        <v>3525</v>
      </c>
      <c r="G3360" t="s">
        <v>3519</v>
      </c>
      <c r="H3360">
        <v>0.2</v>
      </c>
      <c r="I3360">
        <v>4.4000000000000004</v>
      </c>
      <c r="J3360">
        <v>4.4000000000000004</v>
      </c>
    </row>
    <row r="3361" spans="1:10" x14ac:dyDescent="0.25">
      <c r="A3361" t="s">
        <v>5886</v>
      </c>
      <c r="B3361" s="3">
        <v>44861</v>
      </c>
      <c r="C3361" t="s">
        <v>3231</v>
      </c>
      <c r="D3361" t="s">
        <v>3490</v>
      </c>
      <c r="E3361">
        <v>3</v>
      </c>
      <c r="F3361" t="s">
        <v>3525</v>
      </c>
      <c r="G3361" t="s">
        <v>3519</v>
      </c>
      <c r="H3361">
        <v>0.2</v>
      </c>
      <c r="I3361">
        <v>4.4000000000000004</v>
      </c>
      <c r="J3361">
        <v>13.2</v>
      </c>
    </row>
    <row r="3362" spans="1:10" x14ac:dyDescent="0.25">
      <c r="A3362" t="s">
        <v>5887</v>
      </c>
      <c r="B3362" s="3">
        <v>44568</v>
      </c>
      <c r="C3362" t="s">
        <v>1223</v>
      </c>
      <c r="D3362" t="s">
        <v>3485</v>
      </c>
      <c r="E3362">
        <v>3</v>
      </c>
      <c r="F3362" t="s">
        <v>3523</v>
      </c>
      <c r="G3362" t="s">
        <v>3518</v>
      </c>
      <c r="H3362">
        <v>0.2</v>
      </c>
      <c r="I3362">
        <v>3</v>
      </c>
      <c r="J3362">
        <v>9</v>
      </c>
    </row>
    <row r="3363" spans="1:10" x14ac:dyDescent="0.25">
      <c r="A3363" t="s">
        <v>5888</v>
      </c>
      <c r="B3363" s="3">
        <v>45087</v>
      </c>
      <c r="C3363" t="s">
        <v>1911</v>
      </c>
      <c r="D3363" t="s">
        <v>3487</v>
      </c>
      <c r="E3363">
        <v>5</v>
      </c>
      <c r="F3363" t="s">
        <v>3526</v>
      </c>
      <c r="G3363" t="s">
        <v>3519</v>
      </c>
      <c r="H3363">
        <v>0.2</v>
      </c>
      <c r="I3363">
        <v>4.0999999999999996</v>
      </c>
      <c r="J3363">
        <v>20.5</v>
      </c>
    </row>
    <row r="3364" spans="1:10" x14ac:dyDescent="0.25">
      <c r="A3364" t="s">
        <v>5889</v>
      </c>
      <c r="B3364" s="3">
        <v>44905</v>
      </c>
      <c r="C3364" t="s">
        <v>3136</v>
      </c>
      <c r="D3364" t="s">
        <v>3481</v>
      </c>
      <c r="E3364">
        <v>2</v>
      </c>
      <c r="F3364" t="s">
        <v>3525</v>
      </c>
      <c r="G3364" t="s">
        <v>3518</v>
      </c>
      <c r="H3364">
        <v>0.2</v>
      </c>
      <c r="I3364">
        <v>3.9</v>
      </c>
      <c r="J3364">
        <v>7.8</v>
      </c>
    </row>
    <row r="3365" spans="1:10" x14ac:dyDescent="0.25">
      <c r="A3365" t="s">
        <v>5890</v>
      </c>
      <c r="B3365" s="3">
        <v>45099</v>
      </c>
      <c r="C3365" t="s">
        <v>2015</v>
      </c>
      <c r="D3365" t="s">
        <v>3479</v>
      </c>
      <c r="E3365">
        <v>1</v>
      </c>
      <c r="F3365" t="s">
        <v>3526</v>
      </c>
      <c r="G3365" t="s">
        <v>3517</v>
      </c>
      <c r="H3365">
        <v>2.5</v>
      </c>
      <c r="I3365">
        <v>34.200000000000003</v>
      </c>
      <c r="J3365">
        <v>34.200000000000003</v>
      </c>
    </row>
    <row r="3366" spans="1:10" x14ac:dyDescent="0.25">
      <c r="A3366" t="s">
        <v>5891</v>
      </c>
      <c r="B3366" s="3">
        <v>44913</v>
      </c>
      <c r="C3366" t="s">
        <v>1723</v>
      </c>
      <c r="D3366" t="s">
        <v>3483</v>
      </c>
      <c r="E3366">
        <v>5</v>
      </c>
      <c r="F3366" t="s">
        <v>3523</v>
      </c>
      <c r="G3366" t="s">
        <v>3519</v>
      </c>
      <c r="H3366">
        <v>0.2</v>
      </c>
      <c r="I3366">
        <v>3.4</v>
      </c>
      <c r="J3366">
        <v>17</v>
      </c>
    </row>
    <row r="3367" spans="1:10" x14ac:dyDescent="0.25">
      <c r="A3367" t="s">
        <v>5892</v>
      </c>
      <c r="B3367" s="3">
        <v>44871</v>
      </c>
      <c r="C3367" t="s">
        <v>526</v>
      </c>
      <c r="D3367" t="s">
        <v>3490</v>
      </c>
      <c r="E3367">
        <v>5</v>
      </c>
      <c r="F3367" t="s">
        <v>3525</v>
      </c>
      <c r="G3367" t="s">
        <v>3519</v>
      </c>
      <c r="H3367">
        <v>0.2</v>
      </c>
      <c r="I3367">
        <v>4.4000000000000004</v>
      </c>
      <c r="J3367">
        <v>22</v>
      </c>
    </row>
    <row r="3368" spans="1:10" x14ac:dyDescent="0.25">
      <c r="A3368" t="s">
        <v>5893</v>
      </c>
      <c r="B3368" s="3">
        <v>44596</v>
      </c>
      <c r="C3368" t="s">
        <v>1220</v>
      </c>
      <c r="D3368" t="s">
        <v>3473</v>
      </c>
      <c r="E3368">
        <v>3</v>
      </c>
      <c r="F3368" t="s">
        <v>3524</v>
      </c>
      <c r="G3368" t="s">
        <v>3517</v>
      </c>
      <c r="H3368">
        <v>2.5</v>
      </c>
      <c r="I3368">
        <v>27.5</v>
      </c>
      <c r="J3368">
        <v>82.5</v>
      </c>
    </row>
    <row r="3369" spans="1:10" x14ac:dyDescent="0.25">
      <c r="A3369" t="s">
        <v>5894</v>
      </c>
      <c r="B3369" s="3">
        <v>45128</v>
      </c>
      <c r="C3369" t="s">
        <v>592</v>
      </c>
      <c r="D3369" t="s">
        <v>3508</v>
      </c>
      <c r="E3369">
        <v>1</v>
      </c>
      <c r="F3369" t="s">
        <v>3524</v>
      </c>
      <c r="G3369" t="s">
        <v>3518</v>
      </c>
      <c r="H3369">
        <v>1</v>
      </c>
      <c r="I3369">
        <v>9</v>
      </c>
      <c r="J3369">
        <v>9</v>
      </c>
    </row>
    <row r="3370" spans="1:10" x14ac:dyDescent="0.25">
      <c r="A3370" t="s">
        <v>5895</v>
      </c>
      <c r="B3370" s="3">
        <v>44787</v>
      </c>
      <c r="C3370" t="s">
        <v>589</v>
      </c>
      <c r="D3370" t="s">
        <v>3482</v>
      </c>
      <c r="E3370">
        <v>5</v>
      </c>
      <c r="F3370" t="s">
        <v>3524</v>
      </c>
      <c r="G3370" t="s">
        <v>3519</v>
      </c>
      <c r="H3370">
        <v>2.5</v>
      </c>
      <c r="I3370">
        <v>22.9</v>
      </c>
      <c r="J3370">
        <v>114.5</v>
      </c>
    </row>
    <row r="3371" spans="1:10" x14ac:dyDescent="0.25">
      <c r="A3371" t="s">
        <v>5896</v>
      </c>
      <c r="B3371" s="3">
        <v>45312</v>
      </c>
      <c r="C3371" t="s">
        <v>2633</v>
      </c>
      <c r="D3371" t="s">
        <v>3490</v>
      </c>
      <c r="E3371">
        <v>3</v>
      </c>
      <c r="F3371" t="s">
        <v>3525</v>
      </c>
      <c r="G3371" t="s">
        <v>3519</v>
      </c>
      <c r="H3371">
        <v>0.2</v>
      </c>
      <c r="I3371">
        <v>4.4000000000000004</v>
      </c>
      <c r="J3371">
        <v>13.2</v>
      </c>
    </row>
    <row r="3372" spans="1:10" x14ac:dyDescent="0.25">
      <c r="A3372" t="s">
        <v>5897</v>
      </c>
      <c r="B3372" s="3">
        <v>45635</v>
      </c>
      <c r="C3372" t="s">
        <v>1268</v>
      </c>
      <c r="D3372" t="s">
        <v>3510</v>
      </c>
      <c r="E3372">
        <v>5</v>
      </c>
      <c r="F3372" t="s">
        <v>3524</v>
      </c>
      <c r="G3372" t="s">
        <v>3517</v>
      </c>
      <c r="H3372">
        <v>1</v>
      </c>
      <c r="I3372">
        <v>12</v>
      </c>
      <c r="J3372">
        <v>60</v>
      </c>
    </row>
    <row r="3373" spans="1:10" x14ac:dyDescent="0.25">
      <c r="A3373" t="s">
        <v>5898</v>
      </c>
      <c r="B3373" s="3">
        <v>44187</v>
      </c>
      <c r="C3373" t="s">
        <v>695</v>
      </c>
      <c r="D3373" t="s">
        <v>3487</v>
      </c>
      <c r="E3373">
        <v>6</v>
      </c>
      <c r="F3373" t="s">
        <v>3526</v>
      </c>
      <c r="G3373" t="s">
        <v>3519</v>
      </c>
      <c r="H3373">
        <v>0.2</v>
      </c>
      <c r="I3373">
        <v>4.0999999999999996</v>
      </c>
      <c r="J3373">
        <v>24.6</v>
      </c>
    </row>
    <row r="3374" spans="1:10" x14ac:dyDescent="0.25">
      <c r="A3374" t="s">
        <v>5899</v>
      </c>
      <c r="B3374" s="3">
        <v>45411</v>
      </c>
      <c r="C3374" t="s">
        <v>1567</v>
      </c>
      <c r="D3374" t="s">
        <v>3472</v>
      </c>
      <c r="E3374">
        <v>2</v>
      </c>
      <c r="F3374" t="s">
        <v>3526</v>
      </c>
      <c r="G3374" t="s">
        <v>3519</v>
      </c>
      <c r="H3374">
        <v>1</v>
      </c>
      <c r="I3374">
        <v>13.8</v>
      </c>
      <c r="J3374">
        <v>27.6</v>
      </c>
    </row>
    <row r="3375" spans="1:10" x14ac:dyDescent="0.25">
      <c r="A3375" t="s">
        <v>5900</v>
      </c>
      <c r="B3375" s="3">
        <v>44733</v>
      </c>
      <c r="C3375" t="s">
        <v>2158</v>
      </c>
      <c r="D3375" t="s">
        <v>3477</v>
      </c>
      <c r="E3375">
        <v>3</v>
      </c>
      <c r="F3375" t="s">
        <v>3524</v>
      </c>
      <c r="G3375" t="s">
        <v>3519</v>
      </c>
      <c r="H3375">
        <v>0.5</v>
      </c>
      <c r="I3375">
        <v>6</v>
      </c>
      <c r="J3375">
        <v>18</v>
      </c>
    </row>
    <row r="3376" spans="1:10" x14ac:dyDescent="0.25">
      <c r="A3376" t="s">
        <v>5901</v>
      </c>
      <c r="B3376" s="3">
        <v>45250</v>
      </c>
      <c r="C3376" t="s">
        <v>2605</v>
      </c>
      <c r="D3376" t="s">
        <v>3508</v>
      </c>
      <c r="E3376">
        <v>2</v>
      </c>
      <c r="F3376" t="s">
        <v>3524</v>
      </c>
      <c r="G3376" t="s">
        <v>3518</v>
      </c>
      <c r="H3376">
        <v>1</v>
      </c>
      <c r="I3376">
        <v>9</v>
      </c>
      <c r="J3376">
        <v>18</v>
      </c>
    </row>
    <row r="3377" spans="1:10" x14ac:dyDescent="0.25">
      <c r="A3377" t="s">
        <v>5902</v>
      </c>
      <c r="B3377" s="3">
        <v>45172</v>
      </c>
      <c r="C3377" t="s">
        <v>1631</v>
      </c>
      <c r="D3377" t="s">
        <v>3487</v>
      </c>
      <c r="E3377">
        <v>2</v>
      </c>
      <c r="F3377" t="s">
        <v>3526</v>
      </c>
      <c r="G3377" t="s">
        <v>3519</v>
      </c>
      <c r="H3377">
        <v>0.2</v>
      </c>
      <c r="I3377">
        <v>4.0999999999999996</v>
      </c>
      <c r="J3377">
        <v>8.1999999999999993</v>
      </c>
    </row>
    <row r="3378" spans="1:10" x14ac:dyDescent="0.25">
      <c r="A3378" t="s">
        <v>5903</v>
      </c>
      <c r="B3378" s="3">
        <v>45595</v>
      </c>
      <c r="C3378" t="s">
        <v>2684</v>
      </c>
      <c r="D3378" t="s">
        <v>3505</v>
      </c>
      <c r="E3378">
        <v>6</v>
      </c>
      <c r="F3378" t="s">
        <v>3524</v>
      </c>
      <c r="G3378" t="s">
        <v>3519</v>
      </c>
      <c r="H3378">
        <v>0.2</v>
      </c>
      <c r="I3378">
        <v>3</v>
      </c>
      <c r="J3378">
        <v>18</v>
      </c>
    </row>
    <row r="3379" spans="1:10" x14ac:dyDescent="0.25">
      <c r="A3379" t="s">
        <v>5904</v>
      </c>
      <c r="B3379" s="3">
        <v>45329</v>
      </c>
      <c r="C3379" t="s">
        <v>2332</v>
      </c>
      <c r="D3379" t="s">
        <v>3494</v>
      </c>
      <c r="E3379">
        <v>4</v>
      </c>
      <c r="F3379" t="s">
        <v>3524</v>
      </c>
      <c r="G3379" t="s">
        <v>3518</v>
      </c>
      <c r="H3379">
        <v>0.2</v>
      </c>
      <c r="I3379">
        <v>2.7</v>
      </c>
      <c r="J3379">
        <v>10.8</v>
      </c>
    </row>
    <row r="3380" spans="1:10" x14ac:dyDescent="0.25">
      <c r="A3380" t="s">
        <v>5905</v>
      </c>
      <c r="B3380" s="3">
        <v>45491</v>
      </c>
      <c r="C3380" t="s">
        <v>817</v>
      </c>
      <c r="D3380" t="s">
        <v>3476</v>
      </c>
      <c r="E3380">
        <v>2</v>
      </c>
      <c r="F3380" t="s">
        <v>3525</v>
      </c>
      <c r="G3380" t="s">
        <v>3517</v>
      </c>
      <c r="H3380">
        <v>0.2</v>
      </c>
      <c r="I3380">
        <v>4.8</v>
      </c>
      <c r="J3380">
        <v>9.6</v>
      </c>
    </row>
    <row r="3381" spans="1:10" x14ac:dyDescent="0.25">
      <c r="A3381" t="s">
        <v>5906</v>
      </c>
      <c r="B3381" s="3">
        <v>45373</v>
      </c>
      <c r="C3381" t="s">
        <v>1690</v>
      </c>
      <c r="D3381" t="s">
        <v>3505</v>
      </c>
      <c r="E3381">
        <v>2</v>
      </c>
      <c r="F3381" t="s">
        <v>3524</v>
      </c>
      <c r="G3381" t="s">
        <v>3519</v>
      </c>
      <c r="H3381">
        <v>0.2</v>
      </c>
      <c r="I3381">
        <v>3</v>
      </c>
      <c r="J3381">
        <v>6</v>
      </c>
    </row>
    <row r="3382" spans="1:10" x14ac:dyDescent="0.25">
      <c r="A3382" t="s">
        <v>5907</v>
      </c>
      <c r="B3382" s="3">
        <v>45551</v>
      </c>
      <c r="C3382" t="s">
        <v>2414</v>
      </c>
      <c r="D3382" t="s">
        <v>3507</v>
      </c>
      <c r="E3382">
        <v>5</v>
      </c>
      <c r="F3382" t="s">
        <v>3526</v>
      </c>
      <c r="G3382" t="s">
        <v>3517</v>
      </c>
      <c r="H3382">
        <v>0.5</v>
      </c>
      <c r="I3382">
        <v>8.9</v>
      </c>
      <c r="J3382">
        <v>44.5</v>
      </c>
    </row>
    <row r="3383" spans="1:10" x14ac:dyDescent="0.25">
      <c r="A3383" t="s">
        <v>5908</v>
      </c>
      <c r="B3383" s="3">
        <v>44101</v>
      </c>
      <c r="C3383" t="s">
        <v>1435</v>
      </c>
      <c r="D3383" t="s">
        <v>3502</v>
      </c>
      <c r="E3383">
        <v>1</v>
      </c>
      <c r="F3383" t="s">
        <v>3526</v>
      </c>
      <c r="G3383" t="s">
        <v>3517</v>
      </c>
      <c r="H3383">
        <v>1</v>
      </c>
      <c r="I3383">
        <v>14.9</v>
      </c>
      <c r="J3383">
        <v>14.9</v>
      </c>
    </row>
    <row r="3384" spans="1:10" x14ac:dyDescent="0.25">
      <c r="A3384" t="s">
        <v>5909</v>
      </c>
      <c r="B3384" s="3">
        <v>45457</v>
      </c>
      <c r="C3384" t="s">
        <v>1666</v>
      </c>
      <c r="D3384" t="s">
        <v>3471</v>
      </c>
      <c r="E3384">
        <v>5</v>
      </c>
      <c r="F3384" t="s">
        <v>3523</v>
      </c>
      <c r="G3384" t="s">
        <v>3517</v>
      </c>
      <c r="H3384">
        <v>1</v>
      </c>
      <c r="I3384">
        <v>13</v>
      </c>
      <c r="J3384">
        <v>65</v>
      </c>
    </row>
    <row r="3385" spans="1:10" x14ac:dyDescent="0.25">
      <c r="A3385" t="s">
        <v>5910</v>
      </c>
      <c r="B3385" s="3">
        <v>45118</v>
      </c>
      <c r="C3385" t="s">
        <v>2888</v>
      </c>
      <c r="D3385" t="s">
        <v>3486</v>
      </c>
      <c r="E3385">
        <v>6</v>
      </c>
      <c r="F3385" t="s">
        <v>3523</v>
      </c>
      <c r="G3385" t="s">
        <v>3519</v>
      </c>
      <c r="H3385">
        <v>1</v>
      </c>
      <c r="I3385">
        <v>11.3</v>
      </c>
      <c r="J3385">
        <v>67.8</v>
      </c>
    </row>
    <row r="3386" spans="1:10" x14ac:dyDescent="0.25">
      <c r="A3386" t="s">
        <v>5911</v>
      </c>
      <c r="B3386" s="3">
        <v>43582</v>
      </c>
      <c r="C3386" t="s">
        <v>3193</v>
      </c>
      <c r="D3386" t="s">
        <v>3499</v>
      </c>
      <c r="E3386">
        <v>5</v>
      </c>
      <c r="F3386" t="s">
        <v>3523</v>
      </c>
      <c r="G3386" t="s">
        <v>3518</v>
      </c>
      <c r="H3386">
        <v>2.5</v>
      </c>
      <c r="I3386">
        <v>22.9</v>
      </c>
      <c r="J3386">
        <v>114.5</v>
      </c>
    </row>
    <row r="3387" spans="1:10" x14ac:dyDescent="0.25">
      <c r="A3387" t="s">
        <v>5912</v>
      </c>
      <c r="B3387" s="3">
        <v>45644</v>
      </c>
      <c r="C3387" t="s">
        <v>3399</v>
      </c>
      <c r="D3387" t="s">
        <v>3472</v>
      </c>
      <c r="E3387">
        <v>2</v>
      </c>
      <c r="F3387" t="s">
        <v>3526</v>
      </c>
      <c r="G3387" t="s">
        <v>3519</v>
      </c>
      <c r="H3387">
        <v>1</v>
      </c>
      <c r="I3387">
        <v>13.8</v>
      </c>
      <c r="J3387">
        <v>27.6</v>
      </c>
    </row>
    <row r="3388" spans="1:10" x14ac:dyDescent="0.25">
      <c r="A3388" t="s">
        <v>5913</v>
      </c>
      <c r="B3388" s="3">
        <v>44653</v>
      </c>
      <c r="C3388" t="s">
        <v>1100</v>
      </c>
      <c r="D3388" t="s">
        <v>3503</v>
      </c>
      <c r="E3388">
        <v>3</v>
      </c>
      <c r="F3388" t="s">
        <v>3524</v>
      </c>
      <c r="G3388" t="s">
        <v>3518</v>
      </c>
      <c r="H3388">
        <v>0.5</v>
      </c>
      <c r="I3388">
        <v>5.4</v>
      </c>
      <c r="J3388">
        <v>16.2</v>
      </c>
    </row>
    <row r="3389" spans="1:10" x14ac:dyDescent="0.25">
      <c r="A3389" t="s">
        <v>5914</v>
      </c>
      <c r="B3389" s="3">
        <v>45440</v>
      </c>
      <c r="C3389" t="s">
        <v>1375</v>
      </c>
      <c r="D3389" t="s">
        <v>3484</v>
      </c>
      <c r="E3389">
        <v>5</v>
      </c>
      <c r="F3389" t="s">
        <v>3526</v>
      </c>
      <c r="G3389" t="s">
        <v>3518</v>
      </c>
      <c r="H3389">
        <v>0.2</v>
      </c>
      <c r="I3389">
        <v>3.6</v>
      </c>
      <c r="J3389">
        <v>18</v>
      </c>
    </row>
    <row r="3390" spans="1:10" x14ac:dyDescent="0.25">
      <c r="A3390" t="s">
        <v>5915</v>
      </c>
      <c r="B3390" s="3">
        <v>44276</v>
      </c>
      <c r="C3390" t="s">
        <v>2736</v>
      </c>
      <c r="D3390" t="s">
        <v>3510</v>
      </c>
      <c r="E3390">
        <v>3</v>
      </c>
      <c r="F3390" t="s">
        <v>3524</v>
      </c>
      <c r="G3390" t="s">
        <v>3517</v>
      </c>
      <c r="H3390">
        <v>1</v>
      </c>
      <c r="I3390">
        <v>12</v>
      </c>
      <c r="J3390">
        <v>36</v>
      </c>
    </row>
    <row r="3391" spans="1:10" x14ac:dyDescent="0.25">
      <c r="A3391" t="s">
        <v>5916</v>
      </c>
      <c r="B3391" s="3">
        <v>44478</v>
      </c>
      <c r="C3391" t="s">
        <v>1154</v>
      </c>
      <c r="D3391" t="s">
        <v>3491</v>
      </c>
      <c r="E3391">
        <v>3</v>
      </c>
      <c r="F3391" t="s">
        <v>3525</v>
      </c>
      <c r="G3391" t="s">
        <v>3519</v>
      </c>
      <c r="H3391">
        <v>0.5</v>
      </c>
      <c r="I3391">
        <v>8.6999999999999993</v>
      </c>
      <c r="J3391">
        <v>26.1</v>
      </c>
    </row>
    <row r="3392" spans="1:10" x14ac:dyDescent="0.25">
      <c r="A3392" t="s">
        <v>5917</v>
      </c>
      <c r="B3392" s="3">
        <v>45557</v>
      </c>
      <c r="C3392" t="s">
        <v>3199</v>
      </c>
      <c r="D3392" t="s">
        <v>3494</v>
      </c>
      <c r="E3392">
        <v>1</v>
      </c>
      <c r="F3392" t="s">
        <v>3524</v>
      </c>
      <c r="G3392" t="s">
        <v>3518</v>
      </c>
      <c r="H3392">
        <v>0.2</v>
      </c>
      <c r="I3392">
        <v>2.7</v>
      </c>
      <c r="J3392">
        <v>2.7</v>
      </c>
    </row>
    <row r="3393" spans="1:10" x14ac:dyDescent="0.25">
      <c r="A3393" t="s">
        <v>5918</v>
      </c>
      <c r="B3393" s="3">
        <v>44929</v>
      </c>
      <c r="C3393" t="s">
        <v>2939</v>
      </c>
      <c r="D3393" t="s">
        <v>3505</v>
      </c>
      <c r="E3393">
        <v>1</v>
      </c>
      <c r="F3393" t="s">
        <v>3524</v>
      </c>
      <c r="G3393" t="s">
        <v>3519</v>
      </c>
      <c r="H3393">
        <v>0.2</v>
      </c>
      <c r="I3393">
        <v>3</v>
      </c>
      <c r="J3393">
        <v>3</v>
      </c>
    </row>
    <row r="3394" spans="1:10" x14ac:dyDescent="0.25">
      <c r="A3394" t="s">
        <v>5919</v>
      </c>
      <c r="B3394" s="3">
        <v>45431</v>
      </c>
      <c r="C3394" t="s">
        <v>2636</v>
      </c>
      <c r="D3394" t="s">
        <v>3514</v>
      </c>
      <c r="E3394">
        <v>5</v>
      </c>
      <c r="F3394" t="s">
        <v>3526</v>
      </c>
      <c r="G3394" t="s">
        <v>3518</v>
      </c>
      <c r="H3394">
        <v>1</v>
      </c>
      <c r="I3394">
        <v>12.2</v>
      </c>
      <c r="J3394">
        <v>61</v>
      </c>
    </row>
    <row r="3395" spans="1:10" x14ac:dyDescent="0.25">
      <c r="A3395" t="s">
        <v>5920</v>
      </c>
      <c r="B3395" s="3">
        <v>45426</v>
      </c>
      <c r="C3395" t="s">
        <v>2447</v>
      </c>
      <c r="D3395" t="s">
        <v>3508</v>
      </c>
      <c r="E3395">
        <v>5</v>
      </c>
      <c r="F3395" t="s">
        <v>3524</v>
      </c>
      <c r="G3395" t="s">
        <v>3518</v>
      </c>
      <c r="H3395">
        <v>1</v>
      </c>
      <c r="I3395">
        <v>9</v>
      </c>
      <c r="J3395">
        <v>45</v>
      </c>
    </row>
    <row r="3396" spans="1:10" x14ac:dyDescent="0.25">
      <c r="A3396" t="s">
        <v>5921</v>
      </c>
      <c r="B3396" s="3">
        <v>45627</v>
      </c>
      <c r="C3396" t="s">
        <v>2137</v>
      </c>
      <c r="D3396" t="s">
        <v>3494</v>
      </c>
      <c r="E3396">
        <v>3</v>
      </c>
      <c r="F3396" t="s">
        <v>3524</v>
      </c>
      <c r="G3396" t="s">
        <v>3518</v>
      </c>
      <c r="H3396">
        <v>0.2</v>
      </c>
      <c r="I3396">
        <v>2.7</v>
      </c>
      <c r="J3396">
        <v>8.1</v>
      </c>
    </row>
    <row r="3397" spans="1:10" x14ac:dyDescent="0.25">
      <c r="A3397" t="s">
        <v>5922</v>
      </c>
      <c r="B3397" s="3">
        <v>43716</v>
      </c>
      <c r="C3397" t="s">
        <v>3378</v>
      </c>
      <c r="D3397" t="s">
        <v>3478</v>
      </c>
      <c r="E3397">
        <v>2</v>
      </c>
      <c r="F3397" t="s">
        <v>3523</v>
      </c>
      <c r="G3397" t="s">
        <v>3518</v>
      </c>
      <c r="H3397">
        <v>1</v>
      </c>
      <c r="I3397">
        <v>10</v>
      </c>
      <c r="J3397">
        <v>20</v>
      </c>
    </row>
    <row r="3398" spans="1:10" x14ac:dyDescent="0.25">
      <c r="A3398" t="s">
        <v>5923</v>
      </c>
      <c r="B3398" s="3">
        <v>45198</v>
      </c>
      <c r="C3398" t="s">
        <v>564</v>
      </c>
      <c r="D3398" t="s">
        <v>3486</v>
      </c>
      <c r="E3398">
        <v>3</v>
      </c>
      <c r="F3398" t="s">
        <v>3523</v>
      </c>
      <c r="G3398" t="s">
        <v>3519</v>
      </c>
      <c r="H3398">
        <v>1</v>
      </c>
      <c r="I3398">
        <v>11.3</v>
      </c>
      <c r="J3398">
        <v>33.9</v>
      </c>
    </row>
    <row r="3399" spans="1:10" x14ac:dyDescent="0.25">
      <c r="A3399" t="s">
        <v>5924</v>
      </c>
      <c r="B3399" s="3">
        <v>45457</v>
      </c>
      <c r="C3399" t="s">
        <v>2041</v>
      </c>
      <c r="D3399" t="s">
        <v>3503</v>
      </c>
      <c r="E3399">
        <v>1</v>
      </c>
      <c r="F3399" t="s">
        <v>3524</v>
      </c>
      <c r="G3399" t="s">
        <v>3518</v>
      </c>
      <c r="H3399">
        <v>0.5</v>
      </c>
      <c r="I3399">
        <v>5.4</v>
      </c>
      <c r="J3399">
        <v>5.4</v>
      </c>
    </row>
    <row r="3400" spans="1:10" x14ac:dyDescent="0.25">
      <c r="A3400" t="s">
        <v>5925</v>
      </c>
      <c r="B3400" s="3">
        <v>45595</v>
      </c>
      <c r="C3400" t="s">
        <v>2792</v>
      </c>
      <c r="D3400" t="s">
        <v>3492</v>
      </c>
      <c r="E3400">
        <v>4</v>
      </c>
      <c r="F3400" t="s">
        <v>3525</v>
      </c>
      <c r="G3400" t="s">
        <v>3517</v>
      </c>
      <c r="H3400">
        <v>0.5</v>
      </c>
      <c r="I3400">
        <v>9.5</v>
      </c>
      <c r="J3400">
        <v>38</v>
      </c>
    </row>
    <row r="3401" spans="1:10" x14ac:dyDescent="0.25">
      <c r="A3401" t="s">
        <v>5926</v>
      </c>
      <c r="B3401" s="3">
        <v>45025</v>
      </c>
      <c r="C3401" t="s">
        <v>2599</v>
      </c>
      <c r="D3401" t="s">
        <v>3513</v>
      </c>
      <c r="E3401">
        <v>3</v>
      </c>
      <c r="F3401" t="s">
        <v>3523</v>
      </c>
      <c r="G3401" t="s">
        <v>3517</v>
      </c>
      <c r="H3401">
        <v>2.5</v>
      </c>
      <c r="I3401">
        <v>29.8</v>
      </c>
      <c r="J3401">
        <v>89.4</v>
      </c>
    </row>
    <row r="3402" spans="1:10" x14ac:dyDescent="0.25">
      <c r="A3402" t="s">
        <v>5927</v>
      </c>
      <c r="B3402" s="3">
        <v>44638</v>
      </c>
      <c r="C3402" t="s">
        <v>1429</v>
      </c>
      <c r="D3402" t="s">
        <v>3515</v>
      </c>
      <c r="E3402">
        <v>4</v>
      </c>
      <c r="F3402" t="s">
        <v>3526</v>
      </c>
      <c r="G3402" t="s">
        <v>3517</v>
      </c>
      <c r="H3402">
        <v>0.2</v>
      </c>
      <c r="I3402">
        <v>4.5</v>
      </c>
      <c r="J3402">
        <v>18</v>
      </c>
    </row>
    <row r="3403" spans="1:10" x14ac:dyDescent="0.25">
      <c r="A3403" t="s">
        <v>5928</v>
      </c>
      <c r="B3403" s="3">
        <v>44891</v>
      </c>
      <c r="C3403" t="s">
        <v>3318</v>
      </c>
      <c r="D3403" t="s">
        <v>3493</v>
      </c>
      <c r="E3403">
        <v>2</v>
      </c>
      <c r="F3403" t="s">
        <v>3525</v>
      </c>
      <c r="G3403" t="s">
        <v>3519</v>
      </c>
      <c r="H3403">
        <v>1</v>
      </c>
      <c r="I3403">
        <v>14.6</v>
      </c>
      <c r="J3403">
        <v>29.2</v>
      </c>
    </row>
    <row r="3404" spans="1:10" x14ac:dyDescent="0.25">
      <c r="A3404" t="s">
        <v>5929</v>
      </c>
      <c r="B3404" s="3">
        <v>44022</v>
      </c>
      <c r="C3404" t="s">
        <v>884</v>
      </c>
      <c r="D3404" t="s">
        <v>3495</v>
      </c>
      <c r="E3404">
        <v>2</v>
      </c>
      <c r="F3404" t="s">
        <v>3525</v>
      </c>
      <c r="G3404" t="s">
        <v>3517</v>
      </c>
      <c r="H3404">
        <v>2.5</v>
      </c>
      <c r="I3404">
        <v>36.5</v>
      </c>
      <c r="J3404">
        <v>73</v>
      </c>
    </row>
    <row r="3405" spans="1:10" x14ac:dyDescent="0.25">
      <c r="A3405" t="s">
        <v>5930</v>
      </c>
      <c r="B3405" s="3">
        <v>45120</v>
      </c>
      <c r="C3405" t="s">
        <v>2888</v>
      </c>
      <c r="D3405" t="s">
        <v>3469</v>
      </c>
      <c r="E3405">
        <v>3</v>
      </c>
      <c r="F3405" t="s">
        <v>3524</v>
      </c>
      <c r="G3405" t="s">
        <v>3519</v>
      </c>
      <c r="H3405">
        <v>1</v>
      </c>
      <c r="I3405">
        <v>10</v>
      </c>
      <c r="J3405">
        <v>30</v>
      </c>
    </row>
    <row r="3406" spans="1:10" x14ac:dyDescent="0.25">
      <c r="A3406" t="s">
        <v>5931</v>
      </c>
      <c r="B3406" s="3">
        <v>45287</v>
      </c>
      <c r="C3406" t="s">
        <v>775</v>
      </c>
      <c r="D3406" t="s">
        <v>3480</v>
      </c>
      <c r="E3406">
        <v>2</v>
      </c>
      <c r="F3406" t="s">
        <v>3524</v>
      </c>
      <c r="G3406" t="s">
        <v>3518</v>
      </c>
      <c r="H3406">
        <v>2.5</v>
      </c>
      <c r="I3406">
        <v>20.6</v>
      </c>
      <c r="J3406">
        <v>41.2</v>
      </c>
    </row>
    <row r="3407" spans="1:10" x14ac:dyDescent="0.25">
      <c r="A3407" t="s">
        <v>5932</v>
      </c>
      <c r="B3407" s="3">
        <v>45110</v>
      </c>
      <c r="C3407" t="s">
        <v>1717</v>
      </c>
      <c r="D3407" t="s">
        <v>3499</v>
      </c>
      <c r="E3407">
        <v>3</v>
      </c>
      <c r="F3407" t="s">
        <v>3523</v>
      </c>
      <c r="G3407" t="s">
        <v>3518</v>
      </c>
      <c r="H3407">
        <v>2.5</v>
      </c>
      <c r="I3407">
        <v>22.9</v>
      </c>
      <c r="J3407">
        <v>68.7</v>
      </c>
    </row>
    <row r="3408" spans="1:10" x14ac:dyDescent="0.25">
      <c r="A3408" t="s">
        <v>5933</v>
      </c>
      <c r="B3408" s="3">
        <v>45147</v>
      </c>
      <c r="C3408" t="s">
        <v>3118</v>
      </c>
      <c r="D3408" t="s">
        <v>3472</v>
      </c>
      <c r="E3408">
        <v>4</v>
      </c>
      <c r="F3408" t="s">
        <v>3526</v>
      </c>
      <c r="G3408" t="s">
        <v>3519</v>
      </c>
      <c r="H3408">
        <v>1</v>
      </c>
      <c r="I3408">
        <v>13.8</v>
      </c>
      <c r="J3408">
        <v>55.2</v>
      </c>
    </row>
    <row r="3409" spans="1:10" x14ac:dyDescent="0.25">
      <c r="A3409" t="s">
        <v>5934</v>
      </c>
      <c r="B3409" s="3">
        <v>44525</v>
      </c>
      <c r="C3409" t="s">
        <v>2545</v>
      </c>
      <c r="D3409" t="s">
        <v>3513</v>
      </c>
      <c r="E3409">
        <v>3</v>
      </c>
      <c r="F3409" t="s">
        <v>3523</v>
      </c>
      <c r="G3409" t="s">
        <v>3517</v>
      </c>
      <c r="H3409">
        <v>2.5</v>
      </c>
      <c r="I3409">
        <v>29.8</v>
      </c>
      <c r="J3409">
        <v>89.4</v>
      </c>
    </row>
    <row r="3410" spans="1:10" x14ac:dyDescent="0.25">
      <c r="A3410" t="s">
        <v>5935</v>
      </c>
      <c r="B3410" s="3">
        <v>44439</v>
      </c>
      <c r="C3410" t="s">
        <v>1717</v>
      </c>
      <c r="D3410" t="s">
        <v>3491</v>
      </c>
      <c r="E3410">
        <v>3</v>
      </c>
      <c r="F3410" t="s">
        <v>3525</v>
      </c>
      <c r="G3410" t="s">
        <v>3519</v>
      </c>
      <c r="H3410">
        <v>0.5</v>
      </c>
      <c r="I3410">
        <v>8.6999999999999993</v>
      </c>
      <c r="J3410">
        <v>26.1</v>
      </c>
    </row>
    <row r="3411" spans="1:10" x14ac:dyDescent="0.25">
      <c r="A3411" t="s">
        <v>5936</v>
      </c>
      <c r="B3411" s="3">
        <v>45017</v>
      </c>
      <c r="C3411" t="s">
        <v>1175</v>
      </c>
      <c r="D3411" t="s">
        <v>3505</v>
      </c>
      <c r="E3411">
        <v>5</v>
      </c>
      <c r="F3411" t="s">
        <v>3524</v>
      </c>
      <c r="G3411" t="s">
        <v>3519</v>
      </c>
      <c r="H3411">
        <v>0.2</v>
      </c>
      <c r="I3411">
        <v>3</v>
      </c>
      <c r="J3411">
        <v>15</v>
      </c>
    </row>
    <row r="3412" spans="1:10" x14ac:dyDescent="0.25">
      <c r="A3412" t="s">
        <v>5937</v>
      </c>
      <c r="B3412" s="3">
        <v>45365</v>
      </c>
      <c r="C3412" t="s">
        <v>1012</v>
      </c>
      <c r="D3412" t="s">
        <v>3508</v>
      </c>
      <c r="E3412">
        <v>5</v>
      </c>
      <c r="F3412" t="s">
        <v>3524</v>
      </c>
      <c r="G3412" t="s">
        <v>3518</v>
      </c>
      <c r="H3412">
        <v>1</v>
      </c>
      <c r="I3412">
        <v>9</v>
      </c>
      <c r="J3412">
        <v>45</v>
      </c>
    </row>
    <row r="3413" spans="1:10" x14ac:dyDescent="0.25">
      <c r="A3413" t="s">
        <v>5938</v>
      </c>
      <c r="B3413" s="3">
        <v>45500</v>
      </c>
      <c r="C3413" t="s">
        <v>3139</v>
      </c>
      <c r="D3413" t="s">
        <v>3512</v>
      </c>
      <c r="E3413">
        <v>6</v>
      </c>
      <c r="F3413" t="s">
        <v>3525</v>
      </c>
      <c r="G3413" t="s">
        <v>3519</v>
      </c>
      <c r="H3413">
        <v>2.5</v>
      </c>
      <c r="I3413">
        <v>33.5</v>
      </c>
      <c r="J3413">
        <v>201</v>
      </c>
    </row>
    <row r="3414" spans="1:10" x14ac:dyDescent="0.25">
      <c r="A3414" t="s">
        <v>5939</v>
      </c>
      <c r="B3414" s="3">
        <v>44959</v>
      </c>
      <c r="C3414" t="s">
        <v>538</v>
      </c>
      <c r="D3414" t="s">
        <v>3471</v>
      </c>
      <c r="E3414">
        <v>2</v>
      </c>
      <c r="F3414" t="s">
        <v>3523</v>
      </c>
      <c r="G3414" t="s">
        <v>3517</v>
      </c>
      <c r="H3414">
        <v>1</v>
      </c>
      <c r="I3414">
        <v>13</v>
      </c>
      <c r="J3414">
        <v>26</v>
      </c>
    </row>
    <row r="3415" spans="1:10" x14ac:dyDescent="0.25">
      <c r="A3415" t="s">
        <v>5940</v>
      </c>
      <c r="B3415" s="3">
        <v>44461</v>
      </c>
      <c r="C3415" t="s">
        <v>2009</v>
      </c>
      <c r="D3415" t="s">
        <v>3479</v>
      </c>
      <c r="E3415">
        <v>6</v>
      </c>
      <c r="F3415" t="s">
        <v>3526</v>
      </c>
      <c r="G3415" t="s">
        <v>3517</v>
      </c>
      <c r="H3415">
        <v>2.5</v>
      </c>
      <c r="I3415">
        <v>34.200000000000003</v>
      </c>
      <c r="J3415">
        <v>205.2</v>
      </c>
    </row>
    <row r="3416" spans="1:10" x14ac:dyDescent="0.25">
      <c r="A3416" t="s">
        <v>5941</v>
      </c>
      <c r="B3416" s="3">
        <v>45308</v>
      </c>
      <c r="C3416" t="s">
        <v>3205</v>
      </c>
      <c r="D3416" t="s">
        <v>3495</v>
      </c>
      <c r="E3416">
        <v>4</v>
      </c>
      <c r="F3416" t="s">
        <v>3525</v>
      </c>
      <c r="G3416" t="s">
        <v>3517</v>
      </c>
      <c r="H3416">
        <v>2.5</v>
      </c>
      <c r="I3416">
        <v>36.5</v>
      </c>
      <c r="J3416">
        <v>146</v>
      </c>
    </row>
    <row r="3417" spans="1:10" x14ac:dyDescent="0.25">
      <c r="A3417" t="s">
        <v>5942</v>
      </c>
      <c r="B3417" s="3">
        <v>45092</v>
      </c>
      <c r="C3417" t="s">
        <v>1309</v>
      </c>
      <c r="D3417" t="s">
        <v>3475</v>
      </c>
      <c r="E3417">
        <v>2</v>
      </c>
      <c r="F3417" t="s">
        <v>3526</v>
      </c>
      <c r="G3417" t="s">
        <v>3518</v>
      </c>
      <c r="H3417">
        <v>0.5</v>
      </c>
      <c r="I3417">
        <v>7.3</v>
      </c>
      <c r="J3417">
        <v>14.6</v>
      </c>
    </row>
    <row r="3418" spans="1:10" x14ac:dyDescent="0.25">
      <c r="A3418" t="s">
        <v>5943</v>
      </c>
      <c r="B3418" s="3">
        <v>44654</v>
      </c>
      <c r="C3418" t="s">
        <v>2942</v>
      </c>
      <c r="D3418" t="s">
        <v>3483</v>
      </c>
      <c r="E3418">
        <v>5</v>
      </c>
      <c r="F3418" t="s">
        <v>3523</v>
      </c>
      <c r="G3418" t="s">
        <v>3519</v>
      </c>
      <c r="H3418">
        <v>0.2</v>
      </c>
      <c r="I3418">
        <v>3.4</v>
      </c>
      <c r="J3418">
        <v>17</v>
      </c>
    </row>
    <row r="3419" spans="1:10" x14ac:dyDescent="0.25">
      <c r="A3419" t="s">
        <v>5944</v>
      </c>
      <c r="B3419" s="3">
        <v>44845</v>
      </c>
      <c r="C3419" t="s">
        <v>3078</v>
      </c>
      <c r="D3419" t="s">
        <v>3497</v>
      </c>
      <c r="E3419">
        <v>5</v>
      </c>
      <c r="F3419" t="s">
        <v>3526</v>
      </c>
      <c r="G3419" t="s">
        <v>3519</v>
      </c>
      <c r="H3419">
        <v>2.5</v>
      </c>
      <c r="I3419">
        <v>31.6</v>
      </c>
      <c r="J3419">
        <v>158</v>
      </c>
    </row>
    <row r="3420" spans="1:10" x14ac:dyDescent="0.25">
      <c r="A3420" t="s">
        <v>5945</v>
      </c>
      <c r="B3420" s="3">
        <v>45199</v>
      </c>
      <c r="C3420" t="s">
        <v>3101</v>
      </c>
      <c r="D3420" t="s">
        <v>3513</v>
      </c>
      <c r="E3420">
        <v>2</v>
      </c>
      <c r="F3420" t="s">
        <v>3523</v>
      </c>
      <c r="G3420" t="s">
        <v>3517</v>
      </c>
      <c r="H3420">
        <v>2.5</v>
      </c>
      <c r="I3420">
        <v>29.8</v>
      </c>
      <c r="J3420">
        <v>59.6</v>
      </c>
    </row>
    <row r="3421" spans="1:10" x14ac:dyDescent="0.25">
      <c r="A3421" t="s">
        <v>5946</v>
      </c>
      <c r="B3421" s="3">
        <v>43565</v>
      </c>
      <c r="C3421" t="s">
        <v>1761</v>
      </c>
      <c r="D3421" t="s">
        <v>3516</v>
      </c>
      <c r="E3421">
        <v>2</v>
      </c>
      <c r="F3421" t="s">
        <v>3526</v>
      </c>
      <c r="G3421" t="s">
        <v>3518</v>
      </c>
      <c r="H3421">
        <v>2.5</v>
      </c>
      <c r="I3421">
        <v>27.9</v>
      </c>
      <c r="J3421">
        <v>55.8</v>
      </c>
    </row>
    <row r="3422" spans="1:10" x14ac:dyDescent="0.25">
      <c r="A3422" t="s">
        <v>5947</v>
      </c>
      <c r="B3422" s="3">
        <v>44808</v>
      </c>
      <c r="C3422" t="s">
        <v>978</v>
      </c>
      <c r="D3422" t="s">
        <v>3484</v>
      </c>
      <c r="E3422">
        <v>4</v>
      </c>
      <c r="F3422" t="s">
        <v>3526</v>
      </c>
      <c r="G3422" t="s">
        <v>3518</v>
      </c>
      <c r="H3422">
        <v>0.2</v>
      </c>
      <c r="I3422">
        <v>3.6</v>
      </c>
      <c r="J3422">
        <v>14.4</v>
      </c>
    </row>
    <row r="3423" spans="1:10" x14ac:dyDescent="0.25">
      <c r="A3423" t="s">
        <v>5948</v>
      </c>
      <c r="B3423" s="3">
        <v>45018</v>
      </c>
      <c r="C3423" t="s">
        <v>962</v>
      </c>
      <c r="D3423" t="s">
        <v>3486</v>
      </c>
      <c r="E3423">
        <v>6</v>
      </c>
      <c r="F3423" t="s">
        <v>3523</v>
      </c>
      <c r="G3423" t="s">
        <v>3519</v>
      </c>
      <c r="H3423">
        <v>1</v>
      </c>
      <c r="I3423">
        <v>11.3</v>
      </c>
      <c r="J3423">
        <v>67.8</v>
      </c>
    </row>
    <row r="3424" spans="1:10" x14ac:dyDescent="0.25">
      <c r="A3424" t="s">
        <v>5949</v>
      </c>
      <c r="B3424" s="3">
        <v>43864</v>
      </c>
      <c r="C3424" t="s">
        <v>2846</v>
      </c>
      <c r="D3424" t="s">
        <v>3487</v>
      </c>
      <c r="E3424">
        <v>1</v>
      </c>
      <c r="F3424" t="s">
        <v>3526</v>
      </c>
      <c r="G3424" t="s">
        <v>3519</v>
      </c>
      <c r="H3424">
        <v>0.2</v>
      </c>
      <c r="I3424">
        <v>4.0999999999999996</v>
      </c>
      <c r="J3424">
        <v>4.0999999999999996</v>
      </c>
    </row>
    <row r="3425" spans="1:10" x14ac:dyDescent="0.25">
      <c r="A3425" t="s">
        <v>5950</v>
      </c>
      <c r="B3425" s="3">
        <v>44626</v>
      </c>
      <c r="C3425" t="s">
        <v>3199</v>
      </c>
      <c r="D3425" t="s">
        <v>3495</v>
      </c>
      <c r="E3425">
        <v>4</v>
      </c>
      <c r="F3425" t="s">
        <v>3525</v>
      </c>
      <c r="G3425" t="s">
        <v>3517</v>
      </c>
      <c r="H3425">
        <v>2.5</v>
      </c>
      <c r="I3425">
        <v>36.5</v>
      </c>
      <c r="J3425">
        <v>146</v>
      </c>
    </row>
    <row r="3426" spans="1:10" x14ac:dyDescent="0.25">
      <c r="A3426" t="s">
        <v>5951</v>
      </c>
      <c r="B3426" s="3">
        <v>43541</v>
      </c>
      <c r="C3426" t="s">
        <v>3124</v>
      </c>
      <c r="D3426" t="s">
        <v>3500</v>
      </c>
      <c r="E3426">
        <v>1</v>
      </c>
      <c r="F3426" t="s">
        <v>3525</v>
      </c>
      <c r="G3426" t="s">
        <v>3518</v>
      </c>
      <c r="H3426">
        <v>0.5</v>
      </c>
      <c r="I3426">
        <v>7.8</v>
      </c>
      <c r="J3426">
        <v>7.8</v>
      </c>
    </row>
    <row r="3427" spans="1:10" x14ac:dyDescent="0.25">
      <c r="A3427" t="s">
        <v>5952</v>
      </c>
      <c r="B3427" s="3">
        <v>44961</v>
      </c>
      <c r="C3427" t="s">
        <v>2302</v>
      </c>
      <c r="D3427" t="s">
        <v>3499</v>
      </c>
      <c r="E3427">
        <v>2</v>
      </c>
      <c r="F3427" t="s">
        <v>3523</v>
      </c>
      <c r="G3427" t="s">
        <v>3518</v>
      </c>
      <c r="H3427">
        <v>2.5</v>
      </c>
      <c r="I3427">
        <v>22.9</v>
      </c>
      <c r="J3427">
        <v>45.8</v>
      </c>
    </row>
    <row r="3428" spans="1:10" x14ac:dyDescent="0.25">
      <c r="A3428" t="s">
        <v>5953</v>
      </c>
      <c r="B3428" s="3">
        <v>44956</v>
      </c>
      <c r="C3428" t="s">
        <v>2596</v>
      </c>
      <c r="D3428" t="s">
        <v>3478</v>
      </c>
      <c r="E3428">
        <v>3</v>
      </c>
      <c r="F3428" t="s">
        <v>3523</v>
      </c>
      <c r="G3428" t="s">
        <v>3518</v>
      </c>
      <c r="H3428">
        <v>1</v>
      </c>
      <c r="I3428">
        <v>10</v>
      </c>
      <c r="J3428">
        <v>30</v>
      </c>
    </row>
    <row r="3429" spans="1:10" x14ac:dyDescent="0.25">
      <c r="A3429" t="s">
        <v>5954</v>
      </c>
      <c r="B3429" s="3">
        <v>44055</v>
      </c>
      <c r="C3429" t="s">
        <v>1532</v>
      </c>
      <c r="D3429" t="s">
        <v>3488</v>
      </c>
      <c r="E3429">
        <v>4</v>
      </c>
      <c r="F3429" t="s">
        <v>3523</v>
      </c>
      <c r="G3429" t="s">
        <v>3519</v>
      </c>
      <c r="H3429">
        <v>0.5</v>
      </c>
      <c r="I3429">
        <v>6.8</v>
      </c>
      <c r="J3429">
        <v>27.2</v>
      </c>
    </row>
    <row r="3430" spans="1:10" x14ac:dyDescent="0.25">
      <c r="A3430" t="s">
        <v>5955</v>
      </c>
      <c r="B3430" s="3">
        <v>45205</v>
      </c>
      <c r="C3430" t="s">
        <v>3010</v>
      </c>
      <c r="D3430" t="s">
        <v>3480</v>
      </c>
      <c r="E3430">
        <v>5</v>
      </c>
      <c r="F3430" t="s">
        <v>3524</v>
      </c>
      <c r="G3430" t="s">
        <v>3518</v>
      </c>
      <c r="H3430">
        <v>2.5</v>
      </c>
      <c r="I3430">
        <v>20.6</v>
      </c>
      <c r="J3430">
        <v>103</v>
      </c>
    </row>
    <row r="3431" spans="1:10" x14ac:dyDescent="0.25">
      <c r="A3431" t="s">
        <v>5956</v>
      </c>
      <c r="B3431" s="3">
        <v>44852</v>
      </c>
      <c r="C3431" t="s">
        <v>2341</v>
      </c>
      <c r="D3431" t="s">
        <v>3515</v>
      </c>
      <c r="E3431">
        <v>1</v>
      </c>
      <c r="F3431" t="s">
        <v>3526</v>
      </c>
      <c r="G3431" t="s">
        <v>3517</v>
      </c>
      <c r="H3431">
        <v>0.2</v>
      </c>
      <c r="I3431">
        <v>4.5</v>
      </c>
      <c r="J3431">
        <v>4.5</v>
      </c>
    </row>
    <row r="3432" spans="1:10" x14ac:dyDescent="0.25">
      <c r="A3432" t="s">
        <v>5957</v>
      </c>
      <c r="B3432" s="3">
        <v>44988</v>
      </c>
      <c r="C3432" t="s">
        <v>838</v>
      </c>
      <c r="D3432" t="s">
        <v>3498</v>
      </c>
      <c r="E3432">
        <v>3</v>
      </c>
      <c r="F3432" t="s">
        <v>3523</v>
      </c>
      <c r="G3432" t="s">
        <v>3517</v>
      </c>
      <c r="H3432">
        <v>0.2</v>
      </c>
      <c r="I3432">
        <v>3.9</v>
      </c>
      <c r="J3432">
        <v>11.7</v>
      </c>
    </row>
    <row r="3433" spans="1:10" x14ac:dyDescent="0.25">
      <c r="A3433" t="s">
        <v>5958</v>
      </c>
      <c r="B3433" s="3">
        <v>45052</v>
      </c>
      <c r="C3433" t="s">
        <v>2302</v>
      </c>
      <c r="D3433" t="s">
        <v>3489</v>
      </c>
      <c r="E3433">
        <v>4</v>
      </c>
      <c r="F3433" t="s">
        <v>3523</v>
      </c>
      <c r="G3433" t="s">
        <v>3518</v>
      </c>
      <c r="H3433">
        <v>0.5</v>
      </c>
      <c r="I3433">
        <v>6</v>
      </c>
      <c r="J3433">
        <v>24</v>
      </c>
    </row>
    <row r="3434" spans="1:10" x14ac:dyDescent="0.25">
      <c r="A3434" t="s">
        <v>5959</v>
      </c>
      <c r="B3434" s="3">
        <v>43815</v>
      </c>
      <c r="C3434" t="s">
        <v>1396</v>
      </c>
      <c r="D3434" t="s">
        <v>3515</v>
      </c>
      <c r="E3434">
        <v>6</v>
      </c>
      <c r="F3434" t="s">
        <v>3526</v>
      </c>
      <c r="G3434" t="s">
        <v>3517</v>
      </c>
      <c r="H3434">
        <v>0.2</v>
      </c>
      <c r="I3434">
        <v>4.5</v>
      </c>
      <c r="J3434">
        <v>27</v>
      </c>
    </row>
    <row r="3435" spans="1:10" x14ac:dyDescent="0.25">
      <c r="A3435" t="s">
        <v>5960</v>
      </c>
      <c r="B3435" s="3">
        <v>44671</v>
      </c>
      <c r="C3435" t="s">
        <v>2174</v>
      </c>
      <c r="D3435" t="s">
        <v>3480</v>
      </c>
      <c r="E3435">
        <v>2</v>
      </c>
      <c r="F3435" t="s">
        <v>3524</v>
      </c>
      <c r="G3435" t="s">
        <v>3518</v>
      </c>
      <c r="H3435">
        <v>2.5</v>
      </c>
      <c r="I3435">
        <v>20.6</v>
      </c>
      <c r="J3435">
        <v>41.2</v>
      </c>
    </row>
    <row r="3436" spans="1:10" x14ac:dyDescent="0.25">
      <c r="A3436" t="s">
        <v>5961</v>
      </c>
      <c r="B3436" s="3">
        <v>45113</v>
      </c>
      <c r="C3436" t="s">
        <v>641</v>
      </c>
      <c r="D3436" t="s">
        <v>3511</v>
      </c>
      <c r="E3436">
        <v>3</v>
      </c>
      <c r="F3436" t="s">
        <v>3523</v>
      </c>
      <c r="G3436" t="s">
        <v>3517</v>
      </c>
      <c r="H3436">
        <v>0.5</v>
      </c>
      <c r="I3436">
        <v>7.8</v>
      </c>
      <c r="J3436">
        <v>23.4</v>
      </c>
    </row>
    <row r="3437" spans="1:10" x14ac:dyDescent="0.25">
      <c r="A3437" t="s">
        <v>5962</v>
      </c>
      <c r="B3437" s="3">
        <v>45189</v>
      </c>
      <c r="C3437" t="s">
        <v>552</v>
      </c>
      <c r="D3437" t="s">
        <v>3502</v>
      </c>
      <c r="E3437">
        <v>4</v>
      </c>
      <c r="F3437" t="s">
        <v>3526</v>
      </c>
      <c r="G3437" t="s">
        <v>3517</v>
      </c>
      <c r="H3437">
        <v>1</v>
      </c>
      <c r="I3437">
        <v>14.9</v>
      </c>
      <c r="J3437">
        <v>59.6</v>
      </c>
    </row>
    <row r="3438" spans="1:10" x14ac:dyDescent="0.25">
      <c r="A3438" t="s">
        <v>5963</v>
      </c>
      <c r="B3438" s="3">
        <v>44769</v>
      </c>
      <c r="C3438" t="s">
        <v>2462</v>
      </c>
      <c r="D3438" t="s">
        <v>3486</v>
      </c>
      <c r="E3438">
        <v>6</v>
      </c>
      <c r="F3438" t="s">
        <v>3523</v>
      </c>
      <c r="G3438" t="s">
        <v>3519</v>
      </c>
      <c r="H3438">
        <v>1</v>
      </c>
      <c r="I3438">
        <v>11.3</v>
      </c>
      <c r="J3438">
        <v>67.8</v>
      </c>
    </row>
    <row r="3439" spans="1:10" x14ac:dyDescent="0.25">
      <c r="A3439" t="s">
        <v>5964</v>
      </c>
      <c r="B3439" s="3">
        <v>45182</v>
      </c>
      <c r="C3439" t="s">
        <v>3118</v>
      </c>
      <c r="D3439" t="s">
        <v>3504</v>
      </c>
      <c r="E3439">
        <v>6</v>
      </c>
      <c r="F3439" t="s">
        <v>3524</v>
      </c>
      <c r="G3439" t="s">
        <v>3517</v>
      </c>
      <c r="H3439">
        <v>0.5</v>
      </c>
      <c r="I3439">
        <v>7.2</v>
      </c>
      <c r="J3439">
        <v>43.2</v>
      </c>
    </row>
    <row r="3440" spans="1:10" x14ac:dyDescent="0.25">
      <c r="A3440" t="s">
        <v>5965</v>
      </c>
      <c r="B3440" s="3">
        <v>44228</v>
      </c>
      <c r="C3440" t="s">
        <v>3022</v>
      </c>
      <c r="D3440" t="s">
        <v>3489</v>
      </c>
      <c r="E3440">
        <v>2</v>
      </c>
      <c r="F3440" t="s">
        <v>3523</v>
      </c>
      <c r="G3440" t="s">
        <v>3518</v>
      </c>
      <c r="H3440">
        <v>0.5</v>
      </c>
      <c r="I3440">
        <v>6</v>
      </c>
      <c r="J3440">
        <v>12</v>
      </c>
    </row>
    <row r="3441" spans="1:10" x14ac:dyDescent="0.25">
      <c r="A3441" t="s">
        <v>5966</v>
      </c>
      <c r="B3441" s="3">
        <v>44946</v>
      </c>
      <c r="C3441" t="s">
        <v>1408</v>
      </c>
      <c r="D3441" t="s">
        <v>3485</v>
      </c>
      <c r="E3441">
        <v>1</v>
      </c>
      <c r="F3441" t="s">
        <v>3523</v>
      </c>
      <c r="G3441" t="s">
        <v>3518</v>
      </c>
      <c r="H3441">
        <v>0.2</v>
      </c>
      <c r="I3441">
        <v>3</v>
      </c>
      <c r="J3441">
        <v>3</v>
      </c>
    </row>
    <row r="3442" spans="1:10" x14ac:dyDescent="0.25">
      <c r="A3442" t="s">
        <v>5967</v>
      </c>
      <c r="B3442" s="3">
        <v>45376</v>
      </c>
      <c r="C3442" t="s">
        <v>1520</v>
      </c>
      <c r="D3442" t="s">
        <v>3495</v>
      </c>
      <c r="E3442">
        <v>3</v>
      </c>
      <c r="F3442" t="s">
        <v>3525</v>
      </c>
      <c r="G3442" t="s">
        <v>3517</v>
      </c>
      <c r="H3442">
        <v>2.5</v>
      </c>
      <c r="I3442">
        <v>36.5</v>
      </c>
      <c r="J3442">
        <v>109.5</v>
      </c>
    </row>
    <row r="3443" spans="1:10" x14ac:dyDescent="0.25">
      <c r="A3443" t="s">
        <v>5968</v>
      </c>
      <c r="B3443" s="3">
        <v>45025</v>
      </c>
      <c r="C3443" t="s">
        <v>2245</v>
      </c>
      <c r="D3443" t="s">
        <v>3477</v>
      </c>
      <c r="E3443">
        <v>2</v>
      </c>
      <c r="F3443" t="s">
        <v>3524</v>
      </c>
      <c r="G3443" t="s">
        <v>3519</v>
      </c>
      <c r="H3443">
        <v>0.5</v>
      </c>
      <c r="I3443">
        <v>6</v>
      </c>
      <c r="J3443">
        <v>12</v>
      </c>
    </row>
    <row r="3444" spans="1:10" x14ac:dyDescent="0.25">
      <c r="A3444" t="s">
        <v>5969</v>
      </c>
      <c r="B3444" s="3">
        <v>45405</v>
      </c>
      <c r="C3444" t="s">
        <v>2174</v>
      </c>
      <c r="D3444" t="s">
        <v>3503</v>
      </c>
      <c r="E3444">
        <v>3</v>
      </c>
      <c r="F3444" t="s">
        <v>3524</v>
      </c>
      <c r="G3444" t="s">
        <v>3518</v>
      </c>
      <c r="H3444">
        <v>0.5</v>
      </c>
      <c r="I3444">
        <v>5.4</v>
      </c>
      <c r="J3444">
        <v>16.2</v>
      </c>
    </row>
    <row r="3445" spans="1:10" x14ac:dyDescent="0.25">
      <c r="A3445" t="s">
        <v>5970</v>
      </c>
      <c r="B3445" s="3">
        <v>45208</v>
      </c>
      <c r="C3445" t="s">
        <v>1163</v>
      </c>
      <c r="D3445" t="s">
        <v>3506</v>
      </c>
      <c r="E3445">
        <v>3</v>
      </c>
      <c r="F3445" t="s">
        <v>3523</v>
      </c>
      <c r="G3445" t="s">
        <v>3519</v>
      </c>
      <c r="H3445">
        <v>2.5</v>
      </c>
      <c r="I3445">
        <v>25.9</v>
      </c>
      <c r="J3445">
        <v>77.7</v>
      </c>
    </row>
    <row r="3446" spans="1:10" x14ac:dyDescent="0.25">
      <c r="A3446" t="s">
        <v>5971</v>
      </c>
      <c r="B3446" s="3">
        <v>44809</v>
      </c>
      <c r="C3446" t="s">
        <v>1381</v>
      </c>
      <c r="D3446" t="s">
        <v>3469</v>
      </c>
      <c r="E3446">
        <v>3</v>
      </c>
      <c r="F3446" t="s">
        <v>3524</v>
      </c>
      <c r="G3446" t="s">
        <v>3519</v>
      </c>
      <c r="H3446">
        <v>1</v>
      </c>
      <c r="I3446">
        <v>10</v>
      </c>
      <c r="J3446">
        <v>30</v>
      </c>
    </row>
    <row r="3447" spans="1:10" x14ac:dyDescent="0.25">
      <c r="A3447" t="s">
        <v>5972</v>
      </c>
      <c r="B3447" s="3">
        <v>43631</v>
      </c>
      <c r="C3447" t="s">
        <v>2414</v>
      </c>
      <c r="D3447" t="s">
        <v>3505</v>
      </c>
      <c r="E3447">
        <v>3</v>
      </c>
      <c r="F3447" t="s">
        <v>3524</v>
      </c>
      <c r="G3447" t="s">
        <v>3519</v>
      </c>
      <c r="H3447">
        <v>0.2</v>
      </c>
      <c r="I3447">
        <v>3</v>
      </c>
      <c r="J3447">
        <v>9</v>
      </c>
    </row>
    <row r="3448" spans="1:10" x14ac:dyDescent="0.25">
      <c r="A3448" t="s">
        <v>5973</v>
      </c>
      <c r="B3448" s="3">
        <v>44682</v>
      </c>
      <c r="C3448" t="s">
        <v>3438</v>
      </c>
      <c r="D3448" t="s">
        <v>3499</v>
      </c>
      <c r="E3448">
        <v>6</v>
      </c>
      <c r="F3448" t="s">
        <v>3523</v>
      </c>
      <c r="G3448" t="s">
        <v>3518</v>
      </c>
      <c r="H3448">
        <v>2.5</v>
      </c>
      <c r="I3448">
        <v>22.9</v>
      </c>
      <c r="J3448">
        <v>137.4</v>
      </c>
    </row>
    <row r="3449" spans="1:10" x14ac:dyDescent="0.25">
      <c r="A3449" t="s">
        <v>5974</v>
      </c>
      <c r="B3449" s="3">
        <v>45469</v>
      </c>
      <c r="C3449" t="s">
        <v>3455</v>
      </c>
      <c r="D3449" t="s">
        <v>3477</v>
      </c>
      <c r="E3449">
        <v>5</v>
      </c>
      <c r="F3449" t="s">
        <v>3524</v>
      </c>
      <c r="G3449" t="s">
        <v>3519</v>
      </c>
      <c r="H3449">
        <v>0.5</v>
      </c>
      <c r="I3449">
        <v>6</v>
      </c>
      <c r="J3449">
        <v>30</v>
      </c>
    </row>
    <row r="3450" spans="1:10" x14ac:dyDescent="0.25">
      <c r="A3450" t="s">
        <v>5975</v>
      </c>
      <c r="B3450" s="3">
        <v>45503</v>
      </c>
      <c r="C3450" t="s">
        <v>2742</v>
      </c>
      <c r="D3450" t="s">
        <v>3514</v>
      </c>
      <c r="E3450">
        <v>5</v>
      </c>
      <c r="F3450" t="s">
        <v>3526</v>
      </c>
      <c r="G3450" t="s">
        <v>3518</v>
      </c>
      <c r="H3450">
        <v>1</v>
      </c>
      <c r="I3450">
        <v>12.2</v>
      </c>
      <c r="J3450">
        <v>61</v>
      </c>
    </row>
    <row r="3451" spans="1:10" x14ac:dyDescent="0.25">
      <c r="A3451" t="s">
        <v>5976</v>
      </c>
      <c r="B3451" s="3">
        <v>45329</v>
      </c>
      <c r="C3451" t="s">
        <v>2578</v>
      </c>
      <c r="D3451" t="s">
        <v>3477</v>
      </c>
      <c r="E3451">
        <v>5</v>
      </c>
      <c r="F3451" t="s">
        <v>3524</v>
      </c>
      <c r="G3451" t="s">
        <v>3519</v>
      </c>
      <c r="H3451">
        <v>0.5</v>
      </c>
      <c r="I3451">
        <v>6</v>
      </c>
      <c r="J3451">
        <v>30</v>
      </c>
    </row>
    <row r="3452" spans="1:10" x14ac:dyDescent="0.25">
      <c r="A3452" t="s">
        <v>5977</v>
      </c>
      <c r="B3452" s="3">
        <v>44954</v>
      </c>
      <c r="C3452" t="s">
        <v>2599</v>
      </c>
      <c r="D3452" t="s">
        <v>3492</v>
      </c>
      <c r="E3452">
        <v>6</v>
      </c>
      <c r="F3452" t="s">
        <v>3525</v>
      </c>
      <c r="G3452" t="s">
        <v>3517</v>
      </c>
      <c r="H3452">
        <v>0.5</v>
      </c>
      <c r="I3452">
        <v>9.5</v>
      </c>
      <c r="J3452">
        <v>57</v>
      </c>
    </row>
    <row r="3453" spans="1:10" x14ac:dyDescent="0.25">
      <c r="A3453" t="s">
        <v>5978</v>
      </c>
      <c r="B3453" s="3">
        <v>44766</v>
      </c>
      <c r="C3453" t="s">
        <v>3324</v>
      </c>
      <c r="D3453" t="s">
        <v>3491</v>
      </c>
      <c r="E3453">
        <v>2</v>
      </c>
      <c r="F3453" t="s">
        <v>3525</v>
      </c>
      <c r="G3453" t="s">
        <v>3519</v>
      </c>
      <c r="H3453">
        <v>0.5</v>
      </c>
      <c r="I3453">
        <v>8.6999999999999993</v>
      </c>
      <c r="J3453">
        <v>17.399999999999999</v>
      </c>
    </row>
    <row r="3454" spans="1:10" x14ac:dyDescent="0.25">
      <c r="A3454" t="s">
        <v>5979</v>
      </c>
      <c r="B3454" s="3">
        <v>43814</v>
      </c>
      <c r="C3454" t="s">
        <v>1924</v>
      </c>
      <c r="D3454" t="s">
        <v>3510</v>
      </c>
      <c r="E3454">
        <v>2</v>
      </c>
      <c r="F3454" t="s">
        <v>3524</v>
      </c>
      <c r="G3454" t="s">
        <v>3517</v>
      </c>
      <c r="H3454">
        <v>1</v>
      </c>
      <c r="I3454">
        <v>12</v>
      </c>
      <c r="J3454">
        <v>24</v>
      </c>
    </row>
    <row r="3455" spans="1:10" x14ac:dyDescent="0.25">
      <c r="A3455" t="s">
        <v>5980</v>
      </c>
      <c r="B3455" s="3">
        <v>45459</v>
      </c>
      <c r="C3455" t="s">
        <v>2059</v>
      </c>
      <c r="D3455" t="s">
        <v>3471</v>
      </c>
      <c r="E3455">
        <v>2</v>
      </c>
      <c r="F3455" t="s">
        <v>3523</v>
      </c>
      <c r="G3455" t="s">
        <v>3517</v>
      </c>
      <c r="H3455">
        <v>1</v>
      </c>
      <c r="I3455">
        <v>13</v>
      </c>
      <c r="J3455">
        <v>26</v>
      </c>
    </row>
    <row r="3456" spans="1:10" x14ac:dyDescent="0.25">
      <c r="A3456" t="s">
        <v>5981</v>
      </c>
      <c r="B3456" s="3">
        <v>45238</v>
      </c>
      <c r="C3456" t="s">
        <v>1585</v>
      </c>
      <c r="D3456" t="s">
        <v>3471</v>
      </c>
      <c r="E3456">
        <v>3</v>
      </c>
      <c r="F3456" t="s">
        <v>3523</v>
      </c>
      <c r="G3456" t="s">
        <v>3517</v>
      </c>
      <c r="H3456">
        <v>1</v>
      </c>
      <c r="I3456">
        <v>13</v>
      </c>
      <c r="J3456">
        <v>39</v>
      </c>
    </row>
    <row r="3457" spans="1:10" x14ac:dyDescent="0.25">
      <c r="A3457" t="s">
        <v>5982</v>
      </c>
      <c r="B3457" s="3">
        <v>45542</v>
      </c>
      <c r="C3457" t="s">
        <v>3234</v>
      </c>
      <c r="D3457" t="s">
        <v>3500</v>
      </c>
      <c r="E3457">
        <v>2</v>
      </c>
      <c r="F3457" t="s">
        <v>3525</v>
      </c>
      <c r="G3457" t="s">
        <v>3518</v>
      </c>
      <c r="H3457">
        <v>0.5</v>
      </c>
      <c r="I3457">
        <v>7.8</v>
      </c>
      <c r="J3457">
        <v>15.6</v>
      </c>
    </row>
    <row r="3458" spans="1:10" x14ac:dyDescent="0.25">
      <c r="A3458" t="s">
        <v>5983</v>
      </c>
      <c r="B3458" s="3">
        <v>44468</v>
      </c>
      <c r="C3458" t="s">
        <v>3196</v>
      </c>
      <c r="D3458" t="s">
        <v>3514</v>
      </c>
      <c r="E3458">
        <v>5</v>
      </c>
      <c r="F3458" t="s">
        <v>3526</v>
      </c>
      <c r="G3458" t="s">
        <v>3518</v>
      </c>
      <c r="H3458">
        <v>1</v>
      </c>
      <c r="I3458">
        <v>12.2</v>
      </c>
      <c r="J3458">
        <v>61</v>
      </c>
    </row>
    <row r="3459" spans="1:10" x14ac:dyDescent="0.25">
      <c r="A3459" t="s">
        <v>5984</v>
      </c>
      <c r="B3459" s="3">
        <v>43614</v>
      </c>
      <c r="C3459" t="s">
        <v>863</v>
      </c>
      <c r="D3459" t="s">
        <v>3508</v>
      </c>
      <c r="E3459">
        <v>2</v>
      </c>
      <c r="F3459" t="s">
        <v>3524</v>
      </c>
      <c r="G3459" t="s">
        <v>3518</v>
      </c>
      <c r="H3459">
        <v>1</v>
      </c>
      <c r="I3459">
        <v>9</v>
      </c>
      <c r="J3459">
        <v>18</v>
      </c>
    </row>
    <row r="3460" spans="1:10" x14ac:dyDescent="0.25">
      <c r="A3460" t="s">
        <v>5985</v>
      </c>
      <c r="B3460" s="3">
        <v>44916</v>
      </c>
      <c r="C3460" t="s">
        <v>778</v>
      </c>
      <c r="D3460" t="s">
        <v>3478</v>
      </c>
      <c r="E3460">
        <v>6</v>
      </c>
      <c r="F3460" t="s">
        <v>3523</v>
      </c>
      <c r="G3460" t="s">
        <v>3518</v>
      </c>
      <c r="H3460">
        <v>1</v>
      </c>
      <c r="I3460">
        <v>10</v>
      </c>
      <c r="J3460">
        <v>60</v>
      </c>
    </row>
    <row r="3461" spans="1:10" x14ac:dyDescent="0.25">
      <c r="A3461" t="s">
        <v>5986</v>
      </c>
      <c r="B3461" s="3">
        <v>45545</v>
      </c>
      <c r="C3461" t="s">
        <v>790</v>
      </c>
      <c r="D3461" t="s">
        <v>3500</v>
      </c>
      <c r="E3461">
        <v>2</v>
      </c>
      <c r="F3461" t="s">
        <v>3525</v>
      </c>
      <c r="G3461" t="s">
        <v>3518</v>
      </c>
      <c r="H3461">
        <v>0.5</v>
      </c>
      <c r="I3461">
        <v>7.8</v>
      </c>
      <c r="J3461">
        <v>15.6</v>
      </c>
    </row>
    <row r="3462" spans="1:10" x14ac:dyDescent="0.25">
      <c r="A3462" t="s">
        <v>5987</v>
      </c>
      <c r="B3462" s="3">
        <v>45284</v>
      </c>
      <c r="C3462" t="s">
        <v>1607</v>
      </c>
      <c r="D3462" t="s">
        <v>3493</v>
      </c>
      <c r="E3462">
        <v>2</v>
      </c>
      <c r="F3462" t="s">
        <v>3525</v>
      </c>
      <c r="G3462" t="s">
        <v>3519</v>
      </c>
      <c r="H3462">
        <v>1</v>
      </c>
      <c r="I3462">
        <v>14.6</v>
      </c>
      <c r="J3462">
        <v>29.2</v>
      </c>
    </row>
    <row r="3463" spans="1:10" x14ac:dyDescent="0.25">
      <c r="A3463" t="s">
        <v>5988</v>
      </c>
      <c r="B3463" s="3">
        <v>45517</v>
      </c>
      <c r="C3463" t="s">
        <v>2278</v>
      </c>
      <c r="D3463" t="s">
        <v>3479</v>
      </c>
      <c r="E3463">
        <v>2</v>
      </c>
      <c r="F3463" t="s">
        <v>3526</v>
      </c>
      <c r="G3463" t="s">
        <v>3517</v>
      </c>
      <c r="H3463">
        <v>2.5</v>
      </c>
      <c r="I3463">
        <v>34.200000000000003</v>
      </c>
      <c r="J3463">
        <v>68.400000000000006</v>
      </c>
    </row>
    <row r="3464" spans="1:10" x14ac:dyDescent="0.25">
      <c r="A3464" t="s">
        <v>5989</v>
      </c>
      <c r="B3464" s="3">
        <v>44551</v>
      </c>
      <c r="C3464" t="s">
        <v>742</v>
      </c>
      <c r="D3464" t="s">
        <v>3487</v>
      </c>
      <c r="E3464">
        <v>5</v>
      </c>
      <c r="F3464" t="s">
        <v>3526</v>
      </c>
      <c r="G3464" t="s">
        <v>3519</v>
      </c>
      <c r="H3464">
        <v>0.2</v>
      </c>
      <c r="I3464">
        <v>4.0999999999999996</v>
      </c>
      <c r="J3464">
        <v>20.5</v>
      </c>
    </row>
    <row r="3465" spans="1:10" x14ac:dyDescent="0.25">
      <c r="A3465" t="s">
        <v>5990</v>
      </c>
      <c r="B3465" s="3">
        <v>44648</v>
      </c>
      <c r="C3465" t="s">
        <v>2672</v>
      </c>
      <c r="D3465" t="s">
        <v>3505</v>
      </c>
      <c r="E3465">
        <v>5</v>
      </c>
      <c r="F3465" t="s">
        <v>3524</v>
      </c>
      <c r="G3465" t="s">
        <v>3519</v>
      </c>
      <c r="H3465">
        <v>0.2</v>
      </c>
      <c r="I3465">
        <v>3</v>
      </c>
      <c r="J3465">
        <v>15</v>
      </c>
    </row>
    <row r="3466" spans="1:10" x14ac:dyDescent="0.25">
      <c r="A3466" t="s">
        <v>5991</v>
      </c>
      <c r="B3466" s="3">
        <v>44633</v>
      </c>
      <c r="C3466" t="s">
        <v>2468</v>
      </c>
      <c r="D3466" t="s">
        <v>3494</v>
      </c>
      <c r="E3466">
        <v>6</v>
      </c>
      <c r="F3466" t="s">
        <v>3524</v>
      </c>
      <c r="G3466" t="s">
        <v>3518</v>
      </c>
      <c r="H3466">
        <v>0.2</v>
      </c>
      <c r="I3466">
        <v>2.7</v>
      </c>
      <c r="J3466">
        <v>16.2</v>
      </c>
    </row>
    <row r="3467" spans="1:10" x14ac:dyDescent="0.25">
      <c r="A3467" t="s">
        <v>5992</v>
      </c>
      <c r="B3467" s="3">
        <v>43503</v>
      </c>
      <c r="C3467" t="s">
        <v>968</v>
      </c>
      <c r="D3467" t="s">
        <v>3507</v>
      </c>
      <c r="E3467">
        <v>3</v>
      </c>
      <c r="F3467" t="s">
        <v>3526</v>
      </c>
      <c r="G3467" t="s">
        <v>3517</v>
      </c>
      <c r="H3467">
        <v>0.5</v>
      </c>
      <c r="I3467">
        <v>8.9</v>
      </c>
      <c r="J3467">
        <v>26.7</v>
      </c>
    </row>
    <row r="3468" spans="1:10" x14ac:dyDescent="0.25">
      <c r="A3468" t="s">
        <v>5993</v>
      </c>
      <c r="B3468" s="3">
        <v>44663</v>
      </c>
      <c r="C3468" t="s">
        <v>1003</v>
      </c>
      <c r="D3468" t="s">
        <v>3499</v>
      </c>
      <c r="E3468">
        <v>5</v>
      </c>
      <c r="F3468" t="s">
        <v>3523</v>
      </c>
      <c r="G3468" t="s">
        <v>3518</v>
      </c>
      <c r="H3468">
        <v>2.5</v>
      </c>
      <c r="I3468">
        <v>22.9</v>
      </c>
      <c r="J3468">
        <v>114.5</v>
      </c>
    </row>
    <row r="3469" spans="1:10" x14ac:dyDescent="0.25">
      <c r="A3469" t="s">
        <v>5994</v>
      </c>
      <c r="B3469" s="3">
        <v>45019</v>
      </c>
      <c r="C3469" t="s">
        <v>1616</v>
      </c>
      <c r="D3469" t="s">
        <v>3515</v>
      </c>
      <c r="E3469">
        <v>3</v>
      </c>
      <c r="F3469" t="s">
        <v>3526</v>
      </c>
      <c r="G3469" t="s">
        <v>3517</v>
      </c>
      <c r="H3469">
        <v>0.2</v>
      </c>
      <c r="I3469">
        <v>4.5</v>
      </c>
      <c r="J3469">
        <v>13.5</v>
      </c>
    </row>
    <row r="3470" spans="1:10" x14ac:dyDescent="0.25">
      <c r="A3470" t="s">
        <v>5995</v>
      </c>
      <c r="B3470" s="3">
        <v>45388</v>
      </c>
      <c r="C3470" t="s">
        <v>1296</v>
      </c>
      <c r="D3470" t="s">
        <v>3494</v>
      </c>
      <c r="E3470">
        <v>1</v>
      </c>
      <c r="F3470" t="s">
        <v>3524</v>
      </c>
      <c r="G3470" t="s">
        <v>3518</v>
      </c>
      <c r="H3470">
        <v>0.2</v>
      </c>
      <c r="I3470">
        <v>2.7</v>
      </c>
      <c r="J3470">
        <v>2.7</v>
      </c>
    </row>
    <row r="3471" spans="1:10" x14ac:dyDescent="0.25">
      <c r="A3471" t="s">
        <v>5996</v>
      </c>
      <c r="B3471" s="3">
        <v>45366</v>
      </c>
      <c r="C3471" t="s">
        <v>592</v>
      </c>
      <c r="D3471" t="s">
        <v>3476</v>
      </c>
      <c r="E3471">
        <v>6</v>
      </c>
      <c r="F3471" t="s">
        <v>3525</v>
      </c>
      <c r="G3471" t="s">
        <v>3517</v>
      </c>
      <c r="H3471">
        <v>0.2</v>
      </c>
      <c r="I3471">
        <v>4.8</v>
      </c>
      <c r="J3471">
        <v>28.8</v>
      </c>
    </row>
    <row r="3472" spans="1:10" x14ac:dyDescent="0.25">
      <c r="A3472" t="s">
        <v>5997</v>
      </c>
      <c r="B3472" s="3">
        <v>44031</v>
      </c>
      <c r="C3472" t="s">
        <v>2491</v>
      </c>
      <c r="D3472" t="s">
        <v>3499</v>
      </c>
      <c r="E3472">
        <v>5</v>
      </c>
      <c r="F3472" t="s">
        <v>3523</v>
      </c>
      <c r="G3472" t="s">
        <v>3518</v>
      </c>
      <c r="H3472">
        <v>2.5</v>
      </c>
      <c r="I3472">
        <v>22.9</v>
      </c>
      <c r="J3472">
        <v>114.5</v>
      </c>
    </row>
    <row r="3473" spans="1:10" x14ac:dyDescent="0.25">
      <c r="A3473" t="s">
        <v>5998</v>
      </c>
      <c r="B3473" s="3">
        <v>44862</v>
      </c>
      <c r="C3473" t="s">
        <v>1800</v>
      </c>
      <c r="D3473" t="s">
        <v>3485</v>
      </c>
      <c r="E3473">
        <v>2</v>
      </c>
      <c r="F3473" t="s">
        <v>3523</v>
      </c>
      <c r="G3473" t="s">
        <v>3518</v>
      </c>
      <c r="H3473">
        <v>0.2</v>
      </c>
      <c r="I3473">
        <v>3</v>
      </c>
      <c r="J3473">
        <v>6</v>
      </c>
    </row>
    <row r="3474" spans="1:10" x14ac:dyDescent="0.25">
      <c r="A3474" t="s">
        <v>5999</v>
      </c>
      <c r="B3474" s="3">
        <v>45272</v>
      </c>
      <c r="C3474" t="s">
        <v>1488</v>
      </c>
      <c r="D3474" t="s">
        <v>3491</v>
      </c>
      <c r="E3474">
        <v>5</v>
      </c>
      <c r="F3474" t="s">
        <v>3525</v>
      </c>
      <c r="G3474" t="s">
        <v>3519</v>
      </c>
      <c r="H3474">
        <v>0.5</v>
      </c>
      <c r="I3474">
        <v>8.6999999999999993</v>
      </c>
      <c r="J3474">
        <v>43.5</v>
      </c>
    </row>
    <row r="3475" spans="1:10" x14ac:dyDescent="0.25">
      <c r="A3475" t="s">
        <v>6000</v>
      </c>
      <c r="B3475" s="3">
        <v>45101</v>
      </c>
      <c r="C3475" t="s">
        <v>1743</v>
      </c>
      <c r="D3475" t="s">
        <v>3502</v>
      </c>
      <c r="E3475">
        <v>1</v>
      </c>
      <c r="F3475" t="s">
        <v>3526</v>
      </c>
      <c r="G3475" t="s">
        <v>3517</v>
      </c>
      <c r="H3475">
        <v>1</v>
      </c>
      <c r="I3475">
        <v>14.9</v>
      </c>
      <c r="J3475">
        <v>14.9</v>
      </c>
    </row>
    <row r="3476" spans="1:10" x14ac:dyDescent="0.25">
      <c r="A3476" t="s">
        <v>6001</v>
      </c>
      <c r="B3476" s="3">
        <v>45274</v>
      </c>
      <c r="C3476" t="s">
        <v>2414</v>
      </c>
      <c r="D3476" t="s">
        <v>3513</v>
      </c>
      <c r="E3476">
        <v>1</v>
      </c>
      <c r="F3476" t="s">
        <v>3523</v>
      </c>
      <c r="G3476" t="s">
        <v>3517</v>
      </c>
      <c r="H3476">
        <v>2.5</v>
      </c>
      <c r="I3476">
        <v>29.8</v>
      </c>
      <c r="J3476">
        <v>29.8</v>
      </c>
    </row>
    <row r="3477" spans="1:10" x14ac:dyDescent="0.25">
      <c r="A3477" t="s">
        <v>6002</v>
      </c>
      <c r="B3477" s="3">
        <v>44279</v>
      </c>
      <c r="C3477" t="s">
        <v>1363</v>
      </c>
      <c r="D3477" t="s">
        <v>3469</v>
      </c>
      <c r="E3477">
        <v>6</v>
      </c>
      <c r="F3477" t="s">
        <v>3524</v>
      </c>
      <c r="G3477" t="s">
        <v>3519</v>
      </c>
      <c r="H3477">
        <v>1</v>
      </c>
      <c r="I3477">
        <v>10</v>
      </c>
      <c r="J3477">
        <v>60</v>
      </c>
    </row>
    <row r="3478" spans="1:10" x14ac:dyDescent="0.25">
      <c r="A3478" t="s">
        <v>6003</v>
      </c>
      <c r="B3478" s="3">
        <v>44932</v>
      </c>
      <c r="C3478" t="s">
        <v>1290</v>
      </c>
      <c r="D3478" t="s">
        <v>3512</v>
      </c>
      <c r="E3478">
        <v>3</v>
      </c>
      <c r="F3478" t="s">
        <v>3525</v>
      </c>
      <c r="G3478" t="s">
        <v>3519</v>
      </c>
      <c r="H3478">
        <v>2.5</v>
      </c>
      <c r="I3478">
        <v>33.5</v>
      </c>
      <c r="J3478">
        <v>100.5</v>
      </c>
    </row>
    <row r="3479" spans="1:10" x14ac:dyDescent="0.25">
      <c r="A3479" t="s">
        <v>6004</v>
      </c>
      <c r="B3479" s="3">
        <v>44784</v>
      </c>
      <c r="C3479" t="s">
        <v>2545</v>
      </c>
      <c r="D3479" t="s">
        <v>3490</v>
      </c>
      <c r="E3479">
        <v>3</v>
      </c>
      <c r="F3479" t="s">
        <v>3525</v>
      </c>
      <c r="G3479" t="s">
        <v>3519</v>
      </c>
      <c r="H3479">
        <v>0.2</v>
      </c>
      <c r="I3479">
        <v>4.4000000000000004</v>
      </c>
      <c r="J3479">
        <v>13.2</v>
      </c>
    </row>
    <row r="3480" spans="1:10" x14ac:dyDescent="0.25">
      <c r="A3480" t="s">
        <v>6005</v>
      </c>
      <c r="B3480" s="3">
        <v>43965</v>
      </c>
      <c r="C3480" t="s">
        <v>1148</v>
      </c>
      <c r="D3480" t="s">
        <v>3516</v>
      </c>
      <c r="E3480">
        <v>2</v>
      </c>
      <c r="F3480" t="s">
        <v>3526</v>
      </c>
      <c r="G3480" t="s">
        <v>3518</v>
      </c>
      <c r="H3480">
        <v>2.5</v>
      </c>
      <c r="I3480">
        <v>27.9</v>
      </c>
      <c r="J3480">
        <v>55.8</v>
      </c>
    </row>
    <row r="3481" spans="1:10" x14ac:dyDescent="0.25">
      <c r="A3481" t="s">
        <v>6006</v>
      </c>
      <c r="B3481" s="3">
        <v>45231</v>
      </c>
      <c r="C3481" t="s">
        <v>1905</v>
      </c>
      <c r="D3481" t="s">
        <v>3486</v>
      </c>
      <c r="E3481">
        <v>6</v>
      </c>
      <c r="F3481" t="s">
        <v>3523</v>
      </c>
      <c r="G3481" t="s">
        <v>3519</v>
      </c>
      <c r="H3481">
        <v>1</v>
      </c>
      <c r="I3481">
        <v>11.3</v>
      </c>
      <c r="J3481">
        <v>67.8</v>
      </c>
    </row>
    <row r="3482" spans="1:10" x14ac:dyDescent="0.25">
      <c r="A3482" t="s">
        <v>6007</v>
      </c>
      <c r="B3482" s="3">
        <v>45234</v>
      </c>
      <c r="C3482" t="s">
        <v>2254</v>
      </c>
      <c r="D3482" t="s">
        <v>3498</v>
      </c>
      <c r="E3482">
        <v>6</v>
      </c>
      <c r="F3482" t="s">
        <v>3523</v>
      </c>
      <c r="G3482" t="s">
        <v>3517</v>
      </c>
      <c r="H3482">
        <v>0.2</v>
      </c>
      <c r="I3482">
        <v>3.9</v>
      </c>
      <c r="J3482">
        <v>23.4</v>
      </c>
    </row>
    <row r="3483" spans="1:10" x14ac:dyDescent="0.25">
      <c r="A3483" t="s">
        <v>6008</v>
      </c>
      <c r="B3483" s="3">
        <v>45250</v>
      </c>
      <c r="C3483" t="s">
        <v>3019</v>
      </c>
      <c r="D3483" t="s">
        <v>3480</v>
      </c>
      <c r="E3483">
        <v>4</v>
      </c>
      <c r="F3483" t="s">
        <v>3524</v>
      </c>
      <c r="G3483" t="s">
        <v>3518</v>
      </c>
      <c r="H3483">
        <v>2.5</v>
      </c>
      <c r="I3483">
        <v>20.6</v>
      </c>
      <c r="J3483">
        <v>82.4</v>
      </c>
    </row>
    <row r="3484" spans="1:10" x14ac:dyDescent="0.25">
      <c r="A3484" t="s">
        <v>6009</v>
      </c>
      <c r="B3484" s="3">
        <v>44986</v>
      </c>
      <c r="C3484" t="s">
        <v>1921</v>
      </c>
      <c r="D3484" t="s">
        <v>3481</v>
      </c>
      <c r="E3484">
        <v>5</v>
      </c>
      <c r="F3484" t="s">
        <v>3525</v>
      </c>
      <c r="G3484" t="s">
        <v>3518</v>
      </c>
      <c r="H3484">
        <v>0.2</v>
      </c>
      <c r="I3484">
        <v>3.9</v>
      </c>
      <c r="J3484">
        <v>19.5</v>
      </c>
    </row>
    <row r="3485" spans="1:10" x14ac:dyDescent="0.25">
      <c r="A3485" t="s">
        <v>6010</v>
      </c>
      <c r="B3485" s="3">
        <v>43973</v>
      </c>
      <c r="C3485" t="s">
        <v>1687</v>
      </c>
      <c r="D3485" t="s">
        <v>3492</v>
      </c>
      <c r="E3485">
        <v>3</v>
      </c>
      <c r="F3485" t="s">
        <v>3525</v>
      </c>
      <c r="G3485" t="s">
        <v>3517</v>
      </c>
      <c r="H3485">
        <v>0.5</v>
      </c>
      <c r="I3485">
        <v>9.5</v>
      </c>
      <c r="J3485">
        <v>28.5</v>
      </c>
    </row>
    <row r="3486" spans="1:10" x14ac:dyDescent="0.25">
      <c r="A3486" t="s">
        <v>6011</v>
      </c>
      <c r="B3486" s="3">
        <v>44626</v>
      </c>
      <c r="C3486" t="s">
        <v>2717</v>
      </c>
      <c r="D3486" t="s">
        <v>3474</v>
      </c>
      <c r="E3486">
        <v>6</v>
      </c>
      <c r="F3486" t="s">
        <v>3525</v>
      </c>
      <c r="G3486" t="s">
        <v>3518</v>
      </c>
      <c r="H3486">
        <v>1</v>
      </c>
      <c r="I3486">
        <v>13</v>
      </c>
      <c r="J3486">
        <v>78</v>
      </c>
    </row>
    <row r="3487" spans="1:10" x14ac:dyDescent="0.25">
      <c r="A3487" t="s">
        <v>6012</v>
      </c>
      <c r="B3487" s="3">
        <v>45451</v>
      </c>
      <c r="C3487" t="s">
        <v>2760</v>
      </c>
      <c r="D3487" t="s">
        <v>3474</v>
      </c>
      <c r="E3487">
        <v>2</v>
      </c>
      <c r="F3487" t="s">
        <v>3525</v>
      </c>
      <c r="G3487" t="s">
        <v>3518</v>
      </c>
      <c r="H3487">
        <v>1</v>
      </c>
      <c r="I3487">
        <v>13</v>
      </c>
      <c r="J3487">
        <v>26</v>
      </c>
    </row>
    <row r="3488" spans="1:10" x14ac:dyDescent="0.25">
      <c r="A3488" t="s">
        <v>6013</v>
      </c>
      <c r="B3488" s="3">
        <v>45368</v>
      </c>
      <c r="C3488" t="s">
        <v>1330</v>
      </c>
      <c r="D3488" t="s">
        <v>3473</v>
      </c>
      <c r="E3488">
        <v>1</v>
      </c>
      <c r="F3488" t="s">
        <v>3524</v>
      </c>
      <c r="G3488" t="s">
        <v>3517</v>
      </c>
      <c r="H3488">
        <v>2.5</v>
      </c>
      <c r="I3488">
        <v>27.5</v>
      </c>
      <c r="J3488">
        <v>27.5</v>
      </c>
    </row>
    <row r="3489" spans="1:10" x14ac:dyDescent="0.25">
      <c r="A3489" t="s">
        <v>6014</v>
      </c>
      <c r="B3489" s="3">
        <v>43800</v>
      </c>
      <c r="C3489" t="s">
        <v>632</v>
      </c>
      <c r="D3489" t="s">
        <v>3511</v>
      </c>
      <c r="E3489">
        <v>1</v>
      </c>
      <c r="F3489" t="s">
        <v>3523</v>
      </c>
      <c r="G3489" t="s">
        <v>3517</v>
      </c>
      <c r="H3489">
        <v>0.5</v>
      </c>
      <c r="I3489">
        <v>7.8</v>
      </c>
      <c r="J3489">
        <v>7.8</v>
      </c>
    </row>
    <row r="3490" spans="1:10" x14ac:dyDescent="0.25">
      <c r="A3490" t="s">
        <v>6015</v>
      </c>
      <c r="B3490" s="3">
        <v>45525</v>
      </c>
      <c r="C3490" t="s">
        <v>1068</v>
      </c>
      <c r="D3490" t="s">
        <v>3514</v>
      </c>
      <c r="E3490">
        <v>2</v>
      </c>
      <c r="F3490" t="s">
        <v>3526</v>
      </c>
      <c r="G3490" t="s">
        <v>3518</v>
      </c>
      <c r="H3490">
        <v>1</v>
      </c>
      <c r="I3490">
        <v>12.2</v>
      </c>
      <c r="J3490">
        <v>24.4</v>
      </c>
    </row>
    <row r="3491" spans="1:10" x14ac:dyDescent="0.25">
      <c r="A3491" t="s">
        <v>6016</v>
      </c>
      <c r="B3491" s="3">
        <v>44986</v>
      </c>
      <c r="C3491" t="s">
        <v>2578</v>
      </c>
      <c r="D3491" t="s">
        <v>3491</v>
      </c>
      <c r="E3491">
        <v>6</v>
      </c>
      <c r="F3491" t="s">
        <v>3525</v>
      </c>
      <c r="G3491" t="s">
        <v>3519</v>
      </c>
      <c r="H3491">
        <v>0.5</v>
      </c>
      <c r="I3491">
        <v>8.6999999999999993</v>
      </c>
      <c r="J3491">
        <v>52.2</v>
      </c>
    </row>
    <row r="3492" spans="1:10" x14ac:dyDescent="0.25">
      <c r="A3492" t="s">
        <v>6017</v>
      </c>
      <c r="B3492" s="3">
        <v>44727</v>
      </c>
      <c r="C3492" t="s">
        <v>2563</v>
      </c>
      <c r="D3492" t="s">
        <v>3483</v>
      </c>
      <c r="E3492">
        <v>6</v>
      </c>
      <c r="F3492" t="s">
        <v>3523</v>
      </c>
      <c r="G3492" t="s">
        <v>3519</v>
      </c>
      <c r="H3492">
        <v>0.2</v>
      </c>
      <c r="I3492">
        <v>3.4</v>
      </c>
      <c r="J3492">
        <v>20.399999999999999</v>
      </c>
    </row>
    <row r="3493" spans="1:10" x14ac:dyDescent="0.25">
      <c r="A3493" t="s">
        <v>6018</v>
      </c>
      <c r="B3493" s="3">
        <v>44785</v>
      </c>
      <c r="C3493" t="s">
        <v>1729</v>
      </c>
      <c r="D3493" t="s">
        <v>3484</v>
      </c>
      <c r="E3493">
        <v>4</v>
      </c>
      <c r="F3493" t="s">
        <v>3526</v>
      </c>
      <c r="G3493" t="s">
        <v>3518</v>
      </c>
      <c r="H3493">
        <v>0.2</v>
      </c>
      <c r="I3493">
        <v>3.6</v>
      </c>
      <c r="J3493">
        <v>14.4</v>
      </c>
    </row>
    <row r="3494" spans="1:10" x14ac:dyDescent="0.25">
      <c r="A3494" t="s">
        <v>6019</v>
      </c>
      <c r="B3494" s="3">
        <v>44446</v>
      </c>
      <c r="C3494" t="s">
        <v>1238</v>
      </c>
      <c r="D3494" t="s">
        <v>3507</v>
      </c>
      <c r="E3494">
        <v>3</v>
      </c>
      <c r="F3494" t="s">
        <v>3526</v>
      </c>
      <c r="G3494" t="s">
        <v>3517</v>
      </c>
      <c r="H3494">
        <v>0.5</v>
      </c>
      <c r="I3494">
        <v>8.9</v>
      </c>
      <c r="J3494">
        <v>26.7</v>
      </c>
    </row>
    <row r="3495" spans="1:10" x14ac:dyDescent="0.25">
      <c r="A3495" t="s">
        <v>6020</v>
      </c>
      <c r="B3495" s="3">
        <v>45003</v>
      </c>
      <c r="C3495" t="s">
        <v>1223</v>
      </c>
      <c r="D3495" t="s">
        <v>3512</v>
      </c>
      <c r="E3495">
        <v>2</v>
      </c>
      <c r="F3495" t="s">
        <v>3525</v>
      </c>
      <c r="G3495" t="s">
        <v>3519</v>
      </c>
      <c r="H3495">
        <v>2.5</v>
      </c>
      <c r="I3495">
        <v>33.5</v>
      </c>
      <c r="J3495">
        <v>67</v>
      </c>
    </row>
    <row r="3496" spans="1:10" x14ac:dyDescent="0.25">
      <c r="A3496" t="s">
        <v>6021</v>
      </c>
      <c r="B3496" s="3">
        <v>44113</v>
      </c>
      <c r="C3496" t="s">
        <v>1908</v>
      </c>
      <c r="D3496" t="s">
        <v>3504</v>
      </c>
      <c r="E3496">
        <v>5</v>
      </c>
      <c r="F3496" t="s">
        <v>3524</v>
      </c>
      <c r="G3496" t="s">
        <v>3517</v>
      </c>
      <c r="H3496">
        <v>0.5</v>
      </c>
      <c r="I3496">
        <v>7.2</v>
      </c>
      <c r="J3496">
        <v>36</v>
      </c>
    </row>
    <row r="3497" spans="1:10" x14ac:dyDescent="0.25">
      <c r="A3497" t="s">
        <v>6022</v>
      </c>
      <c r="B3497" s="3">
        <v>45304</v>
      </c>
      <c r="C3497" t="s">
        <v>2971</v>
      </c>
      <c r="D3497" t="s">
        <v>3482</v>
      </c>
      <c r="E3497">
        <v>5</v>
      </c>
      <c r="F3497" t="s">
        <v>3524</v>
      </c>
      <c r="G3497" t="s">
        <v>3519</v>
      </c>
      <c r="H3497">
        <v>2.5</v>
      </c>
      <c r="I3497">
        <v>22.9</v>
      </c>
      <c r="J3497">
        <v>114.5</v>
      </c>
    </row>
    <row r="3498" spans="1:10" x14ac:dyDescent="0.25">
      <c r="A3498" t="s">
        <v>6023</v>
      </c>
      <c r="B3498" s="3">
        <v>45020</v>
      </c>
      <c r="C3498" t="s">
        <v>2356</v>
      </c>
      <c r="D3498" t="s">
        <v>3489</v>
      </c>
      <c r="E3498">
        <v>2</v>
      </c>
      <c r="F3498" t="s">
        <v>3523</v>
      </c>
      <c r="G3498" t="s">
        <v>3518</v>
      </c>
      <c r="H3498">
        <v>0.5</v>
      </c>
      <c r="I3498">
        <v>6</v>
      </c>
      <c r="J3498">
        <v>12</v>
      </c>
    </row>
    <row r="3499" spans="1:10" x14ac:dyDescent="0.25">
      <c r="A3499" t="s">
        <v>6024</v>
      </c>
      <c r="B3499" s="3">
        <v>44919</v>
      </c>
      <c r="C3499" t="s">
        <v>3464</v>
      </c>
      <c r="D3499" t="s">
        <v>3513</v>
      </c>
      <c r="E3499">
        <v>4</v>
      </c>
      <c r="F3499" t="s">
        <v>3523</v>
      </c>
      <c r="G3499" t="s">
        <v>3517</v>
      </c>
      <c r="H3499">
        <v>2.5</v>
      </c>
      <c r="I3499">
        <v>29.8</v>
      </c>
      <c r="J3499">
        <v>119.2</v>
      </c>
    </row>
    <row r="3500" spans="1:10" x14ac:dyDescent="0.25">
      <c r="A3500" t="s">
        <v>6025</v>
      </c>
      <c r="B3500" s="3">
        <v>44878</v>
      </c>
      <c r="C3500" t="s">
        <v>2473</v>
      </c>
      <c r="D3500" t="s">
        <v>3507</v>
      </c>
      <c r="E3500">
        <v>1</v>
      </c>
      <c r="F3500" t="s">
        <v>3526</v>
      </c>
      <c r="G3500" t="s">
        <v>3517</v>
      </c>
      <c r="H3500">
        <v>0.5</v>
      </c>
      <c r="I3500">
        <v>8.9</v>
      </c>
      <c r="J3500">
        <v>8.9</v>
      </c>
    </row>
    <row r="3501" spans="1:10" x14ac:dyDescent="0.25">
      <c r="A3501" t="s">
        <v>6026</v>
      </c>
      <c r="B3501" s="3">
        <v>45434</v>
      </c>
      <c r="C3501" t="s">
        <v>3396</v>
      </c>
      <c r="D3501" t="s">
        <v>3501</v>
      </c>
      <c r="E3501">
        <v>4</v>
      </c>
      <c r="F3501" t="s">
        <v>3525</v>
      </c>
      <c r="G3501" t="s">
        <v>3517</v>
      </c>
      <c r="H3501">
        <v>1</v>
      </c>
      <c r="I3501">
        <v>15.9</v>
      </c>
      <c r="J3501">
        <v>63.6</v>
      </c>
    </row>
    <row r="3502" spans="1:10" x14ac:dyDescent="0.25">
      <c r="A3502" t="s">
        <v>6027</v>
      </c>
      <c r="B3502" s="3">
        <v>45559</v>
      </c>
      <c r="C3502" t="s">
        <v>1945</v>
      </c>
      <c r="D3502" t="s">
        <v>3471</v>
      </c>
      <c r="E3502">
        <v>4</v>
      </c>
      <c r="F3502" t="s">
        <v>3523</v>
      </c>
      <c r="G3502" t="s">
        <v>3517</v>
      </c>
      <c r="H3502">
        <v>1</v>
      </c>
      <c r="I3502">
        <v>13</v>
      </c>
      <c r="J3502">
        <v>52</v>
      </c>
    </row>
    <row r="3503" spans="1:10" x14ac:dyDescent="0.25">
      <c r="A3503" t="s">
        <v>6028</v>
      </c>
      <c r="B3503" s="3">
        <v>44638</v>
      </c>
      <c r="C3503" t="s">
        <v>2074</v>
      </c>
      <c r="D3503" t="s">
        <v>3499</v>
      </c>
      <c r="E3503">
        <v>3</v>
      </c>
      <c r="F3503" t="s">
        <v>3523</v>
      </c>
      <c r="G3503" t="s">
        <v>3518</v>
      </c>
      <c r="H3503">
        <v>2.5</v>
      </c>
      <c r="I3503">
        <v>22.9</v>
      </c>
      <c r="J3503">
        <v>68.7</v>
      </c>
    </row>
    <row r="3504" spans="1:10" x14ac:dyDescent="0.25">
      <c r="A3504" t="s">
        <v>6029</v>
      </c>
      <c r="B3504" s="3">
        <v>44817</v>
      </c>
      <c r="C3504" t="s">
        <v>1163</v>
      </c>
      <c r="D3504" t="s">
        <v>3474</v>
      </c>
      <c r="E3504">
        <v>6</v>
      </c>
      <c r="F3504" t="s">
        <v>3525</v>
      </c>
      <c r="G3504" t="s">
        <v>3518</v>
      </c>
      <c r="H3504">
        <v>1</v>
      </c>
      <c r="I3504">
        <v>13</v>
      </c>
      <c r="J3504">
        <v>78</v>
      </c>
    </row>
    <row r="3505" spans="1:10" x14ac:dyDescent="0.25">
      <c r="A3505" t="s">
        <v>6030</v>
      </c>
      <c r="B3505" s="3">
        <v>45027</v>
      </c>
      <c r="C3505" t="s">
        <v>938</v>
      </c>
      <c r="D3505" t="s">
        <v>3503</v>
      </c>
      <c r="E3505">
        <v>4</v>
      </c>
      <c r="F3505" t="s">
        <v>3524</v>
      </c>
      <c r="G3505" t="s">
        <v>3518</v>
      </c>
      <c r="H3505">
        <v>0.5</v>
      </c>
      <c r="I3505">
        <v>5.4</v>
      </c>
      <c r="J3505">
        <v>21.6</v>
      </c>
    </row>
    <row r="3506" spans="1:10" x14ac:dyDescent="0.25">
      <c r="A3506" t="s">
        <v>6031</v>
      </c>
      <c r="B3506" s="3">
        <v>44743</v>
      </c>
      <c r="C3506" t="s">
        <v>3287</v>
      </c>
      <c r="D3506" t="s">
        <v>3504</v>
      </c>
      <c r="E3506">
        <v>3</v>
      </c>
      <c r="F3506" t="s">
        <v>3524</v>
      </c>
      <c r="G3506" t="s">
        <v>3517</v>
      </c>
      <c r="H3506">
        <v>0.5</v>
      </c>
      <c r="I3506">
        <v>7.2</v>
      </c>
      <c r="J3506">
        <v>21.6</v>
      </c>
    </row>
    <row r="3507" spans="1:10" x14ac:dyDescent="0.25">
      <c r="A3507" t="s">
        <v>6032</v>
      </c>
      <c r="B3507" s="3">
        <v>45073</v>
      </c>
      <c r="C3507" t="s">
        <v>1631</v>
      </c>
      <c r="D3507" t="s">
        <v>3490</v>
      </c>
      <c r="E3507">
        <v>6</v>
      </c>
      <c r="F3507" t="s">
        <v>3525</v>
      </c>
      <c r="G3507" t="s">
        <v>3519</v>
      </c>
      <c r="H3507">
        <v>0.2</v>
      </c>
      <c r="I3507">
        <v>4.4000000000000004</v>
      </c>
      <c r="J3507">
        <v>26.4</v>
      </c>
    </row>
    <row r="3508" spans="1:10" x14ac:dyDescent="0.25">
      <c r="A3508" t="s">
        <v>6033</v>
      </c>
      <c r="B3508" s="3">
        <v>45136</v>
      </c>
      <c r="C3508" t="s">
        <v>1809</v>
      </c>
      <c r="D3508" t="s">
        <v>3484</v>
      </c>
      <c r="E3508">
        <v>1</v>
      </c>
      <c r="F3508" t="s">
        <v>3526</v>
      </c>
      <c r="G3508" t="s">
        <v>3518</v>
      </c>
      <c r="H3508">
        <v>0.2</v>
      </c>
      <c r="I3508">
        <v>3.6</v>
      </c>
      <c r="J3508">
        <v>3.6</v>
      </c>
    </row>
    <row r="3509" spans="1:10" x14ac:dyDescent="0.25">
      <c r="A3509" t="s">
        <v>6034</v>
      </c>
      <c r="B3509" s="3">
        <v>44837</v>
      </c>
      <c r="C3509" t="s">
        <v>3016</v>
      </c>
      <c r="D3509" t="s">
        <v>3478</v>
      </c>
      <c r="E3509">
        <v>4</v>
      </c>
      <c r="F3509" t="s">
        <v>3523</v>
      </c>
      <c r="G3509" t="s">
        <v>3518</v>
      </c>
      <c r="H3509">
        <v>1</v>
      </c>
      <c r="I3509">
        <v>10</v>
      </c>
      <c r="J3509">
        <v>40</v>
      </c>
    </row>
    <row r="3510" spans="1:10" x14ac:dyDescent="0.25">
      <c r="A3510" t="s">
        <v>6035</v>
      </c>
      <c r="B3510" s="3">
        <v>44977</v>
      </c>
      <c r="C3510" t="s">
        <v>1930</v>
      </c>
      <c r="D3510" t="s">
        <v>3490</v>
      </c>
      <c r="E3510">
        <v>1</v>
      </c>
      <c r="F3510" t="s">
        <v>3525</v>
      </c>
      <c r="G3510" t="s">
        <v>3519</v>
      </c>
      <c r="H3510">
        <v>0.2</v>
      </c>
      <c r="I3510">
        <v>4.4000000000000004</v>
      </c>
      <c r="J3510">
        <v>4.4000000000000004</v>
      </c>
    </row>
    <row r="3511" spans="1:10" x14ac:dyDescent="0.25">
      <c r="A3511" t="s">
        <v>6036</v>
      </c>
      <c r="B3511" s="3">
        <v>43982</v>
      </c>
      <c r="C3511" t="s">
        <v>3087</v>
      </c>
      <c r="D3511" t="s">
        <v>3509</v>
      </c>
      <c r="E3511">
        <v>2</v>
      </c>
      <c r="F3511" t="s">
        <v>3524</v>
      </c>
      <c r="G3511" t="s">
        <v>3517</v>
      </c>
      <c r="H3511">
        <v>0.2</v>
      </c>
      <c r="I3511">
        <v>3.6</v>
      </c>
      <c r="J3511">
        <v>7.2</v>
      </c>
    </row>
    <row r="3512" spans="1:10" x14ac:dyDescent="0.25">
      <c r="A3512" t="s">
        <v>6037</v>
      </c>
      <c r="B3512" s="3">
        <v>45405</v>
      </c>
      <c r="C3512" t="s">
        <v>2204</v>
      </c>
      <c r="D3512" t="s">
        <v>3511</v>
      </c>
      <c r="E3512">
        <v>5</v>
      </c>
      <c r="F3512" t="s">
        <v>3523</v>
      </c>
      <c r="G3512" t="s">
        <v>3517</v>
      </c>
      <c r="H3512">
        <v>0.5</v>
      </c>
      <c r="I3512">
        <v>7.8</v>
      </c>
      <c r="J3512">
        <v>39</v>
      </c>
    </row>
    <row r="3513" spans="1:10" x14ac:dyDescent="0.25">
      <c r="A3513" t="s">
        <v>6038</v>
      </c>
      <c r="B3513" s="3">
        <v>45463</v>
      </c>
      <c r="C3513" t="s">
        <v>2684</v>
      </c>
      <c r="D3513" t="s">
        <v>3478</v>
      </c>
      <c r="E3513">
        <v>4</v>
      </c>
      <c r="F3513" t="s">
        <v>3523</v>
      </c>
      <c r="G3513" t="s">
        <v>3518</v>
      </c>
      <c r="H3513">
        <v>1</v>
      </c>
      <c r="I3513">
        <v>10</v>
      </c>
      <c r="J3513">
        <v>40</v>
      </c>
    </row>
    <row r="3514" spans="1:10" x14ac:dyDescent="0.25">
      <c r="A3514" t="s">
        <v>6039</v>
      </c>
      <c r="B3514" s="3">
        <v>45527</v>
      </c>
      <c r="C3514" t="s">
        <v>1746</v>
      </c>
      <c r="D3514" t="s">
        <v>3478</v>
      </c>
      <c r="E3514">
        <v>3</v>
      </c>
      <c r="F3514" t="s">
        <v>3523</v>
      </c>
      <c r="G3514" t="s">
        <v>3518</v>
      </c>
      <c r="H3514">
        <v>1</v>
      </c>
      <c r="I3514">
        <v>10</v>
      </c>
      <c r="J3514">
        <v>30</v>
      </c>
    </row>
    <row r="3515" spans="1:10" x14ac:dyDescent="0.25">
      <c r="A3515" t="s">
        <v>6040</v>
      </c>
      <c r="B3515" s="3">
        <v>45509</v>
      </c>
      <c r="C3515" t="s">
        <v>2789</v>
      </c>
      <c r="D3515" t="s">
        <v>3503</v>
      </c>
      <c r="E3515">
        <v>4</v>
      </c>
      <c r="F3515" t="s">
        <v>3524</v>
      </c>
      <c r="G3515" t="s">
        <v>3518</v>
      </c>
      <c r="H3515">
        <v>0.5</v>
      </c>
      <c r="I3515">
        <v>5.4</v>
      </c>
      <c r="J3515">
        <v>21.6</v>
      </c>
    </row>
    <row r="3516" spans="1:10" x14ac:dyDescent="0.25">
      <c r="A3516" t="s">
        <v>6041</v>
      </c>
      <c r="B3516" s="3">
        <v>45458</v>
      </c>
      <c r="C3516" t="s">
        <v>1994</v>
      </c>
      <c r="D3516" t="s">
        <v>3503</v>
      </c>
      <c r="E3516">
        <v>4</v>
      </c>
      <c r="F3516" t="s">
        <v>3524</v>
      </c>
      <c r="G3516" t="s">
        <v>3518</v>
      </c>
      <c r="H3516">
        <v>0.5</v>
      </c>
      <c r="I3516">
        <v>5.4</v>
      </c>
      <c r="J3516">
        <v>21.6</v>
      </c>
    </row>
    <row r="3517" spans="1:10" x14ac:dyDescent="0.25">
      <c r="A3517" t="s">
        <v>6042</v>
      </c>
      <c r="B3517" s="3">
        <v>45555</v>
      </c>
      <c r="C3517" t="s">
        <v>1520</v>
      </c>
      <c r="D3517" t="s">
        <v>3499</v>
      </c>
      <c r="E3517">
        <v>5</v>
      </c>
      <c r="F3517" t="s">
        <v>3523</v>
      </c>
      <c r="G3517" t="s">
        <v>3518</v>
      </c>
      <c r="H3517">
        <v>2.5</v>
      </c>
      <c r="I3517">
        <v>22.9</v>
      </c>
      <c r="J3517">
        <v>114.5</v>
      </c>
    </row>
    <row r="3518" spans="1:10" x14ac:dyDescent="0.25">
      <c r="A3518" t="s">
        <v>6043</v>
      </c>
      <c r="B3518" s="3">
        <v>44929</v>
      </c>
      <c r="C3518" t="s">
        <v>1091</v>
      </c>
      <c r="D3518" t="s">
        <v>3484</v>
      </c>
      <c r="E3518">
        <v>2</v>
      </c>
      <c r="F3518" t="s">
        <v>3526</v>
      </c>
      <c r="G3518" t="s">
        <v>3518</v>
      </c>
      <c r="H3518">
        <v>0.2</v>
      </c>
      <c r="I3518">
        <v>3.6</v>
      </c>
      <c r="J3518">
        <v>7.2</v>
      </c>
    </row>
    <row r="3519" spans="1:10" x14ac:dyDescent="0.25">
      <c r="A3519" t="s">
        <v>6044</v>
      </c>
      <c r="B3519" s="3">
        <v>45039</v>
      </c>
      <c r="C3519" t="s">
        <v>2518</v>
      </c>
      <c r="D3519" t="s">
        <v>3474</v>
      </c>
      <c r="E3519">
        <v>2</v>
      </c>
      <c r="F3519" t="s">
        <v>3525</v>
      </c>
      <c r="G3519" t="s">
        <v>3518</v>
      </c>
      <c r="H3519">
        <v>1</v>
      </c>
      <c r="I3519">
        <v>13</v>
      </c>
      <c r="J3519">
        <v>26</v>
      </c>
    </row>
    <row r="3520" spans="1:10" x14ac:dyDescent="0.25">
      <c r="A3520" t="s">
        <v>6045</v>
      </c>
      <c r="B3520" s="3">
        <v>44879</v>
      </c>
      <c r="C3520" t="s">
        <v>2224</v>
      </c>
      <c r="D3520" t="s">
        <v>3488</v>
      </c>
      <c r="E3520">
        <v>3</v>
      </c>
      <c r="F3520" t="s">
        <v>3523</v>
      </c>
      <c r="G3520" t="s">
        <v>3519</v>
      </c>
      <c r="H3520">
        <v>0.5</v>
      </c>
      <c r="I3520">
        <v>6.8</v>
      </c>
      <c r="J3520">
        <v>20.399999999999999</v>
      </c>
    </row>
    <row r="3521" spans="1:10" x14ac:dyDescent="0.25">
      <c r="A3521" t="s">
        <v>6046</v>
      </c>
      <c r="B3521" s="3">
        <v>44609</v>
      </c>
      <c r="C3521" t="s">
        <v>1290</v>
      </c>
      <c r="D3521" t="s">
        <v>3481</v>
      </c>
      <c r="E3521">
        <v>1</v>
      </c>
      <c r="F3521" t="s">
        <v>3525</v>
      </c>
      <c r="G3521" t="s">
        <v>3518</v>
      </c>
      <c r="H3521">
        <v>0.2</v>
      </c>
      <c r="I3521">
        <v>3.9</v>
      </c>
      <c r="J3521">
        <v>3.9</v>
      </c>
    </row>
    <row r="3522" spans="1:10" x14ac:dyDescent="0.25">
      <c r="A3522" t="s">
        <v>6047</v>
      </c>
      <c r="B3522" s="3">
        <v>45063</v>
      </c>
      <c r="C3522" t="s">
        <v>1951</v>
      </c>
      <c r="D3522" t="s">
        <v>3514</v>
      </c>
      <c r="E3522">
        <v>1</v>
      </c>
      <c r="F3522" t="s">
        <v>3526</v>
      </c>
      <c r="G3522" t="s">
        <v>3518</v>
      </c>
      <c r="H3522">
        <v>1</v>
      </c>
      <c r="I3522">
        <v>12.2</v>
      </c>
      <c r="J3522">
        <v>12.2</v>
      </c>
    </row>
    <row r="3523" spans="1:10" x14ac:dyDescent="0.25">
      <c r="A3523" t="s">
        <v>6048</v>
      </c>
      <c r="B3523" s="3">
        <v>45324</v>
      </c>
      <c r="C3523" t="s">
        <v>2599</v>
      </c>
      <c r="D3523" t="s">
        <v>3487</v>
      </c>
      <c r="E3523">
        <v>2</v>
      </c>
      <c r="F3523" t="s">
        <v>3526</v>
      </c>
      <c r="G3523" t="s">
        <v>3519</v>
      </c>
      <c r="H3523">
        <v>0.2</v>
      </c>
      <c r="I3523">
        <v>4.0999999999999996</v>
      </c>
      <c r="J3523">
        <v>8.1999999999999993</v>
      </c>
    </row>
    <row r="3524" spans="1:10" x14ac:dyDescent="0.25">
      <c r="A3524" t="s">
        <v>6049</v>
      </c>
      <c r="B3524" s="3">
        <v>44479</v>
      </c>
      <c r="C3524" t="s">
        <v>2047</v>
      </c>
      <c r="D3524" t="s">
        <v>3472</v>
      </c>
      <c r="E3524">
        <v>6</v>
      </c>
      <c r="F3524" t="s">
        <v>3526</v>
      </c>
      <c r="G3524" t="s">
        <v>3519</v>
      </c>
      <c r="H3524">
        <v>1</v>
      </c>
      <c r="I3524">
        <v>13.8</v>
      </c>
      <c r="J3524">
        <v>82.8</v>
      </c>
    </row>
    <row r="3525" spans="1:10" x14ac:dyDescent="0.25">
      <c r="A3525" t="s">
        <v>6050</v>
      </c>
      <c r="B3525" s="3">
        <v>45460</v>
      </c>
      <c r="C3525" t="s">
        <v>2092</v>
      </c>
      <c r="D3525" t="s">
        <v>3474</v>
      </c>
      <c r="E3525">
        <v>4</v>
      </c>
      <c r="F3525" t="s">
        <v>3525</v>
      </c>
      <c r="G3525" t="s">
        <v>3518</v>
      </c>
      <c r="H3525">
        <v>1</v>
      </c>
      <c r="I3525">
        <v>13</v>
      </c>
      <c r="J3525">
        <v>52</v>
      </c>
    </row>
    <row r="3526" spans="1:10" x14ac:dyDescent="0.25">
      <c r="A3526" t="s">
        <v>6051</v>
      </c>
      <c r="B3526" s="3">
        <v>44997</v>
      </c>
      <c r="C3526" t="s">
        <v>2983</v>
      </c>
      <c r="D3526" t="s">
        <v>3498</v>
      </c>
      <c r="E3526">
        <v>1</v>
      </c>
      <c r="F3526" t="s">
        <v>3523</v>
      </c>
      <c r="G3526" t="s">
        <v>3517</v>
      </c>
      <c r="H3526">
        <v>0.2</v>
      </c>
      <c r="I3526">
        <v>3.9</v>
      </c>
      <c r="J3526">
        <v>3.9</v>
      </c>
    </row>
    <row r="3527" spans="1:10" x14ac:dyDescent="0.25">
      <c r="A3527" t="s">
        <v>6052</v>
      </c>
      <c r="B3527" s="3">
        <v>45005</v>
      </c>
      <c r="C3527" t="s">
        <v>1369</v>
      </c>
      <c r="D3527" t="s">
        <v>3492</v>
      </c>
      <c r="E3527">
        <v>5</v>
      </c>
      <c r="F3527" t="s">
        <v>3525</v>
      </c>
      <c r="G3527" t="s">
        <v>3517</v>
      </c>
      <c r="H3527">
        <v>0.5</v>
      </c>
      <c r="I3527">
        <v>9.5</v>
      </c>
      <c r="J3527">
        <v>47.5</v>
      </c>
    </row>
    <row r="3528" spans="1:10" x14ac:dyDescent="0.25">
      <c r="A3528" t="s">
        <v>6053</v>
      </c>
      <c r="B3528" s="3">
        <v>43884</v>
      </c>
      <c r="C3528" t="s">
        <v>2742</v>
      </c>
      <c r="D3528" t="s">
        <v>3511</v>
      </c>
      <c r="E3528">
        <v>5</v>
      </c>
      <c r="F3528" t="s">
        <v>3523</v>
      </c>
      <c r="G3528" t="s">
        <v>3517</v>
      </c>
      <c r="H3528">
        <v>0.5</v>
      </c>
      <c r="I3528">
        <v>7.8</v>
      </c>
      <c r="J3528">
        <v>39</v>
      </c>
    </row>
    <row r="3529" spans="1:10" x14ac:dyDescent="0.25">
      <c r="A3529" t="s">
        <v>6054</v>
      </c>
      <c r="B3529" s="3">
        <v>45640</v>
      </c>
      <c r="C3529" t="s">
        <v>1265</v>
      </c>
      <c r="D3529" t="s">
        <v>3483</v>
      </c>
      <c r="E3529">
        <v>6</v>
      </c>
      <c r="F3529" t="s">
        <v>3523</v>
      </c>
      <c r="G3529" t="s">
        <v>3519</v>
      </c>
      <c r="H3529">
        <v>0.2</v>
      </c>
      <c r="I3529">
        <v>3.4</v>
      </c>
      <c r="J3529">
        <v>20.399999999999999</v>
      </c>
    </row>
    <row r="3530" spans="1:10" x14ac:dyDescent="0.25">
      <c r="A3530" t="s">
        <v>6055</v>
      </c>
      <c r="B3530" s="3">
        <v>45576</v>
      </c>
      <c r="C3530" t="s">
        <v>2198</v>
      </c>
      <c r="D3530" t="s">
        <v>3504</v>
      </c>
      <c r="E3530">
        <v>2</v>
      </c>
      <c r="F3530" t="s">
        <v>3524</v>
      </c>
      <c r="G3530" t="s">
        <v>3517</v>
      </c>
      <c r="H3530">
        <v>0.5</v>
      </c>
      <c r="I3530">
        <v>7.2</v>
      </c>
      <c r="J3530">
        <v>14.4</v>
      </c>
    </row>
    <row r="3531" spans="1:10" x14ac:dyDescent="0.25">
      <c r="A3531" t="s">
        <v>6056</v>
      </c>
      <c r="B3531" s="3">
        <v>45401</v>
      </c>
      <c r="C3531" t="s">
        <v>1166</v>
      </c>
      <c r="D3531" t="s">
        <v>3470</v>
      </c>
      <c r="E3531">
        <v>1</v>
      </c>
      <c r="F3531" t="s">
        <v>3526</v>
      </c>
      <c r="G3531" t="s">
        <v>3519</v>
      </c>
      <c r="H3531">
        <v>0.5</v>
      </c>
      <c r="I3531">
        <v>8.3000000000000007</v>
      </c>
      <c r="J3531">
        <v>8.3000000000000007</v>
      </c>
    </row>
    <row r="3532" spans="1:10" x14ac:dyDescent="0.25">
      <c r="A3532" t="s">
        <v>6057</v>
      </c>
      <c r="B3532" s="3">
        <v>45171</v>
      </c>
      <c r="C3532" t="s">
        <v>2888</v>
      </c>
      <c r="D3532" t="s">
        <v>3480</v>
      </c>
      <c r="E3532">
        <v>4</v>
      </c>
      <c r="F3532" t="s">
        <v>3524</v>
      </c>
      <c r="G3532" t="s">
        <v>3518</v>
      </c>
      <c r="H3532">
        <v>2.5</v>
      </c>
      <c r="I3532">
        <v>20.6</v>
      </c>
      <c r="J3532">
        <v>82.4</v>
      </c>
    </row>
    <row r="3533" spans="1:10" x14ac:dyDescent="0.25">
      <c r="A3533" t="s">
        <v>6058</v>
      </c>
      <c r="B3533" s="3">
        <v>44700</v>
      </c>
      <c r="C3533" t="s">
        <v>896</v>
      </c>
      <c r="D3533" t="s">
        <v>3516</v>
      </c>
      <c r="E3533">
        <v>2</v>
      </c>
      <c r="F3533" t="s">
        <v>3526</v>
      </c>
      <c r="G3533" t="s">
        <v>3518</v>
      </c>
      <c r="H3533">
        <v>2.5</v>
      </c>
      <c r="I3533">
        <v>27.9</v>
      </c>
      <c r="J3533">
        <v>55.8</v>
      </c>
    </row>
    <row r="3534" spans="1:10" x14ac:dyDescent="0.25">
      <c r="A3534" t="s">
        <v>6059</v>
      </c>
      <c r="B3534" s="3">
        <v>45421</v>
      </c>
      <c r="C3534" t="s">
        <v>1675</v>
      </c>
      <c r="D3534" t="s">
        <v>3489</v>
      </c>
      <c r="E3534">
        <v>5</v>
      </c>
      <c r="F3534" t="s">
        <v>3523</v>
      </c>
      <c r="G3534" t="s">
        <v>3518</v>
      </c>
      <c r="H3534">
        <v>0.5</v>
      </c>
      <c r="I3534">
        <v>6</v>
      </c>
      <c r="J3534">
        <v>30</v>
      </c>
    </row>
    <row r="3535" spans="1:10" x14ac:dyDescent="0.25">
      <c r="A3535" t="s">
        <v>6060</v>
      </c>
      <c r="B3535" s="3">
        <v>45622</v>
      </c>
      <c r="C3535" t="s">
        <v>2275</v>
      </c>
      <c r="D3535" t="s">
        <v>3515</v>
      </c>
      <c r="E3535">
        <v>2</v>
      </c>
      <c r="F3535" t="s">
        <v>3526</v>
      </c>
      <c r="G3535" t="s">
        <v>3517</v>
      </c>
      <c r="H3535">
        <v>0.2</v>
      </c>
      <c r="I3535">
        <v>4.5</v>
      </c>
      <c r="J3535">
        <v>9</v>
      </c>
    </row>
    <row r="3536" spans="1:10" x14ac:dyDescent="0.25">
      <c r="A3536" t="s">
        <v>6061</v>
      </c>
      <c r="B3536" s="3">
        <v>44741</v>
      </c>
      <c r="C3536" t="s">
        <v>670</v>
      </c>
      <c r="D3536" t="s">
        <v>3479</v>
      </c>
      <c r="E3536">
        <v>1</v>
      </c>
      <c r="F3536" t="s">
        <v>3526</v>
      </c>
      <c r="G3536" t="s">
        <v>3517</v>
      </c>
      <c r="H3536">
        <v>2.5</v>
      </c>
      <c r="I3536">
        <v>34.200000000000003</v>
      </c>
      <c r="J3536">
        <v>34.200000000000003</v>
      </c>
    </row>
    <row r="3537" spans="1:10" x14ac:dyDescent="0.25">
      <c r="A3537" t="s">
        <v>6062</v>
      </c>
      <c r="B3537" s="3">
        <v>45608</v>
      </c>
      <c r="C3537" t="s">
        <v>2491</v>
      </c>
      <c r="D3537" t="s">
        <v>3506</v>
      </c>
      <c r="E3537">
        <v>5</v>
      </c>
      <c r="F3537" t="s">
        <v>3523</v>
      </c>
      <c r="G3537" t="s">
        <v>3519</v>
      </c>
      <c r="H3537">
        <v>2.5</v>
      </c>
      <c r="I3537">
        <v>25.9</v>
      </c>
      <c r="J3537">
        <v>129.5</v>
      </c>
    </row>
    <row r="3538" spans="1:10" x14ac:dyDescent="0.25">
      <c r="A3538" t="s">
        <v>6063</v>
      </c>
      <c r="B3538" s="3">
        <v>44154</v>
      </c>
      <c r="C3538" t="s">
        <v>1902</v>
      </c>
      <c r="D3538" t="s">
        <v>3495</v>
      </c>
      <c r="E3538">
        <v>5</v>
      </c>
      <c r="F3538" t="s">
        <v>3525</v>
      </c>
      <c r="G3538" t="s">
        <v>3517</v>
      </c>
      <c r="H3538">
        <v>2.5</v>
      </c>
      <c r="I3538">
        <v>36.5</v>
      </c>
      <c r="J3538">
        <v>182.5</v>
      </c>
    </row>
    <row r="3539" spans="1:10" x14ac:dyDescent="0.25">
      <c r="A3539" t="s">
        <v>6064</v>
      </c>
      <c r="B3539" s="3">
        <v>45449</v>
      </c>
      <c r="C3539" t="s">
        <v>2873</v>
      </c>
      <c r="D3539" t="s">
        <v>3490</v>
      </c>
      <c r="E3539">
        <v>4</v>
      </c>
      <c r="F3539" t="s">
        <v>3525</v>
      </c>
      <c r="G3539" t="s">
        <v>3519</v>
      </c>
      <c r="H3539">
        <v>0.2</v>
      </c>
      <c r="I3539">
        <v>4.4000000000000004</v>
      </c>
      <c r="J3539">
        <v>17.600000000000001</v>
      </c>
    </row>
    <row r="3540" spans="1:10" x14ac:dyDescent="0.25">
      <c r="A3540" t="s">
        <v>6065</v>
      </c>
      <c r="B3540" s="3">
        <v>45245</v>
      </c>
      <c r="C3540" t="s">
        <v>2533</v>
      </c>
      <c r="D3540" t="s">
        <v>3496</v>
      </c>
      <c r="E3540">
        <v>4</v>
      </c>
      <c r="F3540" t="s">
        <v>3525</v>
      </c>
      <c r="G3540" t="s">
        <v>3518</v>
      </c>
      <c r="H3540">
        <v>2.5</v>
      </c>
      <c r="I3540">
        <v>29.8</v>
      </c>
      <c r="J3540">
        <v>119.2</v>
      </c>
    </row>
    <row r="3541" spans="1:10" x14ac:dyDescent="0.25">
      <c r="A3541" t="s">
        <v>6066</v>
      </c>
      <c r="B3541" s="3">
        <v>45476</v>
      </c>
      <c r="C3541" t="s">
        <v>2149</v>
      </c>
      <c r="D3541" t="s">
        <v>3477</v>
      </c>
      <c r="E3541">
        <v>4</v>
      </c>
      <c r="F3541" t="s">
        <v>3524</v>
      </c>
      <c r="G3541" t="s">
        <v>3519</v>
      </c>
      <c r="H3541">
        <v>0.5</v>
      </c>
      <c r="I3541">
        <v>6</v>
      </c>
      <c r="J3541">
        <v>24</v>
      </c>
    </row>
    <row r="3542" spans="1:10" x14ac:dyDescent="0.25">
      <c r="A3542" t="s">
        <v>6067</v>
      </c>
      <c r="B3542" s="3">
        <v>44814</v>
      </c>
      <c r="C3542" t="s">
        <v>2690</v>
      </c>
      <c r="D3542" t="s">
        <v>3490</v>
      </c>
      <c r="E3542">
        <v>1</v>
      </c>
      <c r="F3542" t="s">
        <v>3525</v>
      </c>
      <c r="G3542" t="s">
        <v>3519</v>
      </c>
      <c r="H3542">
        <v>0.2</v>
      </c>
      <c r="I3542">
        <v>4.4000000000000004</v>
      </c>
      <c r="J3542">
        <v>4.4000000000000004</v>
      </c>
    </row>
    <row r="3543" spans="1:10" x14ac:dyDescent="0.25">
      <c r="A3543" t="s">
        <v>6068</v>
      </c>
      <c r="B3543" s="3">
        <v>44450</v>
      </c>
      <c r="C3543" t="s">
        <v>740</v>
      </c>
      <c r="D3543" t="s">
        <v>3507</v>
      </c>
      <c r="E3543">
        <v>4</v>
      </c>
      <c r="F3543" t="s">
        <v>3526</v>
      </c>
      <c r="G3543" t="s">
        <v>3517</v>
      </c>
      <c r="H3543">
        <v>0.5</v>
      </c>
      <c r="I3543">
        <v>8.9</v>
      </c>
      <c r="J3543">
        <v>35.6</v>
      </c>
    </row>
    <row r="3544" spans="1:10" x14ac:dyDescent="0.25">
      <c r="A3544" t="s">
        <v>6069</v>
      </c>
      <c r="B3544" s="3">
        <v>44476</v>
      </c>
      <c r="C3544" t="s">
        <v>1199</v>
      </c>
      <c r="D3544" t="s">
        <v>3505</v>
      </c>
      <c r="E3544">
        <v>2</v>
      </c>
      <c r="F3544" t="s">
        <v>3524</v>
      </c>
      <c r="G3544" t="s">
        <v>3519</v>
      </c>
      <c r="H3544">
        <v>0.2</v>
      </c>
      <c r="I3544">
        <v>3</v>
      </c>
      <c r="J3544">
        <v>6</v>
      </c>
    </row>
    <row r="3545" spans="1:10" x14ac:dyDescent="0.25">
      <c r="A3545" t="s">
        <v>6070</v>
      </c>
      <c r="B3545" s="3">
        <v>44080</v>
      </c>
      <c r="C3545" t="s">
        <v>1797</v>
      </c>
      <c r="D3545" t="s">
        <v>3508</v>
      </c>
      <c r="E3545">
        <v>3</v>
      </c>
      <c r="F3545" t="s">
        <v>3524</v>
      </c>
      <c r="G3545" t="s">
        <v>3518</v>
      </c>
      <c r="H3545">
        <v>1</v>
      </c>
      <c r="I3545">
        <v>9</v>
      </c>
      <c r="J3545">
        <v>27</v>
      </c>
    </row>
    <row r="3546" spans="1:10" x14ac:dyDescent="0.25">
      <c r="A3546" t="s">
        <v>6071</v>
      </c>
      <c r="B3546" s="3">
        <v>44983</v>
      </c>
      <c r="C3546" t="s">
        <v>1693</v>
      </c>
      <c r="D3546" t="s">
        <v>3516</v>
      </c>
      <c r="E3546">
        <v>2</v>
      </c>
      <c r="F3546" t="s">
        <v>3526</v>
      </c>
      <c r="G3546" t="s">
        <v>3518</v>
      </c>
      <c r="H3546">
        <v>2.5</v>
      </c>
      <c r="I3546">
        <v>27.9</v>
      </c>
      <c r="J3546">
        <v>55.8</v>
      </c>
    </row>
    <row r="3547" spans="1:10" x14ac:dyDescent="0.25">
      <c r="A3547" t="s">
        <v>6072</v>
      </c>
      <c r="B3547" s="3">
        <v>45555</v>
      </c>
      <c r="C3547" t="s">
        <v>2998</v>
      </c>
      <c r="D3547" t="s">
        <v>3488</v>
      </c>
      <c r="E3547">
        <v>4</v>
      </c>
      <c r="F3547" t="s">
        <v>3523</v>
      </c>
      <c r="G3547" t="s">
        <v>3519</v>
      </c>
      <c r="H3547">
        <v>0.5</v>
      </c>
      <c r="I3547">
        <v>6.8</v>
      </c>
      <c r="J3547">
        <v>27.2</v>
      </c>
    </row>
    <row r="3548" spans="1:10" x14ac:dyDescent="0.25">
      <c r="A3548" t="s">
        <v>6073</v>
      </c>
      <c r="B3548" s="3">
        <v>44843</v>
      </c>
      <c r="C3548" t="s">
        <v>974</v>
      </c>
      <c r="D3548" t="s">
        <v>3506</v>
      </c>
      <c r="E3548">
        <v>2</v>
      </c>
      <c r="F3548" t="s">
        <v>3523</v>
      </c>
      <c r="G3548" t="s">
        <v>3519</v>
      </c>
      <c r="H3548">
        <v>2.5</v>
      </c>
      <c r="I3548">
        <v>25.9</v>
      </c>
      <c r="J3548">
        <v>51.8</v>
      </c>
    </row>
    <row r="3549" spans="1:10" x14ac:dyDescent="0.25">
      <c r="A3549" t="s">
        <v>6074</v>
      </c>
      <c r="B3549" s="3">
        <v>45540</v>
      </c>
      <c r="C3549" t="s">
        <v>2876</v>
      </c>
      <c r="D3549" t="s">
        <v>3514</v>
      </c>
      <c r="E3549">
        <v>6</v>
      </c>
      <c r="F3549" t="s">
        <v>3526</v>
      </c>
      <c r="G3549" t="s">
        <v>3518</v>
      </c>
      <c r="H3549">
        <v>1</v>
      </c>
      <c r="I3549">
        <v>12.2</v>
      </c>
      <c r="J3549">
        <v>73.2</v>
      </c>
    </row>
    <row r="3550" spans="1:10" x14ac:dyDescent="0.25">
      <c r="A3550" t="s">
        <v>6075</v>
      </c>
      <c r="B3550" s="3">
        <v>45099</v>
      </c>
      <c r="C3550" t="s">
        <v>2155</v>
      </c>
      <c r="D3550" t="s">
        <v>3480</v>
      </c>
      <c r="E3550">
        <v>3</v>
      </c>
      <c r="F3550" t="s">
        <v>3524</v>
      </c>
      <c r="G3550" t="s">
        <v>3518</v>
      </c>
      <c r="H3550">
        <v>2.5</v>
      </c>
      <c r="I3550">
        <v>20.6</v>
      </c>
      <c r="J3550">
        <v>61.8</v>
      </c>
    </row>
    <row r="3551" spans="1:10" x14ac:dyDescent="0.25">
      <c r="A3551" t="s">
        <v>6076</v>
      </c>
      <c r="B3551" s="3">
        <v>44362</v>
      </c>
      <c r="C3551" t="s">
        <v>3036</v>
      </c>
      <c r="D3551" t="s">
        <v>3505</v>
      </c>
      <c r="E3551">
        <v>6</v>
      </c>
      <c r="F3551" t="s">
        <v>3524</v>
      </c>
      <c r="G3551" t="s">
        <v>3519</v>
      </c>
      <c r="H3551">
        <v>0.2</v>
      </c>
      <c r="I3551">
        <v>3</v>
      </c>
      <c r="J3551">
        <v>18</v>
      </c>
    </row>
    <row r="3552" spans="1:10" x14ac:dyDescent="0.25">
      <c r="A3552" t="s">
        <v>6077</v>
      </c>
      <c r="B3552" s="3">
        <v>45021</v>
      </c>
      <c r="C3552" t="s">
        <v>2263</v>
      </c>
      <c r="D3552" t="s">
        <v>3494</v>
      </c>
      <c r="E3552">
        <v>1</v>
      </c>
      <c r="F3552" t="s">
        <v>3524</v>
      </c>
      <c r="G3552" t="s">
        <v>3518</v>
      </c>
      <c r="H3552">
        <v>0.2</v>
      </c>
      <c r="I3552">
        <v>2.7</v>
      </c>
      <c r="J3552">
        <v>2.7</v>
      </c>
    </row>
    <row r="3553" spans="1:10" x14ac:dyDescent="0.25">
      <c r="A3553" t="s">
        <v>6078</v>
      </c>
      <c r="B3553" s="3">
        <v>44831</v>
      </c>
      <c r="C3553" t="s">
        <v>1576</v>
      </c>
      <c r="D3553" t="s">
        <v>3514</v>
      </c>
      <c r="E3553">
        <v>2</v>
      </c>
      <c r="F3553" t="s">
        <v>3526</v>
      </c>
      <c r="G3553" t="s">
        <v>3518</v>
      </c>
      <c r="H3553">
        <v>1</v>
      </c>
      <c r="I3553">
        <v>12.2</v>
      </c>
      <c r="J3553">
        <v>24.4</v>
      </c>
    </row>
    <row r="3554" spans="1:10" x14ac:dyDescent="0.25">
      <c r="A3554" t="s">
        <v>6079</v>
      </c>
      <c r="B3554" s="3">
        <v>45190</v>
      </c>
      <c r="C3554" t="s">
        <v>737</v>
      </c>
      <c r="D3554" t="s">
        <v>3476</v>
      </c>
      <c r="E3554">
        <v>2</v>
      </c>
      <c r="F3554" t="s">
        <v>3525</v>
      </c>
      <c r="G3554" t="s">
        <v>3517</v>
      </c>
      <c r="H3554">
        <v>0.2</v>
      </c>
      <c r="I3554">
        <v>4.8</v>
      </c>
      <c r="J3554">
        <v>9.6</v>
      </c>
    </row>
    <row r="3555" spans="1:10" x14ac:dyDescent="0.25">
      <c r="A3555" t="s">
        <v>6080</v>
      </c>
      <c r="B3555" s="3">
        <v>44000</v>
      </c>
      <c r="C3555" t="s">
        <v>3163</v>
      </c>
      <c r="D3555" t="s">
        <v>3503</v>
      </c>
      <c r="E3555">
        <v>6</v>
      </c>
      <c r="F3555" t="s">
        <v>3524</v>
      </c>
      <c r="G3555" t="s">
        <v>3518</v>
      </c>
      <c r="H3555">
        <v>0.5</v>
      </c>
      <c r="I3555">
        <v>5.4</v>
      </c>
      <c r="J3555">
        <v>32.4</v>
      </c>
    </row>
    <row r="3556" spans="1:10" x14ac:dyDescent="0.25">
      <c r="A3556" t="s">
        <v>6081</v>
      </c>
      <c r="B3556" s="3">
        <v>44919</v>
      </c>
      <c r="C3556" t="s">
        <v>2867</v>
      </c>
      <c r="D3556" t="s">
        <v>3482</v>
      </c>
      <c r="E3556">
        <v>4</v>
      </c>
      <c r="F3556" t="s">
        <v>3524</v>
      </c>
      <c r="G3556" t="s">
        <v>3519</v>
      </c>
      <c r="H3556">
        <v>2.5</v>
      </c>
      <c r="I3556">
        <v>22.9</v>
      </c>
      <c r="J3556">
        <v>91.6</v>
      </c>
    </row>
    <row r="3557" spans="1:10" x14ac:dyDescent="0.25">
      <c r="A3557" t="s">
        <v>6082</v>
      </c>
      <c r="B3557" s="3">
        <v>44954</v>
      </c>
      <c r="C3557" t="s">
        <v>1018</v>
      </c>
      <c r="D3557" t="s">
        <v>3472</v>
      </c>
      <c r="E3557">
        <v>2</v>
      </c>
      <c r="F3557" t="s">
        <v>3526</v>
      </c>
      <c r="G3557" t="s">
        <v>3519</v>
      </c>
      <c r="H3557">
        <v>1</v>
      </c>
      <c r="I3557">
        <v>13.8</v>
      </c>
      <c r="J3557">
        <v>27.6</v>
      </c>
    </row>
    <row r="3558" spans="1:10" x14ac:dyDescent="0.25">
      <c r="A3558" t="s">
        <v>6083</v>
      </c>
      <c r="B3558" s="3">
        <v>44772</v>
      </c>
      <c r="C3558" t="s">
        <v>1514</v>
      </c>
      <c r="D3558" t="s">
        <v>3514</v>
      </c>
      <c r="E3558">
        <v>3</v>
      </c>
      <c r="F3558" t="s">
        <v>3526</v>
      </c>
      <c r="G3558" t="s">
        <v>3518</v>
      </c>
      <c r="H3558">
        <v>1</v>
      </c>
      <c r="I3558">
        <v>12.2</v>
      </c>
      <c r="J3558">
        <v>36.6</v>
      </c>
    </row>
    <row r="3559" spans="1:10" x14ac:dyDescent="0.25">
      <c r="A3559" t="s">
        <v>6084</v>
      </c>
      <c r="B3559" s="3">
        <v>45472</v>
      </c>
      <c r="C3559" t="s">
        <v>878</v>
      </c>
      <c r="D3559" t="s">
        <v>3503</v>
      </c>
      <c r="E3559">
        <v>2</v>
      </c>
      <c r="F3559" t="s">
        <v>3524</v>
      </c>
      <c r="G3559" t="s">
        <v>3518</v>
      </c>
      <c r="H3559">
        <v>0.5</v>
      </c>
      <c r="I3559">
        <v>5.4</v>
      </c>
      <c r="J3559">
        <v>10.8</v>
      </c>
    </row>
    <row r="3560" spans="1:10" x14ac:dyDescent="0.25">
      <c r="A3560" t="s">
        <v>6085</v>
      </c>
      <c r="B3560" s="3">
        <v>45465</v>
      </c>
      <c r="C3560" t="s">
        <v>1896</v>
      </c>
      <c r="D3560" t="s">
        <v>3507</v>
      </c>
      <c r="E3560">
        <v>6</v>
      </c>
      <c r="F3560" t="s">
        <v>3526</v>
      </c>
      <c r="G3560" t="s">
        <v>3517</v>
      </c>
      <c r="H3560">
        <v>0.5</v>
      </c>
      <c r="I3560">
        <v>8.9</v>
      </c>
      <c r="J3560">
        <v>53.4</v>
      </c>
    </row>
    <row r="3561" spans="1:10" x14ac:dyDescent="0.25">
      <c r="A3561" t="s">
        <v>6086</v>
      </c>
      <c r="B3561" s="3">
        <v>45638</v>
      </c>
      <c r="C3561" t="s">
        <v>541</v>
      </c>
      <c r="D3561" t="s">
        <v>3484</v>
      </c>
      <c r="E3561">
        <v>4</v>
      </c>
      <c r="F3561" t="s">
        <v>3526</v>
      </c>
      <c r="G3561" t="s">
        <v>3518</v>
      </c>
      <c r="H3561">
        <v>0.2</v>
      </c>
      <c r="I3561">
        <v>3.6</v>
      </c>
      <c r="J3561">
        <v>14.4</v>
      </c>
    </row>
    <row r="3562" spans="1:10" x14ac:dyDescent="0.25">
      <c r="A3562" t="s">
        <v>6087</v>
      </c>
      <c r="B3562" s="3">
        <v>45498</v>
      </c>
      <c r="C3562" t="s">
        <v>1675</v>
      </c>
      <c r="D3562" t="s">
        <v>3504</v>
      </c>
      <c r="E3562">
        <v>4</v>
      </c>
      <c r="F3562" t="s">
        <v>3524</v>
      </c>
      <c r="G3562" t="s">
        <v>3517</v>
      </c>
      <c r="H3562">
        <v>0.5</v>
      </c>
      <c r="I3562">
        <v>7.2</v>
      </c>
      <c r="J3562">
        <v>28.8</v>
      </c>
    </row>
    <row r="3563" spans="1:10" x14ac:dyDescent="0.25">
      <c r="A3563" t="s">
        <v>6088</v>
      </c>
      <c r="B3563" s="3">
        <v>44958</v>
      </c>
      <c r="C3563" t="s">
        <v>3036</v>
      </c>
      <c r="D3563" t="s">
        <v>3488</v>
      </c>
      <c r="E3563">
        <v>6</v>
      </c>
      <c r="F3563" t="s">
        <v>3523</v>
      </c>
      <c r="G3563" t="s">
        <v>3519</v>
      </c>
      <c r="H3563">
        <v>0.5</v>
      </c>
      <c r="I3563">
        <v>6.8</v>
      </c>
      <c r="J3563">
        <v>40.799999999999997</v>
      </c>
    </row>
    <row r="3564" spans="1:10" x14ac:dyDescent="0.25">
      <c r="A3564" t="s">
        <v>6089</v>
      </c>
      <c r="B3564" s="3">
        <v>43618</v>
      </c>
      <c r="C3564" t="s">
        <v>2804</v>
      </c>
      <c r="D3564" t="s">
        <v>3513</v>
      </c>
      <c r="E3564">
        <v>1</v>
      </c>
      <c r="F3564" t="s">
        <v>3523</v>
      </c>
      <c r="G3564" t="s">
        <v>3517</v>
      </c>
      <c r="H3564">
        <v>2.5</v>
      </c>
      <c r="I3564">
        <v>29.8</v>
      </c>
      <c r="J3564">
        <v>29.8</v>
      </c>
    </row>
    <row r="3565" spans="1:10" x14ac:dyDescent="0.25">
      <c r="A3565" t="s">
        <v>6090</v>
      </c>
      <c r="B3565" s="3">
        <v>44127</v>
      </c>
      <c r="C3565" t="s">
        <v>1884</v>
      </c>
      <c r="D3565" t="s">
        <v>3484</v>
      </c>
      <c r="E3565">
        <v>5</v>
      </c>
      <c r="F3565" t="s">
        <v>3526</v>
      </c>
      <c r="G3565" t="s">
        <v>3518</v>
      </c>
      <c r="H3565">
        <v>0.2</v>
      </c>
      <c r="I3565">
        <v>3.6</v>
      </c>
      <c r="J3565">
        <v>18</v>
      </c>
    </row>
    <row r="3566" spans="1:10" x14ac:dyDescent="0.25">
      <c r="A3566" t="s">
        <v>6091</v>
      </c>
      <c r="B3566" s="3">
        <v>45276</v>
      </c>
      <c r="C3566" t="s">
        <v>2414</v>
      </c>
      <c r="D3566" t="s">
        <v>3516</v>
      </c>
      <c r="E3566">
        <v>2</v>
      </c>
      <c r="F3566" t="s">
        <v>3526</v>
      </c>
      <c r="G3566" t="s">
        <v>3518</v>
      </c>
      <c r="H3566">
        <v>2.5</v>
      </c>
      <c r="I3566">
        <v>27.9</v>
      </c>
      <c r="J3566">
        <v>55.8</v>
      </c>
    </row>
    <row r="3567" spans="1:10" x14ac:dyDescent="0.25">
      <c r="A3567" t="s">
        <v>6092</v>
      </c>
      <c r="B3567" s="3">
        <v>44956</v>
      </c>
      <c r="C3567" t="s">
        <v>1354</v>
      </c>
      <c r="D3567" t="s">
        <v>3496</v>
      </c>
      <c r="E3567">
        <v>1</v>
      </c>
      <c r="F3567" t="s">
        <v>3525</v>
      </c>
      <c r="G3567" t="s">
        <v>3518</v>
      </c>
      <c r="H3567">
        <v>2.5</v>
      </c>
      <c r="I3567">
        <v>29.8</v>
      </c>
      <c r="J3567">
        <v>29.8</v>
      </c>
    </row>
    <row r="3568" spans="1:10" x14ac:dyDescent="0.25">
      <c r="A3568" t="s">
        <v>6093</v>
      </c>
      <c r="B3568" s="3">
        <v>45621</v>
      </c>
      <c r="C3568" t="s">
        <v>1666</v>
      </c>
      <c r="D3568" t="s">
        <v>3485</v>
      </c>
      <c r="E3568">
        <v>3</v>
      </c>
      <c r="F3568" t="s">
        <v>3523</v>
      </c>
      <c r="G3568" t="s">
        <v>3518</v>
      </c>
      <c r="H3568">
        <v>0.2</v>
      </c>
      <c r="I3568">
        <v>3</v>
      </c>
      <c r="J3568">
        <v>9</v>
      </c>
    </row>
    <row r="3569" spans="1:10" x14ac:dyDescent="0.25">
      <c r="A3569" t="s">
        <v>6094</v>
      </c>
      <c r="B3569" s="3">
        <v>44470</v>
      </c>
      <c r="C3569" t="s">
        <v>1672</v>
      </c>
      <c r="D3569" t="s">
        <v>3487</v>
      </c>
      <c r="E3569">
        <v>3</v>
      </c>
      <c r="F3569" t="s">
        <v>3526</v>
      </c>
      <c r="G3569" t="s">
        <v>3519</v>
      </c>
      <c r="H3569">
        <v>0.2</v>
      </c>
      <c r="I3569">
        <v>4.0999999999999996</v>
      </c>
      <c r="J3569">
        <v>12.3</v>
      </c>
    </row>
    <row r="3570" spans="1:10" x14ac:dyDescent="0.25">
      <c r="A3570" t="s">
        <v>6095</v>
      </c>
      <c r="B3570" s="3">
        <v>44796</v>
      </c>
      <c r="C3570" t="s">
        <v>2907</v>
      </c>
      <c r="D3570" t="s">
        <v>3514</v>
      </c>
      <c r="E3570">
        <v>4</v>
      </c>
      <c r="F3570" t="s">
        <v>3526</v>
      </c>
      <c r="G3570" t="s">
        <v>3518</v>
      </c>
      <c r="H3570">
        <v>1</v>
      </c>
      <c r="I3570">
        <v>12.2</v>
      </c>
      <c r="J3570">
        <v>48.8</v>
      </c>
    </row>
    <row r="3571" spans="1:10" x14ac:dyDescent="0.25">
      <c r="A3571" t="s">
        <v>6096</v>
      </c>
      <c r="B3571" s="3">
        <v>45544</v>
      </c>
      <c r="C3571" t="s">
        <v>1178</v>
      </c>
      <c r="D3571" t="s">
        <v>3484</v>
      </c>
      <c r="E3571">
        <v>4</v>
      </c>
      <c r="F3571" t="s">
        <v>3526</v>
      </c>
      <c r="G3571" t="s">
        <v>3518</v>
      </c>
      <c r="H3571">
        <v>0.2</v>
      </c>
      <c r="I3571">
        <v>3.6</v>
      </c>
      <c r="J3571">
        <v>14.4</v>
      </c>
    </row>
    <row r="3572" spans="1:10" x14ac:dyDescent="0.25">
      <c r="A3572" t="s">
        <v>6097</v>
      </c>
      <c r="B3572" s="3">
        <v>44919</v>
      </c>
      <c r="C3572" t="s">
        <v>3226</v>
      </c>
      <c r="D3572" t="s">
        <v>3469</v>
      </c>
      <c r="E3572">
        <v>1</v>
      </c>
      <c r="F3572" t="s">
        <v>3524</v>
      </c>
      <c r="G3572" t="s">
        <v>3519</v>
      </c>
      <c r="H3572">
        <v>1</v>
      </c>
      <c r="I3572">
        <v>10</v>
      </c>
      <c r="J3572">
        <v>10</v>
      </c>
    </row>
    <row r="3573" spans="1:10" x14ac:dyDescent="0.25">
      <c r="A3573" t="s">
        <v>6098</v>
      </c>
      <c r="B3573" s="3">
        <v>45462</v>
      </c>
      <c r="C3573" t="s">
        <v>1976</v>
      </c>
      <c r="D3573" t="s">
        <v>3471</v>
      </c>
      <c r="E3573">
        <v>2</v>
      </c>
      <c r="F3573" t="s">
        <v>3523</v>
      </c>
      <c r="G3573" t="s">
        <v>3517</v>
      </c>
      <c r="H3573">
        <v>1</v>
      </c>
      <c r="I3573">
        <v>13</v>
      </c>
      <c r="J3573">
        <v>26</v>
      </c>
    </row>
    <row r="3574" spans="1:10" x14ac:dyDescent="0.25">
      <c r="A3574" t="s">
        <v>6099</v>
      </c>
      <c r="B3574" s="3">
        <v>45241</v>
      </c>
      <c r="C3574" t="s">
        <v>956</v>
      </c>
      <c r="D3574" t="s">
        <v>3513</v>
      </c>
      <c r="E3574">
        <v>3</v>
      </c>
      <c r="F3574" t="s">
        <v>3523</v>
      </c>
      <c r="G3574" t="s">
        <v>3517</v>
      </c>
      <c r="H3574">
        <v>2.5</v>
      </c>
      <c r="I3574">
        <v>29.8</v>
      </c>
      <c r="J3574">
        <v>89.4</v>
      </c>
    </row>
    <row r="3575" spans="1:10" x14ac:dyDescent="0.25">
      <c r="A3575" t="s">
        <v>6100</v>
      </c>
      <c r="B3575" s="3">
        <v>43556</v>
      </c>
      <c r="C3575" t="s">
        <v>2021</v>
      </c>
      <c r="D3575" t="s">
        <v>3510</v>
      </c>
      <c r="E3575">
        <v>2</v>
      </c>
      <c r="F3575" t="s">
        <v>3524</v>
      </c>
      <c r="G3575" t="s">
        <v>3517</v>
      </c>
      <c r="H3575">
        <v>1</v>
      </c>
      <c r="I3575">
        <v>12</v>
      </c>
      <c r="J3575">
        <v>24</v>
      </c>
    </row>
    <row r="3576" spans="1:10" x14ac:dyDescent="0.25">
      <c r="A3576" t="s">
        <v>6101</v>
      </c>
      <c r="B3576" s="3">
        <v>45043</v>
      </c>
      <c r="C3576" t="s">
        <v>3057</v>
      </c>
      <c r="D3576" t="s">
        <v>3497</v>
      </c>
      <c r="E3576">
        <v>2</v>
      </c>
      <c r="F3576" t="s">
        <v>3526</v>
      </c>
      <c r="G3576" t="s">
        <v>3519</v>
      </c>
      <c r="H3576">
        <v>2.5</v>
      </c>
      <c r="I3576">
        <v>31.6</v>
      </c>
      <c r="J3576">
        <v>63.2</v>
      </c>
    </row>
    <row r="3577" spans="1:10" x14ac:dyDescent="0.25">
      <c r="A3577" t="s">
        <v>6102</v>
      </c>
      <c r="B3577" s="3">
        <v>44637</v>
      </c>
      <c r="C3577" t="s">
        <v>1942</v>
      </c>
      <c r="D3577" t="s">
        <v>3482</v>
      </c>
      <c r="E3577">
        <v>6</v>
      </c>
      <c r="F3577" t="s">
        <v>3524</v>
      </c>
      <c r="G3577" t="s">
        <v>3519</v>
      </c>
      <c r="H3577">
        <v>2.5</v>
      </c>
      <c r="I3577">
        <v>22.9</v>
      </c>
      <c r="J3577">
        <v>137.4</v>
      </c>
    </row>
    <row r="3578" spans="1:10" x14ac:dyDescent="0.25">
      <c r="A3578" t="s">
        <v>6103</v>
      </c>
      <c r="B3578" s="3">
        <v>45390</v>
      </c>
      <c r="C3578" t="s">
        <v>2772</v>
      </c>
      <c r="D3578" t="s">
        <v>3510</v>
      </c>
      <c r="E3578">
        <v>4</v>
      </c>
      <c r="F3578" t="s">
        <v>3524</v>
      </c>
      <c r="G3578" t="s">
        <v>3517</v>
      </c>
      <c r="H3578">
        <v>1</v>
      </c>
      <c r="I3578">
        <v>12</v>
      </c>
      <c r="J3578">
        <v>48</v>
      </c>
    </row>
    <row r="3579" spans="1:10" x14ac:dyDescent="0.25">
      <c r="A3579" t="s">
        <v>6104</v>
      </c>
      <c r="B3579" s="3">
        <v>44984</v>
      </c>
      <c r="C3579" t="s">
        <v>1175</v>
      </c>
      <c r="D3579" t="s">
        <v>3496</v>
      </c>
      <c r="E3579">
        <v>2</v>
      </c>
      <c r="F3579" t="s">
        <v>3525</v>
      </c>
      <c r="G3579" t="s">
        <v>3518</v>
      </c>
      <c r="H3579">
        <v>2.5</v>
      </c>
      <c r="I3579">
        <v>29.8</v>
      </c>
      <c r="J3579">
        <v>59.6</v>
      </c>
    </row>
    <row r="3580" spans="1:10" x14ac:dyDescent="0.25">
      <c r="A3580" t="s">
        <v>6105</v>
      </c>
      <c r="B3580" s="3">
        <v>45301</v>
      </c>
      <c r="C3580" t="s">
        <v>1488</v>
      </c>
      <c r="D3580" t="s">
        <v>3488</v>
      </c>
      <c r="E3580">
        <v>2</v>
      </c>
      <c r="F3580" t="s">
        <v>3523</v>
      </c>
      <c r="G3580" t="s">
        <v>3519</v>
      </c>
      <c r="H3580">
        <v>0.5</v>
      </c>
      <c r="I3580">
        <v>6.8</v>
      </c>
      <c r="J3580">
        <v>13.6</v>
      </c>
    </row>
    <row r="3581" spans="1:10" x14ac:dyDescent="0.25">
      <c r="A3581" t="s">
        <v>6106</v>
      </c>
      <c r="B3581" s="3">
        <v>44953</v>
      </c>
      <c r="C3581" t="s">
        <v>1663</v>
      </c>
      <c r="D3581" t="s">
        <v>3514</v>
      </c>
      <c r="E3581">
        <v>1</v>
      </c>
      <c r="F3581" t="s">
        <v>3526</v>
      </c>
      <c r="G3581" t="s">
        <v>3518</v>
      </c>
      <c r="H3581">
        <v>1</v>
      </c>
      <c r="I3581">
        <v>12.2</v>
      </c>
      <c r="J3581">
        <v>12.2</v>
      </c>
    </row>
    <row r="3582" spans="1:10" x14ac:dyDescent="0.25">
      <c r="A3582" t="s">
        <v>6107</v>
      </c>
      <c r="B3582" s="3">
        <v>45454</v>
      </c>
      <c r="C3582" t="s">
        <v>1184</v>
      </c>
      <c r="D3582" t="s">
        <v>3488</v>
      </c>
      <c r="E3582">
        <v>4</v>
      </c>
      <c r="F3582" t="s">
        <v>3523</v>
      </c>
      <c r="G3582" t="s">
        <v>3519</v>
      </c>
      <c r="H3582">
        <v>0.5</v>
      </c>
      <c r="I3582">
        <v>6.8</v>
      </c>
      <c r="J3582">
        <v>27.2</v>
      </c>
    </row>
    <row r="3583" spans="1:10" x14ac:dyDescent="0.25">
      <c r="A3583" t="s">
        <v>6108</v>
      </c>
      <c r="B3583" s="3">
        <v>45307</v>
      </c>
      <c r="C3583" t="s">
        <v>1570</v>
      </c>
      <c r="D3583" t="s">
        <v>3480</v>
      </c>
      <c r="E3583">
        <v>6</v>
      </c>
      <c r="F3583" t="s">
        <v>3524</v>
      </c>
      <c r="G3583" t="s">
        <v>3518</v>
      </c>
      <c r="H3583">
        <v>2.5</v>
      </c>
      <c r="I3583">
        <v>20.6</v>
      </c>
      <c r="J3583">
        <v>123.6</v>
      </c>
    </row>
    <row r="3584" spans="1:10" x14ac:dyDescent="0.25">
      <c r="A3584" t="s">
        <v>6109</v>
      </c>
      <c r="B3584" s="3">
        <v>43470</v>
      </c>
      <c r="C3584" t="s">
        <v>2575</v>
      </c>
      <c r="D3584" t="s">
        <v>3513</v>
      </c>
      <c r="E3584">
        <v>4</v>
      </c>
      <c r="F3584" t="s">
        <v>3523</v>
      </c>
      <c r="G3584" t="s">
        <v>3517</v>
      </c>
      <c r="H3584">
        <v>2.5</v>
      </c>
      <c r="I3584">
        <v>29.8</v>
      </c>
      <c r="J3584">
        <v>119.2</v>
      </c>
    </row>
    <row r="3585" spans="1:10" x14ac:dyDescent="0.25">
      <c r="A3585" t="s">
        <v>6110</v>
      </c>
      <c r="B3585" s="3">
        <v>45351</v>
      </c>
      <c r="C3585" t="s">
        <v>1432</v>
      </c>
      <c r="D3585" t="s">
        <v>3502</v>
      </c>
      <c r="E3585">
        <v>3</v>
      </c>
      <c r="F3585" t="s">
        <v>3526</v>
      </c>
      <c r="G3585" t="s">
        <v>3517</v>
      </c>
      <c r="H3585">
        <v>1</v>
      </c>
      <c r="I3585">
        <v>14.9</v>
      </c>
      <c r="J3585">
        <v>44.7</v>
      </c>
    </row>
    <row r="3586" spans="1:10" x14ac:dyDescent="0.25">
      <c r="A3586" t="s">
        <v>6111</v>
      </c>
      <c r="B3586" s="3">
        <v>43870</v>
      </c>
      <c r="C3586" t="s">
        <v>2224</v>
      </c>
      <c r="D3586" t="s">
        <v>3470</v>
      </c>
      <c r="E3586">
        <v>6</v>
      </c>
      <c r="F3586" t="s">
        <v>3526</v>
      </c>
      <c r="G3586" t="s">
        <v>3519</v>
      </c>
      <c r="H3586">
        <v>0.5</v>
      </c>
      <c r="I3586">
        <v>8.3000000000000007</v>
      </c>
      <c r="J3586">
        <v>49.8</v>
      </c>
    </row>
    <row r="3587" spans="1:10" x14ac:dyDescent="0.25">
      <c r="A3587" t="s">
        <v>6112</v>
      </c>
      <c r="B3587" s="3">
        <v>45026</v>
      </c>
      <c r="C3587" t="s">
        <v>881</v>
      </c>
      <c r="D3587" t="s">
        <v>3511</v>
      </c>
      <c r="E3587">
        <v>4</v>
      </c>
      <c r="F3587" t="s">
        <v>3523</v>
      </c>
      <c r="G3587" t="s">
        <v>3517</v>
      </c>
      <c r="H3587">
        <v>0.5</v>
      </c>
      <c r="I3587">
        <v>7.8</v>
      </c>
      <c r="J3587">
        <v>31.2</v>
      </c>
    </row>
    <row r="3588" spans="1:10" x14ac:dyDescent="0.25">
      <c r="A3588" t="s">
        <v>6113</v>
      </c>
      <c r="B3588" s="3">
        <v>45592</v>
      </c>
      <c r="C3588" t="s">
        <v>517</v>
      </c>
      <c r="D3588" t="s">
        <v>3514</v>
      </c>
      <c r="E3588">
        <v>1</v>
      </c>
      <c r="F3588" t="s">
        <v>3526</v>
      </c>
      <c r="G3588" t="s">
        <v>3518</v>
      </c>
      <c r="H3588">
        <v>1</v>
      </c>
      <c r="I3588">
        <v>12.2</v>
      </c>
      <c r="J3588">
        <v>12.2</v>
      </c>
    </row>
    <row r="3589" spans="1:10" x14ac:dyDescent="0.25">
      <c r="A3589" t="s">
        <v>6114</v>
      </c>
      <c r="B3589" s="3">
        <v>44931</v>
      </c>
      <c r="C3589" t="s">
        <v>2381</v>
      </c>
      <c r="D3589" t="s">
        <v>3510</v>
      </c>
      <c r="E3589">
        <v>4</v>
      </c>
      <c r="F3589" t="s">
        <v>3524</v>
      </c>
      <c r="G3589" t="s">
        <v>3517</v>
      </c>
      <c r="H3589">
        <v>1</v>
      </c>
      <c r="I3589">
        <v>12</v>
      </c>
      <c r="J3589">
        <v>48</v>
      </c>
    </row>
    <row r="3590" spans="1:10" x14ac:dyDescent="0.25">
      <c r="A3590" t="s">
        <v>6115</v>
      </c>
      <c r="B3590" s="3">
        <v>44585</v>
      </c>
      <c r="C3590" t="s">
        <v>754</v>
      </c>
      <c r="D3590" t="s">
        <v>3475</v>
      </c>
      <c r="E3590">
        <v>6</v>
      </c>
      <c r="F3590" t="s">
        <v>3526</v>
      </c>
      <c r="G3590" t="s">
        <v>3518</v>
      </c>
      <c r="H3590">
        <v>0.5</v>
      </c>
      <c r="I3590">
        <v>7.3</v>
      </c>
      <c r="J3590">
        <v>43.8</v>
      </c>
    </row>
    <row r="3591" spans="1:10" x14ac:dyDescent="0.25">
      <c r="A3591" t="s">
        <v>6116</v>
      </c>
      <c r="B3591" s="3">
        <v>43939</v>
      </c>
      <c r="C3591" t="s">
        <v>3390</v>
      </c>
      <c r="D3591" t="s">
        <v>3478</v>
      </c>
      <c r="E3591">
        <v>6</v>
      </c>
      <c r="F3591" t="s">
        <v>3523</v>
      </c>
      <c r="G3591" t="s">
        <v>3518</v>
      </c>
      <c r="H3591">
        <v>1</v>
      </c>
      <c r="I3591">
        <v>10</v>
      </c>
      <c r="J3591">
        <v>60</v>
      </c>
    </row>
    <row r="3592" spans="1:10" x14ac:dyDescent="0.25">
      <c r="A3592" t="s">
        <v>6117</v>
      </c>
      <c r="B3592" s="3">
        <v>45145</v>
      </c>
      <c r="C3592" t="s">
        <v>1128</v>
      </c>
      <c r="D3592" t="s">
        <v>3514</v>
      </c>
      <c r="E3592">
        <v>2</v>
      </c>
      <c r="F3592" t="s">
        <v>3526</v>
      </c>
      <c r="G3592" t="s">
        <v>3518</v>
      </c>
      <c r="H3592">
        <v>1</v>
      </c>
      <c r="I3592">
        <v>12.2</v>
      </c>
      <c r="J3592">
        <v>24.4</v>
      </c>
    </row>
    <row r="3593" spans="1:10" x14ac:dyDescent="0.25">
      <c r="A3593" t="s">
        <v>6118</v>
      </c>
      <c r="B3593" s="3">
        <v>43618</v>
      </c>
      <c r="C3593" t="s">
        <v>994</v>
      </c>
      <c r="D3593" t="s">
        <v>3469</v>
      </c>
      <c r="E3593">
        <v>6</v>
      </c>
      <c r="F3593" t="s">
        <v>3524</v>
      </c>
      <c r="G3593" t="s">
        <v>3519</v>
      </c>
      <c r="H3593">
        <v>1</v>
      </c>
      <c r="I3593">
        <v>10</v>
      </c>
      <c r="J3593">
        <v>60</v>
      </c>
    </row>
    <row r="3594" spans="1:10" x14ac:dyDescent="0.25">
      <c r="A3594" t="s">
        <v>6119</v>
      </c>
      <c r="B3594" s="3">
        <v>44588</v>
      </c>
      <c r="C3594" t="s">
        <v>3190</v>
      </c>
      <c r="D3594" t="s">
        <v>3483</v>
      </c>
      <c r="E3594">
        <v>4</v>
      </c>
      <c r="F3594" t="s">
        <v>3523</v>
      </c>
      <c r="G3594" t="s">
        <v>3519</v>
      </c>
      <c r="H3594">
        <v>0.2</v>
      </c>
      <c r="I3594">
        <v>3.4</v>
      </c>
      <c r="J3594">
        <v>13.6</v>
      </c>
    </row>
    <row r="3595" spans="1:10" x14ac:dyDescent="0.25">
      <c r="A3595" t="s">
        <v>6120</v>
      </c>
      <c r="B3595" s="3">
        <v>43682</v>
      </c>
      <c r="C3595" t="s">
        <v>1339</v>
      </c>
      <c r="D3595" t="s">
        <v>3509</v>
      </c>
      <c r="E3595">
        <v>5</v>
      </c>
      <c r="F3595" t="s">
        <v>3524</v>
      </c>
      <c r="G3595" t="s">
        <v>3517</v>
      </c>
      <c r="H3595">
        <v>0.2</v>
      </c>
      <c r="I3595">
        <v>3.6</v>
      </c>
      <c r="J3595">
        <v>18</v>
      </c>
    </row>
    <row r="3596" spans="1:10" x14ac:dyDescent="0.25">
      <c r="A3596" t="s">
        <v>6121</v>
      </c>
      <c r="B3596" s="3">
        <v>45273</v>
      </c>
      <c r="C3596" t="s">
        <v>1726</v>
      </c>
      <c r="D3596" t="s">
        <v>3514</v>
      </c>
      <c r="E3596">
        <v>5</v>
      </c>
      <c r="F3596" t="s">
        <v>3526</v>
      </c>
      <c r="G3596" t="s">
        <v>3518</v>
      </c>
      <c r="H3596">
        <v>1</v>
      </c>
      <c r="I3596">
        <v>12.2</v>
      </c>
      <c r="J3596">
        <v>61</v>
      </c>
    </row>
    <row r="3597" spans="1:10" x14ac:dyDescent="0.25">
      <c r="A3597" t="s">
        <v>6122</v>
      </c>
      <c r="B3597" s="3">
        <v>45377</v>
      </c>
      <c r="C3597" t="s">
        <v>1217</v>
      </c>
      <c r="D3597" t="s">
        <v>3472</v>
      </c>
      <c r="E3597">
        <v>4</v>
      </c>
      <c r="F3597" t="s">
        <v>3526</v>
      </c>
      <c r="G3597" t="s">
        <v>3519</v>
      </c>
      <c r="H3597">
        <v>1</v>
      </c>
      <c r="I3597">
        <v>13.8</v>
      </c>
      <c r="J3597">
        <v>55.2</v>
      </c>
    </row>
    <row r="3598" spans="1:10" x14ac:dyDescent="0.25">
      <c r="A3598" t="s">
        <v>6123</v>
      </c>
      <c r="B3598" s="3">
        <v>44571</v>
      </c>
      <c r="C3598" t="s">
        <v>2204</v>
      </c>
      <c r="D3598" t="s">
        <v>3483</v>
      </c>
      <c r="E3598">
        <v>1</v>
      </c>
      <c r="F3598" t="s">
        <v>3523</v>
      </c>
      <c r="G3598" t="s">
        <v>3519</v>
      </c>
      <c r="H3598">
        <v>0.2</v>
      </c>
      <c r="I3598">
        <v>3.4</v>
      </c>
      <c r="J3598">
        <v>3.4</v>
      </c>
    </row>
    <row r="3599" spans="1:10" x14ac:dyDescent="0.25">
      <c r="A3599" t="s">
        <v>6124</v>
      </c>
      <c r="B3599" s="3">
        <v>45462</v>
      </c>
      <c r="C3599" t="s">
        <v>1375</v>
      </c>
      <c r="D3599" t="s">
        <v>3494</v>
      </c>
      <c r="E3599">
        <v>4</v>
      </c>
      <c r="F3599" t="s">
        <v>3524</v>
      </c>
      <c r="G3599" t="s">
        <v>3518</v>
      </c>
      <c r="H3599">
        <v>0.2</v>
      </c>
      <c r="I3599">
        <v>2.7</v>
      </c>
      <c r="J3599">
        <v>10.8</v>
      </c>
    </row>
    <row r="3600" spans="1:10" x14ac:dyDescent="0.25">
      <c r="A3600" t="s">
        <v>6125</v>
      </c>
      <c r="B3600" s="3">
        <v>45446</v>
      </c>
      <c r="C3600" t="s">
        <v>728</v>
      </c>
      <c r="D3600" t="s">
        <v>3489</v>
      </c>
      <c r="E3600">
        <v>3</v>
      </c>
      <c r="F3600" t="s">
        <v>3523</v>
      </c>
      <c r="G3600" t="s">
        <v>3518</v>
      </c>
      <c r="H3600">
        <v>0.5</v>
      </c>
      <c r="I3600">
        <v>6</v>
      </c>
      <c r="J3600">
        <v>18</v>
      </c>
    </row>
    <row r="3601" spans="1:10" x14ac:dyDescent="0.25">
      <c r="A3601" t="s">
        <v>6126</v>
      </c>
      <c r="B3601" s="3">
        <v>45438</v>
      </c>
      <c r="C3601" t="s">
        <v>3013</v>
      </c>
      <c r="D3601" t="s">
        <v>3471</v>
      </c>
      <c r="E3601">
        <v>4</v>
      </c>
      <c r="F3601" t="s">
        <v>3523</v>
      </c>
      <c r="G3601" t="s">
        <v>3517</v>
      </c>
      <c r="H3601">
        <v>1</v>
      </c>
      <c r="I3601">
        <v>13</v>
      </c>
      <c r="J3601">
        <v>52</v>
      </c>
    </row>
    <row r="3602" spans="1:10" x14ac:dyDescent="0.25">
      <c r="A3602" t="s">
        <v>6127</v>
      </c>
      <c r="B3602" s="3">
        <v>44820</v>
      </c>
      <c r="C3602" t="s">
        <v>981</v>
      </c>
      <c r="D3602" t="s">
        <v>3511</v>
      </c>
      <c r="E3602">
        <v>2</v>
      </c>
      <c r="F3602" t="s">
        <v>3523</v>
      </c>
      <c r="G3602" t="s">
        <v>3517</v>
      </c>
      <c r="H3602">
        <v>0.5</v>
      </c>
      <c r="I3602">
        <v>7.8</v>
      </c>
      <c r="J3602">
        <v>15.6</v>
      </c>
    </row>
    <row r="3603" spans="1:10" x14ac:dyDescent="0.25">
      <c r="A3603" t="s">
        <v>6128</v>
      </c>
      <c r="B3603" s="3">
        <v>45033</v>
      </c>
      <c r="C3603" t="s">
        <v>2314</v>
      </c>
      <c r="D3603" t="s">
        <v>3499</v>
      </c>
      <c r="E3603">
        <v>3</v>
      </c>
      <c r="F3603" t="s">
        <v>3523</v>
      </c>
      <c r="G3603" t="s">
        <v>3518</v>
      </c>
      <c r="H3603">
        <v>2.5</v>
      </c>
      <c r="I3603">
        <v>22.9</v>
      </c>
      <c r="J3603">
        <v>68.7</v>
      </c>
    </row>
    <row r="3604" spans="1:10" x14ac:dyDescent="0.25">
      <c r="A3604" t="s">
        <v>6129</v>
      </c>
      <c r="B3604" s="3">
        <v>44939</v>
      </c>
      <c r="C3604" t="s">
        <v>704</v>
      </c>
      <c r="D3604" t="s">
        <v>3471</v>
      </c>
      <c r="E3604">
        <v>6</v>
      </c>
      <c r="F3604" t="s">
        <v>3523</v>
      </c>
      <c r="G3604" t="s">
        <v>3517</v>
      </c>
      <c r="H3604">
        <v>1</v>
      </c>
      <c r="I3604">
        <v>13</v>
      </c>
      <c r="J3604">
        <v>78</v>
      </c>
    </row>
    <row r="3605" spans="1:10" x14ac:dyDescent="0.25">
      <c r="A3605" t="s">
        <v>6130</v>
      </c>
      <c r="B3605" s="3">
        <v>45351</v>
      </c>
      <c r="C3605" t="s">
        <v>2134</v>
      </c>
      <c r="D3605" t="s">
        <v>3495</v>
      </c>
      <c r="E3605">
        <v>5</v>
      </c>
      <c r="F3605" t="s">
        <v>3525</v>
      </c>
      <c r="G3605" t="s">
        <v>3517</v>
      </c>
      <c r="H3605">
        <v>2.5</v>
      </c>
      <c r="I3605">
        <v>36.5</v>
      </c>
      <c r="J3605">
        <v>182.5</v>
      </c>
    </row>
    <row r="3606" spans="1:10" x14ac:dyDescent="0.25">
      <c r="A3606" t="s">
        <v>6131</v>
      </c>
      <c r="B3606" s="3">
        <v>44860</v>
      </c>
      <c r="C3606" t="s">
        <v>2479</v>
      </c>
      <c r="D3606" t="s">
        <v>3515</v>
      </c>
      <c r="E3606">
        <v>2</v>
      </c>
      <c r="F3606" t="s">
        <v>3526</v>
      </c>
      <c r="G3606" t="s">
        <v>3517</v>
      </c>
      <c r="H3606">
        <v>0.2</v>
      </c>
      <c r="I3606">
        <v>4.5</v>
      </c>
      <c r="J3606">
        <v>9</v>
      </c>
    </row>
    <row r="3607" spans="1:10" x14ac:dyDescent="0.25">
      <c r="A3607" t="s">
        <v>6132</v>
      </c>
      <c r="B3607" s="3">
        <v>44856</v>
      </c>
      <c r="C3607" t="s">
        <v>2323</v>
      </c>
      <c r="D3607" t="s">
        <v>3487</v>
      </c>
      <c r="E3607">
        <v>6</v>
      </c>
      <c r="F3607" t="s">
        <v>3526</v>
      </c>
      <c r="G3607" t="s">
        <v>3519</v>
      </c>
      <c r="H3607">
        <v>0.2</v>
      </c>
      <c r="I3607">
        <v>4.0999999999999996</v>
      </c>
      <c r="J3607">
        <v>24.6</v>
      </c>
    </row>
    <row r="3608" spans="1:10" x14ac:dyDescent="0.25">
      <c r="A3608" t="s">
        <v>6133</v>
      </c>
      <c r="B3608" s="3">
        <v>45535</v>
      </c>
      <c r="C3608" t="s">
        <v>658</v>
      </c>
      <c r="D3608" t="s">
        <v>3470</v>
      </c>
      <c r="E3608">
        <v>1</v>
      </c>
      <c r="F3608" t="s">
        <v>3526</v>
      </c>
      <c r="G3608" t="s">
        <v>3519</v>
      </c>
      <c r="H3608">
        <v>0.5</v>
      </c>
      <c r="I3608">
        <v>8.3000000000000007</v>
      </c>
      <c r="J3608">
        <v>8.3000000000000007</v>
      </c>
    </row>
    <row r="3609" spans="1:10" x14ac:dyDescent="0.25">
      <c r="A3609" t="s">
        <v>6134</v>
      </c>
      <c r="B3609" s="3">
        <v>45031</v>
      </c>
      <c r="C3609" t="s">
        <v>769</v>
      </c>
      <c r="D3609" t="s">
        <v>3487</v>
      </c>
      <c r="E3609">
        <v>5</v>
      </c>
      <c r="F3609" t="s">
        <v>3526</v>
      </c>
      <c r="G3609" t="s">
        <v>3519</v>
      </c>
      <c r="H3609">
        <v>0.2</v>
      </c>
      <c r="I3609">
        <v>4.0999999999999996</v>
      </c>
      <c r="J3609">
        <v>20.5</v>
      </c>
    </row>
    <row r="3610" spans="1:10" x14ac:dyDescent="0.25">
      <c r="A3610" t="s">
        <v>6135</v>
      </c>
      <c r="B3610" s="3">
        <v>44093</v>
      </c>
      <c r="C3610" t="s">
        <v>3109</v>
      </c>
      <c r="D3610" t="s">
        <v>3506</v>
      </c>
      <c r="E3610">
        <v>6</v>
      </c>
      <c r="F3610" t="s">
        <v>3523</v>
      </c>
      <c r="G3610" t="s">
        <v>3519</v>
      </c>
      <c r="H3610">
        <v>2.5</v>
      </c>
      <c r="I3610">
        <v>25.9</v>
      </c>
      <c r="J3610">
        <v>155.4</v>
      </c>
    </row>
    <row r="3611" spans="1:10" x14ac:dyDescent="0.25">
      <c r="A3611" t="s">
        <v>6136</v>
      </c>
      <c r="B3611" s="3">
        <v>45257</v>
      </c>
      <c r="C3611" t="s">
        <v>1184</v>
      </c>
      <c r="D3611" t="s">
        <v>3506</v>
      </c>
      <c r="E3611">
        <v>5</v>
      </c>
      <c r="F3611" t="s">
        <v>3523</v>
      </c>
      <c r="G3611" t="s">
        <v>3519</v>
      </c>
      <c r="H3611">
        <v>2.5</v>
      </c>
      <c r="I3611">
        <v>25.9</v>
      </c>
      <c r="J3611">
        <v>129.5</v>
      </c>
    </row>
    <row r="3612" spans="1:10" x14ac:dyDescent="0.25">
      <c r="A3612" t="s">
        <v>6137</v>
      </c>
      <c r="B3612" s="3">
        <v>43868</v>
      </c>
      <c r="C3612" t="s">
        <v>2269</v>
      </c>
      <c r="D3612" t="s">
        <v>3475</v>
      </c>
      <c r="E3612">
        <v>3</v>
      </c>
      <c r="F3612" t="s">
        <v>3526</v>
      </c>
      <c r="G3612" t="s">
        <v>3518</v>
      </c>
      <c r="H3612">
        <v>0.5</v>
      </c>
      <c r="I3612">
        <v>7.3</v>
      </c>
      <c r="J3612">
        <v>21.9</v>
      </c>
    </row>
    <row r="3613" spans="1:10" x14ac:dyDescent="0.25">
      <c r="A3613" t="s">
        <v>6138</v>
      </c>
      <c r="B3613" s="3">
        <v>45125</v>
      </c>
      <c r="C3613" t="s">
        <v>1290</v>
      </c>
      <c r="D3613" t="s">
        <v>3476</v>
      </c>
      <c r="E3613">
        <v>5</v>
      </c>
      <c r="F3613" t="s">
        <v>3525</v>
      </c>
      <c r="G3613" t="s">
        <v>3517</v>
      </c>
      <c r="H3613">
        <v>0.2</v>
      </c>
      <c r="I3613">
        <v>4.8</v>
      </c>
      <c r="J3613">
        <v>24</v>
      </c>
    </row>
    <row r="3614" spans="1:10" x14ac:dyDescent="0.25">
      <c r="A3614" t="s">
        <v>6139</v>
      </c>
      <c r="B3614" s="3">
        <v>45390</v>
      </c>
      <c r="C3614" t="s">
        <v>1223</v>
      </c>
      <c r="D3614" t="s">
        <v>3471</v>
      </c>
      <c r="E3614">
        <v>4</v>
      </c>
      <c r="F3614" t="s">
        <v>3523</v>
      </c>
      <c r="G3614" t="s">
        <v>3517</v>
      </c>
      <c r="H3614">
        <v>1</v>
      </c>
      <c r="I3614">
        <v>13</v>
      </c>
      <c r="J3614">
        <v>52</v>
      </c>
    </row>
    <row r="3615" spans="1:10" x14ac:dyDescent="0.25">
      <c r="A3615" t="s">
        <v>6140</v>
      </c>
      <c r="B3615" s="3">
        <v>45290</v>
      </c>
      <c r="C3615" t="s">
        <v>2381</v>
      </c>
      <c r="D3615" t="s">
        <v>3476</v>
      </c>
      <c r="E3615">
        <v>6</v>
      </c>
      <c r="F3615" t="s">
        <v>3525</v>
      </c>
      <c r="G3615" t="s">
        <v>3517</v>
      </c>
      <c r="H3615">
        <v>0.2</v>
      </c>
      <c r="I3615">
        <v>4.8</v>
      </c>
      <c r="J3615">
        <v>28.8</v>
      </c>
    </row>
    <row r="3616" spans="1:10" x14ac:dyDescent="0.25">
      <c r="A3616" t="s">
        <v>6141</v>
      </c>
      <c r="B3616" s="3">
        <v>45027</v>
      </c>
      <c r="C3616" t="s">
        <v>1604</v>
      </c>
      <c r="D3616" t="s">
        <v>3496</v>
      </c>
      <c r="E3616">
        <v>4</v>
      </c>
      <c r="F3616" t="s">
        <v>3525</v>
      </c>
      <c r="G3616" t="s">
        <v>3518</v>
      </c>
      <c r="H3616">
        <v>2.5</v>
      </c>
      <c r="I3616">
        <v>29.8</v>
      </c>
      <c r="J3616">
        <v>119.2</v>
      </c>
    </row>
    <row r="3617" spans="1:10" x14ac:dyDescent="0.25">
      <c r="A3617" t="s">
        <v>6142</v>
      </c>
      <c r="B3617" s="3">
        <v>44660</v>
      </c>
      <c r="C3617" t="s">
        <v>2968</v>
      </c>
      <c r="D3617" t="s">
        <v>3475</v>
      </c>
      <c r="E3617">
        <v>4</v>
      </c>
      <c r="F3617" t="s">
        <v>3526</v>
      </c>
      <c r="G3617" t="s">
        <v>3518</v>
      </c>
      <c r="H3617">
        <v>0.5</v>
      </c>
      <c r="I3617">
        <v>7.3</v>
      </c>
      <c r="J3617">
        <v>29.2</v>
      </c>
    </row>
    <row r="3618" spans="1:10" x14ac:dyDescent="0.25">
      <c r="A3618" t="s">
        <v>6143</v>
      </c>
      <c r="B3618" s="3">
        <v>44264</v>
      </c>
      <c r="C3618" t="s">
        <v>2792</v>
      </c>
      <c r="D3618" t="s">
        <v>3497</v>
      </c>
      <c r="E3618">
        <v>5</v>
      </c>
      <c r="F3618" t="s">
        <v>3526</v>
      </c>
      <c r="G3618" t="s">
        <v>3519</v>
      </c>
      <c r="H3618">
        <v>2.5</v>
      </c>
      <c r="I3618">
        <v>31.6</v>
      </c>
      <c r="J3618">
        <v>158</v>
      </c>
    </row>
    <row r="3619" spans="1:10" x14ac:dyDescent="0.25">
      <c r="A3619" t="s">
        <v>6144</v>
      </c>
      <c r="B3619" s="3">
        <v>45004</v>
      </c>
      <c r="C3619" t="s">
        <v>2898</v>
      </c>
      <c r="D3619" t="s">
        <v>3474</v>
      </c>
      <c r="E3619">
        <v>3</v>
      </c>
      <c r="F3619" t="s">
        <v>3525</v>
      </c>
      <c r="G3619" t="s">
        <v>3518</v>
      </c>
      <c r="H3619">
        <v>1</v>
      </c>
      <c r="I3619">
        <v>13</v>
      </c>
      <c r="J3619">
        <v>39</v>
      </c>
    </row>
    <row r="3620" spans="1:10" x14ac:dyDescent="0.25">
      <c r="A3620" t="s">
        <v>6145</v>
      </c>
      <c r="B3620" s="3">
        <v>45101</v>
      </c>
      <c r="C3620" t="s">
        <v>3420</v>
      </c>
      <c r="D3620" t="s">
        <v>3476</v>
      </c>
      <c r="E3620">
        <v>6</v>
      </c>
      <c r="F3620" t="s">
        <v>3525</v>
      </c>
      <c r="G3620" t="s">
        <v>3517</v>
      </c>
      <c r="H3620">
        <v>0.2</v>
      </c>
      <c r="I3620">
        <v>4.8</v>
      </c>
      <c r="J3620">
        <v>28.8</v>
      </c>
    </row>
    <row r="3621" spans="1:10" x14ac:dyDescent="0.25">
      <c r="A3621" t="s">
        <v>6146</v>
      </c>
      <c r="B3621" s="3">
        <v>43875</v>
      </c>
      <c r="C3621" t="s">
        <v>1523</v>
      </c>
      <c r="D3621" t="s">
        <v>3497</v>
      </c>
      <c r="E3621">
        <v>5</v>
      </c>
      <c r="F3621" t="s">
        <v>3526</v>
      </c>
      <c r="G3621" t="s">
        <v>3519</v>
      </c>
      <c r="H3621">
        <v>2.5</v>
      </c>
      <c r="I3621">
        <v>31.6</v>
      </c>
      <c r="J3621">
        <v>158</v>
      </c>
    </row>
    <row r="3622" spans="1:10" x14ac:dyDescent="0.25">
      <c r="A3622" t="s">
        <v>6147</v>
      </c>
      <c r="B3622" s="3">
        <v>43752</v>
      </c>
      <c r="C3622" t="s">
        <v>3130</v>
      </c>
      <c r="D3622" t="s">
        <v>3473</v>
      </c>
      <c r="E3622">
        <v>6</v>
      </c>
      <c r="F3622" t="s">
        <v>3524</v>
      </c>
      <c r="G3622" t="s">
        <v>3517</v>
      </c>
      <c r="H3622">
        <v>2.5</v>
      </c>
      <c r="I3622">
        <v>27.5</v>
      </c>
      <c r="J3622">
        <v>165</v>
      </c>
    </row>
    <row r="3623" spans="1:10" x14ac:dyDescent="0.25">
      <c r="A3623" t="s">
        <v>6148</v>
      </c>
      <c r="B3623" s="3">
        <v>45490</v>
      </c>
      <c r="C3623" t="s">
        <v>632</v>
      </c>
      <c r="D3623" t="s">
        <v>3501</v>
      </c>
      <c r="E3623">
        <v>5</v>
      </c>
      <c r="F3623" t="s">
        <v>3525</v>
      </c>
      <c r="G3623" t="s">
        <v>3517</v>
      </c>
      <c r="H3623">
        <v>1</v>
      </c>
      <c r="I3623">
        <v>15.9</v>
      </c>
      <c r="J3623">
        <v>79.5</v>
      </c>
    </row>
    <row r="3624" spans="1:10" x14ac:dyDescent="0.25">
      <c r="A3624" t="s">
        <v>6149</v>
      </c>
      <c r="B3624" s="3">
        <v>44234</v>
      </c>
      <c r="C3624" t="s">
        <v>1029</v>
      </c>
      <c r="D3624" t="s">
        <v>3490</v>
      </c>
      <c r="E3624">
        <v>6</v>
      </c>
      <c r="F3624" t="s">
        <v>3525</v>
      </c>
      <c r="G3624" t="s">
        <v>3519</v>
      </c>
      <c r="H3624">
        <v>0.2</v>
      </c>
      <c r="I3624">
        <v>4.4000000000000004</v>
      </c>
      <c r="J3624">
        <v>26.4</v>
      </c>
    </row>
    <row r="3625" spans="1:10" x14ac:dyDescent="0.25">
      <c r="A3625" t="s">
        <v>6150</v>
      </c>
      <c r="B3625" s="3">
        <v>45283</v>
      </c>
      <c r="C3625" t="s">
        <v>1175</v>
      </c>
      <c r="D3625" t="s">
        <v>3514</v>
      </c>
      <c r="E3625">
        <v>2</v>
      </c>
      <c r="F3625" t="s">
        <v>3526</v>
      </c>
      <c r="G3625" t="s">
        <v>3518</v>
      </c>
      <c r="H3625">
        <v>1</v>
      </c>
      <c r="I3625">
        <v>12.2</v>
      </c>
      <c r="J3625">
        <v>24.4</v>
      </c>
    </row>
    <row r="3626" spans="1:10" x14ac:dyDescent="0.25">
      <c r="A3626" t="s">
        <v>6151</v>
      </c>
      <c r="B3626" s="3">
        <v>44401</v>
      </c>
      <c r="C3626" t="s">
        <v>2745</v>
      </c>
      <c r="D3626" t="s">
        <v>3476</v>
      </c>
      <c r="E3626">
        <v>2</v>
      </c>
      <c r="F3626" t="s">
        <v>3525</v>
      </c>
      <c r="G3626" t="s">
        <v>3517</v>
      </c>
      <c r="H3626">
        <v>0.2</v>
      </c>
      <c r="I3626">
        <v>4.8</v>
      </c>
      <c r="J3626">
        <v>9.6</v>
      </c>
    </row>
    <row r="3627" spans="1:10" x14ac:dyDescent="0.25">
      <c r="A3627" t="s">
        <v>6152</v>
      </c>
      <c r="B3627" s="3">
        <v>43531</v>
      </c>
      <c r="C3627" t="s">
        <v>2575</v>
      </c>
      <c r="D3627" t="s">
        <v>3499</v>
      </c>
      <c r="E3627">
        <v>6</v>
      </c>
      <c r="F3627" t="s">
        <v>3523</v>
      </c>
      <c r="G3627" t="s">
        <v>3518</v>
      </c>
      <c r="H3627">
        <v>2.5</v>
      </c>
      <c r="I3627">
        <v>22.9</v>
      </c>
      <c r="J3627">
        <v>137.4</v>
      </c>
    </row>
    <row r="3628" spans="1:10" x14ac:dyDescent="0.25">
      <c r="A3628" t="s">
        <v>6153</v>
      </c>
      <c r="B3628" s="3">
        <v>43922</v>
      </c>
      <c r="C3628" t="s">
        <v>1488</v>
      </c>
      <c r="D3628" t="s">
        <v>3516</v>
      </c>
      <c r="E3628">
        <v>3</v>
      </c>
      <c r="F3628" t="s">
        <v>3526</v>
      </c>
      <c r="G3628" t="s">
        <v>3518</v>
      </c>
      <c r="H3628">
        <v>2.5</v>
      </c>
      <c r="I3628">
        <v>27.9</v>
      </c>
      <c r="J3628">
        <v>83.7</v>
      </c>
    </row>
    <row r="3629" spans="1:10" x14ac:dyDescent="0.25">
      <c r="A3629" t="s">
        <v>6154</v>
      </c>
      <c r="B3629" s="3">
        <v>44997</v>
      </c>
      <c r="C3629" t="s">
        <v>728</v>
      </c>
      <c r="D3629" t="s">
        <v>3472</v>
      </c>
      <c r="E3629">
        <v>5</v>
      </c>
      <c r="F3629" t="s">
        <v>3526</v>
      </c>
      <c r="G3629" t="s">
        <v>3519</v>
      </c>
      <c r="H3629">
        <v>1</v>
      </c>
      <c r="I3629">
        <v>13.8</v>
      </c>
      <c r="J3629">
        <v>69</v>
      </c>
    </row>
    <row r="3630" spans="1:10" x14ac:dyDescent="0.25">
      <c r="A3630" t="s">
        <v>6155</v>
      </c>
      <c r="B3630" s="3">
        <v>45127</v>
      </c>
      <c r="C3630" t="s">
        <v>649</v>
      </c>
      <c r="D3630" t="s">
        <v>3493</v>
      </c>
      <c r="E3630">
        <v>1</v>
      </c>
      <c r="F3630" t="s">
        <v>3525</v>
      </c>
      <c r="G3630" t="s">
        <v>3519</v>
      </c>
      <c r="H3630">
        <v>1</v>
      </c>
      <c r="I3630">
        <v>14.6</v>
      </c>
      <c r="J3630">
        <v>14.6</v>
      </c>
    </row>
    <row r="3631" spans="1:10" x14ac:dyDescent="0.25">
      <c r="A3631" t="s">
        <v>6156</v>
      </c>
      <c r="B3631" s="3">
        <v>45324</v>
      </c>
      <c r="C3631" t="s">
        <v>2152</v>
      </c>
      <c r="D3631" t="s">
        <v>3475</v>
      </c>
      <c r="E3631">
        <v>2</v>
      </c>
      <c r="F3631" t="s">
        <v>3526</v>
      </c>
      <c r="G3631" t="s">
        <v>3518</v>
      </c>
      <c r="H3631">
        <v>0.5</v>
      </c>
      <c r="I3631">
        <v>7.3</v>
      </c>
      <c r="J3631">
        <v>14.6</v>
      </c>
    </row>
    <row r="3632" spans="1:10" x14ac:dyDescent="0.25">
      <c r="A3632" t="s">
        <v>6157</v>
      </c>
      <c r="B3632" s="3">
        <v>45547</v>
      </c>
      <c r="C3632" t="s">
        <v>2642</v>
      </c>
      <c r="D3632" t="s">
        <v>3485</v>
      </c>
      <c r="E3632">
        <v>4</v>
      </c>
      <c r="F3632" t="s">
        <v>3523</v>
      </c>
      <c r="G3632" t="s">
        <v>3518</v>
      </c>
      <c r="H3632">
        <v>0.2</v>
      </c>
      <c r="I3632">
        <v>3</v>
      </c>
      <c r="J3632">
        <v>12</v>
      </c>
    </row>
    <row r="3633" spans="1:10" x14ac:dyDescent="0.25">
      <c r="A3633" t="s">
        <v>6158</v>
      </c>
      <c r="B3633" s="3">
        <v>43799</v>
      </c>
      <c r="C3633" t="s">
        <v>3446</v>
      </c>
      <c r="D3633" t="s">
        <v>3480</v>
      </c>
      <c r="E3633">
        <v>3</v>
      </c>
      <c r="F3633" t="s">
        <v>3524</v>
      </c>
      <c r="G3633" t="s">
        <v>3518</v>
      </c>
      <c r="H3633">
        <v>2.5</v>
      </c>
      <c r="I3633">
        <v>20.6</v>
      </c>
      <c r="J3633">
        <v>61.8</v>
      </c>
    </row>
    <row r="3634" spans="1:10" x14ac:dyDescent="0.25">
      <c r="A3634" t="s">
        <v>6159</v>
      </c>
      <c r="B3634" s="3">
        <v>44243</v>
      </c>
      <c r="C3634" t="s">
        <v>1154</v>
      </c>
      <c r="D3634" t="s">
        <v>3490</v>
      </c>
      <c r="E3634">
        <v>6</v>
      </c>
      <c r="F3634" t="s">
        <v>3525</v>
      </c>
      <c r="G3634" t="s">
        <v>3519</v>
      </c>
      <c r="H3634">
        <v>0.2</v>
      </c>
      <c r="I3634">
        <v>4.4000000000000004</v>
      </c>
      <c r="J3634">
        <v>26.4</v>
      </c>
    </row>
    <row r="3635" spans="1:10" x14ac:dyDescent="0.25">
      <c r="A3635" t="s">
        <v>6160</v>
      </c>
      <c r="B3635" s="3">
        <v>44772</v>
      </c>
      <c r="C3635" t="s">
        <v>2720</v>
      </c>
      <c r="D3635" t="s">
        <v>3509</v>
      </c>
      <c r="E3635">
        <v>4</v>
      </c>
      <c r="F3635" t="s">
        <v>3524</v>
      </c>
      <c r="G3635" t="s">
        <v>3517</v>
      </c>
      <c r="H3635">
        <v>0.2</v>
      </c>
      <c r="I3635">
        <v>3.6</v>
      </c>
      <c r="J3635">
        <v>14.4</v>
      </c>
    </row>
    <row r="3636" spans="1:10" x14ac:dyDescent="0.25">
      <c r="A3636" t="s">
        <v>6161</v>
      </c>
      <c r="B3636" s="3">
        <v>45202</v>
      </c>
      <c r="C3636" t="s">
        <v>3098</v>
      </c>
      <c r="D3636" t="s">
        <v>3472</v>
      </c>
      <c r="E3636">
        <v>3</v>
      </c>
      <c r="F3636" t="s">
        <v>3526</v>
      </c>
      <c r="G3636" t="s">
        <v>3519</v>
      </c>
      <c r="H3636">
        <v>1</v>
      </c>
      <c r="I3636">
        <v>13.8</v>
      </c>
      <c r="J3636">
        <v>41.4</v>
      </c>
    </row>
    <row r="3637" spans="1:10" x14ac:dyDescent="0.25">
      <c r="A3637" t="s">
        <v>6162</v>
      </c>
      <c r="B3637" s="3">
        <v>45156</v>
      </c>
      <c r="C3637" t="s">
        <v>1902</v>
      </c>
      <c r="D3637" t="s">
        <v>3490</v>
      </c>
      <c r="E3637">
        <v>5</v>
      </c>
      <c r="F3637" t="s">
        <v>3525</v>
      </c>
      <c r="G3637" t="s">
        <v>3519</v>
      </c>
      <c r="H3637">
        <v>0.2</v>
      </c>
      <c r="I3637">
        <v>4.4000000000000004</v>
      </c>
      <c r="J3637">
        <v>22</v>
      </c>
    </row>
    <row r="3638" spans="1:10" x14ac:dyDescent="0.25">
      <c r="A3638" t="s">
        <v>6163</v>
      </c>
      <c r="B3638" s="3">
        <v>44950</v>
      </c>
      <c r="C3638" t="s">
        <v>2687</v>
      </c>
      <c r="D3638" t="s">
        <v>3505</v>
      </c>
      <c r="E3638">
        <v>1</v>
      </c>
      <c r="F3638" t="s">
        <v>3524</v>
      </c>
      <c r="G3638" t="s">
        <v>3519</v>
      </c>
      <c r="H3638">
        <v>0.2</v>
      </c>
      <c r="I3638">
        <v>3</v>
      </c>
      <c r="J3638">
        <v>3</v>
      </c>
    </row>
    <row r="3639" spans="1:10" x14ac:dyDescent="0.25">
      <c r="A3639" t="s">
        <v>6164</v>
      </c>
      <c r="B3639" s="3">
        <v>44850</v>
      </c>
      <c r="C3639" t="s">
        <v>2296</v>
      </c>
      <c r="D3639" t="s">
        <v>3490</v>
      </c>
      <c r="E3639">
        <v>3</v>
      </c>
      <c r="F3639" t="s">
        <v>3525</v>
      </c>
      <c r="G3639" t="s">
        <v>3519</v>
      </c>
      <c r="H3639">
        <v>0.2</v>
      </c>
      <c r="I3639">
        <v>4.4000000000000004</v>
      </c>
      <c r="J3639">
        <v>13.2</v>
      </c>
    </row>
    <row r="3640" spans="1:10" x14ac:dyDescent="0.25">
      <c r="A3640" t="s">
        <v>6165</v>
      </c>
      <c r="B3640" s="3">
        <v>45420</v>
      </c>
      <c r="C3640" t="s">
        <v>1914</v>
      </c>
      <c r="D3640" t="s">
        <v>3507</v>
      </c>
      <c r="E3640">
        <v>2</v>
      </c>
      <c r="F3640" t="s">
        <v>3526</v>
      </c>
      <c r="G3640" t="s">
        <v>3517</v>
      </c>
      <c r="H3640">
        <v>0.5</v>
      </c>
      <c r="I3640">
        <v>8.9</v>
      </c>
      <c r="J3640">
        <v>17.8</v>
      </c>
    </row>
    <row r="3641" spans="1:10" x14ac:dyDescent="0.25">
      <c r="A3641" t="s">
        <v>6166</v>
      </c>
      <c r="B3641" s="3">
        <v>44776</v>
      </c>
      <c r="C3641" t="s">
        <v>760</v>
      </c>
      <c r="D3641" t="s">
        <v>3489</v>
      </c>
      <c r="E3641">
        <v>2</v>
      </c>
      <c r="F3641" t="s">
        <v>3523</v>
      </c>
      <c r="G3641" t="s">
        <v>3518</v>
      </c>
      <c r="H3641">
        <v>0.5</v>
      </c>
      <c r="I3641">
        <v>6</v>
      </c>
      <c r="J3641">
        <v>12</v>
      </c>
    </row>
    <row r="3642" spans="1:10" x14ac:dyDescent="0.25">
      <c r="A3642" t="s">
        <v>6167</v>
      </c>
      <c r="B3642" s="3">
        <v>43678</v>
      </c>
      <c r="C3642" t="s">
        <v>2723</v>
      </c>
      <c r="D3642" t="s">
        <v>3470</v>
      </c>
      <c r="E3642">
        <v>3</v>
      </c>
      <c r="F3642" t="s">
        <v>3526</v>
      </c>
      <c r="G3642" t="s">
        <v>3519</v>
      </c>
      <c r="H3642">
        <v>0.5</v>
      </c>
      <c r="I3642">
        <v>8.3000000000000007</v>
      </c>
      <c r="J3642">
        <v>24.9</v>
      </c>
    </row>
    <row r="3643" spans="1:10" x14ac:dyDescent="0.25">
      <c r="A3643" t="s">
        <v>6168</v>
      </c>
      <c r="B3643" s="3">
        <v>43567</v>
      </c>
      <c r="C3643" t="s">
        <v>2858</v>
      </c>
      <c r="D3643" t="s">
        <v>3473</v>
      </c>
      <c r="E3643">
        <v>1</v>
      </c>
      <c r="F3643" t="s">
        <v>3524</v>
      </c>
      <c r="G3643" t="s">
        <v>3517</v>
      </c>
      <c r="H3643">
        <v>2.5</v>
      </c>
      <c r="I3643">
        <v>27.5</v>
      </c>
      <c r="J3643">
        <v>27.5</v>
      </c>
    </row>
    <row r="3644" spans="1:10" x14ac:dyDescent="0.25">
      <c r="A3644" t="s">
        <v>6169</v>
      </c>
      <c r="B3644" s="3">
        <v>44968</v>
      </c>
      <c r="C3644" t="s">
        <v>1109</v>
      </c>
      <c r="D3644" t="s">
        <v>3498</v>
      </c>
      <c r="E3644">
        <v>1</v>
      </c>
      <c r="F3644" t="s">
        <v>3523</v>
      </c>
      <c r="G3644" t="s">
        <v>3517</v>
      </c>
      <c r="H3644">
        <v>0.2</v>
      </c>
      <c r="I3644">
        <v>3.9</v>
      </c>
      <c r="J3644">
        <v>3.9</v>
      </c>
    </row>
    <row r="3645" spans="1:10" x14ac:dyDescent="0.25">
      <c r="A3645" t="s">
        <v>6170</v>
      </c>
      <c r="B3645" s="3">
        <v>45603</v>
      </c>
      <c r="C3645" t="s">
        <v>2536</v>
      </c>
      <c r="D3645" t="s">
        <v>3483</v>
      </c>
      <c r="E3645">
        <v>5</v>
      </c>
      <c r="F3645" t="s">
        <v>3523</v>
      </c>
      <c r="G3645" t="s">
        <v>3519</v>
      </c>
      <c r="H3645">
        <v>0.2</v>
      </c>
      <c r="I3645">
        <v>3.4</v>
      </c>
      <c r="J3645">
        <v>17</v>
      </c>
    </row>
    <row r="3646" spans="1:10" x14ac:dyDescent="0.25">
      <c r="A3646" t="s">
        <v>6171</v>
      </c>
      <c r="B3646" s="3">
        <v>44750</v>
      </c>
      <c r="C3646" t="s">
        <v>3106</v>
      </c>
      <c r="D3646" t="s">
        <v>3514</v>
      </c>
      <c r="E3646">
        <v>3</v>
      </c>
      <c r="F3646" t="s">
        <v>3526</v>
      </c>
      <c r="G3646" t="s">
        <v>3518</v>
      </c>
      <c r="H3646">
        <v>1</v>
      </c>
      <c r="I3646">
        <v>12.2</v>
      </c>
      <c r="J3646">
        <v>36.6</v>
      </c>
    </row>
    <row r="3647" spans="1:10" x14ac:dyDescent="0.25">
      <c r="A3647" t="s">
        <v>6172</v>
      </c>
      <c r="B3647" s="3">
        <v>44707</v>
      </c>
      <c r="C3647" t="s">
        <v>2479</v>
      </c>
      <c r="D3647" t="s">
        <v>3479</v>
      </c>
      <c r="E3647">
        <v>2</v>
      </c>
      <c r="F3647" t="s">
        <v>3526</v>
      </c>
      <c r="G3647" t="s">
        <v>3517</v>
      </c>
      <c r="H3647">
        <v>2.5</v>
      </c>
      <c r="I3647">
        <v>34.200000000000003</v>
      </c>
      <c r="J3647">
        <v>68.400000000000006</v>
      </c>
    </row>
    <row r="3648" spans="1:10" x14ac:dyDescent="0.25">
      <c r="A3648" t="s">
        <v>6173</v>
      </c>
      <c r="B3648" s="3">
        <v>44954</v>
      </c>
      <c r="C3648" t="s">
        <v>902</v>
      </c>
      <c r="D3648" t="s">
        <v>3516</v>
      </c>
      <c r="E3648">
        <v>6</v>
      </c>
      <c r="F3648" t="s">
        <v>3526</v>
      </c>
      <c r="G3648" t="s">
        <v>3518</v>
      </c>
      <c r="H3648">
        <v>2.5</v>
      </c>
      <c r="I3648">
        <v>27.9</v>
      </c>
      <c r="J3648">
        <v>167.4</v>
      </c>
    </row>
    <row r="3649" spans="1:10" x14ac:dyDescent="0.25">
      <c r="A3649" t="s">
        <v>6174</v>
      </c>
      <c r="B3649" s="3">
        <v>43476</v>
      </c>
      <c r="C3649" t="s">
        <v>1339</v>
      </c>
      <c r="D3649" t="s">
        <v>3490</v>
      </c>
      <c r="E3649">
        <v>4</v>
      </c>
      <c r="F3649" t="s">
        <v>3525</v>
      </c>
      <c r="G3649" t="s">
        <v>3519</v>
      </c>
      <c r="H3649">
        <v>0.2</v>
      </c>
      <c r="I3649">
        <v>4.4000000000000004</v>
      </c>
      <c r="J3649">
        <v>17.600000000000001</v>
      </c>
    </row>
    <row r="3650" spans="1:10" x14ac:dyDescent="0.25">
      <c r="A3650" t="s">
        <v>6175</v>
      </c>
      <c r="B3650" s="3">
        <v>45654</v>
      </c>
      <c r="C3650" t="s">
        <v>956</v>
      </c>
      <c r="D3650" t="s">
        <v>3503</v>
      </c>
      <c r="E3650">
        <v>4</v>
      </c>
      <c r="F3650" t="s">
        <v>3524</v>
      </c>
      <c r="G3650" t="s">
        <v>3518</v>
      </c>
      <c r="H3650">
        <v>0.5</v>
      </c>
      <c r="I3650">
        <v>5.4</v>
      </c>
      <c r="J3650">
        <v>21.6</v>
      </c>
    </row>
    <row r="3651" spans="1:10" x14ac:dyDescent="0.25">
      <c r="A3651" t="s">
        <v>6176</v>
      </c>
      <c r="B3651" s="3">
        <v>44894</v>
      </c>
      <c r="C3651" t="s">
        <v>1666</v>
      </c>
      <c r="D3651" t="s">
        <v>3498</v>
      </c>
      <c r="E3651">
        <v>6</v>
      </c>
      <c r="F3651" t="s">
        <v>3523</v>
      </c>
      <c r="G3651" t="s">
        <v>3517</v>
      </c>
      <c r="H3651">
        <v>0.2</v>
      </c>
      <c r="I3651">
        <v>3.9</v>
      </c>
      <c r="J3651">
        <v>23.4</v>
      </c>
    </row>
    <row r="3652" spans="1:10" x14ac:dyDescent="0.25">
      <c r="A3652" t="s">
        <v>6177</v>
      </c>
      <c r="B3652" s="3">
        <v>45039</v>
      </c>
      <c r="C3652" t="s">
        <v>610</v>
      </c>
      <c r="D3652" t="s">
        <v>3485</v>
      </c>
      <c r="E3652">
        <v>5</v>
      </c>
      <c r="F3652" t="s">
        <v>3523</v>
      </c>
      <c r="G3652" t="s">
        <v>3518</v>
      </c>
      <c r="H3652">
        <v>0.2</v>
      </c>
      <c r="I3652">
        <v>3</v>
      </c>
      <c r="J3652">
        <v>15</v>
      </c>
    </row>
    <row r="3653" spans="1:10" x14ac:dyDescent="0.25">
      <c r="A3653" t="s">
        <v>6178</v>
      </c>
      <c r="B3653" s="3">
        <v>44766</v>
      </c>
      <c r="C3653" t="s">
        <v>2681</v>
      </c>
      <c r="D3653" t="s">
        <v>3504</v>
      </c>
      <c r="E3653">
        <v>1</v>
      </c>
      <c r="F3653" t="s">
        <v>3524</v>
      </c>
      <c r="G3653" t="s">
        <v>3517</v>
      </c>
      <c r="H3653">
        <v>0.5</v>
      </c>
      <c r="I3653">
        <v>7.2</v>
      </c>
      <c r="J3653">
        <v>7.2</v>
      </c>
    </row>
    <row r="3654" spans="1:10" x14ac:dyDescent="0.25">
      <c r="A3654" t="s">
        <v>6179</v>
      </c>
      <c r="B3654" s="3">
        <v>43505</v>
      </c>
      <c r="C3654" t="s">
        <v>2444</v>
      </c>
      <c r="D3654" t="s">
        <v>3477</v>
      </c>
      <c r="E3654">
        <v>1</v>
      </c>
      <c r="F3654" t="s">
        <v>3524</v>
      </c>
      <c r="G3654" t="s">
        <v>3519</v>
      </c>
      <c r="H3654">
        <v>0.5</v>
      </c>
      <c r="I3654">
        <v>6</v>
      </c>
      <c r="J3654">
        <v>6</v>
      </c>
    </row>
    <row r="3655" spans="1:10" x14ac:dyDescent="0.25">
      <c r="A3655" t="s">
        <v>6180</v>
      </c>
      <c r="B3655" s="3">
        <v>45122</v>
      </c>
      <c r="C3655" t="s">
        <v>1223</v>
      </c>
      <c r="D3655" t="s">
        <v>3490</v>
      </c>
      <c r="E3655">
        <v>4</v>
      </c>
      <c r="F3655" t="s">
        <v>3525</v>
      </c>
      <c r="G3655" t="s">
        <v>3519</v>
      </c>
      <c r="H3655">
        <v>0.2</v>
      </c>
      <c r="I3655">
        <v>4.4000000000000004</v>
      </c>
      <c r="J3655">
        <v>17.600000000000001</v>
      </c>
    </row>
    <row r="3656" spans="1:10" x14ac:dyDescent="0.25">
      <c r="A3656" t="s">
        <v>6181</v>
      </c>
      <c r="B3656" s="3">
        <v>44780</v>
      </c>
      <c r="C3656" t="s">
        <v>3175</v>
      </c>
      <c r="D3656" t="s">
        <v>3495</v>
      </c>
      <c r="E3656">
        <v>4</v>
      </c>
      <c r="F3656" t="s">
        <v>3525</v>
      </c>
      <c r="G3656" t="s">
        <v>3517</v>
      </c>
      <c r="H3656">
        <v>2.5</v>
      </c>
      <c r="I3656">
        <v>36.5</v>
      </c>
      <c r="J3656">
        <v>146</v>
      </c>
    </row>
    <row r="3657" spans="1:10" x14ac:dyDescent="0.25">
      <c r="A3657" t="s">
        <v>6182</v>
      </c>
      <c r="B3657" s="3">
        <v>45076</v>
      </c>
      <c r="C3657" t="s">
        <v>1044</v>
      </c>
      <c r="D3657" t="s">
        <v>3511</v>
      </c>
      <c r="E3657">
        <v>4</v>
      </c>
      <c r="F3657" t="s">
        <v>3523</v>
      </c>
      <c r="G3657" t="s">
        <v>3517</v>
      </c>
      <c r="H3657">
        <v>0.5</v>
      </c>
      <c r="I3657">
        <v>7.8</v>
      </c>
      <c r="J3657">
        <v>31.2</v>
      </c>
    </row>
    <row r="3658" spans="1:10" x14ac:dyDescent="0.25">
      <c r="A3658" t="s">
        <v>6183</v>
      </c>
      <c r="B3658" s="3">
        <v>45028</v>
      </c>
      <c r="C3658" t="s">
        <v>2789</v>
      </c>
      <c r="D3658" t="s">
        <v>3500</v>
      </c>
      <c r="E3658">
        <v>2</v>
      </c>
      <c r="F3658" t="s">
        <v>3525</v>
      </c>
      <c r="G3658" t="s">
        <v>3518</v>
      </c>
      <c r="H3658">
        <v>0.5</v>
      </c>
      <c r="I3658">
        <v>7.8</v>
      </c>
      <c r="J3658">
        <v>15.6</v>
      </c>
    </row>
    <row r="3659" spans="1:10" x14ac:dyDescent="0.25">
      <c r="A3659" t="s">
        <v>6184</v>
      </c>
      <c r="B3659" s="3">
        <v>43624</v>
      </c>
      <c r="C3659" t="s">
        <v>2512</v>
      </c>
      <c r="D3659" t="s">
        <v>3471</v>
      </c>
      <c r="E3659">
        <v>3</v>
      </c>
      <c r="F3659" t="s">
        <v>3523</v>
      </c>
      <c r="G3659" t="s">
        <v>3517</v>
      </c>
      <c r="H3659">
        <v>1</v>
      </c>
      <c r="I3659">
        <v>13</v>
      </c>
      <c r="J3659">
        <v>39</v>
      </c>
    </row>
    <row r="3660" spans="1:10" x14ac:dyDescent="0.25">
      <c r="A3660" t="s">
        <v>6185</v>
      </c>
      <c r="B3660" s="3">
        <v>44942</v>
      </c>
      <c r="C3660" t="s">
        <v>1976</v>
      </c>
      <c r="D3660" t="s">
        <v>3512</v>
      </c>
      <c r="E3660">
        <v>4</v>
      </c>
      <c r="F3660" t="s">
        <v>3525</v>
      </c>
      <c r="G3660" t="s">
        <v>3519</v>
      </c>
      <c r="H3660">
        <v>2.5</v>
      </c>
      <c r="I3660">
        <v>33.5</v>
      </c>
      <c r="J3660">
        <v>134</v>
      </c>
    </row>
    <row r="3661" spans="1:10" x14ac:dyDescent="0.25">
      <c r="A3661" t="s">
        <v>6186</v>
      </c>
      <c r="B3661" s="3">
        <v>44056</v>
      </c>
      <c r="C3661" t="s">
        <v>3402</v>
      </c>
      <c r="D3661" t="s">
        <v>3486</v>
      </c>
      <c r="E3661">
        <v>1</v>
      </c>
      <c r="F3661" t="s">
        <v>3523</v>
      </c>
      <c r="G3661" t="s">
        <v>3519</v>
      </c>
      <c r="H3661">
        <v>1</v>
      </c>
      <c r="I3661">
        <v>11.3</v>
      </c>
      <c r="J3661">
        <v>11.3</v>
      </c>
    </row>
    <row r="3662" spans="1:10" x14ac:dyDescent="0.25">
      <c r="A3662" t="s">
        <v>6187</v>
      </c>
      <c r="B3662" s="3">
        <v>45643</v>
      </c>
      <c r="C3662" t="s">
        <v>1749</v>
      </c>
      <c r="D3662" t="s">
        <v>3507</v>
      </c>
      <c r="E3662">
        <v>6</v>
      </c>
      <c r="F3662" t="s">
        <v>3526</v>
      </c>
      <c r="G3662" t="s">
        <v>3517</v>
      </c>
      <c r="H3662">
        <v>0.5</v>
      </c>
      <c r="I3662">
        <v>8.9</v>
      </c>
      <c r="J3662">
        <v>53.4</v>
      </c>
    </row>
    <row r="3663" spans="1:10" x14ac:dyDescent="0.25">
      <c r="A3663" t="s">
        <v>6188</v>
      </c>
      <c r="B3663" s="3">
        <v>45040</v>
      </c>
      <c r="C3663" t="s">
        <v>2158</v>
      </c>
      <c r="D3663" t="s">
        <v>3515</v>
      </c>
      <c r="E3663">
        <v>3</v>
      </c>
      <c r="F3663" t="s">
        <v>3526</v>
      </c>
      <c r="G3663" t="s">
        <v>3517</v>
      </c>
      <c r="H3663">
        <v>0.2</v>
      </c>
      <c r="I3663">
        <v>4.5</v>
      </c>
      <c r="J3663">
        <v>13.5</v>
      </c>
    </row>
    <row r="3664" spans="1:10" x14ac:dyDescent="0.25">
      <c r="A3664" t="s">
        <v>6189</v>
      </c>
      <c r="B3664" s="3">
        <v>45452</v>
      </c>
      <c r="C3664" t="s">
        <v>1473</v>
      </c>
      <c r="D3664" t="s">
        <v>3488</v>
      </c>
      <c r="E3664">
        <v>1</v>
      </c>
      <c r="F3664" t="s">
        <v>3523</v>
      </c>
      <c r="G3664" t="s">
        <v>3519</v>
      </c>
      <c r="H3664">
        <v>0.5</v>
      </c>
      <c r="I3664">
        <v>6.8</v>
      </c>
      <c r="J3664">
        <v>6.8</v>
      </c>
    </row>
    <row r="3665" spans="1:10" x14ac:dyDescent="0.25">
      <c r="A3665" t="s">
        <v>6190</v>
      </c>
      <c r="B3665" s="3">
        <v>45423</v>
      </c>
      <c r="C3665" t="s">
        <v>1461</v>
      </c>
      <c r="D3665" t="s">
        <v>3485</v>
      </c>
      <c r="E3665">
        <v>2</v>
      </c>
      <c r="F3665" t="s">
        <v>3523</v>
      </c>
      <c r="G3665" t="s">
        <v>3518</v>
      </c>
      <c r="H3665">
        <v>0.2</v>
      </c>
      <c r="I3665">
        <v>3</v>
      </c>
      <c r="J3665">
        <v>6</v>
      </c>
    </row>
    <row r="3666" spans="1:10" x14ac:dyDescent="0.25">
      <c r="A3666" t="s">
        <v>6191</v>
      </c>
      <c r="B3666" s="3">
        <v>44588</v>
      </c>
      <c r="C3666" t="s">
        <v>2215</v>
      </c>
      <c r="D3666" t="s">
        <v>3473</v>
      </c>
      <c r="E3666">
        <v>3</v>
      </c>
      <c r="F3666" t="s">
        <v>3524</v>
      </c>
      <c r="G3666" t="s">
        <v>3517</v>
      </c>
      <c r="H3666">
        <v>2.5</v>
      </c>
      <c r="I3666">
        <v>27.5</v>
      </c>
      <c r="J3666">
        <v>82.5</v>
      </c>
    </row>
    <row r="3667" spans="1:10" x14ac:dyDescent="0.25">
      <c r="A3667" t="s">
        <v>6192</v>
      </c>
      <c r="B3667" s="3">
        <v>44619</v>
      </c>
      <c r="C3667" t="s">
        <v>1003</v>
      </c>
      <c r="D3667" t="s">
        <v>3475</v>
      </c>
      <c r="E3667">
        <v>2</v>
      </c>
      <c r="F3667" t="s">
        <v>3526</v>
      </c>
      <c r="G3667" t="s">
        <v>3518</v>
      </c>
      <c r="H3667">
        <v>0.5</v>
      </c>
      <c r="I3667">
        <v>7.3</v>
      </c>
      <c r="J3667">
        <v>14.6</v>
      </c>
    </row>
    <row r="3668" spans="1:10" x14ac:dyDescent="0.25">
      <c r="A3668" t="s">
        <v>6193</v>
      </c>
      <c r="B3668" s="3">
        <v>45010</v>
      </c>
      <c r="C3668" t="s">
        <v>1134</v>
      </c>
      <c r="D3668" t="s">
        <v>3508</v>
      </c>
      <c r="E3668">
        <v>2</v>
      </c>
      <c r="F3668" t="s">
        <v>3524</v>
      </c>
      <c r="G3668" t="s">
        <v>3518</v>
      </c>
      <c r="H3668">
        <v>1</v>
      </c>
      <c r="I3668">
        <v>9</v>
      </c>
      <c r="J3668">
        <v>18</v>
      </c>
    </row>
    <row r="3669" spans="1:10" x14ac:dyDescent="0.25">
      <c r="A3669" t="s">
        <v>6194</v>
      </c>
      <c r="B3669" s="3">
        <v>45287</v>
      </c>
      <c r="C3669" t="s">
        <v>1930</v>
      </c>
      <c r="D3669" t="s">
        <v>3482</v>
      </c>
      <c r="E3669">
        <v>5</v>
      </c>
      <c r="F3669" t="s">
        <v>3524</v>
      </c>
      <c r="G3669" t="s">
        <v>3519</v>
      </c>
      <c r="H3669">
        <v>2.5</v>
      </c>
      <c r="I3669">
        <v>22.9</v>
      </c>
      <c r="J3669">
        <v>114.5</v>
      </c>
    </row>
    <row r="3670" spans="1:10" x14ac:dyDescent="0.25">
      <c r="A3670" t="s">
        <v>6195</v>
      </c>
      <c r="B3670" s="3">
        <v>45187</v>
      </c>
      <c r="C3670" t="s">
        <v>1402</v>
      </c>
      <c r="D3670" t="s">
        <v>3484</v>
      </c>
      <c r="E3670">
        <v>3</v>
      </c>
      <c r="F3670" t="s">
        <v>3526</v>
      </c>
      <c r="G3670" t="s">
        <v>3518</v>
      </c>
      <c r="H3670">
        <v>0.2</v>
      </c>
      <c r="I3670">
        <v>3.6</v>
      </c>
      <c r="J3670">
        <v>10.8</v>
      </c>
    </row>
    <row r="3671" spans="1:10" x14ac:dyDescent="0.25">
      <c r="A3671" t="s">
        <v>6196</v>
      </c>
      <c r="B3671" s="3">
        <v>43668</v>
      </c>
      <c r="C3671" t="s">
        <v>667</v>
      </c>
      <c r="D3671" t="s">
        <v>3469</v>
      </c>
      <c r="E3671">
        <v>3</v>
      </c>
      <c r="F3671" t="s">
        <v>3524</v>
      </c>
      <c r="G3671" t="s">
        <v>3519</v>
      </c>
      <c r="H3671">
        <v>1</v>
      </c>
      <c r="I3671">
        <v>10</v>
      </c>
      <c r="J3671">
        <v>30</v>
      </c>
    </row>
    <row r="3672" spans="1:10" x14ac:dyDescent="0.25">
      <c r="A3672" t="s">
        <v>6197</v>
      </c>
      <c r="B3672" s="3">
        <v>44997</v>
      </c>
      <c r="C3672" t="s">
        <v>3296</v>
      </c>
      <c r="D3672" t="s">
        <v>3505</v>
      </c>
      <c r="E3672">
        <v>4</v>
      </c>
      <c r="F3672" t="s">
        <v>3524</v>
      </c>
      <c r="G3672" t="s">
        <v>3519</v>
      </c>
      <c r="H3672">
        <v>0.2</v>
      </c>
      <c r="I3672">
        <v>3</v>
      </c>
      <c r="J3672">
        <v>12</v>
      </c>
    </row>
    <row r="3673" spans="1:10" x14ac:dyDescent="0.25">
      <c r="A3673" t="s">
        <v>6198</v>
      </c>
      <c r="B3673" s="3">
        <v>44825</v>
      </c>
      <c r="C3673" t="s">
        <v>1390</v>
      </c>
      <c r="D3673" t="s">
        <v>3487</v>
      </c>
      <c r="E3673">
        <v>1</v>
      </c>
      <c r="F3673" t="s">
        <v>3526</v>
      </c>
      <c r="G3673" t="s">
        <v>3519</v>
      </c>
      <c r="H3673">
        <v>0.2</v>
      </c>
      <c r="I3673">
        <v>4.0999999999999996</v>
      </c>
      <c r="J3673">
        <v>4.0999999999999996</v>
      </c>
    </row>
    <row r="3674" spans="1:10" x14ac:dyDescent="0.25">
      <c r="A3674" t="s">
        <v>6199</v>
      </c>
      <c r="B3674" s="3">
        <v>45520</v>
      </c>
      <c r="C3674" t="s">
        <v>740</v>
      </c>
      <c r="D3674" t="s">
        <v>3513</v>
      </c>
      <c r="E3674">
        <v>4</v>
      </c>
      <c r="F3674" t="s">
        <v>3523</v>
      </c>
      <c r="G3674" t="s">
        <v>3517</v>
      </c>
      <c r="H3674">
        <v>2.5</v>
      </c>
      <c r="I3674">
        <v>29.8</v>
      </c>
      <c r="J3674">
        <v>119.2</v>
      </c>
    </row>
    <row r="3675" spans="1:10" x14ac:dyDescent="0.25">
      <c r="A3675" t="s">
        <v>6200</v>
      </c>
      <c r="B3675" s="3">
        <v>45094</v>
      </c>
      <c r="C3675" t="s">
        <v>3402</v>
      </c>
      <c r="D3675" t="s">
        <v>3515</v>
      </c>
      <c r="E3675">
        <v>4</v>
      </c>
      <c r="F3675" t="s">
        <v>3526</v>
      </c>
      <c r="G3675" t="s">
        <v>3517</v>
      </c>
      <c r="H3675">
        <v>0.2</v>
      </c>
      <c r="I3675">
        <v>4.5</v>
      </c>
      <c r="J3675">
        <v>18</v>
      </c>
    </row>
    <row r="3676" spans="1:10" x14ac:dyDescent="0.25">
      <c r="A3676" t="s">
        <v>6201</v>
      </c>
      <c r="B3676" s="3">
        <v>44256</v>
      </c>
      <c r="C3676" t="s">
        <v>2563</v>
      </c>
      <c r="D3676" t="s">
        <v>3472</v>
      </c>
      <c r="E3676">
        <v>2</v>
      </c>
      <c r="F3676" t="s">
        <v>3526</v>
      </c>
      <c r="G3676" t="s">
        <v>3519</v>
      </c>
      <c r="H3676">
        <v>1</v>
      </c>
      <c r="I3676">
        <v>13.8</v>
      </c>
      <c r="J3676">
        <v>27.6</v>
      </c>
    </row>
    <row r="3677" spans="1:10" x14ac:dyDescent="0.25">
      <c r="A3677" t="s">
        <v>6202</v>
      </c>
      <c r="B3677" s="3">
        <v>45005</v>
      </c>
      <c r="C3677" t="s">
        <v>1711</v>
      </c>
      <c r="D3677" t="s">
        <v>3495</v>
      </c>
      <c r="E3677">
        <v>1</v>
      </c>
      <c r="F3677" t="s">
        <v>3525</v>
      </c>
      <c r="G3677" t="s">
        <v>3517</v>
      </c>
      <c r="H3677">
        <v>2.5</v>
      </c>
      <c r="I3677">
        <v>36.5</v>
      </c>
      <c r="J3677">
        <v>36.5</v>
      </c>
    </row>
    <row r="3678" spans="1:10" x14ac:dyDescent="0.25">
      <c r="A3678" t="s">
        <v>6203</v>
      </c>
      <c r="B3678" s="3">
        <v>45158</v>
      </c>
      <c r="C3678" t="s">
        <v>1190</v>
      </c>
      <c r="D3678" t="s">
        <v>3494</v>
      </c>
      <c r="E3678">
        <v>4</v>
      </c>
      <c r="F3678" t="s">
        <v>3524</v>
      </c>
      <c r="G3678" t="s">
        <v>3518</v>
      </c>
      <c r="H3678">
        <v>0.2</v>
      </c>
      <c r="I3678">
        <v>2.7</v>
      </c>
      <c r="J3678">
        <v>10.8</v>
      </c>
    </row>
    <row r="3679" spans="1:10" x14ac:dyDescent="0.25">
      <c r="A3679" t="s">
        <v>6204</v>
      </c>
      <c r="B3679" s="3">
        <v>45019</v>
      </c>
      <c r="C3679" t="s">
        <v>737</v>
      </c>
      <c r="D3679" t="s">
        <v>3491</v>
      </c>
      <c r="E3679">
        <v>2</v>
      </c>
      <c r="F3679" t="s">
        <v>3525</v>
      </c>
      <c r="G3679" t="s">
        <v>3519</v>
      </c>
      <c r="H3679">
        <v>0.5</v>
      </c>
      <c r="I3679">
        <v>8.6999999999999993</v>
      </c>
      <c r="J3679">
        <v>17.399999999999999</v>
      </c>
    </row>
    <row r="3680" spans="1:10" x14ac:dyDescent="0.25">
      <c r="A3680" t="s">
        <v>6205</v>
      </c>
      <c r="B3680" s="3">
        <v>44945</v>
      </c>
      <c r="C3680" t="s">
        <v>3013</v>
      </c>
      <c r="D3680" t="s">
        <v>3471</v>
      </c>
      <c r="E3680">
        <v>5</v>
      </c>
      <c r="F3680" t="s">
        <v>3523</v>
      </c>
      <c r="G3680" t="s">
        <v>3517</v>
      </c>
      <c r="H3680">
        <v>1</v>
      </c>
      <c r="I3680">
        <v>13</v>
      </c>
      <c r="J3680">
        <v>65</v>
      </c>
    </row>
    <row r="3681" spans="1:10" x14ac:dyDescent="0.25">
      <c r="A3681" t="s">
        <v>6206</v>
      </c>
      <c r="B3681" s="3">
        <v>44933</v>
      </c>
      <c r="C3681" t="s">
        <v>1573</v>
      </c>
      <c r="D3681" t="s">
        <v>3484</v>
      </c>
      <c r="E3681">
        <v>3</v>
      </c>
      <c r="F3681" t="s">
        <v>3526</v>
      </c>
      <c r="G3681" t="s">
        <v>3518</v>
      </c>
      <c r="H3681">
        <v>0.2</v>
      </c>
      <c r="I3681">
        <v>3.6</v>
      </c>
      <c r="J3681">
        <v>10.8</v>
      </c>
    </row>
    <row r="3682" spans="1:10" x14ac:dyDescent="0.25">
      <c r="A3682" t="s">
        <v>6207</v>
      </c>
      <c r="B3682" s="3">
        <v>45191</v>
      </c>
      <c r="C3682" t="s">
        <v>2444</v>
      </c>
      <c r="D3682" t="s">
        <v>3488</v>
      </c>
      <c r="E3682">
        <v>5</v>
      </c>
      <c r="F3682" t="s">
        <v>3523</v>
      </c>
      <c r="G3682" t="s">
        <v>3519</v>
      </c>
      <c r="H3682">
        <v>0.5</v>
      </c>
      <c r="I3682">
        <v>6.8</v>
      </c>
      <c r="J3682">
        <v>34</v>
      </c>
    </row>
    <row r="3683" spans="1:10" x14ac:dyDescent="0.25">
      <c r="A3683" t="s">
        <v>6208</v>
      </c>
      <c r="B3683" s="3">
        <v>45288</v>
      </c>
      <c r="C3683" t="s">
        <v>2098</v>
      </c>
      <c r="D3683" t="s">
        <v>3485</v>
      </c>
      <c r="E3683">
        <v>1</v>
      </c>
      <c r="F3683" t="s">
        <v>3523</v>
      </c>
      <c r="G3683" t="s">
        <v>3518</v>
      </c>
      <c r="H3683">
        <v>0.2</v>
      </c>
      <c r="I3683">
        <v>3</v>
      </c>
      <c r="J3683">
        <v>3</v>
      </c>
    </row>
    <row r="3684" spans="1:10" x14ac:dyDescent="0.25">
      <c r="A3684" t="s">
        <v>6209</v>
      </c>
      <c r="B3684" s="3">
        <v>45479</v>
      </c>
      <c r="C3684" t="s">
        <v>906</v>
      </c>
      <c r="D3684" t="s">
        <v>3496</v>
      </c>
      <c r="E3684">
        <v>5</v>
      </c>
      <c r="F3684" t="s">
        <v>3525</v>
      </c>
      <c r="G3684" t="s">
        <v>3518</v>
      </c>
      <c r="H3684">
        <v>2.5</v>
      </c>
      <c r="I3684">
        <v>29.8</v>
      </c>
      <c r="J3684">
        <v>149</v>
      </c>
    </row>
    <row r="3685" spans="1:10" x14ac:dyDescent="0.25">
      <c r="A3685" t="s">
        <v>6210</v>
      </c>
      <c r="B3685" s="3">
        <v>44960</v>
      </c>
      <c r="C3685" t="s">
        <v>1202</v>
      </c>
      <c r="D3685" t="s">
        <v>3514</v>
      </c>
      <c r="E3685">
        <v>2</v>
      </c>
      <c r="F3685" t="s">
        <v>3526</v>
      </c>
      <c r="G3685" t="s">
        <v>3518</v>
      </c>
      <c r="H3685">
        <v>1</v>
      </c>
      <c r="I3685">
        <v>12.2</v>
      </c>
      <c r="J3685">
        <v>24.4</v>
      </c>
    </row>
    <row r="3686" spans="1:10" x14ac:dyDescent="0.25">
      <c r="A3686" t="s">
        <v>6211</v>
      </c>
      <c r="B3686" s="3">
        <v>45189</v>
      </c>
      <c r="C3686" t="s">
        <v>757</v>
      </c>
      <c r="D3686" t="s">
        <v>3475</v>
      </c>
      <c r="E3686">
        <v>6</v>
      </c>
      <c r="F3686" t="s">
        <v>3526</v>
      </c>
      <c r="G3686" t="s">
        <v>3518</v>
      </c>
      <c r="H3686">
        <v>0.5</v>
      </c>
      <c r="I3686">
        <v>7.3</v>
      </c>
      <c r="J3686">
        <v>43.8</v>
      </c>
    </row>
    <row r="3687" spans="1:10" x14ac:dyDescent="0.25">
      <c r="A3687" t="s">
        <v>6212</v>
      </c>
      <c r="B3687" s="3">
        <v>45538</v>
      </c>
      <c r="C3687" t="s">
        <v>676</v>
      </c>
      <c r="D3687" t="s">
        <v>3507</v>
      </c>
      <c r="E3687">
        <v>3</v>
      </c>
      <c r="F3687" t="s">
        <v>3526</v>
      </c>
      <c r="G3687" t="s">
        <v>3517</v>
      </c>
      <c r="H3687">
        <v>0.5</v>
      </c>
      <c r="I3687">
        <v>8.9</v>
      </c>
      <c r="J3687">
        <v>26.7</v>
      </c>
    </row>
    <row r="3688" spans="1:10" x14ac:dyDescent="0.25">
      <c r="A3688" t="s">
        <v>6213</v>
      </c>
      <c r="B3688" s="3">
        <v>45128</v>
      </c>
      <c r="C3688" t="s">
        <v>1693</v>
      </c>
      <c r="D3688" t="s">
        <v>3491</v>
      </c>
      <c r="E3688">
        <v>4</v>
      </c>
      <c r="F3688" t="s">
        <v>3525</v>
      </c>
      <c r="G3688" t="s">
        <v>3519</v>
      </c>
      <c r="H3688">
        <v>0.5</v>
      </c>
      <c r="I3688">
        <v>8.6999999999999993</v>
      </c>
      <c r="J3688">
        <v>34.799999999999997</v>
      </c>
    </row>
    <row r="3689" spans="1:10" x14ac:dyDescent="0.25">
      <c r="A3689" t="s">
        <v>6214</v>
      </c>
      <c r="B3689" s="3">
        <v>44625</v>
      </c>
      <c r="C3689" t="s">
        <v>1363</v>
      </c>
      <c r="D3689" t="s">
        <v>3490</v>
      </c>
      <c r="E3689">
        <v>4</v>
      </c>
      <c r="F3689" t="s">
        <v>3525</v>
      </c>
      <c r="G3689" t="s">
        <v>3519</v>
      </c>
      <c r="H3689">
        <v>0.2</v>
      </c>
      <c r="I3689">
        <v>4.4000000000000004</v>
      </c>
      <c r="J3689">
        <v>17.600000000000001</v>
      </c>
    </row>
    <row r="3690" spans="1:10" x14ac:dyDescent="0.25">
      <c r="A3690" t="s">
        <v>6215</v>
      </c>
      <c r="B3690" s="3">
        <v>44297</v>
      </c>
      <c r="C3690" t="s">
        <v>2760</v>
      </c>
      <c r="D3690" t="s">
        <v>3487</v>
      </c>
      <c r="E3690">
        <v>3</v>
      </c>
      <c r="F3690" t="s">
        <v>3526</v>
      </c>
      <c r="G3690" t="s">
        <v>3519</v>
      </c>
      <c r="H3690">
        <v>0.2</v>
      </c>
      <c r="I3690">
        <v>4.0999999999999996</v>
      </c>
      <c r="J3690">
        <v>12.3</v>
      </c>
    </row>
    <row r="3691" spans="1:10" x14ac:dyDescent="0.25">
      <c r="A3691" t="s">
        <v>6216</v>
      </c>
      <c r="B3691" s="3">
        <v>45483</v>
      </c>
      <c r="C3691" t="s">
        <v>3214</v>
      </c>
      <c r="D3691" t="s">
        <v>3475</v>
      </c>
      <c r="E3691">
        <v>5</v>
      </c>
      <c r="F3691" t="s">
        <v>3526</v>
      </c>
      <c r="G3691" t="s">
        <v>3518</v>
      </c>
      <c r="H3691">
        <v>0.5</v>
      </c>
      <c r="I3691">
        <v>7.3</v>
      </c>
      <c r="J3691">
        <v>36.5</v>
      </c>
    </row>
    <row r="3692" spans="1:10" x14ac:dyDescent="0.25">
      <c r="A3692" t="s">
        <v>6217</v>
      </c>
      <c r="B3692" s="3">
        <v>44743</v>
      </c>
      <c r="C3692" t="s">
        <v>1526</v>
      </c>
      <c r="D3692" t="s">
        <v>3483</v>
      </c>
      <c r="E3692">
        <v>4</v>
      </c>
      <c r="F3692" t="s">
        <v>3523</v>
      </c>
      <c r="G3692" t="s">
        <v>3519</v>
      </c>
      <c r="H3692">
        <v>0.2</v>
      </c>
      <c r="I3692">
        <v>3.4</v>
      </c>
      <c r="J3692">
        <v>13.6</v>
      </c>
    </row>
    <row r="3693" spans="1:10" x14ac:dyDescent="0.25">
      <c r="A3693" t="s">
        <v>6218</v>
      </c>
      <c r="B3693" s="3">
        <v>45501</v>
      </c>
      <c r="C3693" t="s">
        <v>1420</v>
      </c>
      <c r="D3693" t="s">
        <v>3502</v>
      </c>
      <c r="E3693">
        <v>2</v>
      </c>
      <c r="F3693" t="s">
        <v>3526</v>
      </c>
      <c r="G3693" t="s">
        <v>3517</v>
      </c>
      <c r="H3693">
        <v>1</v>
      </c>
      <c r="I3693">
        <v>14.9</v>
      </c>
      <c r="J3693">
        <v>29.8</v>
      </c>
    </row>
    <row r="3694" spans="1:10" x14ac:dyDescent="0.25">
      <c r="A3694" t="s">
        <v>6219</v>
      </c>
      <c r="B3694" s="3">
        <v>45594</v>
      </c>
      <c r="C3694" t="s">
        <v>1247</v>
      </c>
      <c r="D3694" t="s">
        <v>3482</v>
      </c>
      <c r="E3694">
        <v>4</v>
      </c>
      <c r="F3694" t="s">
        <v>3524</v>
      </c>
      <c r="G3694" t="s">
        <v>3519</v>
      </c>
      <c r="H3694">
        <v>2.5</v>
      </c>
      <c r="I3694">
        <v>22.9</v>
      </c>
      <c r="J3694">
        <v>91.6</v>
      </c>
    </row>
    <row r="3695" spans="1:10" x14ac:dyDescent="0.25">
      <c r="A3695" t="s">
        <v>6220</v>
      </c>
      <c r="B3695" s="3">
        <v>44938</v>
      </c>
      <c r="C3695" t="s">
        <v>2642</v>
      </c>
      <c r="D3695" t="s">
        <v>3495</v>
      </c>
      <c r="E3695">
        <v>4</v>
      </c>
      <c r="F3695" t="s">
        <v>3525</v>
      </c>
      <c r="G3695" t="s">
        <v>3517</v>
      </c>
      <c r="H3695">
        <v>2.5</v>
      </c>
      <c r="I3695">
        <v>36.5</v>
      </c>
      <c r="J3695">
        <v>146</v>
      </c>
    </row>
    <row r="3696" spans="1:10" x14ac:dyDescent="0.25">
      <c r="A3696" t="s">
        <v>6221</v>
      </c>
      <c r="B3696" s="3">
        <v>44693</v>
      </c>
      <c r="C3696" t="s">
        <v>1312</v>
      </c>
      <c r="D3696" t="s">
        <v>3485</v>
      </c>
      <c r="E3696">
        <v>3</v>
      </c>
      <c r="F3696" t="s">
        <v>3523</v>
      </c>
      <c r="G3696" t="s">
        <v>3518</v>
      </c>
      <c r="H3696">
        <v>0.2</v>
      </c>
      <c r="I3696">
        <v>3</v>
      </c>
      <c r="J3696">
        <v>9</v>
      </c>
    </row>
    <row r="3697" spans="1:10" x14ac:dyDescent="0.25">
      <c r="A3697" t="s">
        <v>6222</v>
      </c>
      <c r="B3697" s="3">
        <v>44589</v>
      </c>
      <c r="C3697" t="s">
        <v>646</v>
      </c>
      <c r="D3697" t="s">
        <v>3506</v>
      </c>
      <c r="E3697">
        <v>2</v>
      </c>
      <c r="F3697" t="s">
        <v>3523</v>
      </c>
      <c r="G3697" t="s">
        <v>3519</v>
      </c>
      <c r="H3697">
        <v>2.5</v>
      </c>
      <c r="I3697">
        <v>25.9</v>
      </c>
      <c r="J3697">
        <v>51.8</v>
      </c>
    </row>
    <row r="3698" spans="1:10" x14ac:dyDescent="0.25">
      <c r="A3698" t="s">
        <v>6223</v>
      </c>
      <c r="B3698" s="3">
        <v>45390</v>
      </c>
      <c r="C3698" t="s">
        <v>3324</v>
      </c>
      <c r="D3698" t="s">
        <v>3472</v>
      </c>
      <c r="E3698">
        <v>6</v>
      </c>
      <c r="F3698" t="s">
        <v>3526</v>
      </c>
      <c r="G3698" t="s">
        <v>3519</v>
      </c>
      <c r="H3698">
        <v>1</v>
      </c>
      <c r="I3698">
        <v>13.8</v>
      </c>
      <c r="J3698">
        <v>82.8</v>
      </c>
    </row>
    <row r="3699" spans="1:10" x14ac:dyDescent="0.25">
      <c r="A3699" t="s">
        <v>6224</v>
      </c>
      <c r="B3699" s="3">
        <v>44229</v>
      </c>
      <c r="C3699" t="s">
        <v>2980</v>
      </c>
      <c r="D3699" t="s">
        <v>3507</v>
      </c>
      <c r="E3699">
        <v>2</v>
      </c>
      <c r="F3699" t="s">
        <v>3526</v>
      </c>
      <c r="G3699" t="s">
        <v>3517</v>
      </c>
      <c r="H3699">
        <v>0.5</v>
      </c>
      <c r="I3699">
        <v>8.9</v>
      </c>
      <c r="J3699">
        <v>17.8</v>
      </c>
    </row>
    <row r="3700" spans="1:10" x14ac:dyDescent="0.25">
      <c r="A3700" t="s">
        <v>6225</v>
      </c>
      <c r="B3700" s="3">
        <v>45642</v>
      </c>
      <c r="C3700" t="s">
        <v>607</v>
      </c>
      <c r="D3700" t="s">
        <v>3480</v>
      </c>
      <c r="E3700">
        <v>4</v>
      </c>
      <c r="F3700" t="s">
        <v>3524</v>
      </c>
      <c r="G3700" t="s">
        <v>3518</v>
      </c>
      <c r="H3700">
        <v>2.5</v>
      </c>
      <c r="I3700">
        <v>20.6</v>
      </c>
      <c r="J3700">
        <v>82.4</v>
      </c>
    </row>
    <row r="3701" spans="1:10" x14ac:dyDescent="0.25">
      <c r="A3701" t="s">
        <v>6226</v>
      </c>
      <c r="B3701" s="3">
        <v>45415</v>
      </c>
      <c r="C3701" t="s">
        <v>1749</v>
      </c>
      <c r="D3701" t="s">
        <v>3479</v>
      </c>
      <c r="E3701">
        <v>4</v>
      </c>
      <c r="F3701" t="s">
        <v>3526</v>
      </c>
      <c r="G3701" t="s">
        <v>3517</v>
      </c>
      <c r="H3701">
        <v>2.5</v>
      </c>
      <c r="I3701">
        <v>34.200000000000003</v>
      </c>
      <c r="J3701">
        <v>136.80000000000001</v>
      </c>
    </row>
    <row r="3702" spans="1:10" x14ac:dyDescent="0.25">
      <c r="A3702" t="s">
        <v>6227</v>
      </c>
      <c r="B3702" s="3">
        <v>43655</v>
      </c>
      <c r="C3702" t="s">
        <v>935</v>
      </c>
      <c r="D3702" t="s">
        <v>3501</v>
      </c>
      <c r="E3702">
        <v>1</v>
      </c>
      <c r="F3702" t="s">
        <v>3525</v>
      </c>
      <c r="G3702" t="s">
        <v>3517</v>
      </c>
      <c r="H3702">
        <v>1</v>
      </c>
      <c r="I3702">
        <v>15.9</v>
      </c>
      <c r="J3702">
        <v>15.9</v>
      </c>
    </row>
    <row r="3703" spans="1:10" x14ac:dyDescent="0.25">
      <c r="A3703" t="s">
        <v>6228</v>
      </c>
      <c r="B3703" s="3">
        <v>45409</v>
      </c>
      <c r="C3703" t="s">
        <v>2062</v>
      </c>
      <c r="D3703" t="s">
        <v>3490</v>
      </c>
      <c r="E3703">
        <v>3</v>
      </c>
      <c r="F3703" t="s">
        <v>3525</v>
      </c>
      <c r="G3703" t="s">
        <v>3519</v>
      </c>
      <c r="H3703">
        <v>0.2</v>
      </c>
      <c r="I3703">
        <v>4.4000000000000004</v>
      </c>
      <c r="J3703">
        <v>13.2</v>
      </c>
    </row>
    <row r="3704" spans="1:10" x14ac:dyDescent="0.25">
      <c r="A3704" t="s">
        <v>6229</v>
      </c>
      <c r="B3704" s="3">
        <v>44791</v>
      </c>
      <c r="C3704" t="s">
        <v>2657</v>
      </c>
      <c r="D3704" t="s">
        <v>3507</v>
      </c>
      <c r="E3704">
        <v>2</v>
      </c>
      <c r="F3704" t="s">
        <v>3526</v>
      </c>
      <c r="G3704" t="s">
        <v>3517</v>
      </c>
      <c r="H3704">
        <v>0.5</v>
      </c>
      <c r="I3704">
        <v>8.9</v>
      </c>
      <c r="J3704">
        <v>17.8</v>
      </c>
    </row>
    <row r="3705" spans="1:10" x14ac:dyDescent="0.25">
      <c r="A3705" t="s">
        <v>6230</v>
      </c>
      <c r="B3705" s="3">
        <v>45057</v>
      </c>
      <c r="C3705" t="s">
        <v>1556</v>
      </c>
      <c r="D3705" t="s">
        <v>3508</v>
      </c>
      <c r="E3705">
        <v>4</v>
      </c>
      <c r="F3705" t="s">
        <v>3524</v>
      </c>
      <c r="G3705" t="s">
        <v>3518</v>
      </c>
      <c r="H3705">
        <v>1</v>
      </c>
      <c r="I3705">
        <v>9</v>
      </c>
      <c r="J3705">
        <v>36</v>
      </c>
    </row>
    <row r="3706" spans="1:10" x14ac:dyDescent="0.25">
      <c r="A3706" t="s">
        <v>6231</v>
      </c>
      <c r="B3706" s="3">
        <v>45270</v>
      </c>
      <c r="C3706" t="s">
        <v>962</v>
      </c>
      <c r="D3706" t="s">
        <v>3481</v>
      </c>
      <c r="E3706">
        <v>5</v>
      </c>
      <c r="F3706" t="s">
        <v>3525</v>
      </c>
      <c r="G3706" t="s">
        <v>3518</v>
      </c>
      <c r="H3706">
        <v>0.2</v>
      </c>
      <c r="I3706">
        <v>3.9</v>
      </c>
      <c r="J3706">
        <v>19.5</v>
      </c>
    </row>
    <row r="3707" spans="1:10" x14ac:dyDescent="0.25">
      <c r="A3707" t="s">
        <v>6232</v>
      </c>
      <c r="B3707" s="3">
        <v>43845</v>
      </c>
      <c r="C3707" t="s">
        <v>3072</v>
      </c>
      <c r="D3707" t="s">
        <v>3470</v>
      </c>
      <c r="E3707">
        <v>6</v>
      </c>
      <c r="F3707" t="s">
        <v>3526</v>
      </c>
      <c r="G3707" t="s">
        <v>3519</v>
      </c>
      <c r="H3707">
        <v>0.5</v>
      </c>
      <c r="I3707">
        <v>8.3000000000000007</v>
      </c>
      <c r="J3707">
        <v>49.8</v>
      </c>
    </row>
    <row r="3708" spans="1:10" x14ac:dyDescent="0.25">
      <c r="A3708" t="s">
        <v>6233</v>
      </c>
      <c r="B3708" s="3">
        <v>45078</v>
      </c>
      <c r="C3708" t="s">
        <v>1202</v>
      </c>
      <c r="D3708" t="s">
        <v>3514</v>
      </c>
      <c r="E3708">
        <v>1</v>
      </c>
      <c r="F3708" t="s">
        <v>3526</v>
      </c>
      <c r="G3708" t="s">
        <v>3518</v>
      </c>
      <c r="H3708">
        <v>1</v>
      </c>
      <c r="I3708">
        <v>12.2</v>
      </c>
      <c r="J3708">
        <v>12.2</v>
      </c>
    </row>
    <row r="3709" spans="1:10" x14ac:dyDescent="0.25">
      <c r="A3709" t="s">
        <v>6234</v>
      </c>
      <c r="B3709" s="3">
        <v>44968</v>
      </c>
      <c r="C3709" t="s">
        <v>2074</v>
      </c>
      <c r="D3709" t="s">
        <v>3502</v>
      </c>
      <c r="E3709">
        <v>6</v>
      </c>
      <c r="F3709" t="s">
        <v>3526</v>
      </c>
      <c r="G3709" t="s">
        <v>3517</v>
      </c>
      <c r="H3709">
        <v>1</v>
      </c>
      <c r="I3709">
        <v>14.9</v>
      </c>
      <c r="J3709">
        <v>89.4</v>
      </c>
    </row>
    <row r="3710" spans="1:10" x14ac:dyDescent="0.25">
      <c r="A3710" t="s">
        <v>6235</v>
      </c>
      <c r="B3710" s="3">
        <v>45464</v>
      </c>
      <c r="C3710" t="s">
        <v>3464</v>
      </c>
      <c r="D3710" t="s">
        <v>3493</v>
      </c>
      <c r="E3710">
        <v>2</v>
      </c>
      <c r="F3710" t="s">
        <v>3525</v>
      </c>
      <c r="G3710" t="s">
        <v>3519</v>
      </c>
      <c r="H3710">
        <v>1</v>
      </c>
      <c r="I3710">
        <v>14.6</v>
      </c>
      <c r="J3710">
        <v>29.2</v>
      </c>
    </row>
    <row r="3711" spans="1:10" x14ac:dyDescent="0.25">
      <c r="A3711" t="s">
        <v>6236</v>
      </c>
      <c r="B3711" s="3">
        <v>43496</v>
      </c>
      <c r="C3711" t="s">
        <v>935</v>
      </c>
      <c r="D3711" t="s">
        <v>3504</v>
      </c>
      <c r="E3711">
        <v>6</v>
      </c>
      <c r="F3711" t="s">
        <v>3524</v>
      </c>
      <c r="G3711" t="s">
        <v>3517</v>
      </c>
      <c r="H3711">
        <v>0.5</v>
      </c>
      <c r="I3711">
        <v>7.2</v>
      </c>
      <c r="J3711">
        <v>43.2</v>
      </c>
    </row>
    <row r="3712" spans="1:10" x14ac:dyDescent="0.25">
      <c r="A3712" t="s">
        <v>6237</v>
      </c>
      <c r="B3712" s="3">
        <v>45364</v>
      </c>
      <c r="C3712" t="s">
        <v>1890</v>
      </c>
      <c r="D3712" t="s">
        <v>3480</v>
      </c>
      <c r="E3712">
        <v>5</v>
      </c>
      <c r="F3712" t="s">
        <v>3524</v>
      </c>
      <c r="G3712" t="s">
        <v>3518</v>
      </c>
      <c r="H3712">
        <v>2.5</v>
      </c>
      <c r="I3712">
        <v>20.6</v>
      </c>
      <c r="J3712">
        <v>103</v>
      </c>
    </row>
    <row r="3713" spans="1:10" x14ac:dyDescent="0.25">
      <c r="A3713" t="s">
        <v>6238</v>
      </c>
      <c r="B3713" s="3">
        <v>45213</v>
      </c>
      <c r="C3713" t="s">
        <v>2015</v>
      </c>
      <c r="D3713" t="s">
        <v>3489</v>
      </c>
      <c r="E3713">
        <v>2</v>
      </c>
      <c r="F3713" t="s">
        <v>3523</v>
      </c>
      <c r="G3713" t="s">
        <v>3518</v>
      </c>
      <c r="H3713">
        <v>0.5</v>
      </c>
      <c r="I3713">
        <v>6</v>
      </c>
      <c r="J3713">
        <v>12</v>
      </c>
    </row>
    <row r="3714" spans="1:10" x14ac:dyDescent="0.25">
      <c r="A3714" t="s">
        <v>6239</v>
      </c>
      <c r="B3714" s="3">
        <v>44642</v>
      </c>
      <c r="C3714" t="s">
        <v>1178</v>
      </c>
      <c r="D3714" t="s">
        <v>3492</v>
      </c>
      <c r="E3714">
        <v>6</v>
      </c>
      <c r="F3714" t="s">
        <v>3525</v>
      </c>
      <c r="G3714" t="s">
        <v>3517</v>
      </c>
      <c r="H3714">
        <v>0.5</v>
      </c>
      <c r="I3714">
        <v>9.5</v>
      </c>
      <c r="J3714">
        <v>57</v>
      </c>
    </row>
    <row r="3715" spans="1:10" x14ac:dyDescent="0.25">
      <c r="A3715" t="s">
        <v>6240</v>
      </c>
      <c r="B3715" s="3">
        <v>45458</v>
      </c>
      <c r="C3715" t="s">
        <v>2420</v>
      </c>
      <c r="D3715" t="s">
        <v>3501</v>
      </c>
      <c r="E3715">
        <v>4</v>
      </c>
      <c r="F3715" t="s">
        <v>3525</v>
      </c>
      <c r="G3715" t="s">
        <v>3517</v>
      </c>
      <c r="H3715">
        <v>1</v>
      </c>
      <c r="I3715">
        <v>15.9</v>
      </c>
      <c r="J3715">
        <v>63.6</v>
      </c>
    </row>
    <row r="3716" spans="1:10" x14ac:dyDescent="0.25">
      <c r="A3716" t="s">
        <v>6241</v>
      </c>
      <c r="B3716" s="3">
        <v>45439</v>
      </c>
      <c r="C3716" t="s">
        <v>2599</v>
      </c>
      <c r="D3716" t="s">
        <v>3478</v>
      </c>
      <c r="E3716">
        <v>4</v>
      </c>
      <c r="F3716" t="s">
        <v>3523</v>
      </c>
      <c r="G3716" t="s">
        <v>3518</v>
      </c>
      <c r="H3716">
        <v>1</v>
      </c>
      <c r="I3716">
        <v>10</v>
      </c>
      <c r="J3716">
        <v>40</v>
      </c>
    </row>
    <row r="3717" spans="1:10" x14ac:dyDescent="0.25">
      <c r="A3717" t="s">
        <v>6242</v>
      </c>
      <c r="B3717" s="3">
        <v>45413</v>
      </c>
      <c r="C3717" t="s">
        <v>1717</v>
      </c>
      <c r="D3717" t="s">
        <v>3498</v>
      </c>
      <c r="E3717">
        <v>6</v>
      </c>
      <c r="F3717" t="s">
        <v>3523</v>
      </c>
      <c r="G3717" t="s">
        <v>3517</v>
      </c>
      <c r="H3717">
        <v>0.2</v>
      </c>
      <c r="I3717">
        <v>3.9</v>
      </c>
      <c r="J3717">
        <v>23.4</v>
      </c>
    </row>
    <row r="3718" spans="1:10" x14ac:dyDescent="0.25">
      <c r="A3718" t="s">
        <v>6243</v>
      </c>
      <c r="B3718" s="3">
        <v>45285</v>
      </c>
      <c r="C3718" t="s">
        <v>2215</v>
      </c>
      <c r="D3718" t="s">
        <v>3475</v>
      </c>
      <c r="E3718">
        <v>1</v>
      </c>
      <c r="F3718" t="s">
        <v>3526</v>
      </c>
      <c r="G3718" t="s">
        <v>3518</v>
      </c>
      <c r="H3718">
        <v>0.5</v>
      </c>
      <c r="I3718">
        <v>7.3</v>
      </c>
      <c r="J3718">
        <v>7.3</v>
      </c>
    </row>
    <row r="3719" spans="1:10" x14ac:dyDescent="0.25">
      <c r="A3719" t="s">
        <v>6244</v>
      </c>
      <c r="B3719" s="3">
        <v>45094</v>
      </c>
      <c r="C3719" t="s">
        <v>1794</v>
      </c>
      <c r="D3719" t="s">
        <v>3479</v>
      </c>
      <c r="E3719">
        <v>1</v>
      </c>
      <c r="F3719" t="s">
        <v>3526</v>
      </c>
      <c r="G3719" t="s">
        <v>3517</v>
      </c>
      <c r="H3719">
        <v>2.5</v>
      </c>
      <c r="I3719">
        <v>34.200000000000003</v>
      </c>
      <c r="J3719">
        <v>34.200000000000003</v>
      </c>
    </row>
    <row r="3720" spans="1:10" x14ac:dyDescent="0.25">
      <c r="A3720" t="s">
        <v>6245</v>
      </c>
      <c r="B3720" s="3">
        <v>45578</v>
      </c>
      <c r="C3720" t="s">
        <v>1729</v>
      </c>
      <c r="D3720" t="s">
        <v>3491</v>
      </c>
      <c r="E3720">
        <v>5</v>
      </c>
      <c r="F3720" t="s">
        <v>3525</v>
      </c>
      <c r="G3720" t="s">
        <v>3519</v>
      </c>
      <c r="H3720">
        <v>0.5</v>
      </c>
      <c r="I3720">
        <v>8.6999999999999993</v>
      </c>
      <c r="J3720">
        <v>43.5</v>
      </c>
    </row>
    <row r="3721" spans="1:10" x14ac:dyDescent="0.25">
      <c r="A3721" t="s">
        <v>6246</v>
      </c>
      <c r="B3721" s="3">
        <v>45586</v>
      </c>
      <c r="C3721" t="s">
        <v>2375</v>
      </c>
      <c r="D3721" t="s">
        <v>3480</v>
      </c>
      <c r="E3721">
        <v>2</v>
      </c>
      <c r="F3721" t="s">
        <v>3524</v>
      </c>
      <c r="G3721" t="s">
        <v>3518</v>
      </c>
      <c r="H3721">
        <v>2.5</v>
      </c>
      <c r="I3721">
        <v>20.6</v>
      </c>
      <c r="J3721">
        <v>41.2</v>
      </c>
    </row>
    <row r="3722" spans="1:10" x14ac:dyDescent="0.25">
      <c r="A3722" t="s">
        <v>6247</v>
      </c>
      <c r="B3722" s="3">
        <v>44875</v>
      </c>
      <c r="C3722" t="s">
        <v>811</v>
      </c>
      <c r="D3722" t="s">
        <v>3516</v>
      </c>
      <c r="E3722">
        <v>5</v>
      </c>
      <c r="F3722" t="s">
        <v>3526</v>
      </c>
      <c r="G3722" t="s">
        <v>3518</v>
      </c>
      <c r="H3722">
        <v>2.5</v>
      </c>
      <c r="I3722">
        <v>27.9</v>
      </c>
      <c r="J3722">
        <v>139.5</v>
      </c>
    </row>
    <row r="3723" spans="1:10" x14ac:dyDescent="0.25">
      <c r="A3723" t="s">
        <v>6248</v>
      </c>
      <c r="B3723" s="3">
        <v>43522</v>
      </c>
      <c r="C3723" t="s">
        <v>610</v>
      </c>
      <c r="D3723" t="s">
        <v>3478</v>
      </c>
      <c r="E3723">
        <v>2</v>
      </c>
      <c r="F3723" t="s">
        <v>3523</v>
      </c>
      <c r="G3723" t="s">
        <v>3518</v>
      </c>
      <c r="H3723">
        <v>1</v>
      </c>
      <c r="I3723">
        <v>10</v>
      </c>
      <c r="J3723">
        <v>20</v>
      </c>
    </row>
    <row r="3724" spans="1:10" x14ac:dyDescent="0.25">
      <c r="A3724" t="s">
        <v>6249</v>
      </c>
      <c r="B3724" s="3">
        <v>43840</v>
      </c>
      <c r="C3724" t="s">
        <v>1342</v>
      </c>
      <c r="D3724" t="s">
        <v>3516</v>
      </c>
      <c r="E3724">
        <v>2</v>
      </c>
      <c r="F3724" t="s">
        <v>3526</v>
      </c>
      <c r="G3724" t="s">
        <v>3518</v>
      </c>
      <c r="H3724">
        <v>2.5</v>
      </c>
      <c r="I3724">
        <v>27.9</v>
      </c>
      <c r="J3724">
        <v>55.8</v>
      </c>
    </row>
    <row r="3725" spans="1:10" x14ac:dyDescent="0.25">
      <c r="A3725" t="s">
        <v>6250</v>
      </c>
      <c r="B3725" s="3">
        <v>44031</v>
      </c>
      <c r="C3725" t="s">
        <v>2992</v>
      </c>
      <c r="D3725" t="s">
        <v>3479</v>
      </c>
      <c r="E3725">
        <v>3</v>
      </c>
      <c r="F3725" t="s">
        <v>3526</v>
      </c>
      <c r="G3725" t="s">
        <v>3517</v>
      </c>
      <c r="H3725">
        <v>2.5</v>
      </c>
      <c r="I3725">
        <v>34.200000000000003</v>
      </c>
      <c r="J3725">
        <v>102.6</v>
      </c>
    </row>
    <row r="3726" spans="1:10" x14ac:dyDescent="0.25">
      <c r="A3726" t="s">
        <v>6251</v>
      </c>
      <c r="B3726" s="3">
        <v>45185</v>
      </c>
      <c r="C3726" t="s">
        <v>860</v>
      </c>
      <c r="D3726" t="s">
        <v>3504</v>
      </c>
      <c r="E3726">
        <v>6</v>
      </c>
      <c r="F3726" t="s">
        <v>3524</v>
      </c>
      <c r="G3726" t="s">
        <v>3517</v>
      </c>
      <c r="H3726">
        <v>0.5</v>
      </c>
      <c r="I3726">
        <v>7.2</v>
      </c>
      <c r="J3726">
        <v>43.2</v>
      </c>
    </row>
    <row r="3727" spans="1:10" x14ac:dyDescent="0.25">
      <c r="A3727" t="s">
        <v>6252</v>
      </c>
      <c r="B3727" s="3">
        <v>45636</v>
      </c>
      <c r="C3727" t="s">
        <v>881</v>
      </c>
      <c r="D3727" t="s">
        <v>3483</v>
      </c>
      <c r="E3727">
        <v>4</v>
      </c>
      <c r="F3727" t="s">
        <v>3523</v>
      </c>
      <c r="G3727" t="s">
        <v>3519</v>
      </c>
      <c r="H3727">
        <v>0.2</v>
      </c>
      <c r="I3727">
        <v>3.4</v>
      </c>
      <c r="J3727">
        <v>13.6</v>
      </c>
    </row>
    <row r="3728" spans="1:10" x14ac:dyDescent="0.25">
      <c r="A3728" t="s">
        <v>6253</v>
      </c>
      <c r="B3728" s="3">
        <v>45114</v>
      </c>
      <c r="C3728" t="s">
        <v>1723</v>
      </c>
      <c r="D3728" t="s">
        <v>3475</v>
      </c>
      <c r="E3728">
        <v>3</v>
      </c>
      <c r="F3728" t="s">
        <v>3526</v>
      </c>
      <c r="G3728" t="s">
        <v>3518</v>
      </c>
      <c r="H3728">
        <v>0.5</v>
      </c>
      <c r="I3728">
        <v>7.3</v>
      </c>
      <c r="J3728">
        <v>21.9</v>
      </c>
    </row>
    <row r="3729" spans="1:10" x14ac:dyDescent="0.25">
      <c r="A3729" t="s">
        <v>6254</v>
      </c>
      <c r="B3729" s="3">
        <v>45382</v>
      </c>
      <c r="C3729" t="s">
        <v>2027</v>
      </c>
      <c r="D3729" t="s">
        <v>3496</v>
      </c>
      <c r="E3729">
        <v>4</v>
      </c>
      <c r="F3729" t="s">
        <v>3525</v>
      </c>
      <c r="G3729" t="s">
        <v>3518</v>
      </c>
      <c r="H3729">
        <v>2.5</v>
      </c>
      <c r="I3729">
        <v>29.8</v>
      </c>
      <c r="J3729">
        <v>119.2</v>
      </c>
    </row>
    <row r="3730" spans="1:10" x14ac:dyDescent="0.25">
      <c r="A3730" t="s">
        <v>6255</v>
      </c>
      <c r="B3730" s="3">
        <v>45603</v>
      </c>
      <c r="C3730" t="s">
        <v>2356</v>
      </c>
      <c r="D3730" t="s">
        <v>3493</v>
      </c>
      <c r="E3730">
        <v>4</v>
      </c>
      <c r="F3730" t="s">
        <v>3525</v>
      </c>
      <c r="G3730" t="s">
        <v>3519</v>
      </c>
      <c r="H3730">
        <v>1</v>
      </c>
      <c r="I3730">
        <v>14.6</v>
      </c>
      <c r="J3730">
        <v>58.4</v>
      </c>
    </row>
    <row r="3731" spans="1:10" x14ac:dyDescent="0.25">
      <c r="A3731" t="s">
        <v>6256</v>
      </c>
      <c r="B3731" s="3">
        <v>44746</v>
      </c>
      <c r="C3731" t="s">
        <v>3296</v>
      </c>
      <c r="D3731" t="s">
        <v>3496</v>
      </c>
      <c r="E3731">
        <v>4</v>
      </c>
      <c r="F3731" t="s">
        <v>3525</v>
      </c>
      <c r="G3731" t="s">
        <v>3518</v>
      </c>
      <c r="H3731">
        <v>2.5</v>
      </c>
      <c r="I3731">
        <v>29.8</v>
      </c>
      <c r="J3731">
        <v>119.2</v>
      </c>
    </row>
    <row r="3732" spans="1:10" x14ac:dyDescent="0.25">
      <c r="A3732" t="s">
        <v>6257</v>
      </c>
      <c r="B3732" s="3">
        <v>45165</v>
      </c>
      <c r="C3732" t="s">
        <v>2766</v>
      </c>
      <c r="D3732" t="s">
        <v>3505</v>
      </c>
      <c r="E3732">
        <v>1</v>
      </c>
      <c r="F3732" t="s">
        <v>3524</v>
      </c>
      <c r="G3732" t="s">
        <v>3519</v>
      </c>
      <c r="H3732">
        <v>0.2</v>
      </c>
      <c r="I3732">
        <v>3</v>
      </c>
      <c r="J3732">
        <v>3</v>
      </c>
    </row>
    <row r="3733" spans="1:10" x14ac:dyDescent="0.25">
      <c r="A3733" t="s">
        <v>6258</v>
      </c>
      <c r="B3733" s="3">
        <v>45251</v>
      </c>
      <c r="C3733" t="s">
        <v>2666</v>
      </c>
      <c r="D3733" t="s">
        <v>3508</v>
      </c>
      <c r="E3733">
        <v>2</v>
      </c>
      <c r="F3733" t="s">
        <v>3524</v>
      </c>
      <c r="G3733" t="s">
        <v>3518</v>
      </c>
      <c r="H3733">
        <v>1</v>
      </c>
      <c r="I3733">
        <v>9</v>
      </c>
      <c r="J3733">
        <v>18</v>
      </c>
    </row>
    <row r="3734" spans="1:10" x14ac:dyDescent="0.25">
      <c r="A3734" t="s">
        <v>6259</v>
      </c>
      <c r="B3734" s="3">
        <v>44806</v>
      </c>
      <c r="C3734" t="s">
        <v>710</v>
      </c>
      <c r="D3734" t="s">
        <v>3503</v>
      </c>
      <c r="E3734">
        <v>1</v>
      </c>
      <c r="F3734" t="s">
        <v>3524</v>
      </c>
      <c r="G3734" t="s">
        <v>3518</v>
      </c>
      <c r="H3734">
        <v>0.5</v>
      </c>
      <c r="I3734">
        <v>5.4</v>
      </c>
      <c r="J3734">
        <v>5.4</v>
      </c>
    </row>
    <row r="3735" spans="1:10" x14ac:dyDescent="0.25">
      <c r="A3735" t="s">
        <v>6260</v>
      </c>
      <c r="B3735" s="3">
        <v>44212</v>
      </c>
      <c r="C3735" t="s">
        <v>2804</v>
      </c>
      <c r="D3735" t="s">
        <v>3477</v>
      </c>
      <c r="E3735">
        <v>5</v>
      </c>
      <c r="F3735" t="s">
        <v>3524</v>
      </c>
      <c r="G3735" t="s">
        <v>3519</v>
      </c>
      <c r="H3735">
        <v>0.5</v>
      </c>
      <c r="I3735">
        <v>6</v>
      </c>
      <c r="J3735">
        <v>30</v>
      </c>
    </row>
    <row r="3736" spans="1:10" x14ac:dyDescent="0.25">
      <c r="A3736" t="s">
        <v>6261</v>
      </c>
      <c r="B3736" s="3">
        <v>44678</v>
      </c>
      <c r="C3736" t="s">
        <v>1217</v>
      </c>
      <c r="D3736" t="s">
        <v>3492</v>
      </c>
      <c r="E3736">
        <v>6</v>
      </c>
      <c r="F3736" t="s">
        <v>3525</v>
      </c>
      <c r="G3736" t="s">
        <v>3517</v>
      </c>
      <c r="H3736">
        <v>0.5</v>
      </c>
      <c r="I3736">
        <v>9.5</v>
      </c>
      <c r="J3736">
        <v>57</v>
      </c>
    </row>
    <row r="3737" spans="1:10" x14ac:dyDescent="0.25">
      <c r="A3737" t="s">
        <v>6262</v>
      </c>
      <c r="B3737" s="3">
        <v>44629</v>
      </c>
      <c r="C3737" t="s">
        <v>2669</v>
      </c>
      <c r="D3737" t="s">
        <v>3482</v>
      </c>
      <c r="E3737">
        <v>4</v>
      </c>
      <c r="F3737" t="s">
        <v>3524</v>
      </c>
      <c r="G3737" t="s">
        <v>3519</v>
      </c>
      <c r="H3737">
        <v>2.5</v>
      </c>
      <c r="I3737">
        <v>22.9</v>
      </c>
      <c r="J3737">
        <v>91.6</v>
      </c>
    </row>
    <row r="3738" spans="1:10" x14ac:dyDescent="0.25">
      <c r="A3738" t="s">
        <v>6263</v>
      </c>
      <c r="B3738" s="3">
        <v>44567</v>
      </c>
      <c r="C3738" t="s">
        <v>2612</v>
      </c>
      <c r="D3738" t="s">
        <v>3486</v>
      </c>
      <c r="E3738">
        <v>4</v>
      </c>
      <c r="F3738" t="s">
        <v>3523</v>
      </c>
      <c r="G3738" t="s">
        <v>3519</v>
      </c>
      <c r="H3738">
        <v>1</v>
      </c>
      <c r="I3738">
        <v>11.3</v>
      </c>
      <c r="J3738">
        <v>45.2</v>
      </c>
    </row>
    <row r="3739" spans="1:10" x14ac:dyDescent="0.25">
      <c r="A3739" t="s">
        <v>6264</v>
      </c>
      <c r="B3739" s="3">
        <v>45649</v>
      </c>
      <c r="C3739" t="s">
        <v>1604</v>
      </c>
      <c r="D3739" t="s">
        <v>3504</v>
      </c>
      <c r="E3739">
        <v>2</v>
      </c>
      <c r="F3739" t="s">
        <v>3524</v>
      </c>
      <c r="G3739" t="s">
        <v>3517</v>
      </c>
      <c r="H3739">
        <v>0.5</v>
      </c>
      <c r="I3739">
        <v>7.2</v>
      </c>
      <c r="J3739">
        <v>14.4</v>
      </c>
    </row>
    <row r="3740" spans="1:10" x14ac:dyDescent="0.25">
      <c r="A3740" t="s">
        <v>6265</v>
      </c>
      <c r="B3740" s="3">
        <v>45298</v>
      </c>
      <c r="C3740" t="s">
        <v>1169</v>
      </c>
      <c r="D3740" t="s">
        <v>3477</v>
      </c>
      <c r="E3740">
        <v>1</v>
      </c>
      <c r="F3740" t="s">
        <v>3524</v>
      </c>
      <c r="G3740" t="s">
        <v>3519</v>
      </c>
      <c r="H3740">
        <v>0.5</v>
      </c>
      <c r="I3740">
        <v>6</v>
      </c>
      <c r="J3740">
        <v>6</v>
      </c>
    </row>
    <row r="3741" spans="1:10" x14ac:dyDescent="0.25">
      <c r="A3741" t="s">
        <v>6266</v>
      </c>
      <c r="B3741" s="3">
        <v>44981</v>
      </c>
      <c r="C3741" t="s">
        <v>872</v>
      </c>
      <c r="D3741" t="s">
        <v>3494</v>
      </c>
      <c r="E3741">
        <v>1</v>
      </c>
      <c r="F3741" t="s">
        <v>3524</v>
      </c>
      <c r="G3741" t="s">
        <v>3518</v>
      </c>
      <c r="H3741">
        <v>0.2</v>
      </c>
      <c r="I3741">
        <v>2.7</v>
      </c>
      <c r="J3741">
        <v>2.7</v>
      </c>
    </row>
    <row r="3742" spans="1:10" x14ac:dyDescent="0.25">
      <c r="A3742" t="s">
        <v>6267</v>
      </c>
      <c r="B3742" s="3">
        <v>44843</v>
      </c>
      <c r="C3742" t="s">
        <v>2760</v>
      </c>
      <c r="D3742" t="s">
        <v>3485</v>
      </c>
      <c r="E3742">
        <v>2</v>
      </c>
      <c r="F3742" t="s">
        <v>3523</v>
      </c>
      <c r="G3742" t="s">
        <v>3518</v>
      </c>
      <c r="H3742">
        <v>0.2</v>
      </c>
      <c r="I3742">
        <v>3</v>
      </c>
      <c r="J3742">
        <v>6</v>
      </c>
    </row>
    <row r="3743" spans="1:10" x14ac:dyDescent="0.25">
      <c r="A3743" t="s">
        <v>6268</v>
      </c>
      <c r="B3743" s="3">
        <v>45382</v>
      </c>
      <c r="C3743" t="s">
        <v>679</v>
      </c>
      <c r="D3743" t="s">
        <v>3513</v>
      </c>
      <c r="E3743">
        <v>2</v>
      </c>
      <c r="F3743" t="s">
        <v>3523</v>
      </c>
      <c r="G3743" t="s">
        <v>3517</v>
      </c>
      <c r="H3743">
        <v>2.5</v>
      </c>
      <c r="I3743">
        <v>29.8</v>
      </c>
      <c r="J3743">
        <v>59.6</v>
      </c>
    </row>
    <row r="3744" spans="1:10" x14ac:dyDescent="0.25">
      <c r="A3744" t="s">
        <v>6269</v>
      </c>
      <c r="B3744" s="3">
        <v>44470</v>
      </c>
      <c r="C3744" t="s">
        <v>661</v>
      </c>
      <c r="D3744" t="s">
        <v>3490</v>
      </c>
      <c r="E3744">
        <v>3</v>
      </c>
      <c r="F3744" t="s">
        <v>3525</v>
      </c>
      <c r="G3744" t="s">
        <v>3519</v>
      </c>
      <c r="H3744">
        <v>0.2</v>
      </c>
      <c r="I3744">
        <v>4.4000000000000004</v>
      </c>
      <c r="J3744">
        <v>13.2</v>
      </c>
    </row>
    <row r="3745" spans="1:10" x14ac:dyDescent="0.25">
      <c r="A3745" t="s">
        <v>6270</v>
      </c>
      <c r="B3745" s="3">
        <v>44700</v>
      </c>
      <c r="C3745" t="s">
        <v>1628</v>
      </c>
      <c r="D3745" t="s">
        <v>3495</v>
      </c>
      <c r="E3745">
        <v>2</v>
      </c>
      <c r="F3745" t="s">
        <v>3525</v>
      </c>
      <c r="G3745" t="s">
        <v>3517</v>
      </c>
      <c r="H3745">
        <v>2.5</v>
      </c>
      <c r="I3745">
        <v>36.5</v>
      </c>
      <c r="J3745">
        <v>73</v>
      </c>
    </row>
    <row r="3746" spans="1:10" x14ac:dyDescent="0.25">
      <c r="A3746" t="s">
        <v>6271</v>
      </c>
      <c r="B3746" s="3">
        <v>45334</v>
      </c>
      <c r="C3746" t="s">
        <v>2186</v>
      </c>
      <c r="D3746" t="s">
        <v>3497</v>
      </c>
      <c r="E3746">
        <v>4</v>
      </c>
      <c r="F3746" t="s">
        <v>3526</v>
      </c>
      <c r="G3746" t="s">
        <v>3519</v>
      </c>
      <c r="H3746">
        <v>2.5</v>
      </c>
      <c r="I3746">
        <v>31.6</v>
      </c>
      <c r="J3746">
        <v>126.4</v>
      </c>
    </row>
    <row r="3747" spans="1:10" x14ac:dyDescent="0.25">
      <c r="A3747" t="s">
        <v>6272</v>
      </c>
      <c r="B3747" s="3">
        <v>45476</v>
      </c>
      <c r="C3747" t="s">
        <v>3148</v>
      </c>
      <c r="D3747" t="s">
        <v>3481</v>
      </c>
      <c r="E3747">
        <v>3</v>
      </c>
      <c r="F3747" t="s">
        <v>3525</v>
      </c>
      <c r="G3747" t="s">
        <v>3518</v>
      </c>
      <c r="H3747">
        <v>0.2</v>
      </c>
      <c r="I3747">
        <v>3.9</v>
      </c>
      <c r="J3747">
        <v>11.7</v>
      </c>
    </row>
    <row r="3748" spans="1:10" x14ac:dyDescent="0.25">
      <c r="A3748" t="s">
        <v>6273</v>
      </c>
      <c r="B3748" s="3">
        <v>44594</v>
      </c>
      <c r="C3748" t="s">
        <v>790</v>
      </c>
      <c r="D3748" t="s">
        <v>3475</v>
      </c>
      <c r="E3748">
        <v>6</v>
      </c>
      <c r="F3748" t="s">
        <v>3526</v>
      </c>
      <c r="G3748" t="s">
        <v>3518</v>
      </c>
      <c r="H3748">
        <v>0.5</v>
      </c>
      <c r="I3748">
        <v>7.3</v>
      </c>
      <c r="J3748">
        <v>43.8</v>
      </c>
    </row>
    <row r="3749" spans="1:10" x14ac:dyDescent="0.25">
      <c r="A3749" t="s">
        <v>6274</v>
      </c>
      <c r="B3749" s="3">
        <v>45369</v>
      </c>
      <c r="C3749" t="s">
        <v>2143</v>
      </c>
      <c r="D3749" t="s">
        <v>3492</v>
      </c>
      <c r="E3749">
        <v>2</v>
      </c>
      <c r="F3749" t="s">
        <v>3525</v>
      </c>
      <c r="G3749" t="s">
        <v>3517</v>
      </c>
      <c r="H3749">
        <v>0.5</v>
      </c>
      <c r="I3749">
        <v>9.5</v>
      </c>
      <c r="J3749">
        <v>19</v>
      </c>
    </row>
    <row r="3750" spans="1:10" x14ac:dyDescent="0.25">
      <c r="A3750" t="s">
        <v>6275</v>
      </c>
      <c r="B3750" s="3">
        <v>45468</v>
      </c>
      <c r="C3750" t="s">
        <v>2341</v>
      </c>
      <c r="D3750" t="s">
        <v>3516</v>
      </c>
      <c r="E3750">
        <v>5</v>
      </c>
      <c r="F3750" t="s">
        <v>3526</v>
      </c>
      <c r="G3750" t="s">
        <v>3518</v>
      </c>
      <c r="H3750">
        <v>2.5</v>
      </c>
      <c r="I3750">
        <v>27.9</v>
      </c>
      <c r="J3750">
        <v>139.5</v>
      </c>
    </row>
    <row r="3751" spans="1:10" x14ac:dyDescent="0.25">
      <c r="A3751" t="s">
        <v>6276</v>
      </c>
      <c r="B3751" s="3">
        <v>43943</v>
      </c>
      <c r="C3751" t="s">
        <v>2236</v>
      </c>
      <c r="D3751" t="s">
        <v>3495</v>
      </c>
      <c r="E3751">
        <v>6</v>
      </c>
      <c r="F3751" t="s">
        <v>3525</v>
      </c>
      <c r="G3751" t="s">
        <v>3517</v>
      </c>
      <c r="H3751">
        <v>2.5</v>
      </c>
      <c r="I3751">
        <v>36.5</v>
      </c>
      <c r="J3751">
        <v>219</v>
      </c>
    </row>
    <row r="3752" spans="1:10" x14ac:dyDescent="0.25">
      <c r="A3752" t="s">
        <v>6277</v>
      </c>
      <c r="B3752" s="3">
        <v>45363</v>
      </c>
      <c r="C3752" t="s">
        <v>1809</v>
      </c>
      <c r="D3752" t="s">
        <v>3516</v>
      </c>
      <c r="E3752">
        <v>3</v>
      </c>
      <c r="F3752" t="s">
        <v>3526</v>
      </c>
      <c r="G3752" t="s">
        <v>3518</v>
      </c>
      <c r="H3752">
        <v>2.5</v>
      </c>
      <c r="I3752">
        <v>27.9</v>
      </c>
      <c r="J3752">
        <v>83.7</v>
      </c>
    </row>
    <row r="3753" spans="1:10" x14ac:dyDescent="0.25">
      <c r="A3753" t="s">
        <v>6278</v>
      </c>
      <c r="B3753" s="3">
        <v>45555</v>
      </c>
      <c r="C3753" t="s">
        <v>2174</v>
      </c>
      <c r="D3753" t="s">
        <v>3501</v>
      </c>
      <c r="E3753">
        <v>5</v>
      </c>
      <c r="F3753" t="s">
        <v>3525</v>
      </c>
      <c r="G3753" t="s">
        <v>3517</v>
      </c>
      <c r="H3753">
        <v>1</v>
      </c>
      <c r="I3753">
        <v>15.9</v>
      </c>
      <c r="J3753">
        <v>79.5</v>
      </c>
    </row>
    <row r="3754" spans="1:10" x14ac:dyDescent="0.25">
      <c r="A3754" t="s">
        <v>6279</v>
      </c>
      <c r="B3754" s="3">
        <v>44952</v>
      </c>
      <c r="C3754" t="s">
        <v>2275</v>
      </c>
      <c r="D3754" t="s">
        <v>3485</v>
      </c>
      <c r="E3754">
        <v>6</v>
      </c>
      <c r="F3754" t="s">
        <v>3523</v>
      </c>
      <c r="G3754" t="s">
        <v>3518</v>
      </c>
      <c r="H3754">
        <v>0.2</v>
      </c>
      <c r="I3754">
        <v>3</v>
      </c>
      <c r="J3754">
        <v>18</v>
      </c>
    </row>
    <row r="3755" spans="1:10" x14ac:dyDescent="0.25">
      <c r="A3755" t="s">
        <v>6280</v>
      </c>
      <c r="B3755" s="3">
        <v>43985</v>
      </c>
      <c r="C3755" t="s">
        <v>971</v>
      </c>
      <c r="D3755" t="s">
        <v>3496</v>
      </c>
      <c r="E3755">
        <v>6</v>
      </c>
      <c r="F3755" t="s">
        <v>3525</v>
      </c>
      <c r="G3755" t="s">
        <v>3518</v>
      </c>
      <c r="H3755">
        <v>2.5</v>
      </c>
      <c r="I3755">
        <v>29.8</v>
      </c>
      <c r="J3755">
        <v>178.8</v>
      </c>
    </row>
    <row r="3756" spans="1:10" x14ac:dyDescent="0.25">
      <c r="A3756" t="s">
        <v>6281</v>
      </c>
      <c r="B3756" s="3">
        <v>44856</v>
      </c>
      <c r="C3756" t="s">
        <v>2152</v>
      </c>
      <c r="D3756" t="s">
        <v>3506</v>
      </c>
      <c r="E3756">
        <v>5</v>
      </c>
      <c r="F3756" t="s">
        <v>3523</v>
      </c>
      <c r="G3756" t="s">
        <v>3519</v>
      </c>
      <c r="H3756">
        <v>2.5</v>
      </c>
      <c r="I3756">
        <v>25.9</v>
      </c>
      <c r="J3756">
        <v>129.5</v>
      </c>
    </row>
    <row r="3757" spans="1:10" x14ac:dyDescent="0.25">
      <c r="A3757" t="s">
        <v>6282</v>
      </c>
      <c r="B3757" s="3">
        <v>44592</v>
      </c>
      <c r="C3757" t="s">
        <v>638</v>
      </c>
      <c r="D3757" t="s">
        <v>3502</v>
      </c>
      <c r="E3757">
        <v>6</v>
      </c>
      <c r="F3757" t="s">
        <v>3526</v>
      </c>
      <c r="G3757" t="s">
        <v>3517</v>
      </c>
      <c r="H3757">
        <v>1</v>
      </c>
      <c r="I3757">
        <v>14.9</v>
      </c>
      <c r="J3757">
        <v>89.4</v>
      </c>
    </row>
    <row r="3758" spans="1:10" x14ac:dyDescent="0.25">
      <c r="A3758" t="s">
        <v>6283</v>
      </c>
      <c r="B3758" s="3">
        <v>44861</v>
      </c>
      <c r="C3758" t="s">
        <v>2152</v>
      </c>
      <c r="D3758" t="s">
        <v>3506</v>
      </c>
      <c r="E3758">
        <v>5</v>
      </c>
      <c r="F3758" t="s">
        <v>3523</v>
      </c>
      <c r="G3758" t="s">
        <v>3519</v>
      </c>
      <c r="H3758">
        <v>2.5</v>
      </c>
      <c r="I3758">
        <v>25.9</v>
      </c>
      <c r="J3758">
        <v>129.5</v>
      </c>
    </row>
    <row r="3759" spans="1:10" x14ac:dyDescent="0.25">
      <c r="A3759" t="s">
        <v>6284</v>
      </c>
      <c r="B3759" s="3">
        <v>45324</v>
      </c>
      <c r="C3759" t="s">
        <v>829</v>
      </c>
      <c r="D3759" t="s">
        <v>3482</v>
      </c>
      <c r="E3759">
        <v>1</v>
      </c>
      <c r="F3759" t="s">
        <v>3524</v>
      </c>
      <c r="G3759" t="s">
        <v>3519</v>
      </c>
      <c r="H3759">
        <v>2.5</v>
      </c>
      <c r="I3759">
        <v>22.9</v>
      </c>
      <c r="J3759">
        <v>22.9</v>
      </c>
    </row>
    <row r="3760" spans="1:10" x14ac:dyDescent="0.25">
      <c r="A3760" t="s">
        <v>6285</v>
      </c>
      <c r="B3760" s="3">
        <v>45249</v>
      </c>
      <c r="C3760" t="s">
        <v>2766</v>
      </c>
      <c r="D3760" t="s">
        <v>3502</v>
      </c>
      <c r="E3760">
        <v>5</v>
      </c>
      <c r="F3760" t="s">
        <v>3526</v>
      </c>
      <c r="G3760" t="s">
        <v>3517</v>
      </c>
      <c r="H3760">
        <v>1</v>
      </c>
      <c r="I3760">
        <v>14.9</v>
      </c>
      <c r="J3760">
        <v>74.5</v>
      </c>
    </row>
    <row r="3761" spans="1:10" x14ac:dyDescent="0.25">
      <c r="A3761" t="s">
        <v>6286</v>
      </c>
      <c r="B3761" s="3">
        <v>44843</v>
      </c>
      <c r="C3761" t="s">
        <v>1714</v>
      </c>
      <c r="D3761" t="s">
        <v>3508</v>
      </c>
      <c r="E3761">
        <v>1</v>
      </c>
      <c r="F3761" t="s">
        <v>3524</v>
      </c>
      <c r="G3761" t="s">
        <v>3518</v>
      </c>
      <c r="H3761">
        <v>1</v>
      </c>
      <c r="I3761">
        <v>9</v>
      </c>
      <c r="J3761">
        <v>9</v>
      </c>
    </row>
    <row r="3762" spans="1:10" x14ac:dyDescent="0.25">
      <c r="A3762" t="s">
        <v>6287</v>
      </c>
      <c r="B3762" s="3">
        <v>45368</v>
      </c>
      <c r="C3762" t="s">
        <v>3124</v>
      </c>
      <c r="D3762" t="s">
        <v>3471</v>
      </c>
      <c r="E3762">
        <v>1</v>
      </c>
      <c r="F3762" t="s">
        <v>3523</v>
      </c>
      <c r="G3762" t="s">
        <v>3517</v>
      </c>
      <c r="H3762">
        <v>1</v>
      </c>
      <c r="I3762">
        <v>13</v>
      </c>
      <c r="J3762">
        <v>13</v>
      </c>
    </row>
    <row r="3763" spans="1:10" x14ac:dyDescent="0.25">
      <c r="A3763" t="s">
        <v>6288</v>
      </c>
      <c r="B3763" s="3">
        <v>45203</v>
      </c>
      <c r="C3763" t="s">
        <v>728</v>
      </c>
      <c r="D3763" t="s">
        <v>3479</v>
      </c>
      <c r="E3763">
        <v>6</v>
      </c>
      <c r="F3763" t="s">
        <v>3526</v>
      </c>
      <c r="G3763" t="s">
        <v>3517</v>
      </c>
      <c r="H3763">
        <v>2.5</v>
      </c>
      <c r="I3763">
        <v>34.200000000000003</v>
      </c>
      <c r="J3763">
        <v>205.2</v>
      </c>
    </row>
    <row r="3764" spans="1:10" x14ac:dyDescent="0.25">
      <c r="A3764" t="s">
        <v>6289</v>
      </c>
      <c r="B3764" s="3">
        <v>45060</v>
      </c>
      <c r="C3764" t="s">
        <v>3166</v>
      </c>
      <c r="D3764" t="s">
        <v>3473</v>
      </c>
      <c r="E3764">
        <v>3</v>
      </c>
      <c r="F3764" t="s">
        <v>3524</v>
      </c>
      <c r="G3764" t="s">
        <v>3517</v>
      </c>
      <c r="H3764">
        <v>2.5</v>
      </c>
      <c r="I3764">
        <v>27.5</v>
      </c>
      <c r="J3764">
        <v>82.5</v>
      </c>
    </row>
    <row r="3765" spans="1:10" x14ac:dyDescent="0.25">
      <c r="A3765" t="s">
        <v>6290</v>
      </c>
      <c r="B3765" s="3">
        <v>45563</v>
      </c>
      <c r="C3765" t="s">
        <v>2110</v>
      </c>
      <c r="D3765" t="s">
        <v>3513</v>
      </c>
      <c r="E3765">
        <v>5</v>
      </c>
      <c r="F3765" t="s">
        <v>3523</v>
      </c>
      <c r="G3765" t="s">
        <v>3517</v>
      </c>
      <c r="H3765">
        <v>2.5</v>
      </c>
      <c r="I3765">
        <v>29.8</v>
      </c>
      <c r="J3765">
        <v>149</v>
      </c>
    </row>
    <row r="3766" spans="1:10" x14ac:dyDescent="0.25">
      <c r="A3766" t="s">
        <v>6291</v>
      </c>
      <c r="B3766" s="3">
        <v>45133</v>
      </c>
      <c r="C3766" t="s">
        <v>2149</v>
      </c>
      <c r="D3766" t="s">
        <v>3510</v>
      </c>
      <c r="E3766">
        <v>5</v>
      </c>
      <c r="F3766" t="s">
        <v>3524</v>
      </c>
      <c r="G3766" t="s">
        <v>3517</v>
      </c>
      <c r="H3766">
        <v>1</v>
      </c>
      <c r="I3766">
        <v>12</v>
      </c>
      <c r="J3766">
        <v>60</v>
      </c>
    </row>
    <row r="3767" spans="1:10" x14ac:dyDescent="0.25">
      <c r="A3767" t="s">
        <v>6292</v>
      </c>
      <c r="B3767" s="3">
        <v>44578</v>
      </c>
      <c r="C3767" t="s">
        <v>2843</v>
      </c>
      <c r="D3767" t="s">
        <v>3472</v>
      </c>
      <c r="E3767">
        <v>4</v>
      </c>
      <c r="F3767" t="s">
        <v>3526</v>
      </c>
      <c r="G3767" t="s">
        <v>3519</v>
      </c>
      <c r="H3767">
        <v>1</v>
      </c>
      <c r="I3767">
        <v>13.8</v>
      </c>
      <c r="J3767">
        <v>55.2</v>
      </c>
    </row>
    <row r="3768" spans="1:10" x14ac:dyDescent="0.25">
      <c r="A3768" t="s">
        <v>6293</v>
      </c>
      <c r="B3768" s="3">
        <v>43703</v>
      </c>
      <c r="C3768" t="s">
        <v>941</v>
      </c>
      <c r="D3768" t="s">
        <v>3494</v>
      </c>
      <c r="E3768">
        <v>6</v>
      </c>
      <c r="F3768" t="s">
        <v>3524</v>
      </c>
      <c r="G3768" t="s">
        <v>3518</v>
      </c>
      <c r="H3768">
        <v>0.2</v>
      </c>
      <c r="I3768">
        <v>2.7</v>
      </c>
      <c r="J3768">
        <v>16.2</v>
      </c>
    </row>
    <row r="3769" spans="1:10" x14ac:dyDescent="0.25">
      <c r="A3769" t="s">
        <v>6294</v>
      </c>
      <c r="B3769" s="3">
        <v>45625</v>
      </c>
      <c r="C3769" t="s">
        <v>3145</v>
      </c>
      <c r="D3769" t="s">
        <v>3496</v>
      </c>
      <c r="E3769">
        <v>4</v>
      </c>
      <c r="F3769" t="s">
        <v>3525</v>
      </c>
      <c r="G3769" t="s">
        <v>3518</v>
      </c>
      <c r="H3769">
        <v>2.5</v>
      </c>
      <c r="I3769">
        <v>29.8</v>
      </c>
      <c r="J3769">
        <v>119.2</v>
      </c>
    </row>
    <row r="3770" spans="1:10" x14ac:dyDescent="0.25">
      <c r="A3770" t="s">
        <v>6295</v>
      </c>
      <c r="B3770" s="3">
        <v>44789</v>
      </c>
      <c r="C3770" t="s">
        <v>2095</v>
      </c>
      <c r="D3770" t="s">
        <v>3479</v>
      </c>
      <c r="E3770">
        <v>5</v>
      </c>
      <c r="F3770" t="s">
        <v>3526</v>
      </c>
      <c r="G3770" t="s">
        <v>3517</v>
      </c>
      <c r="H3770">
        <v>2.5</v>
      </c>
      <c r="I3770">
        <v>34.200000000000003</v>
      </c>
      <c r="J3770">
        <v>171</v>
      </c>
    </row>
    <row r="3771" spans="1:10" x14ac:dyDescent="0.25">
      <c r="A3771" t="s">
        <v>6296</v>
      </c>
      <c r="B3771" s="3">
        <v>45455</v>
      </c>
      <c r="C3771" t="s">
        <v>1125</v>
      </c>
      <c r="D3771" t="s">
        <v>3469</v>
      </c>
      <c r="E3771">
        <v>5</v>
      </c>
      <c r="F3771" t="s">
        <v>3524</v>
      </c>
      <c r="G3771" t="s">
        <v>3519</v>
      </c>
      <c r="H3771">
        <v>1</v>
      </c>
      <c r="I3771">
        <v>10</v>
      </c>
      <c r="J3771">
        <v>50</v>
      </c>
    </row>
    <row r="3772" spans="1:10" x14ac:dyDescent="0.25">
      <c r="A3772" t="s">
        <v>6297</v>
      </c>
      <c r="B3772" s="3">
        <v>45560</v>
      </c>
      <c r="C3772" t="s">
        <v>676</v>
      </c>
      <c r="D3772" t="s">
        <v>3515</v>
      </c>
      <c r="E3772">
        <v>5</v>
      </c>
      <c r="F3772" t="s">
        <v>3526</v>
      </c>
      <c r="G3772" t="s">
        <v>3517</v>
      </c>
      <c r="H3772">
        <v>0.2</v>
      </c>
      <c r="I3772">
        <v>4.5</v>
      </c>
      <c r="J3772">
        <v>22.5</v>
      </c>
    </row>
    <row r="3773" spans="1:10" x14ac:dyDescent="0.25">
      <c r="A3773" t="s">
        <v>6298</v>
      </c>
      <c r="B3773" s="3">
        <v>45513</v>
      </c>
      <c r="C3773" t="s">
        <v>2921</v>
      </c>
      <c r="D3773" t="s">
        <v>3498</v>
      </c>
      <c r="E3773">
        <v>2</v>
      </c>
      <c r="F3773" t="s">
        <v>3523</v>
      </c>
      <c r="G3773" t="s">
        <v>3517</v>
      </c>
      <c r="H3773">
        <v>0.2</v>
      </c>
      <c r="I3773">
        <v>3.9</v>
      </c>
      <c r="J3773">
        <v>7.8</v>
      </c>
    </row>
    <row r="3774" spans="1:10" x14ac:dyDescent="0.25">
      <c r="A3774" t="s">
        <v>6299</v>
      </c>
      <c r="B3774" s="3">
        <v>44768</v>
      </c>
      <c r="C3774" t="s">
        <v>1137</v>
      </c>
      <c r="D3774" t="s">
        <v>3477</v>
      </c>
      <c r="E3774">
        <v>6</v>
      </c>
      <c r="F3774" t="s">
        <v>3524</v>
      </c>
      <c r="G3774" t="s">
        <v>3519</v>
      </c>
      <c r="H3774">
        <v>0.5</v>
      </c>
      <c r="I3774">
        <v>6</v>
      </c>
      <c r="J3774">
        <v>36</v>
      </c>
    </row>
    <row r="3775" spans="1:10" x14ac:dyDescent="0.25">
      <c r="A3775" t="s">
        <v>6300</v>
      </c>
      <c r="B3775" s="3">
        <v>45537</v>
      </c>
      <c r="C3775" t="s">
        <v>2687</v>
      </c>
      <c r="D3775" t="s">
        <v>3496</v>
      </c>
      <c r="E3775">
        <v>6</v>
      </c>
      <c r="F3775" t="s">
        <v>3525</v>
      </c>
      <c r="G3775" t="s">
        <v>3518</v>
      </c>
      <c r="H3775">
        <v>2.5</v>
      </c>
      <c r="I3775">
        <v>29.8</v>
      </c>
      <c r="J3775">
        <v>178.8</v>
      </c>
    </row>
    <row r="3776" spans="1:10" x14ac:dyDescent="0.25">
      <c r="A3776" t="s">
        <v>6301</v>
      </c>
      <c r="B3776" s="3">
        <v>45561</v>
      </c>
      <c r="C3776" t="s">
        <v>601</v>
      </c>
      <c r="D3776" t="s">
        <v>3498</v>
      </c>
      <c r="E3776">
        <v>3</v>
      </c>
      <c r="F3776" t="s">
        <v>3523</v>
      </c>
      <c r="G3776" t="s">
        <v>3517</v>
      </c>
      <c r="H3776">
        <v>0.2</v>
      </c>
      <c r="I3776">
        <v>3.9</v>
      </c>
      <c r="J3776">
        <v>11.7</v>
      </c>
    </row>
    <row r="3777" spans="1:10" x14ac:dyDescent="0.25">
      <c r="A3777" t="s">
        <v>6302</v>
      </c>
      <c r="B3777" s="3">
        <v>44057</v>
      </c>
      <c r="C3777" t="s">
        <v>2027</v>
      </c>
      <c r="D3777" t="s">
        <v>3488</v>
      </c>
      <c r="E3777">
        <v>3</v>
      </c>
      <c r="F3777" t="s">
        <v>3523</v>
      </c>
      <c r="G3777" t="s">
        <v>3519</v>
      </c>
      <c r="H3777">
        <v>0.5</v>
      </c>
      <c r="I3777">
        <v>6.8</v>
      </c>
      <c r="J3777">
        <v>20.399999999999999</v>
      </c>
    </row>
    <row r="3778" spans="1:10" x14ac:dyDescent="0.25">
      <c r="A3778" t="s">
        <v>6303</v>
      </c>
      <c r="B3778" s="3">
        <v>45511</v>
      </c>
      <c r="C3778" t="s">
        <v>1452</v>
      </c>
      <c r="D3778" t="s">
        <v>3473</v>
      </c>
      <c r="E3778">
        <v>1</v>
      </c>
      <c r="F3778" t="s">
        <v>3524</v>
      </c>
      <c r="G3778" t="s">
        <v>3517</v>
      </c>
      <c r="H3778">
        <v>2.5</v>
      </c>
      <c r="I3778">
        <v>27.5</v>
      </c>
      <c r="J3778">
        <v>27.5</v>
      </c>
    </row>
    <row r="3779" spans="1:10" x14ac:dyDescent="0.25">
      <c r="A3779" t="s">
        <v>6304</v>
      </c>
      <c r="B3779" s="3">
        <v>45514</v>
      </c>
      <c r="C3779" t="s">
        <v>1290</v>
      </c>
      <c r="D3779" t="s">
        <v>3507</v>
      </c>
      <c r="E3779">
        <v>6</v>
      </c>
      <c r="F3779" t="s">
        <v>3526</v>
      </c>
      <c r="G3779" t="s">
        <v>3517</v>
      </c>
      <c r="H3779">
        <v>0.5</v>
      </c>
      <c r="I3779">
        <v>8.9</v>
      </c>
      <c r="J3779">
        <v>53.4</v>
      </c>
    </row>
    <row r="3780" spans="1:10" x14ac:dyDescent="0.25">
      <c r="A3780" t="s">
        <v>6305</v>
      </c>
      <c r="B3780" s="3">
        <v>43798</v>
      </c>
      <c r="C3780" t="s">
        <v>1390</v>
      </c>
      <c r="D3780" t="s">
        <v>3486</v>
      </c>
      <c r="E3780">
        <v>2</v>
      </c>
      <c r="F3780" t="s">
        <v>3523</v>
      </c>
      <c r="G3780" t="s">
        <v>3519</v>
      </c>
      <c r="H3780">
        <v>1</v>
      </c>
      <c r="I3780">
        <v>11.3</v>
      </c>
      <c r="J3780">
        <v>22.6</v>
      </c>
    </row>
    <row r="3781" spans="1:10" x14ac:dyDescent="0.25">
      <c r="A3781" t="s">
        <v>6306</v>
      </c>
      <c r="B3781" s="3">
        <v>45526</v>
      </c>
      <c r="C3781" t="s">
        <v>1755</v>
      </c>
      <c r="D3781" t="s">
        <v>3508</v>
      </c>
      <c r="E3781">
        <v>2</v>
      </c>
      <c r="F3781" t="s">
        <v>3524</v>
      </c>
      <c r="G3781" t="s">
        <v>3518</v>
      </c>
      <c r="H3781">
        <v>1</v>
      </c>
      <c r="I3781">
        <v>9</v>
      </c>
      <c r="J3781">
        <v>18</v>
      </c>
    </row>
    <row r="3782" spans="1:10" x14ac:dyDescent="0.25">
      <c r="A3782" t="s">
        <v>6307</v>
      </c>
      <c r="B3782" s="3">
        <v>45357</v>
      </c>
      <c r="C3782" t="s">
        <v>2485</v>
      </c>
      <c r="D3782" t="s">
        <v>3474</v>
      </c>
      <c r="E3782">
        <v>6</v>
      </c>
      <c r="F3782" t="s">
        <v>3525</v>
      </c>
      <c r="G3782" t="s">
        <v>3518</v>
      </c>
      <c r="H3782">
        <v>1</v>
      </c>
      <c r="I3782">
        <v>13</v>
      </c>
      <c r="J3782">
        <v>78</v>
      </c>
    </row>
    <row r="3783" spans="1:10" x14ac:dyDescent="0.25">
      <c r="A3783" t="s">
        <v>6308</v>
      </c>
      <c r="B3783" s="3">
        <v>43752</v>
      </c>
      <c r="C3783" t="s">
        <v>3414</v>
      </c>
      <c r="D3783" t="s">
        <v>3499</v>
      </c>
      <c r="E3783">
        <v>2</v>
      </c>
      <c r="F3783" t="s">
        <v>3523</v>
      </c>
      <c r="G3783" t="s">
        <v>3518</v>
      </c>
      <c r="H3783">
        <v>2.5</v>
      </c>
      <c r="I3783">
        <v>22.9</v>
      </c>
      <c r="J3783">
        <v>45.8</v>
      </c>
    </row>
    <row r="3784" spans="1:10" x14ac:dyDescent="0.25">
      <c r="A3784" t="s">
        <v>6309</v>
      </c>
      <c r="B3784" s="3">
        <v>45208</v>
      </c>
      <c r="C3784" t="s">
        <v>701</v>
      </c>
      <c r="D3784" t="s">
        <v>3507</v>
      </c>
      <c r="E3784">
        <v>6</v>
      </c>
      <c r="F3784" t="s">
        <v>3526</v>
      </c>
      <c r="G3784" t="s">
        <v>3517</v>
      </c>
      <c r="H3784">
        <v>0.5</v>
      </c>
      <c r="I3784">
        <v>8.9</v>
      </c>
      <c r="J3784">
        <v>53.4</v>
      </c>
    </row>
    <row r="3785" spans="1:10" x14ac:dyDescent="0.25">
      <c r="A3785" t="s">
        <v>6310</v>
      </c>
      <c r="B3785" s="3">
        <v>43658</v>
      </c>
      <c r="C3785" t="s">
        <v>2587</v>
      </c>
      <c r="D3785" t="s">
        <v>3476</v>
      </c>
      <c r="E3785">
        <v>3</v>
      </c>
      <c r="F3785" t="s">
        <v>3525</v>
      </c>
      <c r="G3785" t="s">
        <v>3517</v>
      </c>
      <c r="H3785">
        <v>0.2</v>
      </c>
      <c r="I3785">
        <v>4.8</v>
      </c>
      <c r="J3785">
        <v>14.4</v>
      </c>
    </row>
    <row r="3786" spans="1:10" x14ac:dyDescent="0.25">
      <c r="A3786" t="s">
        <v>6311</v>
      </c>
      <c r="B3786" s="3">
        <v>45468</v>
      </c>
      <c r="C3786" t="s">
        <v>2290</v>
      </c>
      <c r="D3786" t="s">
        <v>3504</v>
      </c>
      <c r="E3786">
        <v>6</v>
      </c>
      <c r="F3786" t="s">
        <v>3524</v>
      </c>
      <c r="G3786" t="s">
        <v>3517</v>
      </c>
      <c r="H3786">
        <v>0.5</v>
      </c>
      <c r="I3786">
        <v>7.2</v>
      </c>
      <c r="J3786">
        <v>43.2</v>
      </c>
    </row>
    <row r="3787" spans="1:10" x14ac:dyDescent="0.25">
      <c r="A3787" t="s">
        <v>6312</v>
      </c>
      <c r="B3787" s="3">
        <v>44910</v>
      </c>
      <c r="C3787" t="s">
        <v>2566</v>
      </c>
      <c r="D3787" t="s">
        <v>3484</v>
      </c>
      <c r="E3787">
        <v>1</v>
      </c>
      <c r="F3787" t="s">
        <v>3526</v>
      </c>
      <c r="G3787" t="s">
        <v>3518</v>
      </c>
      <c r="H3787">
        <v>0.2</v>
      </c>
      <c r="I3787">
        <v>3.6</v>
      </c>
      <c r="J3787">
        <v>3.6</v>
      </c>
    </row>
    <row r="3788" spans="1:10" x14ac:dyDescent="0.25">
      <c r="A3788" t="s">
        <v>6313</v>
      </c>
      <c r="B3788" s="3">
        <v>45465</v>
      </c>
      <c r="C3788" t="s">
        <v>990</v>
      </c>
      <c r="D3788" t="s">
        <v>3477</v>
      </c>
      <c r="E3788">
        <v>4</v>
      </c>
      <c r="F3788" t="s">
        <v>3524</v>
      </c>
      <c r="G3788" t="s">
        <v>3519</v>
      </c>
      <c r="H3788">
        <v>0.5</v>
      </c>
      <c r="I3788">
        <v>6</v>
      </c>
      <c r="J3788">
        <v>24</v>
      </c>
    </row>
    <row r="3789" spans="1:10" x14ac:dyDescent="0.25">
      <c r="A3789" t="s">
        <v>6314</v>
      </c>
      <c r="B3789" s="3">
        <v>45272</v>
      </c>
      <c r="C3789" t="s">
        <v>1822</v>
      </c>
      <c r="D3789" t="s">
        <v>3508</v>
      </c>
      <c r="E3789">
        <v>4</v>
      </c>
      <c r="F3789" t="s">
        <v>3524</v>
      </c>
      <c r="G3789" t="s">
        <v>3518</v>
      </c>
      <c r="H3789">
        <v>1</v>
      </c>
      <c r="I3789">
        <v>9</v>
      </c>
      <c r="J3789">
        <v>36</v>
      </c>
    </row>
    <row r="3790" spans="1:10" x14ac:dyDescent="0.25">
      <c r="A3790" t="s">
        <v>6315</v>
      </c>
      <c r="B3790" s="3">
        <v>44161</v>
      </c>
      <c r="C3790" t="s">
        <v>754</v>
      </c>
      <c r="D3790" t="s">
        <v>3470</v>
      </c>
      <c r="E3790">
        <v>2</v>
      </c>
      <c r="F3790" t="s">
        <v>3526</v>
      </c>
      <c r="G3790" t="s">
        <v>3519</v>
      </c>
      <c r="H3790">
        <v>0.5</v>
      </c>
      <c r="I3790">
        <v>8.3000000000000007</v>
      </c>
      <c r="J3790">
        <v>16.600000000000001</v>
      </c>
    </row>
    <row r="3791" spans="1:10" x14ac:dyDescent="0.25">
      <c r="A3791" t="s">
        <v>6316</v>
      </c>
      <c r="B3791" s="3">
        <v>44618</v>
      </c>
      <c r="C3791" t="s">
        <v>3051</v>
      </c>
      <c r="D3791" t="s">
        <v>3504</v>
      </c>
      <c r="E3791">
        <v>6</v>
      </c>
      <c r="F3791" t="s">
        <v>3524</v>
      </c>
      <c r="G3791" t="s">
        <v>3517</v>
      </c>
      <c r="H3791">
        <v>0.5</v>
      </c>
      <c r="I3791">
        <v>7.2</v>
      </c>
      <c r="J3791">
        <v>43.2</v>
      </c>
    </row>
    <row r="3792" spans="1:10" x14ac:dyDescent="0.25">
      <c r="A3792" t="s">
        <v>6317</v>
      </c>
      <c r="B3792" s="3">
        <v>44949</v>
      </c>
      <c r="C3792" t="s">
        <v>3464</v>
      </c>
      <c r="D3792" t="s">
        <v>3477</v>
      </c>
      <c r="E3792">
        <v>2</v>
      </c>
      <c r="F3792" t="s">
        <v>3524</v>
      </c>
      <c r="G3792" t="s">
        <v>3519</v>
      </c>
      <c r="H3792">
        <v>0.5</v>
      </c>
      <c r="I3792">
        <v>6</v>
      </c>
      <c r="J3792">
        <v>12</v>
      </c>
    </row>
    <row r="3793" spans="1:10" x14ac:dyDescent="0.25">
      <c r="A3793" t="s">
        <v>6318</v>
      </c>
      <c r="B3793" s="3">
        <v>45566</v>
      </c>
      <c r="C3793" t="s">
        <v>1312</v>
      </c>
      <c r="D3793" t="s">
        <v>3469</v>
      </c>
      <c r="E3793">
        <v>4</v>
      </c>
      <c r="F3793" t="s">
        <v>3524</v>
      </c>
      <c r="G3793" t="s">
        <v>3519</v>
      </c>
      <c r="H3793">
        <v>1</v>
      </c>
      <c r="I3793">
        <v>10</v>
      </c>
      <c r="J3793">
        <v>40</v>
      </c>
    </row>
    <row r="3794" spans="1:10" x14ac:dyDescent="0.25">
      <c r="A3794" t="s">
        <v>6319</v>
      </c>
      <c r="B3794" s="3">
        <v>44578</v>
      </c>
      <c r="C3794" t="s">
        <v>1145</v>
      </c>
      <c r="D3794" t="s">
        <v>3480</v>
      </c>
      <c r="E3794">
        <v>4</v>
      </c>
      <c r="F3794" t="s">
        <v>3524</v>
      </c>
      <c r="G3794" t="s">
        <v>3518</v>
      </c>
      <c r="H3794">
        <v>2.5</v>
      </c>
      <c r="I3794">
        <v>20.6</v>
      </c>
      <c r="J3794">
        <v>82.4</v>
      </c>
    </row>
    <row r="3795" spans="1:10" x14ac:dyDescent="0.25">
      <c r="A3795" t="s">
        <v>6320</v>
      </c>
      <c r="B3795" s="3">
        <v>44710</v>
      </c>
      <c r="C3795" t="s">
        <v>2927</v>
      </c>
      <c r="D3795" t="s">
        <v>3515</v>
      </c>
      <c r="E3795">
        <v>1</v>
      </c>
      <c r="F3795" t="s">
        <v>3526</v>
      </c>
      <c r="G3795" t="s">
        <v>3517</v>
      </c>
      <c r="H3795">
        <v>0.2</v>
      </c>
      <c r="I3795">
        <v>4.5</v>
      </c>
      <c r="J3795">
        <v>4.5</v>
      </c>
    </row>
    <row r="3796" spans="1:10" x14ac:dyDescent="0.25">
      <c r="A3796" t="s">
        <v>6321</v>
      </c>
      <c r="B3796" s="3">
        <v>44889</v>
      </c>
      <c r="C3796" t="s">
        <v>781</v>
      </c>
      <c r="D3796" t="s">
        <v>3476</v>
      </c>
      <c r="E3796">
        <v>2</v>
      </c>
      <c r="F3796" t="s">
        <v>3525</v>
      </c>
      <c r="G3796" t="s">
        <v>3517</v>
      </c>
      <c r="H3796">
        <v>0.2</v>
      </c>
      <c r="I3796">
        <v>4.8</v>
      </c>
      <c r="J3796">
        <v>9.6</v>
      </c>
    </row>
    <row r="3797" spans="1:10" x14ac:dyDescent="0.25">
      <c r="A3797" t="s">
        <v>6322</v>
      </c>
      <c r="B3797" s="3">
        <v>45615</v>
      </c>
      <c r="C3797" t="s">
        <v>3184</v>
      </c>
      <c r="D3797" t="s">
        <v>3515</v>
      </c>
      <c r="E3797">
        <v>5</v>
      </c>
      <c r="F3797" t="s">
        <v>3526</v>
      </c>
      <c r="G3797" t="s">
        <v>3517</v>
      </c>
      <c r="H3797">
        <v>0.2</v>
      </c>
      <c r="I3797">
        <v>4.5</v>
      </c>
      <c r="J3797">
        <v>22.5</v>
      </c>
    </row>
    <row r="3798" spans="1:10" x14ac:dyDescent="0.25">
      <c r="A3798" t="s">
        <v>6323</v>
      </c>
      <c r="B3798" s="3">
        <v>45033</v>
      </c>
      <c r="C3798" t="s">
        <v>679</v>
      </c>
      <c r="D3798" t="s">
        <v>3502</v>
      </c>
      <c r="E3798">
        <v>2</v>
      </c>
      <c r="F3798" t="s">
        <v>3526</v>
      </c>
      <c r="G3798" t="s">
        <v>3517</v>
      </c>
      <c r="H3798">
        <v>1</v>
      </c>
      <c r="I3798">
        <v>14.9</v>
      </c>
      <c r="J3798">
        <v>29.8</v>
      </c>
    </row>
    <row r="3799" spans="1:10" x14ac:dyDescent="0.25">
      <c r="A3799" t="s">
        <v>6324</v>
      </c>
      <c r="B3799" s="3">
        <v>45325</v>
      </c>
      <c r="C3799" t="s">
        <v>2198</v>
      </c>
      <c r="D3799" t="s">
        <v>3491</v>
      </c>
      <c r="E3799">
        <v>4</v>
      </c>
      <c r="F3799" t="s">
        <v>3525</v>
      </c>
      <c r="G3799" t="s">
        <v>3519</v>
      </c>
      <c r="H3799">
        <v>0.5</v>
      </c>
      <c r="I3799">
        <v>8.6999999999999993</v>
      </c>
      <c r="J3799">
        <v>34.799999999999997</v>
      </c>
    </row>
    <row r="3800" spans="1:10" x14ac:dyDescent="0.25">
      <c r="A3800" t="s">
        <v>6325</v>
      </c>
      <c r="B3800" s="3">
        <v>45350</v>
      </c>
      <c r="C3800" t="s">
        <v>2047</v>
      </c>
      <c r="D3800" t="s">
        <v>3496</v>
      </c>
      <c r="E3800">
        <v>5</v>
      </c>
      <c r="F3800" t="s">
        <v>3525</v>
      </c>
      <c r="G3800" t="s">
        <v>3518</v>
      </c>
      <c r="H3800">
        <v>2.5</v>
      </c>
      <c r="I3800">
        <v>29.8</v>
      </c>
      <c r="J3800">
        <v>149</v>
      </c>
    </row>
    <row r="3801" spans="1:10" x14ac:dyDescent="0.25">
      <c r="A3801" t="s">
        <v>6326</v>
      </c>
      <c r="B3801" s="3">
        <v>44143</v>
      </c>
      <c r="C3801" t="s">
        <v>592</v>
      </c>
      <c r="D3801" t="s">
        <v>3511</v>
      </c>
      <c r="E3801">
        <v>5</v>
      </c>
      <c r="F3801" t="s">
        <v>3523</v>
      </c>
      <c r="G3801" t="s">
        <v>3517</v>
      </c>
      <c r="H3801">
        <v>0.5</v>
      </c>
      <c r="I3801">
        <v>7.8</v>
      </c>
      <c r="J3801">
        <v>39</v>
      </c>
    </row>
    <row r="3802" spans="1:10" x14ac:dyDescent="0.25">
      <c r="A3802" t="s">
        <v>6327</v>
      </c>
      <c r="B3802" s="3">
        <v>45429</v>
      </c>
      <c r="C3802" t="s">
        <v>2843</v>
      </c>
      <c r="D3802" t="s">
        <v>3475</v>
      </c>
      <c r="E3802">
        <v>3</v>
      </c>
      <c r="F3802" t="s">
        <v>3526</v>
      </c>
      <c r="G3802" t="s">
        <v>3518</v>
      </c>
      <c r="H3802">
        <v>0.5</v>
      </c>
      <c r="I3802">
        <v>7.3</v>
      </c>
      <c r="J3802">
        <v>21.9</v>
      </c>
    </row>
    <row r="3803" spans="1:10" x14ac:dyDescent="0.25">
      <c r="A3803" t="s">
        <v>6328</v>
      </c>
      <c r="B3803" s="3">
        <v>45635</v>
      </c>
      <c r="C3803" t="s">
        <v>1538</v>
      </c>
      <c r="D3803" t="s">
        <v>3482</v>
      </c>
      <c r="E3803">
        <v>1</v>
      </c>
      <c r="F3803" t="s">
        <v>3524</v>
      </c>
      <c r="G3803" t="s">
        <v>3519</v>
      </c>
      <c r="H3803">
        <v>2.5</v>
      </c>
      <c r="I3803">
        <v>22.9</v>
      </c>
      <c r="J3803">
        <v>22.9</v>
      </c>
    </row>
    <row r="3804" spans="1:10" x14ac:dyDescent="0.25">
      <c r="A3804" t="s">
        <v>6329</v>
      </c>
      <c r="B3804" s="3">
        <v>44948</v>
      </c>
      <c r="C3804" t="s">
        <v>3181</v>
      </c>
      <c r="D3804" t="s">
        <v>3495</v>
      </c>
      <c r="E3804">
        <v>2</v>
      </c>
      <c r="F3804" t="s">
        <v>3525</v>
      </c>
      <c r="G3804" t="s">
        <v>3517</v>
      </c>
      <c r="H3804">
        <v>2.5</v>
      </c>
      <c r="I3804">
        <v>36.5</v>
      </c>
      <c r="J3804">
        <v>73</v>
      </c>
    </row>
    <row r="3805" spans="1:10" x14ac:dyDescent="0.25">
      <c r="A3805" t="s">
        <v>6330</v>
      </c>
      <c r="B3805" s="3">
        <v>45478</v>
      </c>
      <c r="C3805" t="s">
        <v>1723</v>
      </c>
      <c r="D3805" t="s">
        <v>3491</v>
      </c>
      <c r="E3805">
        <v>3</v>
      </c>
      <c r="F3805" t="s">
        <v>3525</v>
      </c>
      <c r="G3805" t="s">
        <v>3519</v>
      </c>
      <c r="H3805">
        <v>0.5</v>
      </c>
      <c r="I3805">
        <v>8.6999999999999993</v>
      </c>
      <c r="J3805">
        <v>26.1</v>
      </c>
    </row>
    <row r="3806" spans="1:10" x14ac:dyDescent="0.25">
      <c r="A3806" t="s">
        <v>6331</v>
      </c>
      <c r="B3806" s="3">
        <v>44838</v>
      </c>
      <c r="C3806" t="s">
        <v>1390</v>
      </c>
      <c r="D3806" t="s">
        <v>3511</v>
      </c>
      <c r="E3806">
        <v>5</v>
      </c>
      <c r="F3806" t="s">
        <v>3523</v>
      </c>
      <c r="G3806" t="s">
        <v>3517</v>
      </c>
      <c r="H3806">
        <v>0.5</v>
      </c>
      <c r="I3806">
        <v>7.8</v>
      </c>
      <c r="J3806">
        <v>39</v>
      </c>
    </row>
    <row r="3807" spans="1:10" x14ac:dyDescent="0.25">
      <c r="A3807" t="s">
        <v>6332</v>
      </c>
      <c r="B3807" s="3">
        <v>45349</v>
      </c>
      <c r="C3807" t="s">
        <v>3279</v>
      </c>
      <c r="D3807" t="s">
        <v>3474</v>
      </c>
      <c r="E3807">
        <v>3</v>
      </c>
      <c r="F3807" t="s">
        <v>3525</v>
      </c>
      <c r="G3807" t="s">
        <v>3518</v>
      </c>
      <c r="H3807">
        <v>1</v>
      </c>
      <c r="I3807">
        <v>13</v>
      </c>
      <c r="J3807">
        <v>39</v>
      </c>
    </row>
    <row r="3808" spans="1:10" x14ac:dyDescent="0.25">
      <c r="A3808" t="s">
        <v>6333</v>
      </c>
      <c r="B3808" s="3">
        <v>44511</v>
      </c>
      <c r="C3808" t="s">
        <v>2254</v>
      </c>
      <c r="D3808" t="s">
        <v>3514</v>
      </c>
      <c r="E3808">
        <v>1</v>
      </c>
      <c r="F3808" t="s">
        <v>3526</v>
      </c>
      <c r="G3808" t="s">
        <v>3518</v>
      </c>
      <c r="H3808">
        <v>1</v>
      </c>
      <c r="I3808">
        <v>12.2</v>
      </c>
      <c r="J3808">
        <v>12.2</v>
      </c>
    </row>
    <row r="3809" spans="1:10" x14ac:dyDescent="0.25">
      <c r="A3809" t="s">
        <v>6334</v>
      </c>
      <c r="B3809" s="3">
        <v>44057</v>
      </c>
      <c r="C3809" t="s">
        <v>1354</v>
      </c>
      <c r="D3809" t="s">
        <v>3484</v>
      </c>
      <c r="E3809">
        <v>1</v>
      </c>
      <c r="F3809" t="s">
        <v>3526</v>
      </c>
      <c r="G3809" t="s">
        <v>3518</v>
      </c>
      <c r="H3809">
        <v>0.2</v>
      </c>
      <c r="I3809">
        <v>3.6</v>
      </c>
      <c r="J3809">
        <v>3.6</v>
      </c>
    </row>
    <row r="3810" spans="1:10" x14ac:dyDescent="0.25">
      <c r="A3810" t="s">
        <v>6335</v>
      </c>
      <c r="B3810" s="3">
        <v>44714</v>
      </c>
      <c r="C3810" t="s">
        <v>667</v>
      </c>
      <c r="D3810" t="s">
        <v>3470</v>
      </c>
      <c r="E3810">
        <v>6</v>
      </c>
      <c r="F3810" t="s">
        <v>3526</v>
      </c>
      <c r="G3810" t="s">
        <v>3519</v>
      </c>
      <c r="H3810">
        <v>0.5</v>
      </c>
      <c r="I3810">
        <v>8.3000000000000007</v>
      </c>
      <c r="J3810">
        <v>49.8</v>
      </c>
    </row>
    <row r="3811" spans="1:10" x14ac:dyDescent="0.25">
      <c r="A3811" t="s">
        <v>6336</v>
      </c>
      <c r="B3811" s="3">
        <v>45146</v>
      </c>
      <c r="C3811" t="s">
        <v>959</v>
      </c>
      <c r="D3811" t="s">
        <v>3495</v>
      </c>
      <c r="E3811">
        <v>1</v>
      </c>
      <c r="F3811" t="s">
        <v>3525</v>
      </c>
      <c r="G3811" t="s">
        <v>3517</v>
      </c>
      <c r="H3811">
        <v>2.5</v>
      </c>
      <c r="I3811">
        <v>36.5</v>
      </c>
      <c r="J3811">
        <v>36.5</v>
      </c>
    </row>
    <row r="3812" spans="1:10" x14ac:dyDescent="0.25">
      <c r="A3812" t="s">
        <v>6337</v>
      </c>
      <c r="B3812" s="3">
        <v>45070</v>
      </c>
      <c r="C3812" t="s">
        <v>1875</v>
      </c>
      <c r="D3812" t="s">
        <v>3502</v>
      </c>
      <c r="E3812">
        <v>3</v>
      </c>
      <c r="F3812" t="s">
        <v>3526</v>
      </c>
      <c r="G3812" t="s">
        <v>3517</v>
      </c>
      <c r="H3812">
        <v>1</v>
      </c>
      <c r="I3812">
        <v>14.9</v>
      </c>
      <c r="J3812">
        <v>44.7</v>
      </c>
    </row>
    <row r="3813" spans="1:10" x14ac:dyDescent="0.25">
      <c r="A3813" t="s">
        <v>6338</v>
      </c>
      <c r="B3813" s="3">
        <v>45596</v>
      </c>
      <c r="C3813" t="s">
        <v>2515</v>
      </c>
      <c r="D3813" t="s">
        <v>3491</v>
      </c>
      <c r="E3813">
        <v>1</v>
      </c>
      <c r="F3813" t="s">
        <v>3525</v>
      </c>
      <c r="G3813" t="s">
        <v>3519</v>
      </c>
      <c r="H3813">
        <v>0.5</v>
      </c>
      <c r="I3813">
        <v>8.6999999999999993</v>
      </c>
      <c r="J3813">
        <v>8.6999999999999993</v>
      </c>
    </row>
    <row r="3814" spans="1:10" x14ac:dyDescent="0.25">
      <c r="A3814" t="s">
        <v>6339</v>
      </c>
      <c r="B3814" s="3">
        <v>44963</v>
      </c>
      <c r="C3814" t="s">
        <v>984</v>
      </c>
      <c r="D3814" t="s">
        <v>3498</v>
      </c>
      <c r="E3814">
        <v>4</v>
      </c>
      <c r="F3814" t="s">
        <v>3523</v>
      </c>
      <c r="G3814" t="s">
        <v>3517</v>
      </c>
      <c r="H3814">
        <v>0.2</v>
      </c>
      <c r="I3814">
        <v>3.9</v>
      </c>
      <c r="J3814">
        <v>15.6</v>
      </c>
    </row>
    <row r="3815" spans="1:10" x14ac:dyDescent="0.25">
      <c r="A3815" t="s">
        <v>6340</v>
      </c>
      <c r="B3815" s="3">
        <v>44344</v>
      </c>
      <c r="C3815" t="s">
        <v>1196</v>
      </c>
      <c r="D3815" t="s">
        <v>3504</v>
      </c>
      <c r="E3815">
        <v>2</v>
      </c>
      <c r="F3815" t="s">
        <v>3524</v>
      </c>
      <c r="G3815" t="s">
        <v>3517</v>
      </c>
      <c r="H3815">
        <v>0.5</v>
      </c>
      <c r="I3815">
        <v>7.2</v>
      </c>
      <c r="J3815">
        <v>14.4</v>
      </c>
    </row>
    <row r="3816" spans="1:10" x14ac:dyDescent="0.25">
      <c r="A3816" t="s">
        <v>6341</v>
      </c>
      <c r="B3816" s="3">
        <v>45154</v>
      </c>
      <c r="C3816" t="s">
        <v>1610</v>
      </c>
      <c r="D3816" t="s">
        <v>3483</v>
      </c>
      <c r="E3816">
        <v>5</v>
      </c>
      <c r="F3816" t="s">
        <v>3523</v>
      </c>
      <c r="G3816" t="s">
        <v>3519</v>
      </c>
      <c r="H3816">
        <v>0.2</v>
      </c>
      <c r="I3816">
        <v>3.4</v>
      </c>
      <c r="J3816">
        <v>17</v>
      </c>
    </row>
    <row r="3817" spans="1:10" x14ac:dyDescent="0.25">
      <c r="A3817" t="s">
        <v>6342</v>
      </c>
      <c r="B3817" s="3">
        <v>45365</v>
      </c>
      <c r="C3817" t="s">
        <v>3124</v>
      </c>
      <c r="D3817" t="s">
        <v>3489</v>
      </c>
      <c r="E3817">
        <v>5</v>
      </c>
      <c r="F3817" t="s">
        <v>3523</v>
      </c>
      <c r="G3817" t="s">
        <v>3518</v>
      </c>
      <c r="H3817">
        <v>0.5</v>
      </c>
      <c r="I3817">
        <v>6</v>
      </c>
      <c r="J3817">
        <v>30</v>
      </c>
    </row>
    <row r="3818" spans="1:10" x14ac:dyDescent="0.25">
      <c r="A3818" t="s">
        <v>6343</v>
      </c>
      <c r="B3818" s="3">
        <v>45098</v>
      </c>
      <c r="C3818" t="s">
        <v>2287</v>
      </c>
      <c r="D3818" t="s">
        <v>3482</v>
      </c>
      <c r="E3818">
        <v>5</v>
      </c>
      <c r="F3818" t="s">
        <v>3524</v>
      </c>
      <c r="G3818" t="s">
        <v>3519</v>
      </c>
      <c r="H3818">
        <v>2.5</v>
      </c>
      <c r="I3818">
        <v>22.9</v>
      </c>
      <c r="J3818">
        <v>114.5</v>
      </c>
    </row>
    <row r="3819" spans="1:10" x14ac:dyDescent="0.25">
      <c r="A3819" t="s">
        <v>6344</v>
      </c>
      <c r="B3819" s="3">
        <v>44946</v>
      </c>
      <c r="C3819" t="s">
        <v>1500</v>
      </c>
      <c r="D3819" t="s">
        <v>3474</v>
      </c>
      <c r="E3819">
        <v>3</v>
      </c>
      <c r="F3819" t="s">
        <v>3525</v>
      </c>
      <c r="G3819" t="s">
        <v>3518</v>
      </c>
      <c r="H3819">
        <v>1</v>
      </c>
      <c r="I3819">
        <v>13</v>
      </c>
      <c r="J3819">
        <v>39</v>
      </c>
    </row>
    <row r="3820" spans="1:10" x14ac:dyDescent="0.25">
      <c r="A3820" t="s">
        <v>6345</v>
      </c>
      <c r="B3820" s="3">
        <v>45094</v>
      </c>
      <c r="C3820" t="s">
        <v>3417</v>
      </c>
      <c r="D3820" t="s">
        <v>3496</v>
      </c>
      <c r="E3820">
        <v>5</v>
      </c>
      <c r="F3820" t="s">
        <v>3525</v>
      </c>
      <c r="G3820" t="s">
        <v>3518</v>
      </c>
      <c r="H3820">
        <v>2.5</v>
      </c>
      <c r="I3820">
        <v>29.8</v>
      </c>
      <c r="J3820">
        <v>149</v>
      </c>
    </row>
    <row r="3821" spans="1:10" x14ac:dyDescent="0.25">
      <c r="A3821" t="s">
        <v>6346</v>
      </c>
      <c r="B3821" s="3">
        <v>45259</v>
      </c>
      <c r="C3821" t="s">
        <v>2672</v>
      </c>
      <c r="D3821" t="s">
        <v>3492</v>
      </c>
      <c r="E3821">
        <v>2</v>
      </c>
      <c r="F3821" t="s">
        <v>3525</v>
      </c>
      <c r="G3821" t="s">
        <v>3517</v>
      </c>
      <c r="H3821">
        <v>0.5</v>
      </c>
      <c r="I3821">
        <v>9.5</v>
      </c>
      <c r="J3821">
        <v>19</v>
      </c>
    </row>
    <row r="3822" spans="1:10" x14ac:dyDescent="0.25">
      <c r="A3822" t="s">
        <v>6347</v>
      </c>
      <c r="B3822" s="3">
        <v>45205</v>
      </c>
      <c r="C3822" t="s">
        <v>2125</v>
      </c>
      <c r="D3822" t="s">
        <v>3495</v>
      </c>
      <c r="E3822">
        <v>1</v>
      </c>
      <c r="F3822" t="s">
        <v>3525</v>
      </c>
      <c r="G3822" t="s">
        <v>3517</v>
      </c>
      <c r="H3822">
        <v>2.5</v>
      </c>
      <c r="I3822">
        <v>36.5</v>
      </c>
      <c r="J3822">
        <v>36.5</v>
      </c>
    </row>
    <row r="3823" spans="1:10" x14ac:dyDescent="0.25">
      <c r="A3823" t="s">
        <v>6348</v>
      </c>
      <c r="B3823" s="3">
        <v>45115</v>
      </c>
      <c r="C3823" t="s">
        <v>2849</v>
      </c>
      <c r="D3823" t="s">
        <v>3496</v>
      </c>
      <c r="E3823">
        <v>5</v>
      </c>
      <c r="F3823" t="s">
        <v>3525</v>
      </c>
      <c r="G3823" t="s">
        <v>3518</v>
      </c>
      <c r="H3823">
        <v>2.5</v>
      </c>
      <c r="I3823">
        <v>29.8</v>
      </c>
      <c r="J3823">
        <v>149</v>
      </c>
    </row>
    <row r="3824" spans="1:10" x14ac:dyDescent="0.25">
      <c r="A3824" t="s">
        <v>6349</v>
      </c>
      <c r="B3824" s="3">
        <v>43927</v>
      </c>
      <c r="C3824" t="s">
        <v>2834</v>
      </c>
      <c r="D3824" t="s">
        <v>3484</v>
      </c>
      <c r="E3824">
        <v>2</v>
      </c>
      <c r="F3824" t="s">
        <v>3526</v>
      </c>
      <c r="G3824" t="s">
        <v>3518</v>
      </c>
      <c r="H3824">
        <v>0.2</v>
      </c>
      <c r="I3824">
        <v>3.6</v>
      </c>
      <c r="J3824">
        <v>7.2</v>
      </c>
    </row>
    <row r="3825" spans="1:10" x14ac:dyDescent="0.25">
      <c r="A3825" t="s">
        <v>6350</v>
      </c>
      <c r="B3825" s="3">
        <v>43881</v>
      </c>
      <c r="C3825" t="s">
        <v>3127</v>
      </c>
      <c r="D3825" t="s">
        <v>3512</v>
      </c>
      <c r="E3825">
        <v>5</v>
      </c>
      <c r="F3825" t="s">
        <v>3525</v>
      </c>
      <c r="G3825" t="s">
        <v>3519</v>
      </c>
      <c r="H3825">
        <v>2.5</v>
      </c>
      <c r="I3825">
        <v>33.5</v>
      </c>
      <c r="J3825">
        <v>167.5</v>
      </c>
    </row>
    <row r="3826" spans="1:10" x14ac:dyDescent="0.25">
      <c r="A3826" t="s">
        <v>6351</v>
      </c>
      <c r="B3826" s="3">
        <v>45446</v>
      </c>
      <c r="C3826" t="s">
        <v>2503</v>
      </c>
      <c r="D3826" t="s">
        <v>3497</v>
      </c>
      <c r="E3826">
        <v>2</v>
      </c>
      <c r="F3826" t="s">
        <v>3526</v>
      </c>
      <c r="G3826" t="s">
        <v>3519</v>
      </c>
      <c r="H3826">
        <v>2.5</v>
      </c>
      <c r="I3826">
        <v>31.6</v>
      </c>
      <c r="J3826">
        <v>63.2</v>
      </c>
    </row>
    <row r="3827" spans="1:10" x14ac:dyDescent="0.25">
      <c r="A3827" t="s">
        <v>6352</v>
      </c>
      <c r="B3827" s="3">
        <v>45211</v>
      </c>
      <c r="C3827" t="s">
        <v>2347</v>
      </c>
      <c r="D3827" t="s">
        <v>3472</v>
      </c>
      <c r="E3827">
        <v>5</v>
      </c>
      <c r="F3827" t="s">
        <v>3526</v>
      </c>
      <c r="G3827" t="s">
        <v>3519</v>
      </c>
      <c r="H3827">
        <v>1</v>
      </c>
      <c r="I3827">
        <v>13.8</v>
      </c>
      <c r="J3827">
        <v>69</v>
      </c>
    </row>
    <row r="3828" spans="1:10" x14ac:dyDescent="0.25">
      <c r="A3828" t="s">
        <v>6353</v>
      </c>
      <c r="B3828" s="3">
        <v>44403</v>
      </c>
      <c r="C3828" t="s">
        <v>1643</v>
      </c>
      <c r="D3828" t="s">
        <v>3513</v>
      </c>
      <c r="E3828">
        <v>4</v>
      </c>
      <c r="F3828" t="s">
        <v>3523</v>
      </c>
      <c r="G3828" t="s">
        <v>3517</v>
      </c>
      <c r="H3828">
        <v>2.5</v>
      </c>
      <c r="I3828">
        <v>29.8</v>
      </c>
      <c r="J3828">
        <v>119.2</v>
      </c>
    </row>
    <row r="3829" spans="1:10" x14ac:dyDescent="0.25">
      <c r="A3829" t="s">
        <v>6354</v>
      </c>
      <c r="B3829" s="3">
        <v>45624</v>
      </c>
      <c r="C3829" t="s">
        <v>1854</v>
      </c>
      <c r="D3829" t="s">
        <v>3477</v>
      </c>
      <c r="E3829">
        <v>3</v>
      </c>
      <c r="F3829" t="s">
        <v>3524</v>
      </c>
      <c r="G3829" t="s">
        <v>3519</v>
      </c>
      <c r="H3829">
        <v>0.5</v>
      </c>
      <c r="I3829">
        <v>6</v>
      </c>
      <c r="J3829">
        <v>18</v>
      </c>
    </row>
    <row r="3830" spans="1:10" x14ac:dyDescent="0.25">
      <c r="A3830" t="s">
        <v>6355</v>
      </c>
      <c r="B3830" s="3">
        <v>43655</v>
      </c>
      <c r="C3830" t="s">
        <v>1217</v>
      </c>
      <c r="D3830" t="s">
        <v>3501</v>
      </c>
      <c r="E3830">
        <v>6</v>
      </c>
      <c r="F3830" t="s">
        <v>3525</v>
      </c>
      <c r="G3830" t="s">
        <v>3517</v>
      </c>
      <c r="H3830">
        <v>1</v>
      </c>
      <c r="I3830">
        <v>15.9</v>
      </c>
      <c r="J3830">
        <v>95.4</v>
      </c>
    </row>
    <row r="3831" spans="1:10" x14ac:dyDescent="0.25">
      <c r="A3831" t="s">
        <v>6356</v>
      </c>
      <c r="B3831" s="3">
        <v>44818</v>
      </c>
      <c r="C3831" t="s">
        <v>838</v>
      </c>
      <c r="D3831" t="s">
        <v>3508</v>
      </c>
      <c r="E3831">
        <v>3</v>
      </c>
      <c r="F3831" t="s">
        <v>3524</v>
      </c>
      <c r="G3831" t="s">
        <v>3518</v>
      </c>
      <c r="H3831">
        <v>1</v>
      </c>
      <c r="I3831">
        <v>9</v>
      </c>
      <c r="J3831">
        <v>27</v>
      </c>
    </row>
    <row r="3832" spans="1:10" x14ac:dyDescent="0.25">
      <c r="A3832" t="s">
        <v>6357</v>
      </c>
      <c r="B3832" s="3">
        <v>45060</v>
      </c>
      <c r="C3832" t="s">
        <v>1125</v>
      </c>
      <c r="D3832" t="s">
        <v>3512</v>
      </c>
      <c r="E3832">
        <v>6</v>
      </c>
      <c r="F3832" t="s">
        <v>3525</v>
      </c>
      <c r="G3832" t="s">
        <v>3519</v>
      </c>
      <c r="H3832">
        <v>2.5</v>
      </c>
      <c r="I3832">
        <v>33.5</v>
      </c>
      <c r="J3832">
        <v>201</v>
      </c>
    </row>
    <row r="3833" spans="1:10" x14ac:dyDescent="0.25">
      <c r="A3833" t="s">
        <v>6358</v>
      </c>
      <c r="B3833" s="3">
        <v>43892</v>
      </c>
      <c r="C3833" t="s">
        <v>763</v>
      </c>
      <c r="D3833" t="s">
        <v>3500</v>
      </c>
      <c r="E3833">
        <v>5</v>
      </c>
      <c r="F3833" t="s">
        <v>3525</v>
      </c>
      <c r="G3833" t="s">
        <v>3518</v>
      </c>
      <c r="H3833">
        <v>0.5</v>
      </c>
      <c r="I3833">
        <v>7.8</v>
      </c>
      <c r="J3833">
        <v>39</v>
      </c>
    </row>
    <row r="3834" spans="1:10" x14ac:dyDescent="0.25">
      <c r="A3834" t="s">
        <v>6359</v>
      </c>
      <c r="B3834" s="3">
        <v>44160</v>
      </c>
      <c r="C3834" t="s">
        <v>1488</v>
      </c>
      <c r="D3834" t="s">
        <v>3487</v>
      </c>
      <c r="E3834">
        <v>5</v>
      </c>
      <c r="F3834" t="s">
        <v>3526</v>
      </c>
      <c r="G3834" t="s">
        <v>3519</v>
      </c>
      <c r="H3834">
        <v>0.2</v>
      </c>
      <c r="I3834">
        <v>4.0999999999999996</v>
      </c>
      <c r="J3834">
        <v>20.5</v>
      </c>
    </row>
    <row r="3835" spans="1:10" x14ac:dyDescent="0.25">
      <c r="A3835" t="s">
        <v>6360</v>
      </c>
      <c r="B3835" s="3">
        <v>44539</v>
      </c>
      <c r="C3835" t="s">
        <v>3066</v>
      </c>
      <c r="D3835" t="s">
        <v>3494</v>
      </c>
      <c r="E3835">
        <v>6</v>
      </c>
      <c r="F3835" t="s">
        <v>3524</v>
      </c>
      <c r="G3835" t="s">
        <v>3518</v>
      </c>
      <c r="H3835">
        <v>0.2</v>
      </c>
      <c r="I3835">
        <v>2.7</v>
      </c>
      <c r="J3835">
        <v>16.2</v>
      </c>
    </row>
    <row r="3836" spans="1:10" x14ac:dyDescent="0.25">
      <c r="A3836" t="s">
        <v>6361</v>
      </c>
      <c r="B3836" s="3">
        <v>44422</v>
      </c>
      <c r="C3836" t="s">
        <v>2405</v>
      </c>
      <c r="D3836" t="s">
        <v>3508</v>
      </c>
      <c r="E3836">
        <v>4</v>
      </c>
      <c r="F3836" t="s">
        <v>3524</v>
      </c>
      <c r="G3836" t="s">
        <v>3518</v>
      </c>
      <c r="H3836">
        <v>1</v>
      </c>
      <c r="I3836">
        <v>9</v>
      </c>
      <c r="J3836">
        <v>36</v>
      </c>
    </row>
    <row r="3837" spans="1:10" x14ac:dyDescent="0.25">
      <c r="A3837" t="s">
        <v>6362</v>
      </c>
      <c r="B3837" s="3">
        <v>44562</v>
      </c>
      <c r="C3837" t="s">
        <v>601</v>
      </c>
      <c r="D3837" t="s">
        <v>3478</v>
      </c>
      <c r="E3837">
        <v>4</v>
      </c>
      <c r="F3837" t="s">
        <v>3523</v>
      </c>
      <c r="G3837" t="s">
        <v>3518</v>
      </c>
      <c r="H3837">
        <v>1</v>
      </c>
      <c r="I3837">
        <v>10</v>
      </c>
      <c r="J3837">
        <v>40</v>
      </c>
    </row>
    <row r="3838" spans="1:10" x14ac:dyDescent="0.25">
      <c r="A3838" t="s">
        <v>6363</v>
      </c>
      <c r="B3838" s="3">
        <v>45341</v>
      </c>
      <c r="C3838" t="s">
        <v>1169</v>
      </c>
      <c r="D3838" t="s">
        <v>3491</v>
      </c>
      <c r="E3838">
        <v>2</v>
      </c>
      <c r="F3838" t="s">
        <v>3525</v>
      </c>
      <c r="G3838" t="s">
        <v>3519</v>
      </c>
      <c r="H3838">
        <v>0.5</v>
      </c>
      <c r="I3838">
        <v>8.6999999999999993</v>
      </c>
      <c r="J3838">
        <v>17.399999999999999</v>
      </c>
    </row>
    <row r="3839" spans="1:10" x14ac:dyDescent="0.25">
      <c r="A3839" t="s">
        <v>6364</v>
      </c>
      <c r="B3839" s="3">
        <v>45349</v>
      </c>
      <c r="C3839" t="s">
        <v>1538</v>
      </c>
      <c r="D3839" t="s">
        <v>3491</v>
      </c>
      <c r="E3839">
        <v>5</v>
      </c>
      <c r="F3839" t="s">
        <v>3525</v>
      </c>
      <c r="G3839" t="s">
        <v>3519</v>
      </c>
      <c r="H3839">
        <v>0.5</v>
      </c>
      <c r="I3839">
        <v>8.6999999999999993</v>
      </c>
      <c r="J3839">
        <v>43.5</v>
      </c>
    </row>
    <row r="3840" spans="1:10" x14ac:dyDescent="0.25">
      <c r="A3840" t="s">
        <v>6365</v>
      </c>
      <c r="B3840" s="3">
        <v>45535</v>
      </c>
      <c r="C3840" t="s">
        <v>1381</v>
      </c>
      <c r="D3840" t="s">
        <v>3490</v>
      </c>
      <c r="E3840">
        <v>5</v>
      </c>
      <c r="F3840" t="s">
        <v>3525</v>
      </c>
      <c r="G3840" t="s">
        <v>3519</v>
      </c>
      <c r="H3840">
        <v>0.2</v>
      </c>
      <c r="I3840">
        <v>4.4000000000000004</v>
      </c>
      <c r="J3840">
        <v>22</v>
      </c>
    </row>
    <row r="3841" spans="1:10" x14ac:dyDescent="0.25">
      <c r="A3841" t="s">
        <v>6366</v>
      </c>
      <c r="B3841" s="3">
        <v>45352</v>
      </c>
      <c r="C3841" t="s">
        <v>3315</v>
      </c>
      <c r="D3841" t="s">
        <v>3503</v>
      </c>
      <c r="E3841">
        <v>3</v>
      </c>
      <c r="F3841" t="s">
        <v>3524</v>
      </c>
      <c r="G3841" t="s">
        <v>3518</v>
      </c>
      <c r="H3841">
        <v>0.5</v>
      </c>
      <c r="I3841">
        <v>5.4</v>
      </c>
      <c r="J3841">
        <v>16.2</v>
      </c>
    </row>
    <row r="3842" spans="1:10" x14ac:dyDescent="0.25">
      <c r="A3842" t="s">
        <v>6367</v>
      </c>
      <c r="B3842" s="3">
        <v>45422</v>
      </c>
      <c r="C3842" t="s">
        <v>2578</v>
      </c>
      <c r="D3842" t="s">
        <v>3496</v>
      </c>
      <c r="E3842">
        <v>5</v>
      </c>
      <c r="F3842" t="s">
        <v>3525</v>
      </c>
      <c r="G3842" t="s">
        <v>3518</v>
      </c>
      <c r="H3842">
        <v>2.5</v>
      </c>
      <c r="I3842">
        <v>29.8</v>
      </c>
      <c r="J3842">
        <v>149</v>
      </c>
    </row>
    <row r="3843" spans="1:10" x14ac:dyDescent="0.25">
      <c r="A3843" t="s">
        <v>6368</v>
      </c>
      <c r="B3843" s="3">
        <v>44638</v>
      </c>
      <c r="C3843" t="s">
        <v>1217</v>
      </c>
      <c r="D3843" t="s">
        <v>3495</v>
      </c>
      <c r="E3843">
        <v>6</v>
      </c>
      <c r="F3843" t="s">
        <v>3525</v>
      </c>
      <c r="G3843" t="s">
        <v>3517</v>
      </c>
      <c r="H3843">
        <v>2.5</v>
      </c>
      <c r="I3843">
        <v>36.5</v>
      </c>
      <c r="J3843">
        <v>219</v>
      </c>
    </row>
    <row r="3844" spans="1:10" x14ac:dyDescent="0.25">
      <c r="A3844" t="s">
        <v>6369</v>
      </c>
      <c r="B3844" s="3">
        <v>45042</v>
      </c>
      <c r="C3844" t="s">
        <v>3429</v>
      </c>
      <c r="D3844" t="s">
        <v>3497</v>
      </c>
      <c r="E3844">
        <v>5</v>
      </c>
      <c r="F3844" t="s">
        <v>3526</v>
      </c>
      <c r="G3844" t="s">
        <v>3519</v>
      </c>
      <c r="H3844">
        <v>2.5</v>
      </c>
      <c r="I3844">
        <v>31.6</v>
      </c>
      <c r="J3844">
        <v>158</v>
      </c>
    </row>
    <row r="3845" spans="1:10" x14ac:dyDescent="0.25">
      <c r="A3845" t="s">
        <v>6370</v>
      </c>
      <c r="B3845" s="3">
        <v>45339</v>
      </c>
      <c r="C3845" t="s">
        <v>2518</v>
      </c>
      <c r="D3845" t="s">
        <v>3498</v>
      </c>
      <c r="E3845">
        <v>3</v>
      </c>
      <c r="F3845" t="s">
        <v>3523</v>
      </c>
      <c r="G3845" t="s">
        <v>3517</v>
      </c>
      <c r="H3845">
        <v>0.2</v>
      </c>
      <c r="I3845">
        <v>3.9</v>
      </c>
      <c r="J3845">
        <v>11.7</v>
      </c>
    </row>
    <row r="3846" spans="1:10" x14ac:dyDescent="0.25">
      <c r="A3846" t="s">
        <v>6371</v>
      </c>
      <c r="B3846" s="3">
        <v>43800</v>
      </c>
      <c r="C3846" t="s">
        <v>2980</v>
      </c>
      <c r="D3846" t="s">
        <v>3509</v>
      </c>
      <c r="E3846">
        <v>2</v>
      </c>
      <c r="F3846" t="s">
        <v>3524</v>
      </c>
      <c r="G3846" t="s">
        <v>3517</v>
      </c>
      <c r="H3846">
        <v>0.2</v>
      </c>
      <c r="I3846">
        <v>3.6</v>
      </c>
      <c r="J3846">
        <v>7.2</v>
      </c>
    </row>
    <row r="3847" spans="1:10" x14ac:dyDescent="0.25">
      <c r="A3847" t="s">
        <v>6372</v>
      </c>
      <c r="B3847" s="3">
        <v>45275</v>
      </c>
      <c r="C3847" t="s">
        <v>3426</v>
      </c>
      <c r="D3847" t="s">
        <v>3483</v>
      </c>
      <c r="E3847">
        <v>2</v>
      </c>
      <c r="F3847" t="s">
        <v>3523</v>
      </c>
      <c r="G3847" t="s">
        <v>3519</v>
      </c>
      <c r="H3847">
        <v>0.2</v>
      </c>
      <c r="I3847">
        <v>3.4</v>
      </c>
      <c r="J3847">
        <v>6.8</v>
      </c>
    </row>
    <row r="3848" spans="1:10" x14ac:dyDescent="0.25">
      <c r="A3848" t="s">
        <v>6373</v>
      </c>
      <c r="B3848" s="3">
        <v>45059</v>
      </c>
      <c r="C3848" t="s">
        <v>2236</v>
      </c>
      <c r="D3848" t="s">
        <v>3499</v>
      </c>
      <c r="E3848">
        <v>4</v>
      </c>
      <c r="F3848" t="s">
        <v>3523</v>
      </c>
      <c r="G3848" t="s">
        <v>3518</v>
      </c>
      <c r="H3848">
        <v>2.5</v>
      </c>
      <c r="I3848">
        <v>22.9</v>
      </c>
      <c r="J3848">
        <v>91.6</v>
      </c>
    </row>
    <row r="3849" spans="1:10" x14ac:dyDescent="0.25">
      <c r="A3849" t="s">
        <v>6374</v>
      </c>
      <c r="B3849" s="3">
        <v>44901</v>
      </c>
      <c r="C3849" t="s">
        <v>2895</v>
      </c>
      <c r="D3849" t="s">
        <v>3473</v>
      </c>
      <c r="E3849">
        <v>5</v>
      </c>
      <c r="F3849" t="s">
        <v>3524</v>
      </c>
      <c r="G3849" t="s">
        <v>3517</v>
      </c>
      <c r="H3849">
        <v>2.5</v>
      </c>
      <c r="I3849">
        <v>27.5</v>
      </c>
      <c r="J3849">
        <v>137.5</v>
      </c>
    </row>
    <row r="3850" spans="1:10" x14ac:dyDescent="0.25">
      <c r="A3850" t="s">
        <v>6375</v>
      </c>
      <c r="B3850" s="3">
        <v>45271</v>
      </c>
      <c r="C3850" t="s">
        <v>1594</v>
      </c>
      <c r="D3850" t="s">
        <v>3497</v>
      </c>
      <c r="E3850">
        <v>6</v>
      </c>
      <c r="F3850" t="s">
        <v>3526</v>
      </c>
      <c r="G3850" t="s">
        <v>3519</v>
      </c>
      <c r="H3850">
        <v>2.5</v>
      </c>
      <c r="I3850">
        <v>31.6</v>
      </c>
      <c r="J3850">
        <v>189.6</v>
      </c>
    </row>
    <row r="3851" spans="1:10" x14ac:dyDescent="0.25">
      <c r="A3851" t="s">
        <v>6376</v>
      </c>
      <c r="B3851" s="3">
        <v>45193</v>
      </c>
      <c r="C3851" t="s">
        <v>1966</v>
      </c>
      <c r="D3851" t="s">
        <v>3510</v>
      </c>
      <c r="E3851">
        <v>4</v>
      </c>
      <c r="F3851" t="s">
        <v>3524</v>
      </c>
      <c r="G3851" t="s">
        <v>3517</v>
      </c>
      <c r="H3851">
        <v>1</v>
      </c>
      <c r="I3851">
        <v>12</v>
      </c>
      <c r="J3851">
        <v>48</v>
      </c>
    </row>
    <row r="3852" spans="1:10" x14ac:dyDescent="0.25">
      <c r="A3852" t="s">
        <v>6377</v>
      </c>
      <c r="B3852" s="3">
        <v>45441</v>
      </c>
      <c r="C3852" t="s">
        <v>1115</v>
      </c>
      <c r="D3852" t="s">
        <v>3470</v>
      </c>
      <c r="E3852">
        <v>2</v>
      </c>
      <c r="F3852" t="s">
        <v>3526</v>
      </c>
      <c r="G3852" t="s">
        <v>3519</v>
      </c>
      <c r="H3852">
        <v>0.5</v>
      </c>
      <c r="I3852">
        <v>8.3000000000000007</v>
      </c>
      <c r="J3852">
        <v>16.600000000000001</v>
      </c>
    </row>
    <row r="3853" spans="1:10" x14ac:dyDescent="0.25">
      <c r="A3853" t="s">
        <v>6378</v>
      </c>
      <c r="B3853" s="3">
        <v>45065</v>
      </c>
      <c r="C3853" t="s">
        <v>2792</v>
      </c>
      <c r="D3853" t="s">
        <v>3506</v>
      </c>
      <c r="E3853">
        <v>4</v>
      </c>
      <c r="F3853" t="s">
        <v>3523</v>
      </c>
      <c r="G3853" t="s">
        <v>3519</v>
      </c>
      <c r="H3853">
        <v>2.5</v>
      </c>
      <c r="I3853">
        <v>25.9</v>
      </c>
      <c r="J3853">
        <v>103.6</v>
      </c>
    </row>
    <row r="3854" spans="1:10" x14ac:dyDescent="0.25">
      <c r="A3854" t="s">
        <v>6379</v>
      </c>
      <c r="B3854" s="3">
        <v>45509</v>
      </c>
      <c r="C3854" t="s">
        <v>1816</v>
      </c>
      <c r="D3854" t="s">
        <v>3515</v>
      </c>
      <c r="E3854">
        <v>4</v>
      </c>
      <c r="F3854" t="s">
        <v>3526</v>
      </c>
      <c r="G3854" t="s">
        <v>3517</v>
      </c>
      <c r="H3854">
        <v>0.2</v>
      </c>
      <c r="I3854">
        <v>4.5</v>
      </c>
      <c r="J3854">
        <v>18</v>
      </c>
    </row>
    <row r="3855" spans="1:10" x14ac:dyDescent="0.25">
      <c r="A3855" t="s">
        <v>6380</v>
      </c>
      <c r="B3855" s="3">
        <v>45556</v>
      </c>
      <c r="C3855" t="s">
        <v>3148</v>
      </c>
      <c r="D3855" t="s">
        <v>3500</v>
      </c>
      <c r="E3855">
        <v>5</v>
      </c>
      <c r="F3855" t="s">
        <v>3525</v>
      </c>
      <c r="G3855" t="s">
        <v>3518</v>
      </c>
      <c r="H3855">
        <v>0.5</v>
      </c>
      <c r="I3855">
        <v>7.8</v>
      </c>
      <c r="J3855">
        <v>39</v>
      </c>
    </row>
    <row r="3856" spans="1:10" x14ac:dyDescent="0.25">
      <c r="A3856" t="s">
        <v>6381</v>
      </c>
      <c r="B3856" s="3">
        <v>45458</v>
      </c>
      <c r="C3856" t="s">
        <v>1655</v>
      </c>
      <c r="D3856" t="s">
        <v>3491</v>
      </c>
      <c r="E3856">
        <v>2</v>
      </c>
      <c r="F3856" t="s">
        <v>3525</v>
      </c>
      <c r="G3856" t="s">
        <v>3519</v>
      </c>
      <c r="H3856">
        <v>0.5</v>
      </c>
      <c r="I3856">
        <v>8.6999999999999993</v>
      </c>
      <c r="J3856">
        <v>17.399999999999999</v>
      </c>
    </row>
    <row r="3857" spans="1:10" x14ac:dyDescent="0.25">
      <c r="A3857" t="s">
        <v>6382</v>
      </c>
      <c r="B3857" s="3">
        <v>43777</v>
      </c>
      <c r="C3857" t="s">
        <v>2056</v>
      </c>
      <c r="D3857" t="s">
        <v>3470</v>
      </c>
      <c r="E3857">
        <v>3</v>
      </c>
      <c r="F3857" t="s">
        <v>3526</v>
      </c>
      <c r="G3857" t="s">
        <v>3519</v>
      </c>
      <c r="H3857">
        <v>0.5</v>
      </c>
      <c r="I3857">
        <v>8.3000000000000007</v>
      </c>
      <c r="J3857">
        <v>24.9</v>
      </c>
    </row>
    <row r="3858" spans="1:10" x14ac:dyDescent="0.25">
      <c r="A3858" t="s">
        <v>6383</v>
      </c>
      <c r="B3858" s="3">
        <v>44317</v>
      </c>
      <c r="C3858" t="s">
        <v>3098</v>
      </c>
      <c r="D3858" t="s">
        <v>3492</v>
      </c>
      <c r="E3858">
        <v>2</v>
      </c>
      <c r="F3858" t="s">
        <v>3525</v>
      </c>
      <c r="G3858" t="s">
        <v>3517</v>
      </c>
      <c r="H3858">
        <v>0.5</v>
      </c>
      <c r="I3858">
        <v>9.5</v>
      </c>
      <c r="J3858">
        <v>19</v>
      </c>
    </row>
    <row r="3859" spans="1:10" x14ac:dyDescent="0.25">
      <c r="A3859" t="s">
        <v>6384</v>
      </c>
      <c r="B3859" s="3">
        <v>44771</v>
      </c>
      <c r="C3859" t="s">
        <v>2168</v>
      </c>
      <c r="D3859" t="s">
        <v>3492</v>
      </c>
      <c r="E3859">
        <v>5</v>
      </c>
      <c r="F3859" t="s">
        <v>3525</v>
      </c>
      <c r="G3859" t="s">
        <v>3517</v>
      </c>
      <c r="H3859">
        <v>0.5</v>
      </c>
      <c r="I3859">
        <v>9.5</v>
      </c>
      <c r="J3859">
        <v>47.5</v>
      </c>
    </row>
    <row r="3860" spans="1:10" x14ac:dyDescent="0.25">
      <c r="A3860" t="s">
        <v>6385</v>
      </c>
      <c r="B3860" s="3">
        <v>44182</v>
      </c>
      <c r="C3860" t="s">
        <v>1819</v>
      </c>
      <c r="D3860" t="s">
        <v>3509</v>
      </c>
      <c r="E3860">
        <v>2</v>
      </c>
      <c r="F3860" t="s">
        <v>3524</v>
      </c>
      <c r="G3860" t="s">
        <v>3517</v>
      </c>
      <c r="H3860">
        <v>0.2</v>
      </c>
      <c r="I3860">
        <v>3.6</v>
      </c>
      <c r="J3860">
        <v>7.2</v>
      </c>
    </row>
    <row r="3861" spans="1:10" x14ac:dyDescent="0.25">
      <c r="A3861" t="s">
        <v>6386</v>
      </c>
      <c r="B3861" s="3">
        <v>44705</v>
      </c>
      <c r="C3861" t="s">
        <v>1253</v>
      </c>
      <c r="D3861" t="s">
        <v>3500</v>
      </c>
      <c r="E3861">
        <v>4</v>
      </c>
      <c r="F3861" t="s">
        <v>3525</v>
      </c>
      <c r="G3861" t="s">
        <v>3518</v>
      </c>
      <c r="H3861">
        <v>0.5</v>
      </c>
      <c r="I3861">
        <v>7.8</v>
      </c>
      <c r="J3861">
        <v>31.2</v>
      </c>
    </row>
    <row r="3862" spans="1:10" x14ac:dyDescent="0.25">
      <c r="A3862" t="s">
        <v>6387</v>
      </c>
      <c r="B3862" s="3">
        <v>43874</v>
      </c>
      <c r="C3862" t="s">
        <v>520</v>
      </c>
      <c r="D3862" t="s">
        <v>3505</v>
      </c>
      <c r="E3862">
        <v>4</v>
      </c>
      <c r="F3862" t="s">
        <v>3524</v>
      </c>
      <c r="G3862" t="s">
        <v>3519</v>
      </c>
      <c r="H3862">
        <v>0.2</v>
      </c>
      <c r="I3862">
        <v>3</v>
      </c>
      <c r="J3862">
        <v>12</v>
      </c>
    </row>
    <row r="3863" spans="1:10" x14ac:dyDescent="0.25">
      <c r="A3863" t="s">
        <v>6388</v>
      </c>
      <c r="B3863" s="3">
        <v>44375</v>
      </c>
      <c r="C3863" t="s">
        <v>2400</v>
      </c>
      <c r="D3863" t="s">
        <v>3502</v>
      </c>
      <c r="E3863">
        <v>5</v>
      </c>
      <c r="F3863" t="s">
        <v>3526</v>
      </c>
      <c r="G3863" t="s">
        <v>3517</v>
      </c>
      <c r="H3863">
        <v>1</v>
      </c>
      <c r="I3863">
        <v>14.9</v>
      </c>
      <c r="J3863">
        <v>74.5</v>
      </c>
    </row>
    <row r="3864" spans="1:10" x14ac:dyDescent="0.25">
      <c r="A3864" t="s">
        <v>6389</v>
      </c>
      <c r="B3864" s="3">
        <v>44699</v>
      </c>
      <c r="C3864" t="s">
        <v>583</v>
      </c>
      <c r="D3864" t="s">
        <v>3513</v>
      </c>
      <c r="E3864">
        <v>3</v>
      </c>
      <c r="F3864" t="s">
        <v>3523</v>
      </c>
      <c r="G3864" t="s">
        <v>3517</v>
      </c>
      <c r="H3864">
        <v>2.5</v>
      </c>
      <c r="I3864">
        <v>29.8</v>
      </c>
      <c r="J3864">
        <v>89.4</v>
      </c>
    </row>
    <row r="3865" spans="1:10" x14ac:dyDescent="0.25">
      <c r="A3865" t="s">
        <v>6390</v>
      </c>
      <c r="B3865" s="3">
        <v>45399</v>
      </c>
      <c r="C3865" t="s">
        <v>1128</v>
      </c>
      <c r="D3865" t="s">
        <v>3490</v>
      </c>
      <c r="E3865">
        <v>4</v>
      </c>
      <c r="F3865" t="s">
        <v>3525</v>
      </c>
      <c r="G3865" t="s">
        <v>3519</v>
      </c>
      <c r="H3865">
        <v>0.2</v>
      </c>
      <c r="I3865">
        <v>4.4000000000000004</v>
      </c>
      <c r="J3865">
        <v>17.600000000000001</v>
      </c>
    </row>
    <row r="3866" spans="1:10" x14ac:dyDescent="0.25">
      <c r="A3866" t="s">
        <v>6391</v>
      </c>
      <c r="B3866" s="3">
        <v>44724</v>
      </c>
      <c r="C3866" t="s">
        <v>661</v>
      </c>
      <c r="D3866" t="s">
        <v>3478</v>
      </c>
      <c r="E3866">
        <v>4</v>
      </c>
      <c r="F3866" t="s">
        <v>3523</v>
      </c>
      <c r="G3866" t="s">
        <v>3518</v>
      </c>
      <c r="H3866">
        <v>1</v>
      </c>
      <c r="I3866">
        <v>10</v>
      </c>
      <c r="J3866">
        <v>40</v>
      </c>
    </row>
    <row r="3867" spans="1:10" x14ac:dyDescent="0.25">
      <c r="A3867" t="s">
        <v>6392</v>
      </c>
      <c r="B3867" s="3">
        <v>43846</v>
      </c>
      <c r="C3867" t="s">
        <v>1556</v>
      </c>
      <c r="D3867" t="s">
        <v>3497</v>
      </c>
      <c r="E3867">
        <v>4</v>
      </c>
      <c r="F3867" t="s">
        <v>3526</v>
      </c>
      <c r="G3867" t="s">
        <v>3519</v>
      </c>
      <c r="H3867">
        <v>2.5</v>
      </c>
      <c r="I3867">
        <v>31.6</v>
      </c>
      <c r="J3867">
        <v>126.4</v>
      </c>
    </row>
    <row r="3868" spans="1:10" x14ac:dyDescent="0.25">
      <c r="A3868" t="s">
        <v>6393</v>
      </c>
      <c r="B3868" s="3">
        <v>45465</v>
      </c>
      <c r="C3868" t="s">
        <v>685</v>
      </c>
      <c r="D3868" t="s">
        <v>3497</v>
      </c>
      <c r="E3868">
        <v>2</v>
      </c>
      <c r="F3868" t="s">
        <v>3526</v>
      </c>
      <c r="G3868" t="s">
        <v>3519</v>
      </c>
      <c r="H3868">
        <v>2.5</v>
      </c>
      <c r="I3868">
        <v>31.6</v>
      </c>
      <c r="J3868">
        <v>63.2</v>
      </c>
    </row>
    <row r="3869" spans="1:10" x14ac:dyDescent="0.25">
      <c r="A3869" t="s">
        <v>6394</v>
      </c>
      <c r="B3869" s="3">
        <v>45236</v>
      </c>
      <c r="C3869" t="s">
        <v>2633</v>
      </c>
      <c r="D3869" t="s">
        <v>3498</v>
      </c>
      <c r="E3869">
        <v>3</v>
      </c>
      <c r="F3869" t="s">
        <v>3523</v>
      </c>
      <c r="G3869" t="s">
        <v>3517</v>
      </c>
      <c r="H3869">
        <v>0.2</v>
      </c>
      <c r="I3869">
        <v>3.9</v>
      </c>
      <c r="J3869">
        <v>11.7</v>
      </c>
    </row>
    <row r="3870" spans="1:10" x14ac:dyDescent="0.25">
      <c r="A3870" t="s">
        <v>6395</v>
      </c>
      <c r="B3870" s="3">
        <v>44946</v>
      </c>
      <c r="C3870" t="s">
        <v>1354</v>
      </c>
      <c r="D3870" t="s">
        <v>3482</v>
      </c>
      <c r="E3870">
        <v>4</v>
      </c>
      <c r="F3870" t="s">
        <v>3524</v>
      </c>
      <c r="G3870" t="s">
        <v>3519</v>
      </c>
      <c r="H3870">
        <v>2.5</v>
      </c>
      <c r="I3870">
        <v>22.9</v>
      </c>
      <c r="J3870">
        <v>91.6</v>
      </c>
    </row>
    <row r="3871" spans="1:10" x14ac:dyDescent="0.25">
      <c r="A3871" t="s">
        <v>6396</v>
      </c>
      <c r="B3871" s="3">
        <v>44903</v>
      </c>
      <c r="C3871" t="s">
        <v>1473</v>
      </c>
      <c r="D3871" t="s">
        <v>3475</v>
      </c>
      <c r="E3871">
        <v>5</v>
      </c>
      <c r="F3871" t="s">
        <v>3526</v>
      </c>
      <c r="G3871" t="s">
        <v>3518</v>
      </c>
      <c r="H3871">
        <v>0.5</v>
      </c>
      <c r="I3871">
        <v>7.3</v>
      </c>
      <c r="J3871">
        <v>36.5</v>
      </c>
    </row>
    <row r="3872" spans="1:10" x14ac:dyDescent="0.25">
      <c r="A3872" t="s">
        <v>6397</v>
      </c>
      <c r="B3872" s="3">
        <v>44679</v>
      </c>
      <c r="C3872" t="s">
        <v>848</v>
      </c>
      <c r="D3872" t="s">
        <v>3506</v>
      </c>
      <c r="E3872">
        <v>6</v>
      </c>
      <c r="F3872" t="s">
        <v>3523</v>
      </c>
      <c r="G3872" t="s">
        <v>3519</v>
      </c>
      <c r="H3872">
        <v>2.5</v>
      </c>
      <c r="I3872">
        <v>25.9</v>
      </c>
      <c r="J3872">
        <v>155.4</v>
      </c>
    </row>
    <row r="3873" spans="1:10" x14ac:dyDescent="0.25">
      <c r="A3873" t="s">
        <v>6398</v>
      </c>
      <c r="B3873" s="3">
        <v>45626</v>
      </c>
      <c r="C3873" t="s">
        <v>2612</v>
      </c>
      <c r="D3873" t="s">
        <v>3477</v>
      </c>
      <c r="E3873">
        <v>3</v>
      </c>
      <c r="F3873" t="s">
        <v>3524</v>
      </c>
      <c r="G3873" t="s">
        <v>3519</v>
      </c>
      <c r="H3873">
        <v>0.5</v>
      </c>
      <c r="I3873">
        <v>6</v>
      </c>
      <c r="J3873">
        <v>18</v>
      </c>
    </row>
    <row r="3874" spans="1:10" x14ac:dyDescent="0.25">
      <c r="A3874" t="s">
        <v>6399</v>
      </c>
      <c r="B3874" s="3">
        <v>44173</v>
      </c>
      <c r="C3874" t="s">
        <v>3387</v>
      </c>
      <c r="D3874" t="s">
        <v>3500</v>
      </c>
      <c r="E3874">
        <v>1</v>
      </c>
      <c r="F3874" t="s">
        <v>3525</v>
      </c>
      <c r="G3874" t="s">
        <v>3518</v>
      </c>
      <c r="H3874">
        <v>0.5</v>
      </c>
      <c r="I3874">
        <v>7.8</v>
      </c>
      <c r="J3874">
        <v>7.8</v>
      </c>
    </row>
    <row r="3875" spans="1:10" x14ac:dyDescent="0.25">
      <c r="A3875" t="s">
        <v>6400</v>
      </c>
      <c r="B3875" s="3">
        <v>45594</v>
      </c>
      <c r="C3875" t="s">
        <v>2438</v>
      </c>
      <c r="D3875" t="s">
        <v>3482</v>
      </c>
      <c r="E3875">
        <v>1</v>
      </c>
      <c r="F3875" t="s">
        <v>3524</v>
      </c>
      <c r="G3875" t="s">
        <v>3519</v>
      </c>
      <c r="H3875">
        <v>2.5</v>
      </c>
      <c r="I3875">
        <v>22.9</v>
      </c>
      <c r="J3875">
        <v>22.9</v>
      </c>
    </row>
    <row r="3876" spans="1:10" x14ac:dyDescent="0.25">
      <c r="A3876" t="s">
        <v>6401</v>
      </c>
      <c r="B3876" s="3">
        <v>44363</v>
      </c>
      <c r="C3876" t="s">
        <v>2763</v>
      </c>
      <c r="D3876" t="s">
        <v>3500</v>
      </c>
      <c r="E3876">
        <v>4</v>
      </c>
      <c r="F3876" t="s">
        <v>3525</v>
      </c>
      <c r="G3876" t="s">
        <v>3518</v>
      </c>
      <c r="H3876">
        <v>0.5</v>
      </c>
      <c r="I3876">
        <v>7.8</v>
      </c>
      <c r="J3876">
        <v>31.2</v>
      </c>
    </row>
    <row r="3877" spans="1:10" x14ac:dyDescent="0.25">
      <c r="A3877" t="s">
        <v>6402</v>
      </c>
      <c r="B3877" s="3">
        <v>44646</v>
      </c>
      <c r="C3877" t="s">
        <v>2062</v>
      </c>
      <c r="D3877" t="s">
        <v>3509</v>
      </c>
      <c r="E3877">
        <v>6</v>
      </c>
      <c r="F3877" t="s">
        <v>3524</v>
      </c>
      <c r="G3877" t="s">
        <v>3517</v>
      </c>
      <c r="H3877">
        <v>0.2</v>
      </c>
      <c r="I3877">
        <v>3.6</v>
      </c>
      <c r="J3877">
        <v>21.6</v>
      </c>
    </row>
    <row r="3878" spans="1:10" x14ac:dyDescent="0.25">
      <c r="A3878" t="s">
        <v>6403</v>
      </c>
      <c r="B3878" s="3">
        <v>44946</v>
      </c>
      <c r="C3878" t="s">
        <v>1822</v>
      </c>
      <c r="D3878" t="s">
        <v>3501</v>
      </c>
      <c r="E3878">
        <v>2</v>
      </c>
      <c r="F3878" t="s">
        <v>3525</v>
      </c>
      <c r="G3878" t="s">
        <v>3517</v>
      </c>
      <c r="H3878">
        <v>1</v>
      </c>
      <c r="I3878">
        <v>15.9</v>
      </c>
      <c r="J3878">
        <v>31.8</v>
      </c>
    </row>
    <row r="3879" spans="1:10" x14ac:dyDescent="0.25">
      <c r="A3879" t="s">
        <v>6404</v>
      </c>
      <c r="B3879" s="3">
        <v>45286</v>
      </c>
      <c r="C3879" t="s">
        <v>638</v>
      </c>
      <c r="D3879" t="s">
        <v>3514</v>
      </c>
      <c r="E3879">
        <v>5</v>
      </c>
      <c r="F3879" t="s">
        <v>3526</v>
      </c>
      <c r="G3879" t="s">
        <v>3518</v>
      </c>
      <c r="H3879">
        <v>1</v>
      </c>
      <c r="I3879">
        <v>12.2</v>
      </c>
      <c r="J3879">
        <v>61</v>
      </c>
    </row>
    <row r="3880" spans="1:10" x14ac:dyDescent="0.25">
      <c r="A3880" t="s">
        <v>6405</v>
      </c>
      <c r="B3880" s="3">
        <v>45096</v>
      </c>
      <c r="C3880" t="s">
        <v>2269</v>
      </c>
      <c r="D3880" t="s">
        <v>3504</v>
      </c>
      <c r="E3880">
        <v>1</v>
      </c>
      <c r="F3880" t="s">
        <v>3524</v>
      </c>
      <c r="G3880" t="s">
        <v>3517</v>
      </c>
      <c r="H3880">
        <v>0.5</v>
      </c>
      <c r="I3880">
        <v>7.2</v>
      </c>
      <c r="J3880">
        <v>7.2</v>
      </c>
    </row>
    <row r="3881" spans="1:10" x14ac:dyDescent="0.25">
      <c r="A3881" t="s">
        <v>6406</v>
      </c>
      <c r="B3881" s="3">
        <v>43624</v>
      </c>
      <c r="C3881" t="s">
        <v>1594</v>
      </c>
      <c r="D3881" t="s">
        <v>3506</v>
      </c>
      <c r="E3881">
        <v>1</v>
      </c>
      <c r="F3881" t="s">
        <v>3523</v>
      </c>
      <c r="G3881" t="s">
        <v>3519</v>
      </c>
      <c r="H3881">
        <v>2.5</v>
      </c>
      <c r="I3881">
        <v>25.9</v>
      </c>
      <c r="J3881">
        <v>25.9</v>
      </c>
    </row>
    <row r="3882" spans="1:10" x14ac:dyDescent="0.25">
      <c r="A3882" t="s">
        <v>6407</v>
      </c>
      <c r="B3882" s="3">
        <v>45371</v>
      </c>
      <c r="C3882" t="s">
        <v>796</v>
      </c>
      <c r="D3882" t="s">
        <v>3511</v>
      </c>
      <c r="E3882">
        <v>6</v>
      </c>
      <c r="F3882" t="s">
        <v>3523</v>
      </c>
      <c r="G3882" t="s">
        <v>3517</v>
      </c>
      <c r="H3882">
        <v>0.5</v>
      </c>
      <c r="I3882">
        <v>7.8</v>
      </c>
      <c r="J3882">
        <v>46.8</v>
      </c>
    </row>
    <row r="3883" spans="1:10" x14ac:dyDescent="0.25">
      <c r="A3883" t="s">
        <v>6408</v>
      </c>
      <c r="B3883" s="3">
        <v>45534</v>
      </c>
      <c r="C3883" t="s">
        <v>3112</v>
      </c>
      <c r="D3883" t="s">
        <v>3507</v>
      </c>
      <c r="E3883">
        <v>5</v>
      </c>
      <c r="F3883" t="s">
        <v>3526</v>
      </c>
      <c r="G3883" t="s">
        <v>3517</v>
      </c>
      <c r="H3883">
        <v>0.5</v>
      </c>
      <c r="I3883">
        <v>8.9</v>
      </c>
      <c r="J3883">
        <v>44.5</v>
      </c>
    </row>
    <row r="3884" spans="1:10" x14ac:dyDescent="0.25">
      <c r="A3884" t="s">
        <v>6409</v>
      </c>
      <c r="B3884" s="3">
        <v>45382</v>
      </c>
      <c r="C3884" t="s">
        <v>802</v>
      </c>
      <c r="D3884" t="s">
        <v>3470</v>
      </c>
      <c r="E3884">
        <v>2</v>
      </c>
      <c r="F3884" t="s">
        <v>3526</v>
      </c>
      <c r="G3884" t="s">
        <v>3519</v>
      </c>
      <c r="H3884">
        <v>0.5</v>
      </c>
      <c r="I3884">
        <v>8.3000000000000007</v>
      </c>
      <c r="J3884">
        <v>16.600000000000001</v>
      </c>
    </row>
    <row r="3885" spans="1:10" x14ac:dyDescent="0.25">
      <c r="A3885" t="s">
        <v>6410</v>
      </c>
      <c r="B3885" s="3">
        <v>45438</v>
      </c>
      <c r="C3885" t="s">
        <v>1939</v>
      </c>
      <c r="D3885" t="s">
        <v>3497</v>
      </c>
      <c r="E3885">
        <v>1</v>
      </c>
      <c r="F3885" t="s">
        <v>3526</v>
      </c>
      <c r="G3885" t="s">
        <v>3519</v>
      </c>
      <c r="H3885">
        <v>2.5</v>
      </c>
      <c r="I3885">
        <v>31.6</v>
      </c>
      <c r="J3885">
        <v>31.6</v>
      </c>
    </row>
    <row r="3886" spans="1:10" x14ac:dyDescent="0.25">
      <c r="A3886" t="s">
        <v>6411</v>
      </c>
      <c r="B3886" s="3">
        <v>44989</v>
      </c>
      <c r="C3886" t="s">
        <v>2816</v>
      </c>
      <c r="D3886" t="s">
        <v>3481</v>
      </c>
      <c r="E3886">
        <v>5</v>
      </c>
      <c r="F3886" t="s">
        <v>3525</v>
      </c>
      <c r="G3886" t="s">
        <v>3518</v>
      </c>
      <c r="H3886">
        <v>0.2</v>
      </c>
      <c r="I3886">
        <v>3.9</v>
      </c>
      <c r="J3886">
        <v>19.5</v>
      </c>
    </row>
    <row r="3887" spans="1:10" x14ac:dyDescent="0.25">
      <c r="A3887" t="s">
        <v>6412</v>
      </c>
      <c r="B3887" s="3">
        <v>43493</v>
      </c>
      <c r="C3887" t="s">
        <v>1238</v>
      </c>
      <c r="D3887" t="s">
        <v>3473</v>
      </c>
      <c r="E3887">
        <v>5</v>
      </c>
      <c r="F3887" t="s">
        <v>3524</v>
      </c>
      <c r="G3887" t="s">
        <v>3517</v>
      </c>
      <c r="H3887">
        <v>2.5</v>
      </c>
      <c r="I3887">
        <v>27.5</v>
      </c>
      <c r="J3887">
        <v>137.5</v>
      </c>
    </row>
    <row r="3888" spans="1:10" x14ac:dyDescent="0.25">
      <c r="A3888" t="s">
        <v>6413</v>
      </c>
      <c r="B3888" s="3">
        <v>45083</v>
      </c>
      <c r="C3888" t="s">
        <v>1746</v>
      </c>
      <c r="D3888" t="s">
        <v>3491</v>
      </c>
      <c r="E3888">
        <v>1</v>
      </c>
      <c r="F3888" t="s">
        <v>3525</v>
      </c>
      <c r="G3888" t="s">
        <v>3519</v>
      </c>
      <c r="H3888">
        <v>0.5</v>
      </c>
      <c r="I3888">
        <v>8.6999999999999993</v>
      </c>
      <c r="J3888">
        <v>8.6999999999999993</v>
      </c>
    </row>
    <row r="3889" spans="1:10" x14ac:dyDescent="0.25">
      <c r="A3889" t="s">
        <v>6414</v>
      </c>
      <c r="B3889" s="3">
        <v>45134</v>
      </c>
      <c r="C3889" t="s">
        <v>832</v>
      </c>
      <c r="D3889" t="s">
        <v>3478</v>
      </c>
      <c r="E3889">
        <v>1</v>
      </c>
      <c r="F3889" t="s">
        <v>3523</v>
      </c>
      <c r="G3889" t="s">
        <v>3518</v>
      </c>
      <c r="H3889">
        <v>1</v>
      </c>
      <c r="I3889">
        <v>10</v>
      </c>
      <c r="J3889">
        <v>10</v>
      </c>
    </row>
    <row r="3890" spans="1:10" x14ac:dyDescent="0.25">
      <c r="A3890" t="s">
        <v>6415</v>
      </c>
      <c r="B3890" s="3">
        <v>45368</v>
      </c>
      <c r="C3890" t="s">
        <v>1187</v>
      </c>
      <c r="D3890" t="s">
        <v>3505</v>
      </c>
      <c r="E3890">
        <v>3</v>
      </c>
      <c r="F3890" t="s">
        <v>3524</v>
      </c>
      <c r="G3890" t="s">
        <v>3519</v>
      </c>
      <c r="H3890">
        <v>0.2</v>
      </c>
      <c r="I3890">
        <v>3</v>
      </c>
      <c r="J3890">
        <v>9</v>
      </c>
    </row>
    <row r="3891" spans="1:10" x14ac:dyDescent="0.25">
      <c r="A3891" t="s">
        <v>6416</v>
      </c>
      <c r="B3891" s="3">
        <v>44068</v>
      </c>
      <c r="C3891" t="s">
        <v>2702</v>
      </c>
      <c r="D3891" t="s">
        <v>3516</v>
      </c>
      <c r="E3891">
        <v>1</v>
      </c>
      <c r="F3891" t="s">
        <v>3526</v>
      </c>
      <c r="G3891" t="s">
        <v>3518</v>
      </c>
      <c r="H3891">
        <v>2.5</v>
      </c>
      <c r="I3891">
        <v>27.9</v>
      </c>
      <c r="J3891">
        <v>27.9</v>
      </c>
    </row>
    <row r="3892" spans="1:10" x14ac:dyDescent="0.25">
      <c r="A3892" t="s">
        <v>6417</v>
      </c>
      <c r="B3892" s="3">
        <v>45550</v>
      </c>
      <c r="C3892" t="s">
        <v>3408</v>
      </c>
      <c r="D3892" t="s">
        <v>3492</v>
      </c>
      <c r="E3892">
        <v>6</v>
      </c>
      <c r="F3892" t="s">
        <v>3525</v>
      </c>
      <c r="G3892" t="s">
        <v>3517</v>
      </c>
      <c r="H3892">
        <v>0.5</v>
      </c>
      <c r="I3892">
        <v>9.5</v>
      </c>
      <c r="J3892">
        <v>57</v>
      </c>
    </row>
    <row r="3893" spans="1:10" x14ac:dyDescent="0.25">
      <c r="A3893" t="s">
        <v>6418</v>
      </c>
      <c r="B3893" s="3">
        <v>44464</v>
      </c>
      <c r="C3893" t="s">
        <v>3166</v>
      </c>
      <c r="D3893" t="s">
        <v>3505</v>
      </c>
      <c r="E3893">
        <v>2</v>
      </c>
      <c r="F3893" t="s">
        <v>3524</v>
      </c>
      <c r="G3893" t="s">
        <v>3519</v>
      </c>
      <c r="H3893">
        <v>0.2</v>
      </c>
      <c r="I3893">
        <v>3</v>
      </c>
      <c r="J3893">
        <v>6</v>
      </c>
    </row>
    <row r="3894" spans="1:10" x14ac:dyDescent="0.25">
      <c r="A3894" t="s">
        <v>6419</v>
      </c>
      <c r="B3894" s="3">
        <v>43775</v>
      </c>
      <c r="C3894" t="s">
        <v>2080</v>
      </c>
      <c r="D3894" t="s">
        <v>3498</v>
      </c>
      <c r="E3894">
        <v>1</v>
      </c>
      <c r="F3894" t="s">
        <v>3523</v>
      </c>
      <c r="G3894" t="s">
        <v>3517</v>
      </c>
      <c r="H3894">
        <v>0.2</v>
      </c>
      <c r="I3894">
        <v>3.9</v>
      </c>
      <c r="J3894">
        <v>3.9</v>
      </c>
    </row>
    <row r="3895" spans="1:10" x14ac:dyDescent="0.25">
      <c r="A3895" t="s">
        <v>6420</v>
      </c>
      <c r="B3895" s="3">
        <v>44632</v>
      </c>
      <c r="C3895" t="s">
        <v>3315</v>
      </c>
      <c r="D3895" t="s">
        <v>3500</v>
      </c>
      <c r="E3895">
        <v>3</v>
      </c>
      <c r="F3895" t="s">
        <v>3525</v>
      </c>
      <c r="G3895" t="s">
        <v>3518</v>
      </c>
      <c r="H3895">
        <v>0.5</v>
      </c>
      <c r="I3895">
        <v>7.8</v>
      </c>
      <c r="J3895">
        <v>23.4</v>
      </c>
    </row>
    <row r="3896" spans="1:10" x14ac:dyDescent="0.25">
      <c r="A3896" t="s">
        <v>6421</v>
      </c>
      <c r="B3896" s="3">
        <v>45437</v>
      </c>
      <c r="C3896" t="s">
        <v>1217</v>
      </c>
      <c r="D3896" t="s">
        <v>3498</v>
      </c>
      <c r="E3896">
        <v>2</v>
      </c>
      <c r="F3896" t="s">
        <v>3523</v>
      </c>
      <c r="G3896" t="s">
        <v>3517</v>
      </c>
      <c r="H3896">
        <v>0.2</v>
      </c>
      <c r="I3896">
        <v>3.9</v>
      </c>
      <c r="J3896">
        <v>7.8</v>
      </c>
    </row>
    <row r="3897" spans="1:10" x14ac:dyDescent="0.25">
      <c r="A3897" t="s">
        <v>6422</v>
      </c>
      <c r="B3897" s="3">
        <v>44691</v>
      </c>
      <c r="C3897" t="s">
        <v>3390</v>
      </c>
      <c r="D3897" t="s">
        <v>3493</v>
      </c>
      <c r="E3897">
        <v>4</v>
      </c>
      <c r="F3897" t="s">
        <v>3525</v>
      </c>
      <c r="G3897" t="s">
        <v>3519</v>
      </c>
      <c r="H3897">
        <v>1</v>
      </c>
      <c r="I3897">
        <v>14.6</v>
      </c>
      <c r="J3897">
        <v>58.4</v>
      </c>
    </row>
    <row r="3898" spans="1:10" x14ac:dyDescent="0.25">
      <c r="A3898" t="s">
        <v>6423</v>
      </c>
      <c r="B3898" s="3">
        <v>45392</v>
      </c>
      <c r="C3898" t="s">
        <v>841</v>
      </c>
      <c r="D3898" t="s">
        <v>3514</v>
      </c>
      <c r="E3898">
        <v>2</v>
      </c>
      <c r="F3898" t="s">
        <v>3526</v>
      </c>
      <c r="G3898" t="s">
        <v>3518</v>
      </c>
      <c r="H3898">
        <v>1</v>
      </c>
      <c r="I3898">
        <v>12.2</v>
      </c>
      <c r="J3898">
        <v>24.4</v>
      </c>
    </row>
    <row r="3899" spans="1:10" x14ac:dyDescent="0.25">
      <c r="A3899" t="s">
        <v>6424</v>
      </c>
      <c r="B3899" s="3">
        <v>45273</v>
      </c>
      <c r="C3899" t="s">
        <v>3438</v>
      </c>
      <c r="D3899" t="s">
        <v>3498</v>
      </c>
      <c r="E3899">
        <v>1</v>
      </c>
      <c r="F3899" t="s">
        <v>3523</v>
      </c>
      <c r="G3899" t="s">
        <v>3517</v>
      </c>
      <c r="H3899">
        <v>0.2</v>
      </c>
      <c r="I3899">
        <v>3.9</v>
      </c>
      <c r="J3899">
        <v>3.9</v>
      </c>
    </row>
    <row r="3900" spans="1:10" x14ac:dyDescent="0.25">
      <c r="A3900" t="s">
        <v>6425</v>
      </c>
      <c r="B3900" s="3">
        <v>44151</v>
      </c>
      <c r="C3900" t="s">
        <v>1538</v>
      </c>
      <c r="D3900" t="s">
        <v>3490</v>
      </c>
      <c r="E3900">
        <v>1</v>
      </c>
      <c r="F3900" t="s">
        <v>3525</v>
      </c>
      <c r="G3900" t="s">
        <v>3519</v>
      </c>
      <c r="H3900">
        <v>0.2</v>
      </c>
      <c r="I3900">
        <v>4.4000000000000004</v>
      </c>
      <c r="J3900">
        <v>4.4000000000000004</v>
      </c>
    </row>
    <row r="3901" spans="1:10" x14ac:dyDescent="0.25">
      <c r="A3901" t="s">
        <v>6426</v>
      </c>
      <c r="B3901" s="3">
        <v>44751</v>
      </c>
      <c r="C3901" t="s">
        <v>3390</v>
      </c>
      <c r="D3901" t="s">
        <v>3491</v>
      </c>
      <c r="E3901">
        <v>3</v>
      </c>
      <c r="F3901" t="s">
        <v>3525</v>
      </c>
      <c r="G3901" t="s">
        <v>3519</v>
      </c>
      <c r="H3901">
        <v>0.5</v>
      </c>
      <c r="I3901">
        <v>8.6999999999999993</v>
      </c>
      <c r="J3901">
        <v>26.1</v>
      </c>
    </row>
    <row r="3902" spans="1:10" x14ac:dyDescent="0.25">
      <c r="A3902" t="s">
        <v>6427</v>
      </c>
      <c r="B3902" s="3">
        <v>44651</v>
      </c>
      <c r="C3902" t="s">
        <v>1106</v>
      </c>
      <c r="D3902" t="s">
        <v>3513</v>
      </c>
      <c r="E3902">
        <v>4</v>
      </c>
      <c r="F3902" t="s">
        <v>3523</v>
      </c>
      <c r="G3902" t="s">
        <v>3517</v>
      </c>
      <c r="H3902">
        <v>2.5</v>
      </c>
      <c r="I3902">
        <v>29.8</v>
      </c>
      <c r="J3902">
        <v>119.2</v>
      </c>
    </row>
    <row r="3903" spans="1:10" x14ac:dyDescent="0.25">
      <c r="A3903" t="s">
        <v>6428</v>
      </c>
      <c r="B3903" s="3">
        <v>44835</v>
      </c>
      <c r="C3903" t="s">
        <v>2621</v>
      </c>
      <c r="D3903" t="s">
        <v>3484</v>
      </c>
      <c r="E3903">
        <v>4</v>
      </c>
      <c r="F3903" t="s">
        <v>3526</v>
      </c>
      <c r="G3903" t="s">
        <v>3518</v>
      </c>
      <c r="H3903">
        <v>0.2</v>
      </c>
      <c r="I3903">
        <v>3.6</v>
      </c>
      <c r="J3903">
        <v>14.4</v>
      </c>
    </row>
    <row r="3904" spans="1:10" x14ac:dyDescent="0.25">
      <c r="A3904" t="s">
        <v>6429</v>
      </c>
      <c r="B3904" s="3">
        <v>45284</v>
      </c>
      <c r="C3904" t="s">
        <v>1300</v>
      </c>
      <c r="D3904" t="s">
        <v>3476</v>
      </c>
      <c r="E3904">
        <v>3</v>
      </c>
      <c r="F3904" t="s">
        <v>3525</v>
      </c>
      <c r="G3904" t="s">
        <v>3517</v>
      </c>
      <c r="H3904">
        <v>0.2</v>
      </c>
      <c r="I3904">
        <v>4.8</v>
      </c>
      <c r="J3904">
        <v>14.4</v>
      </c>
    </row>
    <row r="3905" spans="1:10" x14ac:dyDescent="0.25">
      <c r="A3905" t="s">
        <v>6430</v>
      </c>
      <c r="B3905" s="3">
        <v>45237</v>
      </c>
      <c r="C3905" t="s">
        <v>823</v>
      </c>
      <c r="D3905" t="s">
        <v>3514</v>
      </c>
      <c r="E3905">
        <v>2</v>
      </c>
      <c r="F3905" t="s">
        <v>3526</v>
      </c>
      <c r="G3905" t="s">
        <v>3518</v>
      </c>
      <c r="H3905">
        <v>1</v>
      </c>
      <c r="I3905">
        <v>12.2</v>
      </c>
      <c r="J3905">
        <v>24.4</v>
      </c>
    </row>
    <row r="3906" spans="1:10" x14ac:dyDescent="0.25">
      <c r="A3906" t="s">
        <v>6431</v>
      </c>
      <c r="B3906" s="3">
        <v>44408</v>
      </c>
      <c r="C3906" t="s">
        <v>2760</v>
      </c>
      <c r="D3906" t="s">
        <v>3495</v>
      </c>
      <c r="E3906">
        <v>6</v>
      </c>
      <c r="F3906" t="s">
        <v>3525</v>
      </c>
      <c r="G3906" t="s">
        <v>3517</v>
      </c>
      <c r="H3906">
        <v>2.5</v>
      </c>
      <c r="I3906">
        <v>36.5</v>
      </c>
      <c r="J3906">
        <v>219</v>
      </c>
    </row>
    <row r="3907" spans="1:10" x14ac:dyDescent="0.25">
      <c r="A3907" t="s">
        <v>6432</v>
      </c>
      <c r="B3907" s="3">
        <v>44458</v>
      </c>
      <c r="C3907" t="s">
        <v>3133</v>
      </c>
      <c r="D3907" t="s">
        <v>3502</v>
      </c>
      <c r="E3907">
        <v>4</v>
      </c>
      <c r="F3907" t="s">
        <v>3526</v>
      </c>
      <c r="G3907" t="s">
        <v>3517</v>
      </c>
      <c r="H3907">
        <v>1</v>
      </c>
      <c r="I3907">
        <v>14.9</v>
      </c>
      <c r="J3907">
        <v>59.6</v>
      </c>
    </row>
    <row r="3908" spans="1:10" x14ac:dyDescent="0.25">
      <c r="A3908" t="s">
        <v>6433</v>
      </c>
      <c r="B3908" s="3">
        <v>44636</v>
      </c>
      <c r="C3908" t="s">
        <v>944</v>
      </c>
      <c r="D3908" t="s">
        <v>3472</v>
      </c>
      <c r="E3908">
        <v>1</v>
      </c>
      <c r="F3908" t="s">
        <v>3526</v>
      </c>
      <c r="G3908" t="s">
        <v>3519</v>
      </c>
      <c r="H3908">
        <v>1</v>
      </c>
      <c r="I3908">
        <v>13.8</v>
      </c>
      <c r="J3908">
        <v>13.8</v>
      </c>
    </row>
    <row r="3909" spans="1:10" x14ac:dyDescent="0.25">
      <c r="A3909" t="s">
        <v>6434</v>
      </c>
      <c r="B3909" s="3">
        <v>45166</v>
      </c>
      <c r="C3909" t="s">
        <v>1000</v>
      </c>
      <c r="D3909" t="s">
        <v>3486</v>
      </c>
      <c r="E3909">
        <v>3</v>
      </c>
      <c r="F3909" t="s">
        <v>3523</v>
      </c>
      <c r="G3909" t="s">
        <v>3519</v>
      </c>
      <c r="H3909">
        <v>1</v>
      </c>
      <c r="I3909">
        <v>11.3</v>
      </c>
      <c r="J3909">
        <v>33.9</v>
      </c>
    </row>
    <row r="3910" spans="1:10" x14ac:dyDescent="0.25">
      <c r="A3910" t="s">
        <v>6435</v>
      </c>
      <c r="B3910" s="3">
        <v>44577</v>
      </c>
      <c r="C3910" t="s">
        <v>1229</v>
      </c>
      <c r="D3910" t="s">
        <v>3494</v>
      </c>
      <c r="E3910">
        <v>5</v>
      </c>
      <c r="F3910" t="s">
        <v>3524</v>
      </c>
      <c r="G3910" t="s">
        <v>3518</v>
      </c>
      <c r="H3910">
        <v>0.2</v>
      </c>
      <c r="I3910">
        <v>2.7</v>
      </c>
      <c r="J3910">
        <v>13.5</v>
      </c>
    </row>
    <row r="3911" spans="1:10" x14ac:dyDescent="0.25">
      <c r="A3911" t="s">
        <v>6436</v>
      </c>
      <c r="B3911" s="3">
        <v>44574</v>
      </c>
      <c r="C3911" t="s">
        <v>2593</v>
      </c>
      <c r="D3911" t="s">
        <v>3476</v>
      </c>
      <c r="E3911">
        <v>5</v>
      </c>
      <c r="F3911" t="s">
        <v>3525</v>
      </c>
      <c r="G3911" t="s">
        <v>3517</v>
      </c>
      <c r="H3911">
        <v>0.2</v>
      </c>
      <c r="I3911">
        <v>4.8</v>
      </c>
      <c r="J3911">
        <v>24</v>
      </c>
    </row>
    <row r="3912" spans="1:10" x14ac:dyDescent="0.25">
      <c r="A3912" t="s">
        <v>6437</v>
      </c>
      <c r="B3912" s="3">
        <v>43572</v>
      </c>
      <c r="C3912" t="s">
        <v>1476</v>
      </c>
      <c r="D3912" t="s">
        <v>3501</v>
      </c>
      <c r="E3912">
        <v>2</v>
      </c>
      <c r="F3912" t="s">
        <v>3525</v>
      </c>
      <c r="G3912" t="s">
        <v>3517</v>
      </c>
      <c r="H3912">
        <v>1</v>
      </c>
      <c r="I3912">
        <v>15.9</v>
      </c>
      <c r="J3912">
        <v>31.8</v>
      </c>
    </row>
    <row r="3913" spans="1:10" x14ac:dyDescent="0.25">
      <c r="A3913" t="s">
        <v>6438</v>
      </c>
      <c r="B3913" s="3">
        <v>44834</v>
      </c>
      <c r="C3913" t="s">
        <v>1318</v>
      </c>
      <c r="D3913" t="s">
        <v>3507</v>
      </c>
      <c r="E3913">
        <v>3</v>
      </c>
      <c r="F3913" t="s">
        <v>3526</v>
      </c>
      <c r="G3913" t="s">
        <v>3517</v>
      </c>
      <c r="H3913">
        <v>0.5</v>
      </c>
      <c r="I3913">
        <v>8.9</v>
      </c>
      <c r="J3913">
        <v>26.7</v>
      </c>
    </row>
    <row r="3914" spans="1:10" x14ac:dyDescent="0.25">
      <c r="A3914" t="s">
        <v>6439</v>
      </c>
      <c r="B3914" s="3">
        <v>45152</v>
      </c>
      <c r="C3914" t="s">
        <v>863</v>
      </c>
      <c r="D3914" t="s">
        <v>3502</v>
      </c>
      <c r="E3914">
        <v>3</v>
      </c>
      <c r="F3914" t="s">
        <v>3526</v>
      </c>
      <c r="G3914" t="s">
        <v>3517</v>
      </c>
      <c r="H3914">
        <v>1</v>
      </c>
      <c r="I3914">
        <v>14.9</v>
      </c>
      <c r="J3914">
        <v>44.7</v>
      </c>
    </row>
    <row r="3915" spans="1:10" x14ac:dyDescent="0.25">
      <c r="A3915" t="s">
        <v>6440</v>
      </c>
      <c r="B3915" s="3">
        <v>44306</v>
      </c>
      <c r="C3915" t="s">
        <v>564</v>
      </c>
      <c r="D3915" t="s">
        <v>3481</v>
      </c>
      <c r="E3915">
        <v>2</v>
      </c>
      <c r="F3915" t="s">
        <v>3525</v>
      </c>
      <c r="G3915" t="s">
        <v>3518</v>
      </c>
      <c r="H3915">
        <v>0.2</v>
      </c>
      <c r="I3915">
        <v>3.9</v>
      </c>
      <c r="J3915">
        <v>7.8</v>
      </c>
    </row>
    <row r="3916" spans="1:10" x14ac:dyDescent="0.25">
      <c r="A3916" t="s">
        <v>6441</v>
      </c>
      <c r="B3916" s="3">
        <v>45394</v>
      </c>
      <c r="C3916" t="s">
        <v>2512</v>
      </c>
      <c r="D3916" t="s">
        <v>3507</v>
      </c>
      <c r="E3916">
        <v>3</v>
      </c>
      <c r="F3916" t="s">
        <v>3526</v>
      </c>
      <c r="G3916" t="s">
        <v>3517</v>
      </c>
      <c r="H3916">
        <v>0.5</v>
      </c>
      <c r="I3916">
        <v>8.9</v>
      </c>
      <c r="J3916">
        <v>26.7</v>
      </c>
    </row>
    <row r="3917" spans="1:10" x14ac:dyDescent="0.25">
      <c r="A3917" t="s">
        <v>6442</v>
      </c>
      <c r="B3917" s="3">
        <v>45294</v>
      </c>
      <c r="C3917" t="s">
        <v>984</v>
      </c>
      <c r="D3917" t="s">
        <v>3487</v>
      </c>
      <c r="E3917">
        <v>3</v>
      </c>
      <c r="F3917" t="s">
        <v>3526</v>
      </c>
      <c r="G3917" t="s">
        <v>3519</v>
      </c>
      <c r="H3917">
        <v>0.2</v>
      </c>
      <c r="I3917">
        <v>4.0999999999999996</v>
      </c>
      <c r="J3917">
        <v>12.3</v>
      </c>
    </row>
    <row r="3918" spans="1:10" x14ac:dyDescent="0.25">
      <c r="A3918" t="s">
        <v>6443</v>
      </c>
      <c r="B3918" s="3">
        <v>44975</v>
      </c>
      <c r="C3918" t="s">
        <v>2143</v>
      </c>
      <c r="D3918" t="s">
        <v>3476</v>
      </c>
      <c r="E3918">
        <v>1</v>
      </c>
      <c r="F3918" t="s">
        <v>3525</v>
      </c>
      <c r="G3918" t="s">
        <v>3517</v>
      </c>
      <c r="H3918">
        <v>0.2</v>
      </c>
      <c r="I3918">
        <v>4.8</v>
      </c>
      <c r="J3918">
        <v>4.8</v>
      </c>
    </row>
    <row r="3919" spans="1:10" x14ac:dyDescent="0.25">
      <c r="A3919" t="s">
        <v>6444</v>
      </c>
      <c r="B3919" s="3">
        <v>44874</v>
      </c>
      <c r="C3919" t="s">
        <v>1423</v>
      </c>
      <c r="D3919" t="s">
        <v>3495</v>
      </c>
      <c r="E3919">
        <v>4</v>
      </c>
      <c r="F3919" t="s">
        <v>3525</v>
      </c>
      <c r="G3919" t="s">
        <v>3517</v>
      </c>
      <c r="H3919">
        <v>2.5</v>
      </c>
      <c r="I3919">
        <v>36.5</v>
      </c>
      <c r="J3919">
        <v>146</v>
      </c>
    </row>
    <row r="3920" spans="1:10" x14ac:dyDescent="0.25">
      <c r="A3920" t="s">
        <v>6445</v>
      </c>
      <c r="B3920" s="3">
        <v>44226</v>
      </c>
      <c r="C3920" t="s">
        <v>2311</v>
      </c>
      <c r="D3920" t="s">
        <v>3491</v>
      </c>
      <c r="E3920">
        <v>6</v>
      </c>
      <c r="F3920" t="s">
        <v>3525</v>
      </c>
      <c r="G3920" t="s">
        <v>3519</v>
      </c>
      <c r="H3920">
        <v>0.5</v>
      </c>
      <c r="I3920">
        <v>8.6999999999999993</v>
      </c>
      <c r="J3920">
        <v>52.2</v>
      </c>
    </row>
    <row r="3921" spans="1:10" x14ac:dyDescent="0.25">
      <c r="A3921" t="s">
        <v>6446</v>
      </c>
      <c r="B3921" s="3">
        <v>45186</v>
      </c>
      <c r="C3921" t="s">
        <v>2720</v>
      </c>
      <c r="D3921" t="s">
        <v>3495</v>
      </c>
      <c r="E3921">
        <v>3</v>
      </c>
      <c r="F3921" t="s">
        <v>3525</v>
      </c>
      <c r="G3921" t="s">
        <v>3517</v>
      </c>
      <c r="H3921">
        <v>2.5</v>
      </c>
      <c r="I3921">
        <v>36.5</v>
      </c>
      <c r="J3921">
        <v>109.5</v>
      </c>
    </row>
    <row r="3922" spans="1:10" x14ac:dyDescent="0.25">
      <c r="A3922" t="s">
        <v>6447</v>
      </c>
      <c r="B3922" s="3">
        <v>45555</v>
      </c>
      <c r="C3922" t="s">
        <v>2882</v>
      </c>
      <c r="D3922" t="s">
        <v>3496</v>
      </c>
      <c r="E3922">
        <v>1</v>
      </c>
      <c r="F3922" t="s">
        <v>3525</v>
      </c>
      <c r="G3922" t="s">
        <v>3518</v>
      </c>
      <c r="H3922">
        <v>2.5</v>
      </c>
      <c r="I3922">
        <v>29.8</v>
      </c>
      <c r="J3922">
        <v>29.8</v>
      </c>
    </row>
    <row r="3923" spans="1:10" x14ac:dyDescent="0.25">
      <c r="A3923" t="s">
        <v>6448</v>
      </c>
      <c r="B3923" s="3">
        <v>45541</v>
      </c>
      <c r="C3923" t="s">
        <v>2518</v>
      </c>
      <c r="D3923" t="s">
        <v>3485</v>
      </c>
      <c r="E3923">
        <v>4</v>
      </c>
      <c r="F3923" t="s">
        <v>3523</v>
      </c>
      <c r="G3923" t="s">
        <v>3518</v>
      </c>
      <c r="H3923">
        <v>0.2</v>
      </c>
      <c r="I3923">
        <v>3</v>
      </c>
      <c r="J3923">
        <v>12</v>
      </c>
    </row>
    <row r="3924" spans="1:10" x14ac:dyDescent="0.25">
      <c r="A3924" t="s">
        <v>6449</v>
      </c>
      <c r="B3924" s="3">
        <v>44575</v>
      </c>
      <c r="C3924" t="s">
        <v>2939</v>
      </c>
      <c r="D3924" t="s">
        <v>3506</v>
      </c>
      <c r="E3924">
        <v>3</v>
      </c>
      <c r="F3924" t="s">
        <v>3523</v>
      </c>
      <c r="G3924" t="s">
        <v>3519</v>
      </c>
      <c r="H3924">
        <v>2.5</v>
      </c>
      <c r="I3924">
        <v>25.9</v>
      </c>
      <c r="J3924">
        <v>77.7</v>
      </c>
    </row>
    <row r="3925" spans="1:10" x14ac:dyDescent="0.25">
      <c r="A3925" t="s">
        <v>6450</v>
      </c>
      <c r="B3925" s="3">
        <v>44272</v>
      </c>
      <c r="C3925" t="s">
        <v>2047</v>
      </c>
      <c r="D3925" t="s">
        <v>3488</v>
      </c>
      <c r="E3925">
        <v>4</v>
      </c>
      <c r="F3925" t="s">
        <v>3523</v>
      </c>
      <c r="G3925" t="s">
        <v>3519</v>
      </c>
      <c r="H3925">
        <v>0.5</v>
      </c>
      <c r="I3925">
        <v>6.8</v>
      </c>
      <c r="J3925">
        <v>27.2</v>
      </c>
    </row>
    <row r="3926" spans="1:10" x14ac:dyDescent="0.25">
      <c r="A3926" t="s">
        <v>6451</v>
      </c>
      <c r="B3926" s="3">
        <v>45256</v>
      </c>
      <c r="C3926" t="s">
        <v>2612</v>
      </c>
      <c r="D3926" t="s">
        <v>3504</v>
      </c>
      <c r="E3926">
        <v>2</v>
      </c>
      <c r="F3926" t="s">
        <v>3524</v>
      </c>
      <c r="G3926" t="s">
        <v>3517</v>
      </c>
      <c r="H3926">
        <v>0.5</v>
      </c>
      <c r="I3926">
        <v>7.2</v>
      </c>
      <c r="J3926">
        <v>14.4</v>
      </c>
    </row>
    <row r="3927" spans="1:10" x14ac:dyDescent="0.25">
      <c r="A3927" t="s">
        <v>6452</v>
      </c>
      <c r="B3927" s="3">
        <v>44836</v>
      </c>
      <c r="C3927" t="s">
        <v>2065</v>
      </c>
      <c r="D3927" t="s">
        <v>3475</v>
      </c>
      <c r="E3927">
        <v>2</v>
      </c>
      <c r="F3927" t="s">
        <v>3526</v>
      </c>
      <c r="G3927" t="s">
        <v>3518</v>
      </c>
      <c r="H3927">
        <v>0.5</v>
      </c>
      <c r="I3927">
        <v>7.3</v>
      </c>
      <c r="J3927">
        <v>14.6</v>
      </c>
    </row>
    <row r="3928" spans="1:10" x14ac:dyDescent="0.25">
      <c r="A3928" t="s">
        <v>6453</v>
      </c>
      <c r="B3928" s="3">
        <v>44982</v>
      </c>
      <c r="C3928" t="s">
        <v>1085</v>
      </c>
      <c r="D3928" t="s">
        <v>3515</v>
      </c>
      <c r="E3928">
        <v>6</v>
      </c>
      <c r="F3928" t="s">
        <v>3526</v>
      </c>
      <c r="G3928" t="s">
        <v>3517</v>
      </c>
      <c r="H3928">
        <v>0.2</v>
      </c>
      <c r="I3928">
        <v>4.5</v>
      </c>
      <c r="J3928">
        <v>27</v>
      </c>
    </row>
    <row r="3929" spans="1:10" x14ac:dyDescent="0.25">
      <c r="A3929" t="s">
        <v>6454</v>
      </c>
      <c r="B3929" s="3">
        <v>43821</v>
      </c>
      <c r="C3929" t="s">
        <v>2287</v>
      </c>
      <c r="D3929" t="s">
        <v>3509</v>
      </c>
      <c r="E3929">
        <v>4</v>
      </c>
      <c r="F3929" t="s">
        <v>3524</v>
      </c>
      <c r="G3929" t="s">
        <v>3517</v>
      </c>
      <c r="H3929">
        <v>0.2</v>
      </c>
      <c r="I3929">
        <v>3.6</v>
      </c>
      <c r="J3929">
        <v>14.4</v>
      </c>
    </row>
    <row r="3930" spans="1:10" x14ac:dyDescent="0.25">
      <c r="A3930" t="s">
        <v>6455</v>
      </c>
      <c r="B3930" s="3">
        <v>45102</v>
      </c>
      <c r="C3930" t="s">
        <v>841</v>
      </c>
      <c r="D3930" t="s">
        <v>3507</v>
      </c>
      <c r="E3930">
        <v>2</v>
      </c>
      <c r="F3930" t="s">
        <v>3526</v>
      </c>
      <c r="G3930" t="s">
        <v>3517</v>
      </c>
      <c r="H3930">
        <v>0.5</v>
      </c>
      <c r="I3930">
        <v>8.9</v>
      </c>
      <c r="J3930">
        <v>17.8</v>
      </c>
    </row>
    <row r="3931" spans="1:10" x14ac:dyDescent="0.25">
      <c r="A3931" t="s">
        <v>6456</v>
      </c>
      <c r="B3931" s="3">
        <v>45183</v>
      </c>
      <c r="C3931" t="s">
        <v>2242</v>
      </c>
      <c r="D3931" t="s">
        <v>3481</v>
      </c>
      <c r="E3931">
        <v>2</v>
      </c>
      <c r="F3931" t="s">
        <v>3525</v>
      </c>
      <c r="G3931" t="s">
        <v>3518</v>
      </c>
      <c r="H3931">
        <v>0.2</v>
      </c>
      <c r="I3931">
        <v>3.9</v>
      </c>
      <c r="J3931">
        <v>7.8</v>
      </c>
    </row>
    <row r="3932" spans="1:10" x14ac:dyDescent="0.25">
      <c r="A3932" t="s">
        <v>6457</v>
      </c>
      <c r="B3932" s="3">
        <v>45128</v>
      </c>
      <c r="C3932" t="s">
        <v>781</v>
      </c>
      <c r="D3932" t="s">
        <v>3474</v>
      </c>
      <c r="E3932">
        <v>5</v>
      </c>
      <c r="F3932" t="s">
        <v>3525</v>
      </c>
      <c r="G3932" t="s">
        <v>3518</v>
      </c>
      <c r="H3932">
        <v>1</v>
      </c>
      <c r="I3932">
        <v>13</v>
      </c>
      <c r="J3932">
        <v>65</v>
      </c>
    </row>
    <row r="3933" spans="1:10" x14ac:dyDescent="0.25">
      <c r="A3933" t="s">
        <v>6458</v>
      </c>
      <c r="B3933" s="3">
        <v>45291</v>
      </c>
      <c r="C3933" t="s">
        <v>1109</v>
      </c>
      <c r="D3933" t="s">
        <v>3470</v>
      </c>
      <c r="E3933">
        <v>5</v>
      </c>
      <c r="F3933" t="s">
        <v>3526</v>
      </c>
      <c r="G3933" t="s">
        <v>3519</v>
      </c>
      <c r="H3933">
        <v>0.5</v>
      </c>
      <c r="I3933">
        <v>8.3000000000000007</v>
      </c>
      <c r="J3933">
        <v>41.5</v>
      </c>
    </row>
    <row r="3934" spans="1:10" x14ac:dyDescent="0.25">
      <c r="A3934" t="s">
        <v>6459</v>
      </c>
      <c r="B3934" s="3">
        <v>44573</v>
      </c>
      <c r="C3934" t="s">
        <v>2963</v>
      </c>
      <c r="D3934" t="s">
        <v>3485</v>
      </c>
      <c r="E3934">
        <v>5</v>
      </c>
      <c r="F3934" t="s">
        <v>3523</v>
      </c>
      <c r="G3934" t="s">
        <v>3518</v>
      </c>
      <c r="H3934">
        <v>0.2</v>
      </c>
      <c r="I3934">
        <v>3</v>
      </c>
      <c r="J3934">
        <v>15</v>
      </c>
    </row>
    <row r="3935" spans="1:10" x14ac:dyDescent="0.25">
      <c r="A3935" t="s">
        <v>6460</v>
      </c>
      <c r="B3935" s="3">
        <v>45356</v>
      </c>
      <c r="C3935" t="s">
        <v>763</v>
      </c>
      <c r="D3935" t="s">
        <v>3511</v>
      </c>
      <c r="E3935">
        <v>1</v>
      </c>
      <c r="F3935" t="s">
        <v>3523</v>
      </c>
      <c r="G3935" t="s">
        <v>3517</v>
      </c>
      <c r="H3935">
        <v>0.5</v>
      </c>
      <c r="I3935">
        <v>7.8</v>
      </c>
      <c r="J3935">
        <v>7.8</v>
      </c>
    </row>
    <row r="3936" spans="1:10" x14ac:dyDescent="0.25">
      <c r="A3936" t="s">
        <v>6461</v>
      </c>
      <c r="B3936" s="3">
        <v>44706</v>
      </c>
      <c r="C3936" t="s">
        <v>3408</v>
      </c>
      <c r="D3936" t="s">
        <v>3474</v>
      </c>
      <c r="E3936">
        <v>4</v>
      </c>
      <c r="F3936" t="s">
        <v>3525</v>
      </c>
      <c r="G3936" t="s">
        <v>3518</v>
      </c>
      <c r="H3936">
        <v>1</v>
      </c>
      <c r="I3936">
        <v>13</v>
      </c>
      <c r="J3936">
        <v>52</v>
      </c>
    </row>
    <row r="3937" spans="1:10" x14ac:dyDescent="0.25">
      <c r="A3937" t="s">
        <v>6462</v>
      </c>
      <c r="B3937" s="3">
        <v>44726</v>
      </c>
      <c r="C3937" t="s">
        <v>1649</v>
      </c>
      <c r="D3937" t="s">
        <v>3470</v>
      </c>
      <c r="E3937">
        <v>4</v>
      </c>
      <c r="F3937" t="s">
        <v>3526</v>
      </c>
      <c r="G3937" t="s">
        <v>3519</v>
      </c>
      <c r="H3937">
        <v>0.5</v>
      </c>
      <c r="I3937">
        <v>8.3000000000000007</v>
      </c>
      <c r="J3937">
        <v>33.200000000000003</v>
      </c>
    </row>
    <row r="3938" spans="1:10" x14ac:dyDescent="0.25">
      <c r="A3938" t="s">
        <v>6463</v>
      </c>
      <c r="B3938" s="3">
        <v>44456</v>
      </c>
      <c r="C3938" t="s">
        <v>1803</v>
      </c>
      <c r="D3938" t="s">
        <v>3501</v>
      </c>
      <c r="E3938">
        <v>6</v>
      </c>
      <c r="F3938" t="s">
        <v>3525</v>
      </c>
      <c r="G3938" t="s">
        <v>3517</v>
      </c>
      <c r="H3938">
        <v>1</v>
      </c>
      <c r="I3938">
        <v>15.9</v>
      </c>
      <c r="J3938">
        <v>95.4</v>
      </c>
    </row>
    <row r="3939" spans="1:10" x14ac:dyDescent="0.25">
      <c r="A3939" t="s">
        <v>6464</v>
      </c>
      <c r="B3939" s="3">
        <v>45374</v>
      </c>
      <c r="C3939" t="s">
        <v>2554</v>
      </c>
      <c r="D3939" t="s">
        <v>3474</v>
      </c>
      <c r="E3939">
        <v>3</v>
      </c>
      <c r="F3939" t="s">
        <v>3525</v>
      </c>
      <c r="G3939" t="s">
        <v>3518</v>
      </c>
      <c r="H3939">
        <v>1</v>
      </c>
      <c r="I3939">
        <v>13</v>
      </c>
      <c r="J3939">
        <v>39</v>
      </c>
    </row>
    <row r="3940" spans="1:10" x14ac:dyDescent="0.25">
      <c r="A3940" t="s">
        <v>6465</v>
      </c>
      <c r="B3940" s="3">
        <v>45251</v>
      </c>
      <c r="C3940" t="s">
        <v>508</v>
      </c>
      <c r="D3940" t="s">
        <v>3474</v>
      </c>
      <c r="E3940">
        <v>4</v>
      </c>
      <c r="F3940" t="s">
        <v>3525</v>
      </c>
      <c r="G3940" t="s">
        <v>3518</v>
      </c>
      <c r="H3940">
        <v>1</v>
      </c>
      <c r="I3940">
        <v>13</v>
      </c>
      <c r="J3940">
        <v>52</v>
      </c>
    </row>
    <row r="3941" spans="1:10" x14ac:dyDescent="0.25">
      <c r="A3941" t="s">
        <v>6466</v>
      </c>
      <c r="B3941" s="3">
        <v>45488</v>
      </c>
      <c r="C3941" t="s">
        <v>1443</v>
      </c>
      <c r="D3941" t="s">
        <v>3476</v>
      </c>
      <c r="E3941">
        <v>5</v>
      </c>
      <c r="F3941" t="s">
        <v>3525</v>
      </c>
      <c r="G3941" t="s">
        <v>3517</v>
      </c>
      <c r="H3941">
        <v>0.2</v>
      </c>
      <c r="I3941">
        <v>4.8</v>
      </c>
      <c r="J3941">
        <v>24</v>
      </c>
    </row>
    <row r="3942" spans="1:10" x14ac:dyDescent="0.25">
      <c r="A3942" t="s">
        <v>6467</v>
      </c>
      <c r="B3942" s="3">
        <v>44877</v>
      </c>
      <c r="C3942" t="s">
        <v>2971</v>
      </c>
      <c r="D3942" t="s">
        <v>3487</v>
      </c>
      <c r="E3942">
        <v>4</v>
      </c>
      <c r="F3942" t="s">
        <v>3526</v>
      </c>
      <c r="G3942" t="s">
        <v>3519</v>
      </c>
      <c r="H3942">
        <v>0.2</v>
      </c>
      <c r="I3942">
        <v>4.0999999999999996</v>
      </c>
      <c r="J3942">
        <v>16.399999999999999</v>
      </c>
    </row>
    <row r="3943" spans="1:10" x14ac:dyDescent="0.25">
      <c r="A3943" t="s">
        <v>6468</v>
      </c>
      <c r="B3943" s="3">
        <v>45412</v>
      </c>
      <c r="C3943" t="s">
        <v>1797</v>
      </c>
      <c r="D3943" t="s">
        <v>3503</v>
      </c>
      <c r="E3943">
        <v>6</v>
      </c>
      <c r="F3943" t="s">
        <v>3524</v>
      </c>
      <c r="G3943" t="s">
        <v>3518</v>
      </c>
      <c r="H3943">
        <v>0.5</v>
      </c>
      <c r="I3943">
        <v>5.4</v>
      </c>
      <c r="J3943">
        <v>32.4</v>
      </c>
    </row>
    <row r="3944" spans="1:10" x14ac:dyDescent="0.25">
      <c r="A3944" t="s">
        <v>6469</v>
      </c>
      <c r="B3944" s="3">
        <v>44901</v>
      </c>
      <c r="C3944" t="s">
        <v>1720</v>
      </c>
      <c r="D3944" t="s">
        <v>3506</v>
      </c>
      <c r="E3944">
        <v>4</v>
      </c>
      <c r="F3944" t="s">
        <v>3523</v>
      </c>
      <c r="G3944" t="s">
        <v>3519</v>
      </c>
      <c r="H3944">
        <v>2.5</v>
      </c>
      <c r="I3944">
        <v>25.9</v>
      </c>
      <c r="J3944">
        <v>103.6</v>
      </c>
    </row>
    <row r="3945" spans="1:10" x14ac:dyDescent="0.25">
      <c r="A3945" t="s">
        <v>6470</v>
      </c>
      <c r="B3945" s="3">
        <v>44837</v>
      </c>
      <c r="C3945" t="s">
        <v>1960</v>
      </c>
      <c r="D3945" t="s">
        <v>3496</v>
      </c>
      <c r="E3945">
        <v>2</v>
      </c>
      <c r="F3945" t="s">
        <v>3525</v>
      </c>
      <c r="G3945" t="s">
        <v>3518</v>
      </c>
      <c r="H3945">
        <v>2.5</v>
      </c>
      <c r="I3945">
        <v>29.8</v>
      </c>
      <c r="J3945">
        <v>59.6</v>
      </c>
    </row>
    <row r="3946" spans="1:10" x14ac:dyDescent="0.25">
      <c r="A3946" t="s">
        <v>6471</v>
      </c>
      <c r="B3946" s="3">
        <v>45177</v>
      </c>
      <c r="C3946" t="s">
        <v>722</v>
      </c>
      <c r="D3946" t="s">
        <v>3470</v>
      </c>
      <c r="E3946">
        <v>5</v>
      </c>
      <c r="F3946" t="s">
        <v>3526</v>
      </c>
      <c r="G3946" t="s">
        <v>3519</v>
      </c>
      <c r="H3946">
        <v>0.5</v>
      </c>
      <c r="I3946">
        <v>8.3000000000000007</v>
      </c>
      <c r="J3946">
        <v>41.5</v>
      </c>
    </row>
    <row r="3947" spans="1:10" x14ac:dyDescent="0.25">
      <c r="A3947" t="s">
        <v>6472</v>
      </c>
      <c r="B3947" s="3">
        <v>44642</v>
      </c>
      <c r="C3947" t="s">
        <v>722</v>
      </c>
      <c r="D3947" t="s">
        <v>3499</v>
      </c>
      <c r="E3947">
        <v>2</v>
      </c>
      <c r="F3947" t="s">
        <v>3523</v>
      </c>
      <c r="G3947" t="s">
        <v>3518</v>
      </c>
      <c r="H3947">
        <v>2.5</v>
      </c>
      <c r="I3947">
        <v>22.9</v>
      </c>
      <c r="J3947">
        <v>45.8</v>
      </c>
    </row>
    <row r="3948" spans="1:10" x14ac:dyDescent="0.25">
      <c r="A3948" t="s">
        <v>6473</v>
      </c>
      <c r="B3948" s="3">
        <v>45051</v>
      </c>
      <c r="C3948" t="s">
        <v>1461</v>
      </c>
      <c r="D3948" t="s">
        <v>3472</v>
      </c>
      <c r="E3948">
        <v>1</v>
      </c>
      <c r="F3948" t="s">
        <v>3526</v>
      </c>
      <c r="G3948" t="s">
        <v>3519</v>
      </c>
      <c r="H3948">
        <v>1</v>
      </c>
      <c r="I3948">
        <v>13.8</v>
      </c>
      <c r="J3948">
        <v>13.8</v>
      </c>
    </row>
    <row r="3949" spans="1:10" x14ac:dyDescent="0.25">
      <c r="A3949" t="s">
        <v>6474</v>
      </c>
      <c r="B3949" s="3">
        <v>45307</v>
      </c>
      <c r="C3949" t="s">
        <v>1214</v>
      </c>
      <c r="D3949" t="s">
        <v>3488</v>
      </c>
      <c r="E3949">
        <v>2</v>
      </c>
      <c r="F3949" t="s">
        <v>3523</v>
      </c>
      <c r="G3949" t="s">
        <v>3519</v>
      </c>
      <c r="H3949">
        <v>0.5</v>
      </c>
      <c r="I3949">
        <v>6.8</v>
      </c>
      <c r="J3949">
        <v>13.6</v>
      </c>
    </row>
    <row r="3950" spans="1:10" x14ac:dyDescent="0.25">
      <c r="A3950" t="s">
        <v>6475</v>
      </c>
      <c r="B3950" s="3">
        <v>44133</v>
      </c>
      <c r="C3950" t="s">
        <v>2021</v>
      </c>
      <c r="D3950" t="s">
        <v>3473</v>
      </c>
      <c r="E3950">
        <v>5</v>
      </c>
      <c r="F3950" t="s">
        <v>3524</v>
      </c>
      <c r="G3950" t="s">
        <v>3517</v>
      </c>
      <c r="H3950">
        <v>2.5</v>
      </c>
      <c r="I3950">
        <v>27.5</v>
      </c>
      <c r="J3950">
        <v>137.5</v>
      </c>
    </row>
    <row r="3951" spans="1:10" x14ac:dyDescent="0.25">
      <c r="A3951" t="s">
        <v>6476</v>
      </c>
      <c r="B3951" s="3">
        <v>44493</v>
      </c>
      <c r="C3951" t="s">
        <v>909</v>
      </c>
      <c r="D3951" t="s">
        <v>3501</v>
      </c>
      <c r="E3951">
        <v>5</v>
      </c>
      <c r="F3951" t="s">
        <v>3525</v>
      </c>
      <c r="G3951" t="s">
        <v>3517</v>
      </c>
      <c r="H3951">
        <v>1</v>
      </c>
      <c r="I3951">
        <v>15.9</v>
      </c>
      <c r="J3951">
        <v>79.5</v>
      </c>
    </row>
    <row r="3952" spans="1:10" x14ac:dyDescent="0.25">
      <c r="A3952" t="s">
        <v>6477</v>
      </c>
      <c r="B3952" s="3">
        <v>45452</v>
      </c>
      <c r="C3952" t="s">
        <v>1604</v>
      </c>
      <c r="D3952" t="s">
        <v>3503</v>
      </c>
      <c r="E3952">
        <v>1</v>
      </c>
      <c r="F3952" t="s">
        <v>3524</v>
      </c>
      <c r="G3952" t="s">
        <v>3518</v>
      </c>
      <c r="H3952">
        <v>0.5</v>
      </c>
      <c r="I3952">
        <v>5.4</v>
      </c>
      <c r="J3952">
        <v>5.4</v>
      </c>
    </row>
    <row r="3953" spans="1:10" x14ac:dyDescent="0.25">
      <c r="A3953" t="s">
        <v>6478</v>
      </c>
      <c r="B3953" s="3">
        <v>45014</v>
      </c>
      <c r="C3953" t="s">
        <v>1035</v>
      </c>
      <c r="D3953" t="s">
        <v>3514</v>
      </c>
      <c r="E3953">
        <v>2</v>
      </c>
      <c r="F3953" t="s">
        <v>3526</v>
      </c>
      <c r="G3953" t="s">
        <v>3518</v>
      </c>
      <c r="H3953">
        <v>1</v>
      </c>
      <c r="I3953">
        <v>12.2</v>
      </c>
      <c r="J3953">
        <v>24.4</v>
      </c>
    </row>
    <row r="3954" spans="1:10" x14ac:dyDescent="0.25">
      <c r="A3954" t="s">
        <v>6479</v>
      </c>
      <c r="B3954" s="3">
        <v>45301</v>
      </c>
      <c r="C3954" t="s">
        <v>3381</v>
      </c>
      <c r="D3954" t="s">
        <v>3515</v>
      </c>
      <c r="E3954">
        <v>2</v>
      </c>
      <c r="F3954" t="s">
        <v>3526</v>
      </c>
      <c r="G3954" t="s">
        <v>3517</v>
      </c>
      <c r="H3954">
        <v>0.2</v>
      </c>
      <c r="I3954">
        <v>4.5</v>
      </c>
      <c r="J3954">
        <v>9</v>
      </c>
    </row>
    <row r="3955" spans="1:10" x14ac:dyDescent="0.25">
      <c r="A3955" t="s">
        <v>6480</v>
      </c>
      <c r="B3955" s="3">
        <v>45624</v>
      </c>
      <c r="C3955" t="s">
        <v>2134</v>
      </c>
      <c r="D3955" t="s">
        <v>3514</v>
      </c>
      <c r="E3955">
        <v>3</v>
      </c>
      <c r="F3955" t="s">
        <v>3526</v>
      </c>
      <c r="G3955" t="s">
        <v>3518</v>
      </c>
      <c r="H3955">
        <v>1</v>
      </c>
      <c r="I3955">
        <v>12.2</v>
      </c>
      <c r="J3955">
        <v>36.6</v>
      </c>
    </row>
    <row r="3956" spans="1:10" x14ac:dyDescent="0.25">
      <c r="A3956" t="s">
        <v>6481</v>
      </c>
      <c r="B3956" s="3">
        <v>44728</v>
      </c>
      <c r="C3956" t="s">
        <v>2742</v>
      </c>
      <c r="D3956" t="s">
        <v>3506</v>
      </c>
      <c r="E3956">
        <v>3</v>
      </c>
      <c r="F3956" t="s">
        <v>3523</v>
      </c>
      <c r="G3956" t="s">
        <v>3519</v>
      </c>
      <c r="H3956">
        <v>2.5</v>
      </c>
      <c r="I3956">
        <v>25.9</v>
      </c>
      <c r="J3956">
        <v>77.7</v>
      </c>
    </row>
    <row r="3957" spans="1:10" x14ac:dyDescent="0.25">
      <c r="A3957" t="s">
        <v>6482</v>
      </c>
      <c r="B3957" s="3">
        <v>44574</v>
      </c>
      <c r="C3957" t="s">
        <v>1948</v>
      </c>
      <c r="D3957" t="s">
        <v>3507</v>
      </c>
      <c r="E3957">
        <v>5</v>
      </c>
      <c r="F3957" t="s">
        <v>3526</v>
      </c>
      <c r="G3957" t="s">
        <v>3517</v>
      </c>
      <c r="H3957">
        <v>0.5</v>
      </c>
      <c r="I3957">
        <v>8.9</v>
      </c>
      <c r="J3957">
        <v>44.5</v>
      </c>
    </row>
    <row r="3958" spans="1:10" x14ac:dyDescent="0.25">
      <c r="A3958" t="s">
        <v>6483</v>
      </c>
      <c r="B3958" s="3">
        <v>45594</v>
      </c>
      <c r="C3958" t="s">
        <v>2447</v>
      </c>
      <c r="D3958" t="s">
        <v>3489</v>
      </c>
      <c r="E3958">
        <v>5</v>
      </c>
      <c r="F3958" t="s">
        <v>3523</v>
      </c>
      <c r="G3958" t="s">
        <v>3518</v>
      </c>
      <c r="H3958">
        <v>0.5</v>
      </c>
      <c r="I3958">
        <v>6</v>
      </c>
      <c r="J3958">
        <v>30</v>
      </c>
    </row>
    <row r="3959" spans="1:10" x14ac:dyDescent="0.25">
      <c r="A3959" t="s">
        <v>6484</v>
      </c>
      <c r="B3959" s="3">
        <v>45262</v>
      </c>
      <c r="C3959" t="s">
        <v>1387</v>
      </c>
      <c r="D3959" t="s">
        <v>3495</v>
      </c>
      <c r="E3959">
        <v>3</v>
      </c>
      <c r="F3959" t="s">
        <v>3525</v>
      </c>
      <c r="G3959" t="s">
        <v>3517</v>
      </c>
      <c r="H3959">
        <v>2.5</v>
      </c>
      <c r="I3959">
        <v>36.5</v>
      </c>
      <c r="J3959">
        <v>109.5</v>
      </c>
    </row>
    <row r="3960" spans="1:10" x14ac:dyDescent="0.25">
      <c r="A3960" t="s">
        <v>6485</v>
      </c>
      <c r="B3960" s="3">
        <v>44916</v>
      </c>
      <c r="C3960" t="s">
        <v>635</v>
      </c>
      <c r="D3960" t="s">
        <v>3514</v>
      </c>
      <c r="E3960">
        <v>1</v>
      </c>
      <c r="F3960" t="s">
        <v>3526</v>
      </c>
      <c r="G3960" t="s">
        <v>3518</v>
      </c>
      <c r="H3960">
        <v>1</v>
      </c>
      <c r="I3960">
        <v>12.2</v>
      </c>
      <c r="J3960">
        <v>12.2</v>
      </c>
    </row>
    <row r="3961" spans="1:10" x14ac:dyDescent="0.25">
      <c r="A3961" t="s">
        <v>6486</v>
      </c>
      <c r="B3961" s="3">
        <v>44615</v>
      </c>
      <c r="C3961" t="s">
        <v>2657</v>
      </c>
      <c r="D3961" t="s">
        <v>3473</v>
      </c>
      <c r="E3961">
        <v>1</v>
      </c>
      <c r="F3961" t="s">
        <v>3524</v>
      </c>
      <c r="G3961" t="s">
        <v>3517</v>
      </c>
      <c r="H3961">
        <v>2.5</v>
      </c>
      <c r="I3961">
        <v>27.5</v>
      </c>
      <c r="J3961">
        <v>27.5</v>
      </c>
    </row>
    <row r="3962" spans="1:10" x14ac:dyDescent="0.25">
      <c r="A3962" t="s">
        <v>6487</v>
      </c>
      <c r="B3962" s="3">
        <v>44954</v>
      </c>
      <c r="C3962" t="s">
        <v>1205</v>
      </c>
      <c r="D3962" t="s">
        <v>3492</v>
      </c>
      <c r="E3962">
        <v>2</v>
      </c>
      <c r="F3962" t="s">
        <v>3525</v>
      </c>
      <c r="G3962" t="s">
        <v>3517</v>
      </c>
      <c r="H3962">
        <v>0.5</v>
      </c>
      <c r="I3962">
        <v>9.5</v>
      </c>
      <c r="J3962">
        <v>19</v>
      </c>
    </row>
    <row r="3963" spans="1:10" x14ac:dyDescent="0.25">
      <c r="A3963" t="s">
        <v>6488</v>
      </c>
      <c r="B3963" s="3">
        <v>44739</v>
      </c>
      <c r="C3963" t="s">
        <v>3157</v>
      </c>
      <c r="D3963" t="s">
        <v>3504</v>
      </c>
      <c r="E3963">
        <v>4</v>
      </c>
      <c r="F3963" t="s">
        <v>3524</v>
      </c>
      <c r="G3963" t="s">
        <v>3517</v>
      </c>
      <c r="H3963">
        <v>0.5</v>
      </c>
      <c r="I3963">
        <v>7.2</v>
      </c>
      <c r="J3963">
        <v>28.8</v>
      </c>
    </row>
    <row r="3964" spans="1:10" x14ac:dyDescent="0.25">
      <c r="A3964" t="s">
        <v>6489</v>
      </c>
      <c r="B3964" s="3">
        <v>44772</v>
      </c>
      <c r="C3964" t="s">
        <v>3387</v>
      </c>
      <c r="D3964" t="s">
        <v>3469</v>
      </c>
      <c r="E3964">
        <v>3</v>
      </c>
      <c r="F3964" t="s">
        <v>3524</v>
      </c>
      <c r="G3964" t="s">
        <v>3519</v>
      </c>
      <c r="H3964">
        <v>1</v>
      </c>
      <c r="I3964">
        <v>10</v>
      </c>
      <c r="J3964">
        <v>30</v>
      </c>
    </row>
    <row r="3965" spans="1:10" x14ac:dyDescent="0.25">
      <c r="A3965" t="s">
        <v>6490</v>
      </c>
      <c r="B3965" s="3">
        <v>44648</v>
      </c>
      <c r="C3965" t="s">
        <v>520</v>
      </c>
      <c r="D3965" t="s">
        <v>3488</v>
      </c>
      <c r="E3965">
        <v>1</v>
      </c>
      <c r="F3965" t="s">
        <v>3523</v>
      </c>
      <c r="G3965" t="s">
        <v>3519</v>
      </c>
      <c r="H3965">
        <v>0.5</v>
      </c>
      <c r="I3965">
        <v>6.8</v>
      </c>
      <c r="J3965">
        <v>6.8</v>
      </c>
    </row>
    <row r="3966" spans="1:10" x14ac:dyDescent="0.25">
      <c r="A3966" t="s">
        <v>6491</v>
      </c>
      <c r="B3966" s="3">
        <v>44749</v>
      </c>
      <c r="C3966" t="s">
        <v>997</v>
      </c>
      <c r="D3966" t="s">
        <v>3509</v>
      </c>
      <c r="E3966">
        <v>2</v>
      </c>
      <c r="F3966" t="s">
        <v>3524</v>
      </c>
      <c r="G3966" t="s">
        <v>3517</v>
      </c>
      <c r="H3966">
        <v>0.2</v>
      </c>
      <c r="I3966">
        <v>3.6</v>
      </c>
      <c r="J3966">
        <v>7.2</v>
      </c>
    </row>
    <row r="3967" spans="1:10" x14ac:dyDescent="0.25">
      <c r="A3967" t="s">
        <v>6492</v>
      </c>
      <c r="B3967" s="3">
        <v>44821</v>
      </c>
      <c r="C3967" t="s">
        <v>3130</v>
      </c>
      <c r="D3967" t="s">
        <v>3486</v>
      </c>
      <c r="E3967">
        <v>3</v>
      </c>
      <c r="F3967" t="s">
        <v>3523</v>
      </c>
      <c r="G3967" t="s">
        <v>3519</v>
      </c>
      <c r="H3967">
        <v>1</v>
      </c>
      <c r="I3967">
        <v>11.3</v>
      </c>
      <c r="J3967">
        <v>33.9</v>
      </c>
    </row>
    <row r="3968" spans="1:10" x14ac:dyDescent="0.25">
      <c r="A3968" t="s">
        <v>6493</v>
      </c>
      <c r="B3968" s="3">
        <v>44099</v>
      </c>
      <c r="C3968" t="s">
        <v>2657</v>
      </c>
      <c r="D3968" t="s">
        <v>3506</v>
      </c>
      <c r="E3968">
        <v>4</v>
      </c>
      <c r="F3968" t="s">
        <v>3523</v>
      </c>
      <c r="G3968" t="s">
        <v>3519</v>
      </c>
      <c r="H3968">
        <v>2.5</v>
      </c>
      <c r="I3968">
        <v>25.9</v>
      </c>
      <c r="J3968">
        <v>103.6</v>
      </c>
    </row>
    <row r="3969" spans="1:10" x14ac:dyDescent="0.25">
      <c r="A3969" t="s">
        <v>6494</v>
      </c>
      <c r="B3969" s="3">
        <v>44830</v>
      </c>
      <c r="C3969" t="s">
        <v>950</v>
      </c>
      <c r="D3969" t="s">
        <v>3470</v>
      </c>
      <c r="E3969">
        <v>2</v>
      </c>
      <c r="F3969" t="s">
        <v>3526</v>
      </c>
      <c r="G3969" t="s">
        <v>3519</v>
      </c>
      <c r="H3969">
        <v>0.5</v>
      </c>
      <c r="I3969">
        <v>8.3000000000000007</v>
      </c>
      <c r="J3969">
        <v>16.600000000000001</v>
      </c>
    </row>
    <row r="3970" spans="1:10" x14ac:dyDescent="0.25">
      <c r="A3970" t="s">
        <v>6495</v>
      </c>
      <c r="B3970" s="3">
        <v>44408</v>
      </c>
      <c r="C3970" t="s">
        <v>2584</v>
      </c>
      <c r="D3970" t="s">
        <v>3505</v>
      </c>
      <c r="E3970">
        <v>5</v>
      </c>
      <c r="F3970" t="s">
        <v>3524</v>
      </c>
      <c r="G3970" t="s">
        <v>3519</v>
      </c>
      <c r="H3970">
        <v>0.2</v>
      </c>
      <c r="I3970">
        <v>3</v>
      </c>
      <c r="J3970">
        <v>15</v>
      </c>
    </row>
    <row r="3971" spans="1:10" x14ac:dyDescent="0.25">
      <c r="A3971" t="s">
        <v>6496</v>
      </c>
      <c r="B3971" s="3">
        <v>45597</v>
      </c>
      <c r="C3971" t="s">
        <v>2530</v>
      </c>
      <c r="D3971" t="s">
        <v>3502</v>
      </c>
      <c r="E3971">
        <v>5</v>
      </c>
      <c r="F3971" t="s">
        <v>3526</v>
      </c>
      <c r="G3971" t="s">
        <v>3517</v>
      </c>
      <c r="H3971">
        <v>1</v>
      </c>
      <c r="I3971">
        <v>14.9</v>
      </c>
      <c r="J3971">
        <v>74.5</v>
      </c>
    </row>
    <row r="3972" spans="1:10" x14ac:dyDescent="0.25">
      <c r="A3972" t="s">
        <v>6497</v>
      </c>
      <c r="B3972" s="3">
        <v>45173</v>
      </c>
      <c r="C3972" t="s">
        <v>604</v>
      </c>
      <c r="D3972" t="s">
        <v>3471</v>
      </c>
      <c r="E3972">
        <v>4</v>
      </c>
      <c r="F3972" t="s">
        <v>3523</v>
      </c>
      <c r="G3972" t="s">
        <v>3517</v>
      </c>
      <c r="H3972">
        <v>1</v>
      </c>
      <c r="I3972">
        <v>13</v>
      </c>
      <c r="J3972">
        <v>52</v>
      </c>
    </row>
    <row r="3973" spans="1:10" x14ac:dyDescent="0.25">
      <c r="A3973" t="s">
        <v>6498</v>
      </c>
      <c r="B3973" s="3">
        <v>44888</v>
      </c>
      <c r="C3973" t="s">
        <v>2227</v>
      </c>
      <c r="D3973" t="s">
        <v>3503</v>
      </c>
      <c r="E3973">
        <v>3</v>
      </c>
      <c r="F3973" t="s">
        <v>3524</v>
      </c>
      <c r="G3973" t="s">
        <v>3518</v>
      </c>
      <c r="H3973">
        <v>0.5</v>
      </c>
      <c r="I3973">
        <v>5.4</v>
      </c>
      <c r="J3973">
        <v>16.2</v>
      </c>
    </row>
    <row r="3974" spans="1:10" x14ac:dyDescent="0.25">
      <c r="A3974" t="s">
        <v>6499</v>
      </c>
      <c r="B3974" s="3">
        <v>45327</v>
      </c>
      <c r="C3974" t="s">
        <v>1494</v>
      </c>
      <c r="D3974" t="s">
        <v>3477</v>
      </c>
      <c r="E3974">
        <v>6</v>
      </c>
      <c r="F3974" t="s">
        <v>3524</v>
      </c>
      <c r="G3974" t="s">
        <v>3519</v>
      </c>
      <c r="H3974">
        <v>0.5</v>
      </c>
      <c r="I3974">
        <v>6</v>
      </c>
      <c r="J3974">
        <v>36</v>
      </c>
    </row>
    <row r="3975" spans="1:10" x14ac:dyDescent="0.25">
      <c r="A3975" t="s">
        <v>6500</v>
      </c>
      <c r="B3975" s="3">
        <v>43766</v>
      </c>
      <c r="C3975" t="s">
        <v>1053</v>
      </c>
      <c r="D3975" t="s">
        <v>3471</v>
      </c>
      <c r="E3975">
        <v>5</v>
      </c>
      <c r="F3975" t="s">
        <v>3523</v>
      </c>
      <c r="G3975" t="s">
        <v>3517</v>
      </c>
      <c r="H3975">
        <v>1</v>
      </c>
      <c r="I3975">
        <v>13</v>
      </c>
      <c r="J3975">
        <v>65</v>
      </c>
    </row>
    <row r="3976" spans="1:10" x14ac:dyDescent="0.25">
      <c r="A3976" t="s">
        <v>6501</v>
      </c>
      <c r="B3976" s="3">
        <v>45366</v>
      </c>
      <c r="C3976" t="s">
        <v>3360</v>
      </c>
      <c r="D3976" t="s">
        <v>3504</v>
      </c>
      <c r="E3976">
        <v>5</v>
      </c>
      <c r="F3976" t="s">
        <v>3524</v>
      </c>
      <c r="G3976" t="s">
        <v>3517</v>
      </c>
      <c r="H3976">
        <v>0.5</v>
      </c>
      <c r="I3976">
        <v>7.2</v>
      </c>
      <c r="J3976">
        <v>36</v>
      </c>
    </row>
    <row r="3977" spans="1:10" x14ac:dyDescent="0.25">
      <c r="A3977" t="s">
        <v>6502</v>
      </c>
      <c r="B3977" s="3">
        <v>45290</v>
      </c>
      <c r="C3977" t="s">
        <v>3205</v>
      </c>
      <c r="D3977" t="s">
        <v>3485</v>
      </c>
      <c r="E3977">
        <v>1</v>
      </c>
      <c r="F3977" t="s">
        <v>3523</v>
      </c>
      <c r="G3977" t="s">
        <v>3518</v>
      </c>
      <c r="H3977">
        <v>0.2</v>
      </c>
      <c r="I3977">
        <v>3</v>
      </c>
      <c r="J3977">
        <v>3</v>
      </c>
    </row>
    <row r="3978" spans="1:10" x14ac:dyDescent="0.25">
      <c r="A3978" t="s">
        <v>6503</v>
      </c>
      <c r="B3978" s="3">
        <v>44694</v>
      </c>
      <c r="C3978" t="s">
        <v>1399</v>
      </c>
      <c r="D3978" t="s">
        <v>3482</v>
      </c>
      <c r="E3978">
        <v>5</v>
      </c>
      <c r="F3978" t="s">
        <v>3524</v>
      </c>
      <c r="G3978" t="s">
        <v>3519</v>
      </c>
      <c r="H3978">
        <v>2.5</v>
      </c>
      <c r="I3978">
        <v>22.9</v>
      </c>
      <c r="J3978">
        <v>114.5</v>
      </c>
    </row>
    <row r="3979" spans="1:10" x14ac:dyDescent="0.25">
      <c r="A3979" t="s">
        <v>6504</v>
      </c>
      <c r="B3979" s="3">
        <v>45286</v>
      </c>
      <c r="C3979" t="s">
        <v>1532</v>
      </c>
      <c r="D3979" t="s">
        <v>3492</v>
      </c>
      <c r="E3979">
        <v>2</v>
      </c>
      <c r="F3979" t="s">
        <v>3525</v>
      </c>
      <c r="G3979" t="s">
        <v>3517</v>
      </c>
      <c r="H3979">
        <v>0.5</v>
      </c>
      <c r="I3979">
        <v>9.5</v>
      </c>
      <c r="J3979">
        <v>19</v>
      </c>
    </row>
    <row r="3980" spans="1:10" x14ac:dyDescent="0.25">
      <c r="A3980" t="s">
        <v>6505</v>
      </c>
      <c r="B3980" s="3">
        <v>45023</v>
      </c>
      <c r="C3980" t="s">
        <v>906</v>
      </c>
      <c r="D3980" t="s">
        <v>3481</v>
      </c>
      <c r="E3980">
        <v>1</v>
      </c>
      <c r="F3980" t="s">
        <v>3525</v>
      </c>
      <c r="G3980" t="s">
        <v>3518</v>
      </c>
      <c r="H3980">
        <v>0.2</v>
      </c>
      <c r="I3980">
        <v>3.9</v>
      </c>
      <c r="J3980">
        <v>3.9</v>
      </c>
    </row>
    <row r="3981" spans="1:10" x14ac:dyDescent="0.25">
      <c r="A3981" t="s">
        <v>6506</v>
      </c>
      <c r="B3981" s="3">
        <v>43897</v>
      </c>
      <c r="C3981" t="s">
        <v>3282</v>
      </c>
      <c r="D3981" t="s">
        <v>3504</v>
      </c>
      <c r="E3981">
        <v>5</v>
      </c>
      <c r="F3981" t="s">
        <v>3524</v>
      </c>
      <c r="G3981" t="s">
        <v>3517</v>
      </c>
      <c r="H3981">
        <v>0.5</v>
      </c>
      <c r="I3981">
        <v>7.2</v>
      </c>
      <c r="J3981">
        <v>36</v>
      </c>
    </row>
    <row r="3982" spans="1:10" x14ac:dyDescent="0.25">
      <c r="A3982" t="s">
        <v>6507</v>
      </c>
      <c r="B3982" s="3">
        <v>44928</v>
      </c>
      <c r="C3982" t="s">
        <v>965</v>
      </c>
      <c r="D3982" t="s">
        <v>3482</v>
      </c>
      <c r="E3982">
        <v>2</v>
      </c>
      <c r="F3982" t="s">
        <v>3524</v>
      </c>
      <c r="G3982" t="s">
        <v>3519</v>
      </c>
      <c r="H3982">
        <v>2.5</v>
      </c>
      <c r="I3982">
        <v>22.9</v>
      </c>
      <c r="J3982">
        <v>45.8</v>
      </c>
    </row>
    <row r="3983" spans="1:10" x14ac:dyDescent="0.25">
      <c r="A3983" t="s">
        <v>6508</v>
      </c>
      <c r="B3983" s="3">
        <v>45296</v>
      </c>
      <c r="C3983" t="s">
        <v>2921</v>
      </c>
      <c r="D3983" t="s">
        <v>3492</v>
      </c>
      <c r="E3983">
        <v>3</v>
      </c>
      <c r="F3983" t="s">
        <v>3525</v>
      </c>
      <c r="G3983" t="s">
        <v>3517</v>
      </c>
      <c r="H3983">
        <v>0.5</v>
      </c>
      <c r="I3983">
        <v>9.5</v>
      </c>
      <c r="J3983">
        <v>28.5</v>
      </c>
    </row>
    <row r="3984" spans="1:10" x14ac:dyDescent="0.25">
      <c r="A3984" t="s">
        <v>6509</v>
      </c>
      <c r="B3984" s="3">
        <v>45234</v>
      </c>
      <c r="C3984" t="s">
        <v>3351</v>
      </c>
      <c r="D3984" t="s">
        <v>3503</v>
      </c>
      <c r="E3984">
        <v>6</v>
      </c>
      <c r="F3984" t="s">
        <v>3524</v>
      </c>
      <c r="G3984" t="s">
        <v>3518</v>
      </c>
      <c r="H3984">
        <v>0.5</v>
      </c>
      <c r="I3984">
        <v>5.4</v>
      </c>
      <c r="J3984">
        <v>32.4</v>
      </c>
    </row>
    <row r="3985" spans="1:10" x14ac:dyDescent="0.25">
      <c r="A3985" t="s">
        <v>6510</v>
      </c>
      <c r="B3985" s="3">
        <v>44954</v>
      </c>
      <c r="C3985" t="s">
        <v>1300</v>
      </c>
      <c r="D3985" t="s">
        <v>3493</v>
      </c>
      <c r="E3985">
        <v>3</v>
      </c>
      <c r="F3985" t="s">
        <v>3525</v>
      </c>
      <c r="G3985" t="s">
        <v>3519</v>
      </c>
      <c r="H3985">
        <v>1</v>
      </c>
      <c r="I3985">
        <v>14.6</v>
      </c>
      <c r="J3985">
        <v>43.8</v>
      </c>
    </row>
    <row r="3986" spans="1:10" x14ac:dyDescent="0.25">
      <c r="A3986" t="s">
        <v>6511</v>
      </c>
      <c r="B3986" s="3">
        <v>44782</v>
      </c>
      <c r="C3986" t="s">
        <v>2003</v>
      </c>
      <c r="D3986" t="s">
        <v>3504</v>
      </c>
      <c r="E3986">
        <v>3</v>
      </c>
      <c r="F3986" t="s">
        <v>3524</v>
      </c>
      <c r="G3986" t="s">
        <v>3517</v>
      </c>
      <c r="H3986">
        <v>0.5</v>
      </c>
      <c r="I3986">
        <v>7.2</v>
      </c>
      <c r="J3986">
        <v>21.6</v>
      </c>
    </row>
    <row r="3987" spans="1:10" x14ac:dyDescent="0.25">
      <c r="A3987" t="s">
        <v>6512</v>
      </c>
      <c r="B3987" s="3">
        <v>44968</v>
      </c>
      <c r="C3987" t="s">
        <v>1631</v>
      </c>
      <c r="D3987" t="s">
        <v>3472</v>
      </c>
      <c r="E3987">
        <v>1</v>
      </c>
      <c r="F3987" t="s">
        <v>3526</v>
      </c>
      <c r="G3987" t="s">
        <v>3519</v>
      </c>
      <c r="H3987">
        <v>1</v>
      </c>
      <c r="I3987">
        <v>13.8</v>
      </c>
      <c r="J3987">
        <v>13.8</v>
      </c>
    </row>
    <row r="3988" spans="1:10" x14ac:dyDescent="0.25">
      <c r="A3988" t="s">
        <v>6513</v>
      </c>
      <c r="B3988" s="3">
        <v>45631</v>
      </c>
      <c r="C3988" t="s">
        <v>2468</v>
      </c>
      <c r="D3988" t="s">
        <v>3506</v>
      </c>
      <c r="E3988">
        <v>4</v>
      </c>
      <c r="F3988" t="s">
        <v>3523</v>
      </c>
      <c r="G3988" t="s">
        <v>3519</v>
      </c>
      <c r="H3988">
        <v>2.5</v>
      </c>
      <c r="I3988">
        <v>25.9</v>
      </c>
      <c r="J3988">
        <v>103.6</v>
      </c>
    </row>
    <row r="3989" spans="1:10" x14ac:dyDescent="0.25">
      <c r="A3989" t="s">
        <v>6514</v>
      </c>
      <c r="B3989" s="3">
        <v>45523</v>
      </c>
      <c r="C3989" t="s">
        <v>1702</v>
      </c>
      <c r="D3989" t="s">
        <v>3480</v>
      </c>
      <c r="E3989">
        <v>2</v>
      </c>
      <c r="F3989" t="s">
        <v>3524</v>
      </c>
      <c r="G3989" t="s">
        <v>3518</v>
      </c>
      <c r="H3989">
        <v>2.5</v>
      </c>
      <c r="I3989">
        <v>20.6</v>
      </c>
      <c r="J3989">
        <v>41.2</v>
      </c>
    </row>
    <row r="3990" spans="1:10" x14ac:dyDescent="0.25">
      <c r="A3990" t="s">
        <v>6515</v>
      </c>
      <c r="B3990" s="3">
        <v>45321</v>
      </c>
      <c r="C3990" t="s">
        <v>2308</v>
      </c>
      <c r="D3990" t="s">
        <v>3484</v>
      </c>
      <c r="E3990">
        <v>5</v>
      </c>
      <c r="F3990" t="s">
        <v>3526</v>
      </c>
      <c r="G3990" t="s">
        <v>3518</v>
      </c>
      <c r="H3990">
        <v>0.2</v>
      </c>
      <c r="I3990">
        <v>3.6</v>
      </c>
      <c r="J3990">
        <v>18</v>
      </c>
    </row>
    <row r="3991" spans="1:10" x14ac:dyDescent="0.25">
      <c r="A3991" t="s">
        <v>6516</v>
      </c>
      <c r="B3991" s="3">
        <v>45566</v>
      </c>
      <c r="C3991" t="s">
        <v>2429</v>
      </c>
      <c r="D3991" t="s">
        <v>3495</v>
      </c>
      <c r="E3991">
        <v>6</v>
      </c>
      <c r="F3991" t="s">
        <v>3525</v>
      </c>
      <c r="G3991" t="s">
        <v>3517</v>
      </c>
      <c r="H3991">
        <v>2.5</v>
      </c>
      <c r="I3991">
        <v>36.5</v>
      </c>
      <c r="J3991">
        <v>219</v>
      </c>
    </row>
    <row r="3992" spans="1:10" x14ac:dyDescent="0.25">
      <c r="A3992" t="s">
        <v>6517</v>
      </c>
      <c r="B3992" s="3">
        <v>43702</v>
      </c>
      <c r="C3992" t="s">
        <v>2654</v>
      </c>
      <c r="D3992" t="s">
        <v>3492</v>
      </c>
      <c r="E3992">
        <v>2</v>
      </c>
      <c r="F3992" t="s">
        <v>3525</v>
      </c>
      <c r="G3992" t="s">
        <v>3517</v>
      </c>
      <c r="H3992">
        <v>0.5</v>
      </c>
      <c r="I3992">
        <v>9.5</v>
      </c>
      <c r="J3992">
        <v>19</v>
      </c>
    </row>
    <row r="3993" spans="1:10" x14ac:dyDescent="0.25">
      <c r="A3993" t="s">
        <v>6518</v>
      </c>
      <c r="B3993" s="3">
        <v>43600</v>
      </c>
      <c r="C3993" t="s">
        <v>1172</v>
      </c>
      <c r="D3993" t="s">
        <v>3486</v>
      </c>
      <c r="E3993">
        <v>1</v>
      </c>
      <c r="F3993" t="s">
        <v>3523</v>
      </c>
      <c r="G3993" t="s">
        <v>3519</v>
      </c>
      <c r="H3993">
        <v>1</v>
      </c>
      <c r="I3993">
        <v>11.3</v>
      </c>
      <c r="J3993">
        <v>11.3</v>
      </c>
    </row>
    <row r="3994" spans="1:10" x14ac:dyDescent="0.25">
      <c r="A3994" t="s">
        <v>6519</v>
      </c>
      <c r="B3994" s="3">
        <v>44677</v>
      </c>
      <c r="C3994" t="s">
        <v>1749</v>
      </c>
      <c r="D3994" t="s">
        <v>3477</v>
      </c>
      <c r="E3994">
        <v>3</v>
      </c>
      <c r="F3994" t="s">
        <v>3524</v>
      </c>
      <c r="G3994" t="s">
        <v>3519</v>
      </c>
      <c r="H3994">
        <v>0.5</v>
      </c>
      <c r="I3994">
        <v>6</v>
      </c>
      <c r="J3994">
        <v>18</v>
      </c>
    </row>
    <row r="3995" spans="1:10" x14ac:dyDescent="0.25">
      <c r="A3995" t="s">
        <v>6520</v>
      </c>
      <c r="B3995" s="3">
        <v>45239</v>
      </c>
      <c r="C3995" t="s">
        <v>1732</v>
      </c>
      <c r="D3995" t="s">
        <v>3500</v>
      </c>
      <c r="E3995">
        <v>3</v>
      </c>
      <c r="F3995" t="s">
        <v>3525</v>
      </c>
      <c r="G3995" t="s">
        <v>3518</v>
      </c>
      <c r="H3995">
        <v>0.5</v>
      </c>
      <c r="I3995">
        <v>7.8</v>
      </c>
      <c r="J3995">
        <v>23.4</v>
      </c>
    </row>
    <row r="3996" spans="1:10" x14ac:dyDescent="0.25">
      <c r="A3996" t="s">
        <v>6521</v>
      </c>
      <c r="B3996" s="3">
        <v>43774</v>
      </c>
      <c r="C3996" t="s">
        <v>1118</v>
      </c>
      <c r="D3996" t="s">
        <v>3509</v>
      </c>
      <c r="E3996">
        <v>1</v>
      </c>
      <c r="F3996" t="s">
        <v>3524</v>
      </c>
      <c r="G3996" t="s">
        <v>3517</v>
      </c>
      <c r="H3996">
        <v>0.2</v>
      </c>
      <c r="I3996">
        <v>3.6</v>
      </c>
      <c r="J3996">
        <v>3.6</v>
      </c>
    </row>
    <row r="3997" spans="1:10" x14ac:dyDescent="0.25">
      <c r="A3997" t="s">
        <v>6522</v>
      </c>
      <c r="B3997" s="3">
        <v>44780</v>
      </c>
      <c r="C3997" t="s">
        <v>1345</v>
      </c>
      <c r="D3997" t="s">
        <v>3514</v>
      </c>
      <c r="E3997">
        <v>6</v>
      </c>
      <c r="F3997" t="s">
        <v>3526</v>
      </c>
      <c r="G3997" t="s">
        <v>3518</v>
      </c>
      <c r="H3997">
        <v>1</v>
      </c>
      <c r="I3997">
        <v>12.2</v>
      </c>
      <c r="J3997">
        <v>73.2</v>
      </c>
    </row>
    <row r="3998" spans="1:10" x14ac:dyDescent="0.25">
      <c r="A3998" t="s">
        <v>6523</v>
      </c>
      <c r="B3998" s="3">
        <v>45083</v>
      </c>
      <c r="C3998" t="s">
        <v>1711</v>
      </c>
      <c r="D3998" t="s">
        <v>3505</v>
      </c>
      <c r="E3998">
        <v>3</v>
      </c>
      <c r="F3998" t="s">
        <v>3524</v>
      </c>
      <c r="G3998" t="s">
        <v>3519</v>
      </c>
      <c r="H3998">
        <v>0.2</v>
      </c>
      <c r="I3998">
        <v>3</v>
      </c>
      <c r="J3998">
        <v>9</v>
      </c>
    </row>
    <row r="3999" spans="1:10" x14ac:dyDescent="0.25">
      <c r="A3999" t="s">
        <v>6524</v>
      </c>
      <c r="B3999" s="3">
        <v>45063</v>
      </c>
      <c r="C3999" t="s">
        <v>1884</v>
      </c>
      <c r="D3999" t="s">
        <v>3505</v>
      </c>
      <c r="E3999">
        <v>5</v>
      </c>
      <c r="F3999" t="s">
        <v>3524</v>
      </c>
      <c r="G3999" t="s">
        <v>3519</v>
      </c>
      <c r="H3999">
        <v>0.2</v>
      </c>
      <c r="I3999">
        <v>3</v>
      </c>
      <c r="J3999">
        <v>15</v>
      </c>
    </row>
    <row r="4000" spans="1:10" x14ac:dyDescent="0.25">
      <c r="A4000" t="s">
        <v>6525</v>
      </c>
      <c r="B4000" s="3">
        <v>45542</v>
      </c>
      <c r="C4000" t="s">
        <v>2974</v>
      </c>
      <c r="D4000" t="s">
        <v>3509</v>
      </c>
      <c r="E4000">
        <v>2</v>
      </c>
      <c r="F4000" t="s">
        <v>3524</v>
      </c>
      <c r="G4000" t="s">
        <v>3517</v>
      </c>
      <c r="H4000">
        <v>0.2</v>
      </c>
      <c r="I4000">
        <v>3.6</v>
      </c>
      <c r="J4000">
        <v>7.2</v>
      </c>
    </row>
    <row r="4001" spans="1:10" x14ac:dyDescent="0.25">
      <c r="A4001" t="s">
        <v>6526</v>
      </c>
      <c r="B4001" s="3">
        <v>44977</v>
      </c>
      <c r="C4001" t="s">
        <v>3426</v>
      </c>
      <c r="D4001" t="s">
        <v>3480</v>
      </c>
      <c r="E4001">
        <v>4</v>
      </c>
      <c r="F4001" t="s">
        <v>3524</v>
      </c>
      <c r="G4001" t="s">
        <v>3518</v>
      </c>
      <c r="H4001">
        <v>2.5</v>
      </c>
      <c r="I4001">
        <v>20.6</v>
      </c>
      <c r="J4001">
        <v>82.4</v>
      </c>
    </row>
    <row r="4002" spans="1:10" x14ac:dyDescent="0.25">
      <c r="A4002" t="s">
        <v>6527</v>
      </c>
      <c r="B4002" s="3">
        <v>43912</v>
      </c>
      <c r="C4002" t="s">
        <v>3151</v>
      </c>
      <c r="D4002" t="s">
        <v>3510</v>
      </c>
      <c r="E4002">
        <v>2</v>
      </c>
      <c r="F4002" t="s">
        <v>3524</v>
      </c>
      <c r="G4002" t="s">
        <v>3517</v>
      </c>
      <c r="H4002">
        <v>1</v>
      </c>
      <c r="I4002">
        <v>12</v>
      </c>
      <c r="J4002">
        <v>24</v>
      </c>
    </row>
    <row r="4003" spans="1:10" x14ac:dyDescent="0.25">
      <c r="A4003" t="s">
        <v>6528</v>
      </c>
      <c r="B4003" s="3">
        <v>45184</v>
      </c>
      <c r="C4003" t="s">
        <v>994</v>
      </c>
      <c r="D4003" t="s">
        <v>3482</v>
      </c>
      <c r="E4003">
        <v>5</v>
      </c>
      <c r="F4003" t="s">
        <v>3524</v>
      </c>
      <c r="G4003" t="s">
        <v>3519</v>
      </c>
      <c r="H4003">
        <v>2.5</v>
      </c>
      <c r="I4003">
        <v>22.9</v>
      </c>
      <c r="J4003">
        <v>114.5</v>
      </c>
    </row>
    <row r="4004" spans="1:10" x14ac:dyDescent="0.25">
      <c r="A4004" t="s">
        <v>6529</v>
      </c>
      <c r="B4004" s="3">
        <v>45086</v>
      </c>
      <c r="C4004" t="s">
        <v>2843</v>
      </c>
      <c r="D4004" t="s">
        <v>3470</v>
      </c>
      <c r="E4004">
        <v>4</v>
      </c>
      <c r="F4004" t="s">
        <v>3526</v>
      </c>
      <c r="G4004" t="s">
        <v>3519</v>
      </c>
      <c r="H4004">
        <v>0.5</v>
      </c>
      <c r="I4004">
        <v>8.3000000000000007</v>
      </c>
      <c r="J4004">
        <v>33.200000000000003</v>
      </c>
    </row>
    <row r="4005" spans="1:10" x14ac:dyDescent="0.25">
      <c r="A4005" t="s">
        <v>6530</v>
      </c>
      <c r="B4005" s="3">
        <v>44933</v>
      </c>
      <c r="C4005" t="s">
        <v>1514</v>
      </c>
      <c r="D4005" t="s">
        <v>3490</v>
      </c>
      <c r="E4005">
        <v>5</v>
      </c>
      <c r="F4005" t="s">
        <v>3525</v>
      </c>
      <c r="G4005" t="s">
        <v>3519</v>
      </c>
      <c r="H4005">
        <v>0.2</v>
      </c>
      <c r="I4005">
        <v>4.4000000000000004</v>
      </c>
      <c r="J4005">
        <v>22</v>
      </c>
    </row>
    <row r="4006" spans="1:10" x14ac:dyDescent="0.25">
      <c r="A4006" t="s">
        <v>6531</v>
      </c>
      <c r="B4006" s="3">
        <v>43518</v>
      </c>
      <c r="C4006" t="s">
        <v>704</v>
      </c>
      <c r="D4006" t="s">
        <v>3515</v>
      </c>
      <c r="E4006">
        <v>6</v>
      </c>
      <c r="F4006" t="s">
        <v>3526</v>
      </c>
      <c r="G4006" t="s">
        <v>3517</v>
      </c>
      <c r="H4006">
        <v>0.2</v>
      </c>
      <c r="I4006">
        <v>4.5</v>
      </c>
      <c r="J4006">
        <v>27</v>
      </c>
    </row>
    <row r="4007" spans="1:10" x14ac:dyDescent="0.25">
      <c r="A4007" t="s">
        <v>6532</v>
      </c>
      <c r="B4007" s="3">
        <v>45405</v>
      </c>
      <c r="C4007" t="s">
        <v>2423</v>
      </c>
      <c r="D4007" t="s">
        <v>3497</v>
      </c>
      <c r="E4007">
        <v>6</v>
      </c>
      <c r="F4007" t="s">
        <v>3526</v>
      </c>
      <c r="G4007" t="s">
        <v>3519</v>
      </c>
      <c r="H4007">
        <v>2.5</v>
      </c>
      <c r="I4007">
        <v>31.6</v>
      </c>
      <c r="J4007">
        <v>189.6</v>
      </c>
    </row>
    <row r="4008" spans="1:10" x14ac:dyDescent="0.25">
      <c r="A4008" t="s">
        <v>6533</v>
      </c>
      <c r="B4008" s="3">
        <v>45333</v>
      </c>
      <c r="C4008" t="s">
        <v>3363</v>
      </c>
      <c r="D4008" t="s">
        <v>3493</v>
      </c>
      <c r="E4008">
        <v>6</v>
      </c>
      <c r="F4008" t="s">
        <v>3525</v>
      </c>
      <c r="G4008" t="s">
        <v>3519</v>
      </c>
      <c r="H4008">
        <v>1</v>
      </c>
      <c r="I4008">
        <v>14.6</v>
      </c>
      <c r="J4008">
        <v>87.6</v>
      </c>
    </row>
    <row r="4009" spans="1:10" x14ac:dyDescent="0.25">
      <c r="A4009" t="s">
        <v>6534</v>
      </c>
      <c r="B4009" s="3">
        <v>43780</v>
      </c>
      <c r="C4009" t="s">
        <v>1616</v>
      </c>
      <c r="D4009" t="s">
        <v>3502</v>
      </c>
      <c r="E4009">
        <v>4</v>
      </c>
      <c r="F4009" t="s">
        <v>3526</v>
      </c>
      <c r="G4009" t="s">
        <v>3517</v>
      </c>
      <c r="H4009">
        <v>1</v>
      </c>
      <c r="I4009">
        <v>14.9</v>
      </c>
      <c r="J4009">
        <v>59.6</v>
      </c>
    </row>
    <row r="4010" spans="1:10" x14ac:dyDescent="0.25">
      <c r="A4010" t="s">
        <v>6535</v>
      </c>
      <c r="B4010" s="3">
        <v>45395</v>
      </c>
      <c r="C4010" t="s">
        <v>1482</v>
      </c>
      <c r="D4010" t="s">
        <v>3471</v>
      </c>
      <c r="E4010">
        <v>1</v>
      </c>
      <c r="F4010" t="s">
        <v>3523</v>
      </c>
      <c r="G4010" t="s">
        <v>3517</v>
      </c>
      <c r="H4010">
        <v>1</v>
      </c>
      <c r="I4010">
        <v>13</v>
      </c>
      <c r="J4010">
        <v>13</v>
      </c>
    </row>
    <row r="4011" spans="1:10" x14ac:dyDescent="0.25">
      <c r="A4011" t="s">
        <v>6536</v>
      </c>
      <c r="B4011" s="3">
        <v>44712</v>
      </c>
      <c r="C4011" t="s">
        <v>2876</v>
      </c>
      <c r="D4011" t="s">
        <v>3497</v>
      </c>
      <c r="E4011">
        <v>5</v>
      </c>
      <c r="F4011" t="s">
        <v>3526</v>
      </c>
      <c r="G4011" t="s">
        <v>3519</v>
      </c>
      <c r="H4011">
        <v>2.5</v>
      </c>
      <c r="I4011">
        <v>31.6</v>
      </c>
      <c r="J4011">
        <v>158</v>
      </c>
    </row>
    <row r="4012" spans="1:10" x14ac:dyDescent="0.25">
      <c r="A4012" t="s">
        <v>6537</v>
      </c>
      <c r="B4012" s="3">
        <v>44807</v>
      </c>
      <c r="C4012" t="s">
        <v>2711</v>
      </c>
      <c r="D4012" t="s">
        <v>3480</v>
      </c>
      <c r="E4012">
        <v>4</v>
      </c>
      <c r="F4012" t="s">
        <v>3524</v>
      </c>
      <c r="G4012" t="s">
        <v>3518</v>
      </c>
      <c r="H4012">
        <v>2.5</v>
      </c>
      <c r="I4012">
        <v>20.6</v>
      </c>
      <c r="J4012">
        <v>82.4</v>
      </c>
    </row>
    <row r="4013" spans="1:10" x14ac:dyDescent="0.25">
      <c r="A4013" t="s">
        <v>6538</v>
      </c>
      <c r="B4013" s="3">
        <v>44629</v>
      </c>
      <c r="C4013" t="s">
        <v>1872</v>
      </c>
      <c r="D4013" t="s">
        <v>3503</v>
      </c>
      <c r="E4013">
        <v>6</v>
      </c>
      <c r="F4013" t="s">
        <v>3524</v>
      </c>
      <c r="G4013" t="s">
        <v>3518</v>
      </c>
      <c r="H4013">
        <v>0.5</v>
      </c>
      <c r="I4013">
        <v>5.4</v>
      </c>
      <c r="J4013">
        <v>32.4</v>
      </c>
    </row>
    <row r="4014" spans="1:10" x14ac:dyDescent="0.25">
      <c r="A4014" t="s">
        <v>6539</v>
      </c>
      <c r="B4014" s="3">
        <v>44376</v>
      </c>
      <c r="C4014" t="s">
        <v>1166</v>
      </c>
      <c r="D4014" t="s">
        <v>3496</v>
      </c>
      <c r="E4014">
        <v>5</v>
      </c>
      <c r="F4014" t="s">
        <v>3525</v>
      </c>
      <c r="G4014" t="s">
        <v>3518</v>
      </c>
      <c r="H4014">
        <v>2.5</v>
      </c>
      <c r="I4014">
        <v>29.8</v>
      </c>
      <c r="J4014">
        <v>149</v>
      </c>
    </row>
    <row r="4015" spans="1:10" x14ac:dyDescent="0.25">
      <c r="A4015" t="s">
        <v>6540</v>
      </c>
      <c r="B4015" s="3">
        <v>45632</v>
      </c>
      <c r="C4015" t="s">
        <v>3449</v>
      </c>
      <c r="D4015" t="s">
        <v>3480</v>
      </c>
      <c r="E4015">
        <v>5</v>
      </c>
      <c r="F4015" t="s">
        <v>3524</v>
      </c>
      <c r="G4015" t="s">
        <v>3518</v>
      </c>
      <c r="H4015">
        <v>2.5</v>
      </c>
      <c r="I4015">
        <v>20.6</v>
      </c>
      <c r="J4015">
        <v>103</v>
      </c>
    </row>
    <row r="4016" spans="1:10" x14ac:dyDescent="0.25">
      <c r="A4016" t="s">
        <v>6541</v>
      </c>
      <c r="B4016" s="3">
        <v>45051</v>
      </c>
      <c r="C4016" t="s">
        <v>685</v>
      </c>
      <c r="D4016" t="s">
        <v>3472</v>
      </c>
      <c r="E4016">
        <v>2</v>
      </c>
      <c r="F4016" t="s">
        <v>3526</v>
      </c>
      <c r="G4016" t="s">
        <v>3519</v>
      </c>
      <c r="H4016">
        <v>1</v>
      </c>
      <c r="I4016">
        <v>13.8</v>
      </c>
      <c r="J4016">
        <v>27.6</v>
      </c>
    </row>
    <row r="4017" spans="1:10" x14ac:dyDescent="0.25">
      <c r="A4017" t="s">
        <v>6542</v>
      </c>
      <c r="B4017" s="3">
        <v>45419</v>
      </c>
      <c r="C4017" t="s">
        <v>3399</v>
      </c>
      <c r="D4017" t="s">
        <v>3497</v>
      </c>
      <c r="E4017">
        <v>4</v>
      </c>
      <c r="F4017" t="s">
        <v>3526</v>
      </c>
      <c r="G4017" t="s">
        <v>3519</v>
      </c>
      <c r="H4017">
        <v>2.5</v>
      </c>
      <c r="I4017">
        <v>31.6</v>
      </c>
      <c r="J4017">
        <v>126.4</v>
      </c>
    </row>
    <row r="4018" spans="1:10" x14ac:dyDescent="0.25">
      <c r="A4018" t="s">
        <v>6543</v>
      </c>
      <c r="B4018" s="3">
        <v>44811</v>
      </c>
      <c r="C4018" t="s">
        <v>2819</v>
      </c>
      <c r="D4018" t="s">
        <v>3493</v>
      </c>
      <c r="E4018">
        <v>5</v>
      </c>
      <c r="F4018" t="s">
        <v>3525</v>
      </c>
      <c r="G4018" t="s">
        <v>3519</v>
      </c>
      <c r="H4018">
        <v>1</v>
      </c>
      <c r="I4018">
        <v>14.6</v>
      </c>
      <c r="J4018">
        <v>73</v>
      </c>
    </row>
    <row r="4019" spans="1:10" x14ac:dyDescent="0.25">
      <c r="A4019" t="s">
        <v>6544</v>
      </c>
      <c r="B4019" s="3">
        <v>44026</v>
      </c>
      <c r="C4019" t="s">
        <v>2602</v>
      </c>
      <c r="D4019" t="s">
        <v>3473</v>
      </c>
      <c r="E4019">
        <v>6</v>
      </c>
      <c r="F4019" t="s">
        <v>3524</v>
      </c>
      <c r="G4019" t="s">
        <v>3517</v>
      </c>
      <c r="H4019">
        <v>2.5</v>
      </c>
      <c r="I4019">
        <v>27.5</v>
      </c>
      <c r="J4019">
        <v>165</v>
      </c>
    </row>
    <row r="4020" spans="1:10" x14ac:dyDescent="0.25">
      <c r="A4020" t="s">
        <v>6545</v>
      </c>
      <c r="B4020" s="3">
        <v>44941</v>
      </c>
      <c r="C4020" t="s">
        <v>2989</v>
      </c>
      <c r="D4020" t="s">
        <v>3482</v>
      </c>
      <c r="E4020">
        <v>1</v>
      </c>
      <c r="F4020" t="s">
        <v>3524</v>
      </c>
      <c r="G4020" t="s">
        <v>3519</v>
      </c>
      <c r="H4020">
        <v>2.5</v>
      </c>
      <c r="I4020">
        <v>22.9</v>
      </c>
      <c r="J4020">
        <v>22.9</v>
      </c>
    </row>
    <row r="4021" spans="1:10" x14ac:dyDescent="0.25">
      <c r="A4021" t="s">
        <v>6546</v>
      </c>
      <c r="B4021" s="3">
        <v>44640</v>
      </c>
      <c r="C4021" t="s">
        <v>695</v>
      </c>
      <c r="D4021" t="s">
        <v>3516</v>
      </c>
      <c r="E4021">
        <v>3</v>
      </c>
      <c r="F4021" t="s">
        <v>3526</v>
      </c>
      <c r="G4021" t="s">
        <v>3518</v>
      </c>
      <c r="H4021">
        <v>2.5</v>
      </c>
      <c r="I4021">
        <v>27.9</v>
      </c>
      <c r="J4021">
        <v>83.7</v>
      </c>
    </row>
    <row r="4022" spans="1:10" x14ac:dyDescent="0.25">
      <c r="A4022" t="s">
        <v>6547</v>
      </c>
      <c r="B4022" s="3">
        <v>45656</v>
      </c>
      <c r="C4022" t="s">
        <v>3375</v>
      </c>
      <c r="D4022" t="s">
        <v>3504</v>
      </c>
      <c r="E4022">
        <v>2</v>
      </c>
      <c r="F4022" t="s">
        <v>3524</v>
      </c>
      <c r="G4022" t="s">
        <v>3517</v>
      </c>
      <c r="H4022">
        <v>0.5</v>
      </c>
      <c r="I4022">
        <v>7.2</v>
      </c>
      <c r="J4022">
        <v>14.4</v>
      </c>
    </row>
    <row r="4023" spans="1:10" x14ac:dyDescent="0.25">
      <c r="A4023" t="s">
        <v>6548</v>
      </c>
      <c r="B4023" s="3">
        <v>43724</v>
      </c>
      <c r="C4023" t="s">
        <v>2882</v>
      </c>
      <c r="D4023" t="s">
        <v>3470</v>
      </c>
      <c r="E4023">
        <v>5</v>
      </c>
      <c r="F4023" t="s">
        <v>3526</v>
      </c>
      <c r="G4023" t="s">
        <v>3519</v>
      </c>
      <c r="H4023">
        <v>0.5</v>
      </c>
      <c r="I4023">
        <v>8.3000000000000007</v>
      </c>
      <c r="J4023">
        <v>41.5</v>
      </c>
    </row>
    <row r="4024" spans="1:10" x14ac:dyDescent="0.25">
      <c r="A4024" t="s">
        <v>6549</v>
      </c>
      <c r="B4024" s="3">
        <v>43946</v>
      </c>
      <c r="C4024" t="s">
        <v>1178</v>
      </c>
      <c r="D4024" t="s">
        <v>3495</v>
      </c>
      <c r="E4024">
        <v>6</v>
      </c>
      <c r="F4024" t="s">
        <v>3525</v>
      </c>
      <c r="G4024" t="s">
        <v>3517</v>
      </c>
      <c r="H4024">
        <v>2.5</v>
      </c>
      <c r="I4024">
        <v>36.5</v>
      </c>
      <c r="J4024">
        <v>219</v>
      </c>
    </row>
    <row r="4025" spans="1:10" x14ac:dyDescent="0.25">
      <c r="A4025" t="s">
        <v>6550</v>
      </c>
      <c r="B4025" s="3">
        <v>45145</v>
      </c>
      <c r="C4025" t="s">
        <v>2509</v>
      </c>
      <c r="D4025" t="s">
        <v>3515</v>
      </c>
      <c r="E4025">
        <v>3</v>
      </c>
      <c r="F4025" t="s">
        <v>3526</v>
      </c>
      <c r="G4025" t="s">
        <v>3517</v>
      </c>
      <c r="H4025">
        <v>0.2</v>
      </c>
      <c r="I4025">
        <v>4.5</v>
      </c>
      <c r="J4025">
        <v>13.5</v>
      </c>
    </row>
    <row r="4026" spans="1:10" x14ac:dyDescent="0.25">
      <c r="A4026" t="s">
        <v>6551</v>
      </c>
      <c r="B4026" s="3">
        <v>43858</v>
      </c>
      <c r="C4026" t="s">
        <v>3220</v>
      </c>
      <c r="D4026" t="s">
        <v>3505</v>
      </c>
      <c r="E4026">
        <v>6</v>
      </c>
      <c r="F4026" t="s">
        <v>3524</v>
      </c>
      <c r="G4026" t="s">
        <v>3519</v>
      </c>
      <c r="H4026">
        <v>0.2</v>
      </c>
      <c r="I4026">
        <v>3</v>
      </c>
      <c r="J4026">
        <v>18</v>
      </c>
    </row>
    <row r="4027" spans="1:10" x14ac:dyDescent="0.25">
      <c r="A4027" t="s">
        <v>6552</v>
      </c>
      <c r="B4027" s="3">
        <v>43489</v>
      </c>
      <c r="C4027" t="s">
        <v>3057</v>
      </c>
      <c r="D4027" t="s">
        <v>3510</v>
      </c>
      <c r="E4027">
        <v>4</v>
      </c>
      <c r="F4027" t="s">
        <v>3524</v>
      </c>
      <c r="G4027" t="s">
        <v>3517</v>
      </c>
      <c r="H4027">
        <v>1</v>
      </c>
      <c r="I4027">
        <v>12</v>
      </c>
      <c r="J4027">
        <v>48</v>
      </c>
    </row>
    <row r="4028" spans="1:10" x14ac:dyDescent="0.25">
      <c r="A4028" t="s">
        <v>6553</v>
      </c>
      <c r="B4028" s="3">
        <v>44563</v>
      </c>
      <c r="C4028" t="s">
        <v>2320</v>
      </c>
      <c r="D4028" t="s">
        <v>3496</v>
      </c>
      <c r="E4028">
        <v>1</v>
      </c>
      <c r="F4028" t="s">
        <v>3525</v>
      </c>
      <c r="G4028" t="s">
        <v>3518</v>
      </c>
      <c r="H4028">
        <v>2.5</v>
      </c>
      <c r="I4028">
        <v>29.8</v>
      </c>
      <c r="J4028">
        <v>29.8</v>
      </c>
    </row>
    <row r="4029" spans="1:10" x14ac:dyDescent="0.25">
      <c r="A4029" t="s">
        <v>6554</v>
      </c>
      <c r="B4029" s="3">
        <v>45611</v>
      </c>
      <c r="C4029" t="s">
        <v>549</v>
      </c>
      <c r="D4029" t="s">
        <v>3514</v>
      </c>
      <c r="E4029">
        <v>6</v>
      </c>
      <c r="F4029" t="s">
        <v>3526</v>
      </c>
      <c r="G4029" t="s">
        <v>3518</v>
      </c>
      <c r="H4029">
        <v>1</v>
      </c>
      <c r="I4029">
        <v>12.2</v>
      </c>
      <c r="J4029">
        <v>73.2</v>
      </c>
    </row>
    <row r="4030" spans="1:10" x14ac:dyDescent="0.25">
      <c r="A4030" t="s">
        <v>6555</v>
      </c>
      <c r="B4030" s="3">
        <v>44627</v>
      </c>
      <c r="C4030" t="s">
        <v>2855</v>
      </c>
      <c r="D4030" t="s">
        <v>3477</v>
      </c>
      <c r="E4030">
        <v>3</v>
      </c>
      <c r="F4030" t="s">
        <v>3524</v>
      </c>
      <c r="G4030" t="s">
        <v>3519</v>
      </c>
      <c r="H4030">
        <v>0.5</v>
      </c>
      <c r="I4030">
        <v>6</v>
      </c>
      <c r="J4030">
        <v>18</v>
      </c>
    </row>
    <row r="4031" spans="1:10" x14ac:dyDescent="0.25">
      <c r="A4031" t="s">
        <v>6556</v>
      </c>
      <c r="B4031" s="3">
        <v>45566</v>
      </c>
      <c r="C4031" t="s">
        <v>1193</v>
      </c>
      <c r="D4031" t="s">
        <v>3482</v>
      </c>
      <c r="E4031">
        <v>4</v>
      </c>
      <c r="F4031" t="s">
        <v>3524</v>
      </c>
      <c r="G4031" t="s">
        <v>3519</v>
      </c>
      <c r="H4031">
        <v>2.5</v>
      </c>
      <c r="I4031">
        <v>22.9</v>
      </c>
      <c r="J4031">
        <v>91.6</v>
      </c>
    </row>
    <row r="4032" spans="1:10" x14ac:dyDescent="0.25">
      <c r="A4032" t="s">
        <v>6557</v>
      </c>
      <c r="B4032" s="3">
        <v>44273</v>
      </c>
      <c r="C4032" t="s">
        <v>3393</v>
      </c>
      <c r="D4032" t="s">
        <v>3502</v>
      </c>
      <c r="E4032">
        <v>1</v>
      </c>
      <c r="F4032" t="s">
        <v>3526</v>
      </c>
      <c r="G4032" t="s">
        <v>3517</v>
      </c>
      <c r="H4032">
        <v>1</v>
      </c>
      <c r="I4032">
        <v>14.9</v>
      </c>
      <c r="J4032">
        <v>14.9</v>
      </c>
    </row>
    <row r="4033" spans="1:10" x14ac:dyDescent="0.25">
      <c r="A4033" t="s">
        <v>6558</v>
      </c>
      <c r="B4033" s="3">
        <v>45135</v>
      </c>
      <c r="C4033" t="s">
        <v>2696</v>
      </c>
      <c r="D4033" t="s">
        <v>3503</v>
      </c>
      <c r="E4033">
        <v>1</v>
      </c>
      <c r="F4033" t="s">
        <v>3524</v>
      </c>
      <c r="G4033" t="s">
        <v>3518</v>
      </c>
      <c r="H4033">
        <v>0.5</v>
      </c>
      <c r="I4033">
        <v>5.4</v>
      </c>
      <c r="J4033">
        <v>5.4</v>
      </c>
    </row>
    <row r="4034" spans="1:10" x14ac:dyDescent="0.25">
      <c r="A4034" t="s">
        <v>6559</v>
      </c>
      <c r="B4034" s="3">
        <v>45542</v>
      </c>
      <c r="C4034" t="s">
        <v>1994</v>
      </c>
      <c r="D4034" t="s">
        <v>3470</v>
      </c>
      <c r="E4034">
        <v>6</v>
      </c>
      <c r="F4034" t="s">
        <v>3526</v>
      </c>
      <c r="G4034" t="s">
        <v>3519</v>
      </c>
      <c r="H4034">
        <v>0.5</v>
      </c>
      <c r="I4034">
        <v>8.3000000000000007</v>
      </c>
      <c r="J4034">
        <v>49.8</v>
      </c>
    </row>
    <row r="4035" spans="1:10" x14ac:dyDescent="0.25">
      <c r="A4035" t="s">
        <v>6560</v>
      </c>
      <c r="B4035" s="3">
        <v>45496</v>
      </c>
      <c r="C4035" t="s">
        <v>1235</v>
      </c>
      <c r="D4035" t="s">
        <v>3479</v>
      </c>
      <c r="E4035">
        <v>3</v>
      </c>
      <c r="F4035" t="s">
        <v>3526</v>
      </c>
      <c r="G4035" t="s">
        <v>3517</v>
      </c>
      <c r="H4035">
        <v>2.5</v>
      </c>
      <c r="I4035">
        <v>34.200000000000003</v>
      </c>
      <c r="J4035">
        <v>102.6</v>
      </c>
    </row>
    <row r="4036" spans="1:10" x14ac:dyDescent="0.25">
      <c r="A4036" t="s">
        <v>6561</v>
      </c>
      <c r="B4036" s="3">
        <v>43596</v>
      </c>
      <c r="C4036" t="s">
        <v>1708</v>
      </c>
      <c r="D4036" t="s">
        <v>3469</v>
      </c>
      <c r="E4036">
        <v>6</v>
      </c>
      <c r="F4036" t="s">
        <v>3524</v>
      </c>
      <c r="G4036" t="s">
        <v>3519</v>
      </c>
      <c r="H4036">
        <v>1</v>
      </c>
      <c r="I4036">
        <v>10</v>
      </c>
      <c r="J4036">
        <v>60</v>
      </c>
    </row>
    <row r="4037" spans="1:10" x14ac:dyDescent="0.25">
      <c r="A4037" t="s">
        <v>6562</v>
      </c>
      <c r="B4037" s="3">
        <v>45208</v>
      </c>
      <c r="C4037" t="s">
        <v>1220</v>
      </c>
      <c r="D4037" t="s">
        <v>3481</v>
      </c>
      <c r="E4037">
        <v>6</v>
      </c>
      <c r="F4037" t="s">
        <v>3525</v>
      </c>
      <c r="G4037" t="s">
        <v>3518</v>
      </c>
      <c r="H4037">
        <v>0.2</v>
      </c>
      <c r="I4037">
        <v>3.9</v>
      </c>
      <c r="J4037">
        <v>23.4</v>
      </c>
    </row>
    <row r="4038" spans="1:10" x14ac:dyDescent="0.25">
      <c r="A4038" t="s">
        <v>6563</v>
      </c>
      <c r="B4038" s="3">
        <v>45544</v>
      </c>
      <c r="C4038" t="s">
        <v>1097</v>
      </c>
      <c r="D4038" t="s">
        <v>3509</v>
      </c>
      <c r="E4038">
        <v>1</v>
      </c>
      <c r="F4038" t="s">
        <v>3524</v>
      </c>
      <c r="G4038" t="s">
        <v>3517</v>
      </c>
      <c r="H4038">
        <v>0.2</v>
      </c>
      <c r="I4038">
        <v>3.6</v>
      </c>
      <c r="J4038">
        <v>3.6</v>
      </c>
    </row>
    <row r="4039" spans="1:10" x14ac:dyDescent="0.25">
      <c r="A4039" t="s">
        <v>6564</v>
      </c>
      <c r="B4039" s="3">
        <v>45582</v>
      </c>
      <c r="C4039" t="s">
        <v>2320</v>
      </c>
      <c r="D4039" t="s">
        <v>3498</v>
      </c>
      <c r="E4039">
        <v>6</v>
      </c>
      <c r="F4039" t="s">
        <v>3523</v>
      </c>
      <c r="G4039" t="s">
        <v>3517</v>
      </c>
      <c r="H4039">
        <v>0.2</v>
      </c>
      <c r="I4039">
        <v>3.9</v>
      </c>
      <c r="J4039">
        <v>23.4</v>
      </c>
    </row>
    <row r="4040" spans="1:10" x14ac:dyDescent="0.25">
      <c r="A4040" t="s">
        <v>6565</v>
      </c>
      <c r="B4040" s="3">
        <v>43637</v>
      </c>
      <c r="C4040" t="s">
        <v>2669</v>
      </c>
      <c r="D4040" t="s">
        <v>3515</v>
      </c>
      <c r="E4040">
        <v>3</v>
      </c>
      <c r="F4040" t="s">
        <v>3526</v>
      </c>
      <c r="G4040" t="s">
        <v>3517</v>
      </c>
      <c r="H4040">
        <v>0.2</v>
      </c>
      <c r="I4040">
        <v>4.5</v>
      </c>
      <c r="J4040">
        <v>13.5</v>
      </c>
    </row>
    <row r="4041" spans="1:10" x14ac:dyDescent="0.25">
      <c r="A4041" t="s">
        <v>6566</v>
      </c>
      <c r="B4041" s="3">
        <v>45115</v>
      </c>
      <c r="C4041" t="s">
        <v>1508</v>
      </c>
      <c r="D4041" t="s">
        <v>3515</v>
      </c>
      <c r="E4041">
        <v>2</v>
      </c>
      <c r="F4041" t="s">
        <v>3526</v>
      </c>
      <c r="G4041" t="s">
        <v>3517</v>
      </c>
      <c r="H4041">
        <v>0.2</v>
      </c>
      <c r="I4041">
        <v>4.5</v>
      </c>
      <c r="J4041">
        <v>9</v>
      </c>
    </row>
    <row r="4042" spans="1:10" x14ac:dyDescent="0.25">
      <c r="A4042" t="s">
        <v>6567</v>
      </c>
      <c r="B4042" s="3">
        <v>45021</v>
      </c>
      <c r="C4042" t="s">
        <v>3414</v>
      </c>
      <c r="D4042" t="s">
        <v>3503</v>
      </c>
      <c r="E4042">
        <v>6</v>
      </c>
      <c r="F4042" t="s">
        <v>3524</v>
      </c>
      <c r="G4042" t="s">
        <v>3518</v>
      </c>
      <c r="H4042">
        <v>0.5</v>
      </c>
      <c r="I4042">
        <v>5.4</v>
      </c>
      <c r="J4042">
        <v>32.4</v>
      </c>
    </row>
    <row r="4043" spans="1:10" x14ac:dyDescent="0.25">
      <c r="A4043" t="s">
        <v>6568</v>
      </c>
      <c r="B4043" s="3">
        <v>44413</v>
      </c>
      <c r="C4043" t="s">
        <v>3160</v>
      </c>
      <c r="D4043" t="s">
        <v>3469</v>
      </c>
      <c r="E4043">
        <v>3</v>
      </c>
      <c r="F4043" t="s">
        <v>3524</v>
      </c>
      <c r="G4043" t="s">
        <v>3519</v>
      </c>
      <c r="H4043">
        <v>1</v>
      </c>
      <c r="I4043">
        <v>10</v>
      </c>
      <c r="J4043">
        <v>30</v>
      </c>
    </row>
    <row r="4044" spans="1:10" x14ac:dyDescent="0.25">
      <c r="A4044" t="s">
        <v>6569</v>
      </c>
      <c r="B4044" s="3">
        <v>44570</v>
      </c>
      <c r="C4044" t="s">
        <v>1816</v>
      </c>
      <c r="D4044" t="s">
        <v>3479</v>
      </c>
      <c r="E4044">
        <v>3</v>
      </c>
      <c r="F4044" t="s">
        <v>3526</v>
      </c>
      <c r="G4044" t="s">
        <v>3517</v>
      </c>
      <c r="H4044">
        <v>2.5</v>
      </c>
      <c r="I4044">
        <v>34.200000000000003</v>
      </c>
      <c r="J4044">
        <v>102.6</v>
      </c>
    </row>
    <row r="4045" spans="1:10" x14ac:dyDescent="0.25">
      <c r="A4045" t="s">
        <v>6570</v>
      </c>
      <c r="B4045" s="3">
        <v>45352</v>
      </c>
      <c r="C4045" t="s">
        <v>2332</v>
      </c>
      <c r="D4045" t="s">
        <v>3472</v>
      </c>
      <c r="E4045">
        <v>5</v>
      </c>
      <c r="F4045" t="s">
        <v>3526</v>
      </c>
      <c r="G4045" t="s">
        <v>3519</v>
      </c>
      <c r="H4045">
        <v>1</v>
      </c>
      <c r="I4045">
        <v>13.8</v>
      </c>
      <c r="J4045">
        <v>69</v>
      </c>
    </row>
    <row r="4046" spans="1:10" x14ac:dyDescent="0.25">
      <c r="A4046" t="s">
        <v>6571</v>
      </c>
      <c r="B4046" s="3">
        <v>45441</v>
      </c>
      <c r="C4046" t="s">
        <v>1384</v>
      </c>
      <c r="D4046" t="s">
        <v>3513</v>
      </c>
      <c r="E4046">
        <v>2</v>
      </c>
      <c r="F4046" t="s">
        <v>3523</v>
      </c>
      <c r="G4046" t="s">
        <v>3517</v>
      </c>
      <c r="H4046">
        <v>2.5</v>
      </c>
      <c r="I4046">
        <v>29.8</v>
      </c>
      <c r="J4046">
        <v>59.6</v>
      </c>
    </row>
    <row r="4047" spans="1:10" x14ac:dyDescent="0.25">
      <c r="A4047" t="s">
        <v>6572</v>
      </c>
      <c r="B4047" s="3">
        <v>44820</v>
      </c>
      <c r="C4047" t="s">
        <v>3106</v>
      </c>
      <c r="D4047" t="s">
        <v>3491</v>
      </c>
      <c r="E4047">
        <v>5</v>
      </c>
      <c r="F4047" t="s">
        <v>3525</v>
      </c>
      <c r="G4047" t="s">
        <v>3519</v>
      </c>
      <c r="H4047">
        <v>0.5</v>
      </c>
      <c r="I4047">
        <v>8.6999999999999993</v>
      </c>
      <c r="J4047">
        <v>43.5</v>
      </c>
    </row>
    <row r="4048" spans="1:10" x14ac:dyDescent="0.25">
      <c r="A4048" t="s">
        <v>6573</v>
      </c>
      <c r="B4048" s="3">
        <v>44804</v>
      </c>
      <c r="C4048" t="s">
        <v>2506</v>
      </c>
      <c r="D4048" t="s">
        <v>3483</v>
      </c>
      <c r="E4048">
        <v>6</v>
      </c>
      <c r="F4048" t="s">
        <v>3523</v>
      </c>
      <c r="G4048" t="s">
        <v>3519</v>
      </c>
      <c r="H4048">
        <v>0.2</v>
      </c>
      <c r="I4048">
        <v>3.4</v>
      </c>
      <c r="J4048">
        <v>20.399999999999999</v>
      </c>
    </row>
    <row r="4049" spans="1:10" x14ac:dyDescent="0.25">
      <c r="A4049" t="s">
        <v>6574</v>
      </c>
      <c r="B4049" s="3">
        <v>44664</v>
      </c>
      <c r="C4049" t="s">
        <v>1755</v>
      </c>
      <c r="D4049" t="s">
        <v>3509</v>
      </c>
      <c r="E4049">
        <v>2</v>
      </c>
      <c r="F4049" t="s">
        <v>3524</v>
      </c>
      <c r="G4049" t="s">
        <v>3517</v>
      </c>
      <c r="H4049">
        <v>0.2</v>
      </c>
      <c r="I4049">
        <v>3.6</v>
      </c>
      <c r="J4049">
        <v>7.2</v>
      </c>
    </row>
    <row r="4050" spans="1:10" x14ac:dyDescent="0.25">
      <c r="A4050" t="s">
        <v>6575</v>
      </c>
      <c r="B4050" s="3">
        <v>45325</v>
      </c>
      <c r="C4050" t="s">
        <v>2593</v>
      </c>
      <c r="D4050" t="s">
        <v>3499</v>
      </c>
      <c r="E4050">
        <v>6</v>
      </c>
      <c r="F4050" t="s">
        <v>3523</v>
      </c>
      <c r="G4050" t="s">
        <v>3518</v>
      </c>
      <c r="H4050">
        <v>2.5</v>
      </c>
      <c r="I4050">
        <v>22.9</v>
      </c>
      <c r="J4050">
        <v>137.4</v>
      </c>
    </row>
    <row r="4051" spans="1:10" x14ac:dyDescent="0.25">
      <c r="A4051" t="s">
        <v>6576</v>
      </c>
      <c r="B4051" s="3">
        <v>44658</v>
      </c>
      <c r="C4051" t="s">
        <v>1625</v>
      </c>
      <c r="D4051" t="s">
        <v>3494</v>
      </c>
      <c r="E4051">
        <v>3</v>
      </c>
      <c r="F4051" t="s">
        <v>3524</v>
      </c>
      <c r="G4051" t="s">
        <v>3518</v>
      </c>
      <c r="H4051">
        <v>0.2</v>
      </c>
      <c r="I4051">
        <v>2.7</v>
      </c>
      <c r="J4051">
        <v>8.1</v>
      </c>
    </row>
    <row r="4052" spans="1:10" x14ac:dyDescent="0.25">
      <c r="A4052" t="s">
        <v>6577</v>
      </c>
      <c r="B4052" s="3">
        <v>45305</v>
      </c>
      <c r="C4052" t="s">
        <v>971</v>
      </c>
      <c r="D4052" t="s">
        <v>3485</v>
      </c>
      <c r="E4052">
        <v>5</v>
      </c>
      <c r="F4052" t="s">
        <v>3523</v>
      </c>
      <c r="G4052" t="s">
        <v>3518</v>
      </c>
      <c r="H4052">
        <v>0.2</v>
      </c>
      <c r="I4052">
        <v>3</v>
      </c>
      <c r="J4052">
        <v>15</v>
      </c>
    </row>
    <row r="4053" spans="1:10" x14ac:dyDescent="0.25">
      <c r="A4053" t="s">
        <v>6578</v>
      </c>
      <c r="B4053" s="3">
        <v>44754</v>
      </c>
      <c r="C4053" t="s">
        <v>2915</v>
      </c>
      <c r="D4053" t="s">
        <v>3495</v>
      </c>
      <c r="E4053">
        <v>4</v>
      </c>
      <c r="F4053" t="s">
        <v>3525</v>
      </c>
      <c r="G4053" t="s">
        <v>3517</v>
      </c>
      <c r="H4053">
        <v>2.5</v>
      </c>
      <c r="I4053">
        <v>36.5</v>
      </c>
      <c r="J4053">
        <v>146</v>
      </c>
    </row>
    <row r="4054" spans="1:10" x14ac:dyDescent="0.25">
      <c r="A4054" t="s">
        <v>6579</v>
      </c>
      <c r="B4054" s="3">
        <v>45253</v>
      </c>
      <c r="C4054" t="s">
        <v>1591</v>
      </c>
      <c r="D4054" t="s">
        <v>3512</v>
      </c>
      <c r="E4054">
        <v>3</v>
      </c>
      <c r="F4054" t="s">
        <v>3525</v>
      </c>
      <c r="G4054" t="s">
        <v>3519</v>
      </c>
      <c r="H4054">
        <v>2.5</v>
      </c>
      <c r="I4054">
        <v>33.5</v>
      </c>
      <c r="J4054">
        <v>100.5</v>
      </c>
    </row>
    <row r="4055" spans="1:10" x14ac:dyDescent="0.25">
      <c r="A4055" t="s">
        <v>6580</v>
      </c>
      <c r="B4055" s="3">
        <v>44714</v>
      </c>
      <c r="C4055" t="s">
        <v>2557</v>
      </c>
      <c r="D4055" t="s">
        <v>3500</v>
      </c>
      <c r="E4055">
        <v>4</v>
      </c>
      <c r="F4055" t="s">
        <v>3525</v>
      </c>
      <c r="G4055" t="s">
        <v>3518</v>
      </c>
      <c r="H4055">
        <v>0.5</v>
      </c>
      <c r="I4055">
        <v>7.8</v>
      </c>
      <c r="J4055">
        <v>31.2</v>
      </c>
    </row>
    <row r="4056" spans="1:10" x14ac:dyDescent="0.25">
      <c r="A4056" t="s">
        <v>6581</v>
      </c>
      <c r="B4056" s="3">
        <v>45259</v>
      </c>
      <c r="C4056" t="s">
        <v>1872</v>
      </c>
      <c r="D4056" t="s">
        <v>3493</v>
      </c>
      <c r="E4056">
        <v>4</v>
      </c>
      <c r="F4056" t="s">
        <v>3525</v>
      </c>
      <c r="G4056" t="s">
        <v>3519</v>
      </c>
      <c r="H4056">
        <v>1</v>
      </c>
      <c r="I4056">
        <v>14.6</v>
      </c>
      <c r="J4056">
        <v>58.4</v>
      </c>
    </row>
    <row r="4057" spans="1:10" x14ac:dyDescent="0.25">
      <c r="A4057" t="s">
        <v>6582</v>
      </c>
      <c r="B4057" s="3">
        <v>44761</v>
      </c>
      <c r="C4057" t="s">
        <v>2059</v>
      </c>
      <c r="D4057" t="s">
        <v>3496</v>
      </c>
      <c r="E4057">
        <v>1</v>
      </c>
      <c r="F4057" t="s">
        <v>3525</v>
      </c>
      <c r="G4057" t="s">
        <v>3518</v>
      </c>
      <c r="H4057">
        <v>2.5</v>
      </c>
      <c r="I4057">
        <v>29.8</v>
      </c>
      <c r="J4057">
        <v>29.8</v>
      </c>
    </row>
    <row r="4058" spans="1:10" x14ac:dyDescent="0.25">
      <c r="A4058" t="s">
        <v>6583</v>
      </c>
      <c r="B4058" s="3">
        <v>45625</v>
      </c>
      <c r="C4058" t="s">
        <v>573</v>
      </c>
      <c r="D4058" t="s">
        <v>3500</v>
      </c>
      <c r="E4058">
        <v>3</v>
      </c>
      <c r="F4058" t="s">
        <v>3525</v>
      </c>
      <c r="G4058" t="s">
        <v>3518</v>
      </c>
      <c r="H4058">
        <v>0.5</v>
      </c>
      <c r="I4058">
        <v>7.8</v>
      </c>
      <c r="J4058">
        <v>23.4</v>
      </c>
    </row>
    <row r="4059" spans="1:10" x14ac:dyDescent="0.25">
      <c r="A4059" t="s">
        <v>6584</v>
      </c>
      <c r="B4059" s="3">
        <v>44662</v>
      </c>
      <c r="C4059" t="s">
        <v>947</v>
      </c>
      <c r="D4059" t="s">
        <v>3487</v>
      </c>
      <c r="E4059">
        <v>2</v>
      </c>
      <c r="F4059" t="s">
        <v>3526</v>
      </c>
      <c r="G4059" t="s">
        <v>3519</v>
      </c>
      <c r="H4059">
        <v>0.2</v>
      </c>
      <c r="I4059">
        <v>4.0999999999999996</v>
      </c>
      <c r="J4059">
        <v>8.1999999999999993</v>
      </c>
    </row>
    <row r="4060" spans="1:10" x14ac:dyDescent="0.25">
      <c r="A4060" t="s">
        <v>6585</v>
      </c>
      <c r="B4060" s="3">
        <v>45577</v>
      </c>
      <c r="C4060" t="s">
        <v>3109</v>
      </c>
      <c r="D4060" t="s">
        <v>3489</v>
      </c>
      <c r="E4060">
        <v>6</v>
      </c>
      <c r="F4060" t="s">
        <v>3523</v>
      </c>
      <c r="G4060" t="s">
        <v>3518</v>
      </c>
      <c r="H4060">
        <v>0.5</v>
      </c>
      <c r="I4060">
        <v>6</v>
      </c>
      <c r="J4060">
        <v>36</v>
      </c>
    </row>
    <row r="4061" spans="1:10" x14ac:dyDescent="0.25">
      <c r="A4061" t="s">
        <v>6586</v>
      </c>
      <c r="B4061" s="3">
        <v>45618</v>
      </c>
      <c r="C4061" t="s">
        <v>2397</v>
      </c>
      <c r="D4061" t="s">
        <v>3501</v>
      </c>
      <c r="E4061">
        <v>1</v>
      </c>
      <c r="F4061" t="s">
        <v>3525</v>
      </c>
      <c r="G4061" t="s">
        <v>3517</v>
      </c>
      <c r="H4061">
        <v>1</v>
      </c>
      <c r="I4061">
        <v>15.9</v>
      </c>
      <c r="J4061">
        <v>15.9</v>
      </c>
    </row>
    <row r="4062" spans="1:10" x14ac:dyDescent="0.25">
      <c r="A4062" t="s">
        <v>6587</v>
      </c>
      <c r="B4062" s="3">
        <v>44484</v>
      </c>
      <c r="C4062" t="s">
        <v>2062</v>
      </c>
      <c r="D4062" t="s">
        <v>3499</v>
      </c>
      <c r="E4062">
        <v>2</v>
      </c>
      <c r="F4062" t="s">
        <v>3523</v>
      </c>
      <c r="G4062" t="s">
        <v>3518</v>
      </c>
      <c r="H4062">
        <v>2.5</v>
      </c>
      <c r="I4062">
        <v>22.9</v>
      </c>
      <c r="J4062">
        <v>45.8</v>
      </c>
    </row>
    <row r="4063" spans="1:10" x14ac:dyDescent="0.25">
      <c r="A4063" t="s">
        <v>6588</v>
      </c>
      <c r="B4063" s="3">
        <v>45625</v>
      </c>
      <c r="C4063" t="s">
        <v>1732</v>
      </c>
      <c r="D4063" t="s">
        <v>3498</v>
      </c>
      <c r="E4063">
        <v>2</v>
      </c>
      <c r="F4063" t="s">
        <v>3523</v>
      </c>
      <c r="G4063" t="s">
        <v>3517</v>
      </c>
      <c r="H4063">
        <v>0.2</v>
      </c>
      <c r="I4063">
        <v>3.9</v>
      </c>
      <c r="J4063">
        <v>7.8</v>
      </c>
    </row>
    <row r="4064" spans="1:10" x14ac:dyDescent="0.25">
      <c r="A4064" t="s">
        <v>6589</v>
      </c>
      <c r="B4064" s="3">
        <v>43758</v>
      </c>
      <c r="C4064" t="s">
        <v>2945</v>
      </c>
      <c r="D4064" t="s">
        <v>3504</v>
      </c>
      <c r="E4064">
        <v>3</v>
      </c>
      <c r="F4064" t="s">
        <v>3524</v>
      </c>
      <c r="G4064" t="s">
        <v>3517</v>
      </c>
      <c r="H4064">
        <v>0.5</v>
      </c>
      <c r="I4064">
        <v>7.2</v>
      </c>
      <c r="J4064">
        <v>21.6</v>
      </c>
    </row>
    <row r="4065" spans="1:10" x14ac:dyDescent="0.25">
      <c r="A4065" t="s">
        <v>6590</v>
      </c>
      <c r="B4065" s="3">
        <v>44943</v>
      </c>
      <c r="C4065" t="s">
        <v>3154</v>
      </c>
      <c r="D4065" t="s">
        <v>3481</v>
      </c>
      <c r="E4065">
        <v>6</v>
      </c>
      <c r="F4065" t="s">
        <v>3525</v>
      </c>
      <c r="G4065" t="s">
        <v>3518</v>
      </c>
      <c r="H4065">
        <v>0.2</v>
      </c>
      <c r="I4065">
        <v>3.9</v>
      </c>
      <c r="J4065">
        <v>23.4</v>
      </c>
    </row>
    <row r="4066" spans="1:10" x14ac:dyDescent="0.25">
      <c r="A4066" t="s">
        <v>6591</v>
      </c>
      <c r="B4066" s="3">
        <v>43929</v>
      </c>
      <c r="C4066" t="s">
        <v>1559</v>
      </c>
      <c r="D4066" t="s">
        <v>3512</v>
      </c>
      <c r="E4066">
        <v>1</v>
      </c>
      <c r="F4066" t="s">
        <v>3525</v>
      </c>
      <c r="G4066" t="s">
        <v>3519</v>
      </c>
      <c r="H4066">
        <v>2.5</v>
      </c>
      <c r="I4066">
        <v>33.5</v>
      </c>
      <c r="J4066">
        <v>33.5</v>
      </c>
    </row>
    <row r="4067" spans="1:10" x14ac:dyDescent="0.25">
      <c r="A4067" t="s">
        <v>6592</v>
      </c>
      <c r="B4067" s="3">
        <v>45040</v>
      </c>
      <c r="C4067" t="s">
        <v>2098</v>
      </c>
      <c r="D4067" t="s">
        <v>3483</v>
      </c>
      <c r="E4067">
        <v>6</v>
      </c>
      <c r="F4067" t="s">
        <v>3523</v>
      </c>
      <c r="G4067" t="s">
        <v>3519</v>
      </c>
      <c r="H4067">
        <v>0.2</v>
      </c>
      <c r="I4067">
        <v>3.4</v>
      </c>
      <c r="J4067">
        <v>20.399999999999999</v>
      </c>
    </row>
    <row r="4068" spans="1:10" x14ac:dyDescent="0.25">
      <c r="A4068" t="s">
        <v>6593</v>
      </c>
      <c r="B4068" s="3">
        <v>44752</v>
      </c>
      <c r="C4068" t="s">
        <v>3446</v>
      </c>
      <c r="D4068" t="s">
        <v>3506</v>
      </c>
      <c r="E4068">
        <v>6</v>
      </c>
      <c r="F4068" t="s">
        <v>3523</v>
      </c>
      <c r="G4068" t="s">
        <v>3519</v>
      </c>
      <c r="H4068">
        <v>2.5</v>
      </c>
      <c r="I4068">
        <v>25.9</v>
      </c>
      <c r="J4068">
        <v>155.4</v>
      </c>
    </row>
    <row r="4069" spans="1:10" x14ac:dyDescent="0.25">
      <c r="A4069" t="s">
        <v>6594</v>
      </c>
      <c r="B4069" s="3">
        <v>44918</v>
      </c>
      <c r="C4069" t="s">
        <v>2696</v>
      </c>
      <c r="D4069" t="s">
        <v>3515</v>
      </c>
      <c r="E4069">
        <v>4</v>
      </c>
      <c r="F4069" t="s">
        <v>3526</v>
      </c>
      <c r="G4069" t="s">
        <v>3517</v>
      </c>
      <c r="H4069">
        <v>0.2</v>
      </c>
      <c r="I4069">
        <v>4.5</v>
      </c>
      <c r="J4069">
        <v>18</v>
      </c>
    </row>
    <row r="4070" spans="1:10" x14ac:dyDescent="0.25">
      <c r="A4070" t="s">
        <v>6595</v>
      </c>
      <c r="B4070" s="3">
        <v>43986</v>
      </c>
      <c r="C4070" t="s">
        <v>2174</v>
      </c>
      <c r="D4070" t="s">
        <v>3498</v>
      </c>
      <c r="E4070">
        <v>1</v>
      </c>
      <c r="F4070" t="s">
        <v>3523</v>
      </c>
      <c r="G4070" t="s">
        <v>3517</v>
      </c>
      <c r="H4070">
        <v>0.2</v>
      </c>
      <c r="I4070">
        <v>3.9</v>
      </c>
      <c r="J4070">
        <v>3.9</v>
      </c>
    </row>
    <row r="4071" spans="1:10" x14ac:dyDescent="0.25">
      <c r="A4071" t="s">
        <v>6596</v>
      </c>
      <c r="B4071" s="3">
        <v>44914</v>
      </c>
      <c r="C4071" t="s">
        <v>3115</v>
      </c>
      <c r="D4071" t="s">
        <v>3477</v>
      </c>
      <c r="E4071">
        <v>6</v>
      </c>
      <c r="F4071" t="s">
        <v>3524</v>
      </c>
      <c r="G4071" t="s">
        <v>3519</v>
      </c>
      <c r="H4071">
        <v>0.5</v>
      </c>
      <c r="I4071">
        <v>6</v>
      </c>
      <c r="J4071">
        <v>36</v>
      </c>
    </row>
    <row r="4072" spans="1:10" x14ac:dyDescent="0.25">
      <c r="A4072" t="s">
        <v>6597</v>
      </c>
      <c r="B4072" s="3">
        <v>45479</v>
      </c>
      <c r="C4072" t="s">
        <v>2272</v>
      </c>
      <c r="D4072" t="s">
        <v>3515</v>
      </c>
      <c r="E4072">
        <v>4</v>
      </c>
      <c r="F4072" t="s">
        <v>3526</v>
      </c>
      <c r="G4072" t="s">
        <v>3517</v>
      </c>
      <c r="H4072">
        <v>0.2</v>
      </c>
      <c r="I4072">
        <v>4.5</v>
      </c>
      <c r="J4072">
        <v>18</v>
      </c>
    </row>
    <row r="4073" spans="1:10" x14ac:dyDescent="0.25">
      <c r="A4073" t="s">
        <v>6598</v>
      </c>
      <c r="B4073" s="3">
        <v>45476</v>
      </c>
      <c r="C4073" t="s">
        <v>781</v>
      </c>
      <c r="D4073" t="s">
        <v>3515</v>
      </c>
      <c r="E4073">
        <v>3</v>
      </c>
      <c r="F4073" t="s">
        <v>3526</v>
      </c>
      <c r="G4073" t="s">
        <v>3517</v>
      </c>
      <c r="H4073">
        <v>0.2</v>
      </c>
      <c r="I4073">
        <v>4.5</v>
      </c>
      <c r="J4073">
        <v>13.5</v>
      </c>
    </row>
    <row r="4074" spans="1:10" x14ac:dyDescent="0.25">
      <c r="A4074" t="s">
        <v>6599</v>
      </c>
      <c r="B4074" s="3">
        <v>45196</v>
      </c>
      <c r="C4074" t="s">
        <v>1163</v>
      </c>
      <c r="D4074" t="s">
        <v>3472</v>
      </c>
      <c r="E4074">
        <v>6</v>
      </c>
      <c r="F4074" t="s">
        <v>3526</v>
      </c>
      <c r="G4074" t="s">
        <v>3519</v>
      </c>
      <c r="H4074">
        <v>1</v>
      </c>
      <c r="I4074">
        <v>13.8</v>
      </c>
      <c r="J4074">
        <v>82.8</v>
      </c>
    </row>
    <row r="4075" spans="1:10" x14ac:dyDescent="0.25">
      <c r="A4075" t="s">
        <v>6600</v>
      </c>
      <c r="B4075" s="3">
        <v>44980</v>
      </c>
      <c r="C4075" t="s">
        <v>561</v>
      </c>
      <c r="D4075" t="s">
        <v>3475</v>
      </c>
      <c r="E4075">
        <v>3</v>
      </c>
      <c r="F4075" t="s">
        <v>3526</v>
      </c>
      <c r="G4075" t="s">
        <v>3518</v>
      </c>
      <c r="H4075">
        <v>0.5</v>
      </c>
      <c r="I4075">
        <v>7.3</v>
      </c>
      <c r="J4075">
        <v>21.9</v>
      </c>
    </row>
    <row r="4076" spans="1:10" x14ac:dyDescent="0.25">
      <c r="A4076" t="s">
        <v>6601</v>
      </c>
      <c r="B4076" s="3">
        <v>45369</v>
      </c>
      <c r="C4076" t="s">
        <v>629</v>
      </c>
      <c r="D4076" t="s">
        <v>3497</v>
      </c>
      <c r="E4076">
        <v>5</v>
      </c>
      <c r="F4076" t="s">
        <v>3526</v>
      </c>
      <c r="G4076" t="s">
        <v>3519</v>
      </c>
      <c r="H4076">
        <v>2.5</v>
      </c>
      <c r="I4076">
        <v>31.6</v>
      </c>
      <c r="J4076">
        <v>158</v>
      </c>
    </row>
    <row r="4077" spans="1:10" x14ac:dyDescent="0.25">
      <c r="A4077" t="s">
        <v>6602</v>
      </c>
      <c r="B4077" s="3">
        <v>45434</v>
      </c>
      <c r="C4077" t="s">
        <v>1423</v>
      </c>
      <c r="D4077" t="s">
        <v>3499</v>
      </c>
      <c r="E4077">
        <v>5</v>
      </c>
      <c r="F4077" t="s">
        <v>3523</v>
      </c>
      <c r="G4077" t="s">
        <v>3518</v>
      </c>
      <c r="H4077">
        <v>2.5</v>
      </c>
      <c r="I4077">
        <v>22.9</v>
      </c>
      <c r="J4077">
        <v>114.5</v>
      </c>
    </row>
    <row r="4078" spans="1:10" x14ac:dyDescent="0.25">
      <c r="A4078" t="s">
        <v>6603</v>
      </c>
      <c r="B4078" s="3">
        <v>45430</v>
      </c>
      <c r="C4078" t="s">
        <v>1500</v>
      </c>
      <c r="D4078" t="s">
        <v>3484</v>
      </c>
      <c r="E4078">
        <v>4</v>
      </c>
      <c r="F4078" t="s">
        <v>3526</v>
      </c>
      <c r="G4078" t="s">
        <v>3518</v>
      </c>
      <c r="H4078">
        <v>0.2</v>
      </c>
      <c r="I4078">
        <v>3.6</v>
      </c>
      <c r="J4078">
        <v>14.4</v>
      </c>
    </row>
    <row r="4079" spans="1:10" x14ac:dyDescent="0.25">
      <c r="A4079" t="s">
        <v>6604</v>
      </c>
      <c r="B4079" s="3">
        <v>45637</v>
      </c>
      <c r="C4079" t="s">
        <v>3010</v>
      </c>
      <c r="D4079" t="s">
        <v>3498</v>
      </c>
      <c r="E4079">
        <v>2</v>
      </c>
      <c r="F4079" t="s">
        <v>3523</v>
      </c>
      <c r="G4079" t="s">
        <v>3517</v>
      </c>
      <c r="H4079">
        <v>0.2</v>
      </c>
      <c r="I4079">
        <v>3.9</v>
      </c>
      <c r="J4079">
        <v>7.8</v>
      </c>
    </row>
    <row r="4080" spans="1:10" x14ac:dyDescent="0.25">
      <c r="A4080" t="s">
        <v>6605</v>
      </c>
      <c r="B4080" s="3">
        <v>45045</v>
      </c>
      <c r="C4080" t="s">
        <v>497</v>
      </c>
      <c r="D4080" t="s">
        <v>3481</v>
      </c>
      <c r="E4080">
        <v>6</v>
      </c>
      <c r="F4080" t="s">
        <v>3525</v>
      </c>
      <c r="G4080" t="s">
        <v>3518</v>
      </c>
      <c r="H4080">
        <v>0.2</v>
      </c>
      <c r="I4080">
        <v>3.9</v>
      </c>
      <c r="J4080">
        <v>23.4</v>
      </c>
    </row>
    <row r="4081" spans="1:10" x14ac:dyDescent="0.25">
      <c r="A4081" t="s">
        <v>6606</v>
      </c>
      <c r="B4081" s="3">
        <v>45418</v>
      </c>
      <c r="C4081" t="s">
        <v>1268</v>
      </c>
      <c r="D4081" t="s">
        <v>3489</v>
      </c>
      <c r="E4081">
        <v>1</v>
      </c>
      <c r="F4081" t="s">
        <v>3523</v>
      </c>
      <c r="G4081" t="s">
        <v>3518</v>
      </c>
      <c r="H4081">
        <v>0.5</v>
      </c>
      <c r="I4081">
        <v>6</v>
      </c>
      <c r="J4081">
        <v>6</v>
      </c>
    </row>
    <row r="4082" spans="1:10" x14ac:dyDescent="0.25">
      <c r="A4082" t="s">
        <v>6607</v>
      </c>
      <c r="B4082" s="3">
        <v>44773</v>
      </c>
      <c r="C4082" t="s">
        <v>1012</v>
      </c>
      <c r="D4082" t="s">
        <v>3471</v>
      </c>
      <c r="E4082">
        <v>4</v>
      </c>
      <c r="F4082" t="s">
        <v>3523</v>
      </c>
      <c r="G4082" t="s">
        <v>3517</v>
      </c>
      <c r="H4082">
        <v>1</v>
      </c>
      <c r="I4082">
        <v>13</v>
      </c>
      <c r="J4082">
        <v>52</v>
      </c>
    </row>
    <row r="4083" spans="1:10" x14ac:dyDescent="0.25">
      <c r="A4083" t="s">
        <v>6608</v>
      </c>
      <c r="B4083" s="3">
        <v>45048</v>
      </c>
      <c r="C4083" t="s">
        <v>1467</v>
      </c>
      <c r="D4083" t="s">
        <v>3513</v>
      </c>
      <c r="E4083">
        <v>6</v>
      </c>
      <c r="F4083" t="s">
        <v>3523</v>
      </c>
      <c r="G4083" t="s">
        <v>3517</v>
      </c>
      <c r="H4083">
        <v>2.5</v>
      </c>
      <c r="I4083">
        <v>29.8</v>
      </c>
      <c r="J4083">
        <v>178.8</v>
      </c>
    </row>
    <row r="4084" spans="1:10" x14ac:dyDescent="0.25">
      <c r="A4084" t="s">
        <v>6609</v>
      </c>
      <c r="B4084" s="3">
        <v>45491</v>
      </c>
      <c r="C4084" t="s">
        <v>1118</v>
      </c>
      <c r="D4084" t="s">
        <v>3487</v>
      </c>
      <c r="E4084">
        <v>2</v>
      </c>
      <c r="F4084" t="s">
        <v>3526</v>
      </c>
      <c r="G4084" t="s">
        <v>3519</v>
      </c>
      <c r="H4084">
        <v>0.2</v>
      </c>
      <c r="I4084">
        <v>4.0999999999999996</v>
      </c>
      <c r="J4084">
        <v>8.1999999999999993</v>
      </c>
    </row>
    <row r="4085" spans="1:10" x14ac:dyDescent="0.25">
      <c r="A4085" t="s">
        <v>6610</v>
      </c>
      <c r="B4085" s="3">
        <v>45611</v>
      </c>
      <c r="C4085" t="s">
        <v>2992</v>
      </c>
      <c r="D4085" t="s">
        <v>3490</v>
      </c>
      <c r="E4085">
        <v>2</v>
      </c>
      <c r="F4085" t="s">
        <v>3525</v>
      </c>
      <c r="G4085" t="s">
        <v>3519</v>
      </c>
      <c r="H4085">
        <v>0.2</v>
      </c>
      <c r="I4085">
        <v>4.4000000000000004</v>
      </c>
      <c r="J4085">
        <v>8.8000000000000007</v>
      </c>
    </row>
    <row r="4086" spans="1:10" x14ac:dyDescent="0.25">
      <c r="A4086" t="s">
        <v>6611</v>
      </c>
      <c r="B4086" s="3">
        <v>44937</v>
      </c>
      <c r="C4086" t="s">
        <v>1208</v>
      </c>
      <c r="D4086" t="s">
        <v>3489</v>
      </c>
      <c r="E4086">
        <v>3</v>
      </c>
      <c r="F4086" t="s">
        <v>3523</v>
      </c>
      <c r="G4086" t="s">
        <v>3518</v>
      </c>
      <c r="H4086">
        <v>0.5</v>
      </c>
      <c r="I4086">
        <v>6</v>
      </c>
      <c r="J4086">
        <v>18</v>
      </c>
    </row>
    <row r="4087" spans="1:10" x14ac:dyDescent="0.25">
      <c r="A4087" t="s">
        <v>6612</v>
      </c>
      <c r="B4087" s="3">
        <v>45389</v>
      </c>
      <c r="C4087" t="s">
        <v>3387</v>
      </c>
      <c r="D4087" t="s">
        <v>3514</v>
      </c>
      <c r="E4087">
        <v>4</v>
      </c>
      <c r="F4087" t="s">
        <v>3526</v>
      </c>
      <c r="G4087" t="s">
        <v>3518</v>
      </c>
      <c r="H4087">
        <v>1</v>
      </c>
      <c r="I4087">
        <v>12.2</v>
      </c>
      <c r="J4087">
        <v>48.8</v>
      </c>
    </row>
    <row r="4088" spans="1:10" x14ac:dyDescent="0.25">
      <c r="A4088" t="s">
        <v>6613</v>
      </c>
      <c r="B4088" s="3">
        <v>44949</v>
      </c>
      <c r="C4088" t="s">
        <v>2284</v>
      </c>
      <c r="D4088" t="s">
        <v>3509</v>
      </c>
      <c r="E4088">
        <v>5</v>
      </c>
      <c r="F4088" t="s">
        <v>3524</v>
      </c>
      <c r="G4088" t="s">
        <v>3517</v>
      </c>
      <c r="H4088">
        <v>0.2</v>
      </c>
      <c r="I4088">
        <v>3.6</v>
      </c>
      <c r="J4088">
        <v>18</v>
      </c>
    </row>
    <row r="4089" spans="1:10" x14ac:dyDescent="0.25">
      <c r="A4089" t="s">
        <v>6614</v>
      </c>
      <c r="B4089" s="3">
        <v>44099</v>
      </c>
      <c r="C4089" t="s">
        <v>2742</v>
      </c>
      <c r="D4089" t="s">
        <v>3479</v>
      </c>
      <c r="E4089">
        <v>4</v>
      </c>
      <c r="F4089" t="s">
        <v>3526</v>
      </c>
      <c r="G4089" t="s">
        <v>3517</v>
      </c>
      <c r="H4089">
        <v>2.5</v>
      </c>
      <c r="I4089">
        <v>34.200000000000003</v>
      </c>
      <c r="J4089">
        <v>136.80000000000001</v>
      </c>
    </row>
    <row r="4090" spans="1:10" x14ac:dyDescent="0.25">
      <c r="A4090" t="s">
        <v>6615</v>
      </c>
      <c r="B4090" s="3">
        <v>45556</v>
      </c>
      <c r="C4090" t="s">
        <v>1378</v>
      </c>
      <c r="D4090" t="s">
        <v>3515</v>
      </c>
      <c r="E4090">
        <v>4</v>
      </c>
      <c r="F4090" t="s">
        <v>3526</v>
      </c>
      <c r="G4090" t="s">
        <v>3517</v>
      </c>
      <c r="H4090">
        <v>0.2</v>
      </c>
      <c r="I4090">
        <v>4.5</v>
      </c>
      <c r="J4090">
        <v>18</v>
      </c>
    </row>
    <row r="4091" spans="1:10" x14ac:dyDescent="0.25">
      <c r="A4091" t="s">
        <v>6616</v>
      </c>
      <c r="B4091" s="3">
        <v>45380</v>
      </c>
      <c r="C4091" t="s">
        <v>3296</v>
      </c>
      <c r="D4091" t="s">
        <v>3513</v>
      </c>
      <c r="E4091">
        <v>4</v>
      </c>
      <c r="F4091" t="s">
        <v>3523</v>
      </c>
      <c r="G4091" t="s">
        <v>3517</v>
      </c>
      <c r="H4091">
        <v>2.5</v>
      </c>
      <c r="I4091">
        <v>29.8</v>
      </c>
      <c r="J4091">
        <v>119.2</v>
      </c>
    </row>
    <row r="4092" spans="1:10" x14ac:dyDescent="0.25">
      <c r="A4092" t="s">
        <v>6617</v>
      </c>
      <c r="B4092" s="3">
        <v>45563</v>
      </c>
      <c r="C4092" t="s">
        <v>2804</v>
      </c>
      <c r="D4092" t="s">
        <v>3473</v>
      </c>
      <c r="E4092">
        <v>4</v>
      </c>
      <c r="F4092" t="s">
        <v>3524</v>
      </c>
      <c r="G4092" t="s">
        <v>3517</v>
      </c>
      <c r="H4092">
        <v>2.5</v>
      </c>
      <c r="I4092">
        <v>27.5</v>
      </c>
      <c r="J4092">
        <v>110</v>
      </c>
    </row>
    <row r="4093" spans="1:10" x14ac:dyDescent="0.25">
      <c r="A4093" t="s">
        <v>6618</v>
      </c>
      <c r="B4093" s="3">
        <v>43620</v>
      </c>
      <c r="C4093" t="s">
        <v>2545</v>
      </c>
      <c r="D4093" t="s">
        <v>3473</v>
      </c>
      <c r="E4093">
        <v>1</v>
      </c>
      <c r="F4093" t="s">
        <v>3524</v>
      </c>
      <c r="G4093" t="s">
        <v>3517</v>
      </c>
      <c r="H4093">
        <v>2.5</v>
      </c>
      <c r="I4093">
        <v>27.5</v>
      </c>
      <c r="J4093">
        <v>27.5</v>
      </c>
    </row>
    <row r="4094" spans="1:10" x14ac:dyDescent="0.25">
      <c r="A4094" t="s">
        <v>6619</v>
      </c>
      <c r="B4094" s="3">
        <v>45038</v>
      </c>
      <c r="C4094" t="s">
        <v>2189</v>
      </c>
      <c r="D4094" t="s">
        <v>3475</v>
      </c>
      <c r="E4094">
        <v>6</v>
      </c>
      <c r="F4094" t="s">
        <v>3526</v>
      </c>
      <c r="G4094" t="s">
        <v>3518</v>
      </c>
      <c r="H4094">
        <v>0.5</v>
      </c>
      <c r="I4094">
        <v>7.3</v>
      </c>
      <c r="J4094">
        <v>43.8</v>
      </c>
    </row>
    <row r="4095" spans="1:10" x14ac:dyDescent="0.25">
      <c r="A4095" t="s">
        <v>6620</v>
      </c>
      <c r="B4095" s="3">
        <v>45621</v>
      </c>
      <c r="C4095" t="s">
        <v>1085</v>
      </c>
      <c r="D4095" t="s">
        <v>3513</v>
      </c>
      <c r="E4095">
        <v>5</v>
      </c>
      <c r="F4095" t="s">
        <v>3523</v>
      </c>
      <c r="G4095" t="s">
        <v>3517</v>
      </c>
      <c r="H4095">
        <v>2.5</v>
      </c>
      <c r="I4095">
        <v>29.8</v>
      </c>
      <c r="J4095">
        <v>149</v>
      </c>
    </row>
    <row r="4096" spans="1:10" x14ac:dyDescent="0.25">
      <c r="A4096" t="s">
        <v>6621</v>
      </c>
      <c r="B4096" s="3">
        <v>44946</v>
      </c>
      <c r="C4096" t="s">
        <v>1154</v>
      </c>
      <c r="D4096" t="s">
        <v>3499</v>
      </c>
      <c r="E4096">
        <v>1</v>
      </c>
      <c r="F4096" t="s">
        <v>3523</v>
      </c>
      <c r="G4096" t="s">
        <v>3518</v>
      </c>
      <c r="H4096">
        <v>2.5</v>
      </c>
      <c r="I4096">
        <v>22.9</v>
      </c>
      <c r="J4096">
        <v>22.9</v>
      </c>
    </row>
    <row r="4097" spans="1:10" x14ac:dyDescent="0.25">
      <c r="A4097" t="s">
        <v>6622</v>
      </c>
      <c r="B4097" s="3">
        <v>44604</v>
      </c>
      <c r="C4097" t="s">
        <v>2044</v>
      </c>
      <c r="D4097" t="s">
        <v>3474</v>
      </c>
      <c r="E4097">
        <v>2</v>
      </c>
      <c r="F4097" t="s">
        <v>3525</v>
      </c>
      <c r="G4097" t="s">
        <v>3518</v>
      </c>
      <c r="H4097">
        <v>1</v>
      </c>
      <c r="I4097">
        <v>13</v>
      </c>
      <c r="J4097">
        <v>26</v>
      </c>
    </row>
    <row r="4098" spans="1:10" x14ac:dyDescent="0.25">
      <c r="A4098" t="s">
        <v>6623</v>
      </c>
      <c r="B4098" s="3">
        <v>45624</v>
      </c>
      <c r="C4098" t="s">
        <v>2353</v>
      </c>
      <c r="D4098" t="s">
        <v>3488</v>
      </c>
      <c r="E4098">
        <v>1</v>
      </c>
      <c r="F4098" t="s">
        <v>3523</v>
      </c>
      <c r="G4098" t="s">
        <v>3519</v>
      </c>
      <c r="H4098">
        <v>0.5</v>
      </c>
      <c r="I4098">
        <v>6.8</v>
      </c>
      <c r="J4098">
        <v>6.8</v>
      </c>
    </row>
    <row r="4099" spans="1:10" x14ac:dyDescent="0.25">
      <c r="A4099" t="s">
        <v>6624</v>
      </c>
      <c r="B4099" s="3">
        <v>45656</v>
      </c>
      <c r="C4099" t="s">
        <v>487</v>
      </c>
      <c r="D4099" t="s">
        <v>3514</v>
      </c>
      <c r="E4099">
        <v>5</v>
      </c>
      <c r="F4099" t="s">
        <v>3526</v>
      </c>
      <c r="G4099" t="s">
        <v>3518</v>
      </c>
      <c r="H4099">
        <v>1</v>
      </c>
      <c r="I4099">
        <v>12.2</v>
      </c>
      <c r="J4099">
        <v>61</v>
      </c>
    </row>
    <row r="4100" spans="1:10" x14ac:dyDescent="0.25">
      <c r="A4100" t="s">
        <v>6625</v>
      </c>
      <c r="B4100" s="3">
        <v>44693</v>
      </c>
      <c r="C4100" t="s">
        <v>1723</v>
      </c>
      <c r="D4100" t="s">
        <v>3483</v>
      </c>
      <c r="E4100">
        <v>4</v>
      </c>
      <c r="F4100" t="s">
        <v>3523</v>
      </c>
      <c r="G4100" t="s">
        <v>3519</v>
      </c>
      <c r="H4100">
        <v>0.2</v>
      </c>
      <c r="I4100">
        <v>3.4</v>
      </c>
      <c r="J4100">
        <v>13.6</v>
      </c>
    </row>
    <row r="4101" spans="1:10" x14ac:dyDescent="0.25">
      <c r="A4101" t="s">
        <v>6626</v>
      </c>
      <c r="B4101" s="3">
        <v>44924</v>
      </c>
      <c r="C4101" t="s">
        <v>2242</v>
      </c>
      <c r="D4101" t="s">
        <v>3480</v>
      </c>
      <c r="E4101">
        <v>3</v>
      </c>
      <c r="F4101" t="s">
        <v>3524</v>
      </c>
      <c r="G4101" t="s">
        <v>3518</v>
      </c>
      <c r="H4101">
        <v>2.5</v>
      </c>
      <c r="I4101">
        <v>20.6</v>
      </c>
      <c r="J4101">
        <v>61.8</v>
      </c>
    </row>
    <row r="4102" spans="1:10" x14ac:dyDescent="0.25">
      <c r="A4102" t="s">
        <v>6627</v>
      </c>
      <c r="B4102" s="3">
        <v>44908</v>
      </c>
      <c r="C4102" t="s">
        <v>3154</v>
      </c>
      <c r="D4102" t="s">
        <v>3498</v>
      </c>
      <c r="E4102">
        <v>2</v>
      </c>
      <c r="F4102" t="s">
        <v>3523</v>
      </c>
      <c r="G4102" t="s">
        <v>3517</v>
      </c>
      <c r="H4102">
        <v>0.2</v>
      </c>
      <c r="I4102">
        <v>3.9</v>
      </c>
      <c r="J4102">
        <v>7.8</v>
      </c>
    </row>
    <row r="4103" spans="1:10" x14ac:dyDescent="0.25">
      <c r="A4103" t="s">
        <v>6628</v>
      </c>
      <c r="B4103" s="3">
        <v>44823</v>
      </c>
      <c r="C4103" t="s">
        <v>1348</v>
      </c>
      <c r="D4103" t="s">
        <v>3507</v>
      </c>
      <c r="E4103">
        <v>4</v>
      </c>
      <c r="F4103" t="s">
        <v>3526</v>
      </c>
      <c r="G4103" t="s">
        <v>3517</v>
      </c>
      <c r="H4103">
        <v>0.5</v>
      </c>
      <c r="I4103">
        <v>8.9</v>
      </c>
      <c r="J4103">
        <v>35.6</v>
      </c>
    </row>
    <row r="4104" spans="1:10" x14ac:dyDescent="0.25">
      <c r="A4104" t="s">
        <v>6629</v>
      </c>
      <c r="B4104" s="3">
        <v>44971</v>
      </c>
      <c r="C4104" t="s">
        <v>1241</v>
      </c>
      <c r="D4104" t="s">
        <v>3507</v>
      </c>
      <c r="E4104">
        <v>6</v>
      </c>
      <c r="F4104" t="s">
        <v>3526</v>
      </c>
      <c r="G4104" t="s">
        <v>3517</v>
      </c>
      <c r="H4104">
        <v>0.5</v>
      </c>
      <c r="I4104">
        <v>8.9</v>
      </c>
      <c r="J4104">
        <v>53.4</v>
      </c>
    </row>
    <row r="4105" spans="1:10" x14ac:dyDescent="0.25">
      <c r="A4105" t="s">
        <v>6630</v>
      </c>
      <c r="B4105" s="3">
        <v>45533</v>
      </c>
      <c r="C4105" t="s">
        <v>748</v>
      </c>
      <c r="D4105" t="s">
        <v>3487</v>
      </c>
      <c r="E4105">
        <v>5</v>
      </c>
      <c r="F4105" t="s">
        <v>3526</v>
      </c>
      <c r="G4105" t="s">
        <v>3519</v>
      </c>
      <c r="H4105">
        <v>0.2</v>
      </c>
      <c r="I4105">
        <v>4.0999999999999996</v>
      </c>
      <c r="J4105">
        <v>20.5</v>
      </c>
    </row>
    <row r="4106" spans="1:10" x14ac:dyDescent="0.25">
      <c r="A4106" t="s">
        <v>6631</v>
      </c>
      <c r="B4106" s="3">
        <v>44932</v>
      </c>
      <c r="C4106" t="s">
        <v>2745</v>
      </c>
      <c r="D4106" t="s">
        <v>3470</v>
      </c>
      <c r="E4106">
        <v>4</v>
      </c>
      <c r="F4106" t="s">
        <v>3526</v>
      </c>
      <c r="G4106" t="s">
        <v>3519</v>
      </c>
      <c r="H4106">
        <v>0.5</v>
      </c>
      <c r="I4106">
        <v>8.3000000000000007</v>
      </c>
      <c r="J4106">
        <v>33.200000000000003</v>
      </c>
    </row>
    <row r="4107" spans="1:10" x14ac:dyDescent="0.25">
      <c r="A4107" t="s">
        <v>6632</v>
      </c>
      <c r="B4107" s="3">
        <v>45438</v>
      </c>
      <c r="C4107" t="s">
        <v>1196</v>
      </c>
      <c r="D4107" t="s">
        <v>3504</v>
      </c>
      <c r="E4107">
        <v>2</v>
      </c>
      <c r="F4107" t="s">
        <v>3524</v>
      </c>
      <c r="G4107" t="s">
        <v>3517</v>
      </c>
      <c r="H4107">
        <v>0.5</v>
      </c>
      <c r="I4107">
        <v>7.2</v>
      </c>
      <c r="J4107">
        <v>14.4</v>
      </c>
    </row>
    <row r="4108" spans="1:10" x14ac:dyDescent="0.25">
      <c r="A4108" t="s">
        <v>6633</v>
      </c>
      <c r="B4108" s="3">
        <v>45093</v>
      </c>
      <c r="C4108" t="s">
        <v>3366</v>
      </c>
      <c r="D4108" t="s">
        <v>3479</v>
      </c>
      <c r="E4108">
        <v>5</v>
      </c>
      <c r="F4108" t="s">
        <v>3526</v>
      </c>
      <c r="G4108" t="s">
        <v>3517</v>
      </c>
      <c r="H4108">
        <v>2.5</v>
      </c>
      <c r="I4108">
        <v>34.200000000000003</v>
      </c>
      <c r="J4108">
        <v>171</v>
      </c>
    </row>
    <row r="4109" spans="1:10" x14ac:dyDescent="0.25">
      <c r="A4109" t="s">
        <v>6634</v>
      </c>
      <c r="B4109" s="3">
        <v>45120</v>
      </c>
      <c r="C4109" t="s">
        <v>3309</v>
      </c>
      <c r="D4109" t="s">
        <v>3506</v>
      </c>
      <c r="E4109">
        <v>1</v>
      </c>
      <c r="F4109" t="s">
        <v>3523</v>
      </c>
      <c r="G4109" t="s">
        <v>3519</v>
      </c>
      <c r="H4109">
        <v>2.5</v>
      </c>
      <c r="I4109">
        <v>25.9</v>
      </c>
      <c r="J4109">
        <v>25.9</v>
      </c>
    </row>
    <row r="4110" spans="1:10" x14ac:dyDescent="0.25">
      <c r="A4110" t="s">
        <v>6635</v>
      </c>
      <c r="B4110" s="3">
        <v>45123</v>
      </c>
      <c r="C4110" t="s">
        <v>1666</v>
      </c>
      <c r="D4110" t="s">
        <v>3502</v>
      </c>
      <c r="E4110">
        <v>5</v>
      </c>
      <c r="F4110" t="s">
        <v>3526</v>
      </c>
      <c r="G4110" t="s">
        <v>3517</v>
      </c>
      <c r="H4110">
        <v>1</v>
      </c>
      <c r="I4110">
        <v>14.9</v>
      </c>
      <c r="J4110">
        <v>74.5</v>
      </c>
    </row>
    <row r="4111" spans="1:10" x14ac:dyDescent="0.25">
      <c r="A4111" t="s">
        <v>6636</v>
      </c>
      <c r="B4111" s="3">
        <v>44574</v>
      </c>
      <c r="C4111" t="s">
        <v>2047</v>
      </c>
      <c r="D4111" t="s">
        <v>3474</v>
      </c>
      <c r="E4111">
        <v>5</v>
      </c>
      <c r="F4111" t="s">
        <v>3525</v>
      </c>
      <c r="G4111" t="s">
        <v>3518</v>
      </c>
      <c r="H4111">
        <v>1</v>
      </c>
      <c r="I4111">
        <v>13</v>
      </c>
      <c r="J4111">
        <v>65</v>
      </c>
    </row>
    <row r="4112" spans="1:10" x14ac:dyDescent="0.25">
      <c r="A4112" t="s">
        <v>6637</v>
      </c>
      <c r="B4112" s="3">
        <v>45507</v>
      </c>
      <c r="C4112" t="s">
        <v>1082</v>
      </c>
      <c r="D4112" t="s">
        <v>3513</v>
      </c>
      <c r="E4112">
        <v>3</v>
      </c>
      <c r="F4112" t="s">
        <v>3523</v>
      </c>
      <c r="G4112" t="s">
        <v>3517</v>
      </c>
      <c r="H4112">
        <v>2.5</v>
      </c>
      <c r="I4112">
        <v>29.8</v>
      </c>
      <c r="J4112">
        <v>89.4</v>
      </c>
    </row>
    <row r="4113" spans="1:10" x14ac:dyDescent="0.25">
      <c r="A4113" t="s">
        <v>6638</v>
      </c>
      <c r="B4113" s="3">
        <v>45447</v>
      </c>
      <c r="C4113" t="s">
        <v>3223</v>
      </c>
      <c r="D4113" t="s">
        <v>3502</v>
      </c>
      <c r="E4113">
        <v>4</v>
      </c>
      <c r="F4113" t="s">
        <v>3526</v>
      </c>
      <c r="G4113" t="s">
        <v>3517</v>
      </c>
      <c r="H4113">
        <v>1</v>
      </c>
      <c r="I4113">
        <v>14.9</v>
      </c>
      <c r="J4113">
        <v>59.6</v>
      </c>
    </row>
    <row r="4114" spans="1:10" x14ac:dyDescent="0.25">
      <c r="A4114" t="s">
        <v>6639</v>
      </c>
      <c r="B4114" s="3">
        <v>44755</v>
      </c>
      <c r="C4114" t="s">
        <v>2578</v>
      </c>
      <c r="D4114" t="s">
        <v>3507</v>
      </c>
      <c r="E4114">
        <v>2</v>
      </c>
      <c r="F4114" t="s">
        <v>3526</v>
      </c>
      <c r="G4114" t="s">
        <v>3517</v>
      </c>
      <c r="H4114">
        <v>0.5</v>
      </c>
      <c r="I4114">
        <v>8.9</v>
      </c>
      <c r="J4114">
        <v>17.8</v>
      </c>
    </row>
    <row r="4115" spans="1:10" x14ac:dyDescent="0.25">
      <c r="A4115" t="s">
        <v>6640</v>
      </c>
      <c r="B4115" s="3">
        <v>45363</v>
      </c>
      <c r="C4115" t="s">
        <v>740</v>
      </c>
      <c r="D4115" t="s">
        <v>3482</v>
      </c>
      <c r="E4115">
        <v>1</v>
      </c>
      <c r="F4115" t="s">
        <v>3524</v>
      </c>
      <c r="G4115" t="s">
        <v>3519</v>
      </c>
      <c r="H4115">
        <v>2.5</v>
      </c>
      <c r="I4115">
        <v>22.9</v>
      </c>
      <c r="J4115">
        <v>22.9</v>
      </c>
    </row>
    <row r="4116" spans="1:10" x14ac:dyDescent="0.25">
      <c r="A4116" t="s">
        <v>6641</v>
      </c>
      <c r="B4116" s="3">
        <v>45146</v>
      </c>
      <c r="C4116" t="s">
        <v>2870</v>
      </c>
      <c r="D4116" t="s">
        <v>3482</v>
      </c>
      <c r="E4116">
        <v>4</v>
      </c>
      <c r="F4116" t="s">
        <v>3524</v>
      </c>
      <c r="G4116" t="s">
        <v>3519</v>
      </c>
      <c r="H4116">
        <v>2.5</v>
      </c>
      <c r="I4116">
        <v>22.9</v>
      </c>
      <c r="J4116">
        <v>91.6</v>
      </c>
    </row>
    <row r="4117" spans="1:10" x14ac:dyDescent="0.25">
      <c r="A4117" t="s">
        <v>6642</v>
      </c>
      <c r="B4117" s="3">
        <v>44861</v>
      </c>
      <c r="C4117" t="s">
        <v>1905</v>
      </c>
      <c r="D4117" t="s">
        <v>3484</v>
      </c>
      <c r="E4117">
        <v>2</v>
      </c>
      <c r="F4117" t="s">
        <v>3526</v>
      </c>
      <c r="G4117" t="s">
        <v>3518</v>
      </c>
      <c r="H4117">
        <v>0.2</v>
      </c>
      <c r="I4117">
        <v>3.6</v>
      </c>
      <c r="J4117">
        <v>7.2</v>
      </c>
    </row>
    <row r="4118" spans="1:10" x14ac:dyDescent="0.25">
      <c r="A4118" t="s">
        <v>6643</v>
      </c>
      <c r="B4118" s="3">
        <v>45276</v>
      </c>
      <c r="C4118" t="s">
        <v>2720</v>
      </c>
      <c r="D4118" t="s">
        <v>3495</v>
      </c>
      <c r="E4118">
        <v>5</v>
      </c>
      <c r="F4118" t="s">
        <v>3525</v>
      </c>
      <c r="G4118" t="s">
        <v>3517</v>
      </c>
      <c r="H4118">
        <v>2.5</v>
      </c>
      <c r="I4118">
        <v>36.5</v>
      </c>
      <c r="J4118">
        <v>182.5</v>
      </c>
    </row>
    <row r="4119" spans="1:10" x14ac:dyDescent="0.25">
      <c r="A4119" t="s">
        <v>6644</v>
      </c>
      <c r="B4119" s="3">
        <v>45581</v>
      </c>
      <c r="C4119" t="s">
        <v>2326</v>
      </c>
      <c r="D4119" t="s">
        <v>3474</v>
      </c>
      <c r="E4119">
        <v>1</v>
      </c>
      <c r="F4119" t="s">
        <v>3525</v>
      </c>
      <c r="G4119" t="s">
        <v>3518</v>
      </c>
      <c r="H4119">
        <v>1</v>
      </c>
      <c r="I4119">
        <v>13</v>
      </c>
      <c r="J4119">
        <v>13</v>
      </c>
    </row>
    <row r="4120" spans="1:10" x14ac:dyDescent="0.25">
      <c r="A4120" t="s">
        <v>6645</v>
      </c>
      <c r="B4120" s="3">
        <v>45118</v>
      </c>
      <c r="C4120" t="s">
        <v>2769</v>
      </c>
      <c r="D4120" t="s">
        <v>3471</v>
      </c>
      <c r="E4120">
        <v>6</v>
      </c>
      <c r="F4120" t="s">
        <v>3523</v>
      </c>
      <c r="G4120" t="s">
        <v>3517</v>
      </c>
      <c r="H4120">
        <v>1</v>
      </c>
      <c r="I4120">
        <v>13</v>
      </c>
      <c r="J4120">
        <v>78</v>
      </c>
    </row>
    <row r="4121" spans="1:10" x14ac:dyDescent="0.25">
      <c r="A4121" t="s">
        <v>6646</v>
      </c>
      <c r="B4121" s="3">
        <v>44376</v>
      </c>
      <c r="C4121" t="s">
        <v>2095</v>
      </c>
      <c r="D4121" t="s">
        <v>3481</v>
      </c>
      <c r="E4121">
        <v>3</v>
      </c>
      <c r="F4121" t="s">
        <v>3525</v>
      </c>
      <c r="G4121" t="s">
        <v>3518</v>
      </c>
      <c r="H4121">
        <v>0.2</v>
      </c>
      <c r="I4121">
        <v>3.9</v>
      </c>
      <c r="J4121">
        <v>11.7</v>
      </c>
    </row>
    <row r="4122" spans="1:10" x14ac:dyDescent="0.25">
      <c r="A4122" t="s">
        <v>6647</v>
      </c>
      <c r="B4122" s="3">
        <v>44565</v>
      </c>
      <c r="C4122" t="s">
        <v>1452</v>
      </c>
      <c r="D4122" t="s">
        <v>3483</v>
      </c>
      <c r="E4122">
        <v>4</v>
      </c>
      <c r="F4122" t="s">
        <v>3523</v>
      </c>
      <c r="G4122" t="s">
        <v>3519</v>
      </c>
      <c r="H4122">
        <v>0.2</v>
      </c>
      <c r="I4122">
        <v>3.4</v>
      </c>
      <c r="J4122">
        <v>13.6</v>
      </c>
    </row>
    <row r="4123" spans="1:10" x14ac:dyDescent="0.25">
      <c r="A4123" t="s">
        <v>6648</v>
      </c>
      <c r="B4123" s="3">
        <v>44708</v>
      </c>
      <c r="C4123" t="s">
        <v>918</v>
      </c>
      <c r="D4123" t="s">
        <v>3515</v>
      </c>
      <c r="E4123">
        <v>6</v>
      </c>
      <c r="F4123" t="s">
        <v>3526</v>
      </c>
      <c r="G4123" t="s">
        <v>3517</v>
      </c>
      <c r="H4123">
        <v>0.2</v>
      </c>
      <c r="I4123">
        <v>4.5</v>
      </c>
      <c r="J4123">
        <v>27</v>
      </c>
    </row>
    <row r="4124" spans="1:10" x14ac:dyDescent="0.25">
      <c r="A4124" t="s">
        <v>6649</v>
      </c>
      <c r="B4124" s="3">
        <v>44589</v>
      </c>
      <c r="C4124" t="s">
        <v>592</v>
      </c>
      <c r="D4124" t="s">
        <v>3507</v>
      </c>
      <c r="E4124">
        <v>5</v>
      </c>
      <c r="F4124" t="s">
        <v>3526</v>
      </c>
      <c r="G4124" t="s">
        <v>3517</v>
      </c>
      <c r="H4124">
        <v>0.5</v>
      </c>
      <c r="I4124">
        <v>8.9</v>
      </c>
      <c r="J4124">
        <v>44.5</v>
      </c>
    </row>
    <row r="4125" spans="1:10" x14ac:dyDescent="0.25">
      <c r="A4125" t="s">
        <v>6650</v>
      </c>
      <c r="B4125" s="3">
        <v>45140</v>
      </c>
      <c r="C4125" t="s">
        <v>878</v>
      </c>
      <c r="D4125" t="s">
        <v>3510</v>
      </c>
      <c r="E4125">
        <v>2</v>
      </c>
      <c r="F4125" t="s">
        <v>3524</v>
      </c>
      <c r="G4125" t="s">
        <v>3517</v>
      </c>
      <c r="H4125">
        <v>1</v>
      </c>
      <c r="I4125">
        <v>12</v>
      </c>
      <c r="J4125">
        <v>24</v>
      </c>
    </row>
    <row r="4126" spans="1:10" x14ac:dyDescent="0.25">
      <c r="A4126" t="s">
        <v>6651</v>
      </c>
      <c r="B4126" s="3">
        <v>45100</v>
      </c>
      <c r="C4126" t="s">
        <v>2660</v>
      </c>
      <c r="D4126" t="s">
        <v>3514</v>
      </c>
      <c r="E4126">
        <v>6</v>
      </c>
      <c r="F4126" t="s">
        <v>3526</v>
      </c>
      <c r="G4126" t="s">
        <v>3518</v>
      </c>
      <c r="H4126">
        <v>1</v>
      </c>
      <c r="I4126">
        <v>12.2</v>
      </c>
      <c r="J4126">
        <v>73.2</v>
      </c>
    </row>
    <row r="4127" spans="1:10" x14ac:dyDescent="0.25">
      <c r="A4127" t="s">
        <v>6652</v>
      </c>
      <c r="B4127" s="3">
        <v>45630</v>
      </c>
      <c r="C4127" t="s">
        <v>2542</v>
      </c>
      <c r="D4127" t="s">
        <v>3470</v>
      </c>
      <c r="E4127">
        <v>2</v>
      </c>
      <c r="F4127" t="s">
        <v>3526</v>
      </c>
      <c r="G4127" t="s">
        <v>3519</v>
      </c>
      <c r="H4127">
        <v>0.5</v>
      </c>
      <c r="I4127">
        <v>8.3000000000000007</v>
      </c>
      <c r="J4127">
        <v>16.600000000000001</v>
      </c>
    </row>
    <row r="4128" spans="1:10" x14ac:dyDescent="0.25">
      <c r="A4128" t="s">
        <v>6653</v>
      </c>
      <c r="B4128" s="3">
        <v>44611</v>
      </c>
      <c r="C4128" t="s">
        <v>1601</v>
      </c>
      <c r="D4128" t="s">
        <v>3506</v>
      </c>
      <c r="E4128">
        <v>2</v>
      </c>
      <c r="F4128" t="s">
        <v>3523</v>
      </c>
      <c r="G4128" t="s">
        <v>3519</v>
      </c>
      <c r="H4128">
        <v>2.5</v>
      </c>
      <c r="I4128">
        <v>25.9</v>
      </c>
      <c r="J4128">
        <v>51.8</v>
      </c>
    </row>
    <row r="4129" spans="1:10" x14ac:dyDescent="0.25">
      <c r="A4129" t="s">
        <v>6654</v>
      </c>
      <c r="B4129" s="3">
        <v>44567</v>
      </c>
      <c r="C4129" t="s">
        <v>2143</v>
      </c>
      <c r="D4129" t="s">
        <v>3478</v>
      </c>
      <c r="E4129">
        <v>2</v>
      </c>
      <c r="F4129" t="s">
        <v>3523</v>
      </c>
      <c r="G4129" t="s">
        <v>3518</v>
      </c>
      <c r="H4129">
        <v>1</v>
      </c>
      <c r="I4129">
        <v>10</v>
      </c>
      <c r="J4129">
        <v>20</v>
      </c>
    </row>
    <row r="4130" spans="1:10" x14ac:dyDescent="0.25">
      <c r="A4130" t="s">
        <v>6655</v>
      </c>
      <c r="B4130" s="3">
        <v>44638</v>
      </c>
      <c r="C4130" t="s">
        <v>3087</v>
      </c>
      <c r="D4130" t="s">
        <v>3509</v>
      </c>
      <c r="E4130">
        <v>3</v>
      </c>
      <c r="F4130" t="s">
        <v>3524</v>
      </c>
      <c r="G4130" t="s">
        <v>3517</v>
      </c>
      <c r="H4130">
        <v>0.2</v>
      </c>
      <c r="I4130">
        <v>3.6</v>
      </c>
      <c r="J4130">
        <v>10.8</v>
      </c>
    </row>
    <row r="4131" spans="1:10" x14ac:dyDescent="0.25">
      <c r="A4131" t="s">
        <v>6656</v>
      </c>
      <c r="B4131" s="3">
        <v>43551</v>
      </c>
      <c r="C4131" t="s">
        <v>2813</v>
      </c>
      <c r="D4131" t="s">
        <v>3513</v>
      </c>
      <c r="E4131">
        <v>5</v>
      </c>
      <c r="F4131" t="s">
        <v>3523</v>
      </c>
      <c r="G4131" t="s">
        <v>3517</v>
      </c>
      <c r="H4131">
        <v>2.5</v>
      </c>
      <c r="I4131">
        <v>29.8</v>
      </c>
      <c r="J4131">
        <v>149</v>
      </c>
    </row>
    <row r="4132" spans="1:10" x14ac:dyDescent="0.25">
      <c r="A4132" t="s">
        <v>6657</v>
      </c>
      <c r="B4132" s="3">
        <v>44129</v>
      </c>
      <c r="C4132" t="s">
        <v>2602</v>
      </c>
      <c r="D4132" t="s">
        <v>3491</v>
      </c>
      <c r="E4132">
        <v>4</v>
      </c>
      <c r="F4132" t="s">
        <v>3525</v>
      </c>
      <c r="G4132" t="s">
        <v>3519</v>
      </c>
      <c r="H4132">
        <v>0.5</v>
      </c>
      <c r="I4132">
        <v>8.6999999999999993</v>
      </c>
      <c r="J4132">
        <v>34.799999999999997</v>
      </c>
    </row>
    <row r="4133" spans="1:10" x14ac:dyDescent="0.25">
      <c r="A4133" t="s">
        <v>6658</v>
      </c>
      <c r="B4133" s="3">
        <v>44608</v>
      </c>
      <c r="C4133" t="s">
        <v>2948</v>
      </c>
      <c r="D4133" t="s">
        <v>3485</v>
      </c>
      <c r="E4133">
        <v>6</v>
      </c>
      <c r="F4133" t="s">
        <v>3523</v>
      </c>
      <c r="G4133" t="s">
        <v>3518</v>
      </c>
      <c r="H4133">
        <v>0.2</v>
      </c>
      <c r="I4133">
        <v>3</v>
      </c>
      <c r="J4133">
        <v>18</v>
      </c>
    </row>
    <row r="4134" spans="1:10" x14ac:dyDescent="0.25">
      <c r="A4134" t="s">
        <v>6659</v>
      </c>
      <c r="B4134" s="3">
        <v>43853</v>
      </c>
      <c r="C4134" t="s">
        <v>2171</v>
      </c>
      <c r="D4134" t="s">
        <v>3485</v>
      </c>
      <c r="E4134">
        <v>4</v>
      </c>
      <c r="F4134" t="s">
        <v>3523</v>
      </c>
      <c r="G4134" t="s">
        <v>3518</v>
      </c>
      <c r="H4134">
        <v>0.2</v>
      </c>
      <c r="I4134">
        <v>3</v>
      </c>
      <c r="J4134">
        <v>12</v>
      </c>
    </row>
    <row r="4135" spans="1:10" x14ac:dyDescent="0.25">
      <c r="A4135" t="s">
        <v>6660</v>
      </c>
      <c r="B4135" s="3">
        <v>44742</v>
      </c>
      <c r="C4135" t="s">
        <v>1085</v>
      </c>
      <c r="D4135" t="s">
        <v>3482</v>
      </c>
      <c r="E4135">
        <v>2</v>
      </c>
      <c r="F4135" t="s">
        <v>3524</v>
      </c>
      <c r="G4135" t="s">
        <v>3519</v>
      </c>
      <c r="H4135">
        <v>2.5</v>
      </c>
      <c r="I4135">
        <v>22.9</v>
      </c>
      <c r="J4135">
        <v>45.8</v>
      </c>
    </row>
    <row r="4136" spans="1:10" x14ac:dyDescent="0.25">
      <c r="A4136" t="s">
        <v>6661</v>
      </c>
      <c r="B4136" s="3">
        <v>45288</v>
      </c>
      <c r="C4136" t="s">
        <v>673</v>
      </c>
      <c r="D4136" t="s">
        <v>3491</v>
      </c>
      <c r="E4136">
        <v>6</v>
      </c>
      <c r="F4136" t="s">
        <v>3525</v>
      </c>
      <c r="G4136" t="s">
        <v>3519</v>
      </c>
      <c r="H4136">
        <v>0.5</v>
      </c>
      <c r="I4136">
        <v>8.6999999999999993</v>
      </c>
      <c r="J4136">
        <v>52.2</v>
      </c>
    </row>
    <row r="4137" spans="1:10" x14ac:dyDescent="0.25">
      <c r="A4137" t="s">
        <v>6662</v>
      </c>
      <c r="B4137" s="3">
        <v>44985</v>
      </c>
      <c r="C4137" t="s">
        <v>2581</v>
      </c>
      <c r="D4137" t="s">
        <v>3480</v>
      </c>
      <c r="E4137">
        <v>4</v>
      </c>
      <c r="F4137" t="s">
        <v>3524</v>
      </c>
      <c r="G4137" t="s">
        <v>3518</v>
      </c>
      <c r="H4137">
        <v>2.5</v>
      </c>
      <c r="I4137">
        <v>20.6</v>
      </c>
      <c r="J4137">
        <v>82.4</v>
      </c>
    </row>
    <row r="4138" spans="1:10" x14ac:dyDescent="0.25">
      <c r="A4138" t="s">
        <v>6663</v>
      </c>
      <c r="B4138" s="3">
        <v>44660</v>
      </c>
      <c r="C4138" t="s">
        <v>754</v>
      </c>
      <c r="D4138" t="s">
        <v>3486</v>
      </c>
      <c r="E4138">
        <v>6</v>
      </c>
      <c r="F4138" t="s">
        <v>3523</v>
      </c>
      <c r="G4138" t="s">
        <v>3519</v>
      </c>
      <c r="H4138">
        <v>1</v>
      </c>
      <c r="I4138">
        <v>11.3</v>
      </c>
      <c r="J4138">
        <v>67.8</v>
      </c>
    </row>
    <row r="4139" spans="1:10" x14ac:dyDescent="0.25">
      <c r="A4139" t="s">
        <v>6664</v>
      </c>
      <c r="B4139" s="3">
        <v>45477</v>
      </c>
      <c r="C4139" t="s">
        <v>629</v>
      </c>
      <c r="D4139" t="s">
        <v>3476</v>
      </c>
      <c r="E4139">
        <v>2</v>
      </c>
      <c r="F4139" t="s">
        <v>3525</v>
      </c>
      <c r="G4139" t="s">
        <v>3517</v>
      </c>
      <c r="H4139">
        <v>0.2</v>
      </c>
      <c r="I4139">
        <v>4.8</v>
      </c>
      <c r="J4139">
        <v>9.6</v>
      </c>
    </row>
    <row r="4140" spans="1:10" x14ac:dyDescent="0.25">
      <c r="A4140" t="s">
        <v>6665</v>
      </c>
      <c r="B4140" s="3">
        <v>44757</v>
      </c>
      <c r="C4140" t="s">
        <v>742</v>
      </c>
      <c r="D4140" t="s">
        <v>3504</v>
      </c>
      <c r="E4140">
        <v>4</v>
      </c>
      <c r="F4140" t="s">
        <v>3524</v>
      </c>
      <c r="G4140" t="s">
        <v>3517</v>
      </c>
      <c r="H4140">
        <v>0.5</v>
      </c>
      <c r="I4140">
        <v>7.2</v>
      </c>
      <c r="J4140">
        <v>28.8</v>
      </c>
    </row>
    <row r="4141" spans="1:10" x14ac:dyDescent="0.25">
      <c r="A4141" t="s">
        <v>6666</v>
      </c>
      <c r="B4141" s="3">
        <v>45227</v>
      </c>
      <c r="C4141" t="s">
        <v>3378</v>
      </c>
      <c r="D4141" t="s">
        <v>3478</v>
      </c>
      <c r="E4141">
        <v>5</v>
      </c>
      <c r="F4141" t="s">
        <v>3523</v>
      </c>
      <c r="G4141" t="s">
        <v>3518</v>
      </c>
      <c r="H4141">
        <v>1</v>
      </c>
      <c r="I4141">
        <v>10</v>
      </c>
      <c r="J4141">
        <v>50</v>
      </c>
    </row>
    <row r="4142" spans="1:10" x14ac:dyDescent="0.25">
      <c r="A4142" t="s">
        <v>6667</v>
      </c>
      <c r="B4142" s="3">
        <v>45197</v>
      </c>
      <c r="C4142" t="s">
        <v>997</v>
      </c>
      <c r="D4142" t="s">
        <v>3513</v>
      </c>
      <c r="E4142">
        <v>3</v>
      </c>
      <c r="F4142" t="s">
        <v>3523</v>
      </c>
      <c r="G4142" t="s">
        <v>3517</v>
      </c>
      <c r="H4142">
        <v>2.5</v>
      </c>
      <c r="I4142">
        <v>29.8</v>
      </c>
      <c r="J4142">
        <v>89.4</v>
      </c>
    </row>
    <row r="4143" spans="1:10" x14ac:dyDescent="0.25">
      <c r="A4143" t="s">
        <v>6668</v>
      </c>
      <c r="B4143" s="3">
        <v>44979</v>
      </c>
      <c r="C4143" t="s">
        <v>1884</v>
      </c>
      <c r="D4143" t="s">
        <v>3502</v>
      </c>
      <c r="E4143">
        <v>5</v>
      </c>
      <c r="F4143" t="s">
        <v>3526</v>
      </c>
      <c r="G4143" t="s">
        <v>3517</v>
      </c>
      <c r="H4143">
        <v>1</v>
      </c>
      <c r="I4143">
        <v>14.9</v>
      </c>
      <c r="J4143">
        <v>74.5</v>
      </c>
    </row>
    <row r="4144" spans="1:10" x14ac:dyDescent="0.25">
      <c r="A4144" t="s">
        <v>6669</v>
      </c>
      <c r="B4144" s="3">
        <v>45174</v>
      </c>
      <c r="C4144" t="s">
        <v>2907</v>
      </c>
      <c r="D4144" t="s">
        <v>3507</v>
      </c>
      <c r="E4144">
        <v>5</v>
      </c>
      <c r="F4144" t="s">
        <v>3526</v>
      </c>
      <c r="G4144" t="s">
        <v>3517</v>
      </c>
      <c r="H4144">
        <v>0.5</v>
      </c>
      <c r="I4144">
        <v>8.9</v>
      </c>
      <c r="J4144">
        <v>44.5</v>
      </c>
    </row>
    <row r="4145" spans="1:10" x14ac:dyDescent="0.25">
      <c r="A4145" t="s">
        <v>6670</v>
      </c>
      <c r="B4145" s="3">
        <v>44805</v>
      </c>
      <c r="C4145" t="s">
        <v>2569</v>
      </c>
      <c r="D4145" t="s">
        <v>3472</v>
      </c>
      <c r="E4145">
        <v>6</v>
      </c>
      <c r="F4145" t="s">
        <v>3526</v>
      </c>
      <c r="G4145" t="s">
        <v>3519</v>
      </c>
      <c r="H4145">
        <v>1</v>
      </c>
      <c r="I4145">
        <v>13.8</v>
      </c>
      <c r="J4145">
        <v>82.8</v>
      </c>
    </row>
    <row r="4146" spans="1:10" x14ac:dyDescent="0.25">
      <c r="A4146" t="s">
        <v>6671</v>
      </c>
      <c r="B4146" s="3">
        <v>45171</v>
      </c>
      <c r="C4146" t="s">
        <v>1449</v>
      </c>
      <c r="D4146" t="s">
        <v>3487</v>
      </c>
      <c r="E4146">
        <v>3</v>
      </c>
      <c r="F4146" t="s">
        <v>3526</v>
      </c>
      <c r="G4146" t="s">
        <v>3519</v>
      </c>
      <c r="H4146">
        <v>0.2</v>
      </c>
      <c r="I4146">
        <v>4.0999999999999996</v>
      </c>
      <c r="J4146">
        <v>12.3</v>
      </c>
    </row>
    <row r="4147" spans="1:10" x14ac:dyDescent="0.25">
      <c r="A4147" t="s">
        <v>6672</v>
      </c>
      <c r="B4147" s="3">
        <v>45233</v>
      </c>
      <c r="C4147" t="s">
        <v>1806</v>
      </c>
      <c r="D4147" t="s">
        <v>3488</v>
      </c>
      <c r="E4147">
        <v>5</v>
      </c>
      <c r="F4147" t="s">
        <v>3523</v>
      </c>
      <c r="G4147" t="s">
        <v>3519</v>
      </c>
      <c r="H4147">
        <v>0.5</v>
      </c>
      <c r="I4147">
        <v>6.8</v>
      </c>
      <c r="J4147">
        <v>34</v>
      </c>
    </row>
    <row r="4148" spans="1:10" x14ac:dyDescent="0.25">
      <c r="A4148" t="s">
        <v>6673</v>
      </c>
      <c r="B4148" s="3">
        <v>44845</v>
      </c>
      <c r="C4148" t="s">
        <v>1247</v>
      </c>
      <c r="D4148" t="s">
        <v>3485</v>
      </c>
      <c r="E4148">
        <v>3</v>
      </c>
      <c r="F4148" t="s">
        <v>3523</v>
      </c>
      <c r="G4148" t="s">
        <v>3518</v>
      </c>
      <c r="H4148">
        <v>0.2</v>
      </c>
      <c r="I4148">
        <v>3</v>
      </c>
      <c r="J4148">
        <v>9</v>
      </c>
    </row>
    <row r="4149" spans="1:10" x14ac:dyDescent="0.25">
      <c r="A4149" t="s">
        <v>6674</v>
      </c>
      <c r="B4149" s="3">
        <v>45203</v>
      </c>
      <c r="C4149" t="s">
        <v>2948</v>
      </c>
      <c r="D4149" t="s">
        <v>3491</v>
      </c>
      <c r="E4149">
        <v>5</v>
      </c>
      <c r="F4149" t="s">
        <v>3525</v>
      </c>
      <c r="G4149" t="s">
        <v>3519</v>
      </c>
      <c r="H4149">
        <v>0.5</v>
      </c>
      <c r="I4149">
        <v>8.6999999999999993</v>
      </c>
      <c r="J4149">
        <v>43.5</v>
      </c>
    </row>
    <row r="4150" spans="1:10" x14ac:dyDescent="0.25">
      <c r="A4150" t="s">
        <v>6675</v>
      </c>
      <c r="B4150" s="3">
        <v>44854</v>
      </c>
      <c r="C4150" t="s">
        <v>1517</v>
      </c>
      <c r="D4150" t="s">
        <v>3500</v>
      </c>
      <c r="E4150">
        <v>3</v>
      </c>
      <c r="F4150" t="s">
        <v>3525</v>
      </c>
      <c r="G4150" t="s">
        <v>3518</v>
      </c>
      <c r="H4150">
        <v>0.5</v>
      </c>
      <c r="I4150">
        <v>7.8</v>
      </c>
      <c r="J4150">
        <v>23.4</v>
      </c>
    </row>
    <row r="4151" spans="1:10" x14ac:dyDescent="0.25">
      <c r="A4151" t="s">
        <v>6676</v>
      </c>
      <c r="B4151" s="3">
        <v>44706</v>
      </c>
      <c r="C4151" t="s">
        <v>1151</v>
      </c>
      <c r="D4151" t="s">
        <v>3506</v>
      </c>
      <c r="E4151">
        <v>2</v>
      </c>
      <c r="F4151" t="s">
        <v>3523</v>
      </c>
      <c r="G4151" t="s">
        <v>3519</v>
      </c>
      <c r="H4151">
        <v>2.5</v>
      </c>
      <c r="I4151">
        <v>25.9</v>
      </c>
      <c r="J4151">
        <v>51.8</v>
      </c>
    </row>
    <row r="4152" spans="1:10" x14ac:dyDescent="0.25">
      <c r="A4152" t="s">
        <v>6677</v>
      </c>
      <c r="B4152" s="3">
        <v>45437</v>
      </c>
      <c r="C4152" t="s">
        <v>2482</v>
      </c>
      <c r="D4152" t="s">
        <v>3511</v>
      </c>
      <c r="E4152">
        <v>4</v>
      </c>
      <c r="F4152" t="s">
        <v>3523</v>
      </c>
      <c r="G4152" t="s">
        <v>3517</v>
      </c>
      <c r="H4152">
        <v>0.5</v>
      </c>
      <c r="I4152">
        <v>7.8</v>
      </c>
      <c r="J4152">
        <v>31.2</v>
      </c>
    </row>
    <row r="4153" spans="1:10" x14ac:dyDescent="0.25">
      <c r="A4153" t="s">
        <v>6678</v>
      </c>
      <c r="B4153" s="3">
        <v>45017</v>
      </c>
      <c r="C4153" t="s">
        <v>1068</v>
      </c>
      <c r="D4153" t="s">
        <v>3473</v>
      </c>
      <c r="E4153">
        <v>6</v>
      </c>
      <c r="F4153" t="s">
        <v>3524</v>
      </c>
      <c r="G4153" t="s">
        <v>3517</v>
      </c>
      <c r="H4153">
        <v>2.5</v>
      </c>
      <c r="I4153">
        <v>27.5</v>
      </c>
      <c r="J4153">
        <v>165</v>
      </c>
    </row>
    <row r="4154" spans="1:10" x14ac:dyDescent="0.25">
      <c r="A4154" t="s">
        <v>6679</v>
      </c>
      <c r="B4154" s="3">
        <v>45174</v>
      </c>
      <c r="C4154" t="s">
        <v>1806</v>
      </c>
      <c r="D4154" t="s">
        <v>3473</v>
      </c>
      <c r="E4154">
        <v>4</v>
      </c>
      <c r="F4154" t="s">
        <v>3524</v>
      </c>
      <c r="G4154" t="s">
        <v>3517</v>
      </c>
      <c r="H4154">
        <v>2.5</v>
      </c>
      <c r="I4154">
        <v>27.5</v>
      </c>
      <c r="J4154">
        <v>110</v>
      </c>
    </row>
    <row r="4155" spans="1:10" x14ac:dyDescent="0.25">
      <c r="A4155" t="s">
        <v>6680</v>
      </c>
      <c r="B4155" s="3">
        <v>44836</v>
      </c>
      <c r="C4155" t="s">
        <v>2272</v>
      </c>
      <c r="D4155" t="s">
        <v>3475</v>
      </c>
      <c r="E4155">
        <v>3</v>
      </c>
      <c r="F4155" t="s">
        <v>3526</v>
      </c>
      <c r="G4155" t="s">
        <v>3518</v>
      </c>
      <c r="H4155">
        <v>0.5</v>
      </c>
      <c r="I4155">
        <v>7.3</v>
      </c>
      <c r="J4155">
        <v>21.9</v>
      </c>
    </row>
    <row r="4156" spans="1:10" x14ac:dyDescent="0.25">
      <c r="A4156" t="s">
        <v>6681</v>
      </c>
      <c r="B4156" s="3">
        <v>45226</v>
      </c>
      <c r="C4156" t="s">
        <v>1869</v>
      </c>
      <c r="D4156" t="s">
        <v>3469</v>
      </c>
      <c r="E4156">
        <v>2</v>
      </c>
      <c r="F4156" t="s">
        <v>3524</v>
      </c>
      <c r="G4156" t="s">
        <v>3519</v>
      </c>
      <c r="H4156">
        <v>1</v>
      </c>
      <c r="I4156">
        <v>10</v>
      </c>
      <c r="J4156">
        <v>20</v>
      </c>
    </row>
    <row r="4157" spans="1:10" x14ac:dyDescent="0.25">
      <c r="A4157" t="s">
        <v>6682</v>
      </c>
      <c r="B4157" s="3">
        <v>44224</v>
      </c>
      <c r="C4157" t="s">
        <v>1696</v>
      </c>
      <c r="D4157" t="s">
        <v>3513</v>
      </c>
      <c r="E4157">
        <v>6</v>
      </c>
      <c r="F4157" t="s">
        <v>3523</v>
      </c>
      <c r="G4157" t="s">
        <v>3517</v>
      </c>
      <c r="H4157">
        <v>2.5</v>
      </c>
      <c r="I4157">
        <v>29.8</v>
      </c>
      <c r="J4157">
        <v>178.8</v>
      </c>
    </row>
    <row r="4158" spans="1:10" x14ac:dyDescent="0.25">
      <c r="A4158" t="s">
        <v>6683</v>
      </c>
      <c r="B4158" s="3">
        <v>45489</v>
      </c>
      <c r="C4158" t="s">
        <v>1275</v>
      </c>
      <c r="D4158" t="s">
        <v>3498</v>
      </c>
      <c r="E4158">
        <v>4</v>
      </c>
      <c r="F4158" t="s">
        <v>3523</v>
      </c>
      <c r="G4158" t="s">
        <v>3517</v>
      </c>
      <c r="H4158">
        <v>0.2</v>
      </c>
      <c r="I4158">
        <v>3.9</v>
      </c>
      <c r="J4158">
        <v>15.6</v>
      </c>
    </row>
    <row r="4159" spans="1:10" x14ac:dyDescent="0.25">
      <c r="A4159" t="s">
        <v>6684</v>
      </c>
      <c r="B4159" s="3">
        <v>45049</v>
      </c>
      <c r="C4159" t="s">
        <v>2053</v>
      </c>
      <c r="D4159" t="s">
        <v>3493</v>
      </c>
      <c r="E4159">
        <v>6</v>
      </c>
      <c r="F4159" t="s">
        <v>3525</v>
      </c>
      <c r="G4159" t="s">
        <v>3519</v>
      </c>
      <c r="H4159">
        <v>1</v>
      </c>
      <c r="I4159">
        <v>14.6</v>
      </c>
      <c r="J4159">
        <v>87.6</v>
      </c>
    </row>
    <row r="4160" spans="1:10" x14ac:dyDescent="0.25">
      <c r="A4160" t="s">
        <v>6685</v>
      </c>
      <c r="B4160" s="3">
        <v>45161</v>
      </c>
      <c r="C4160" t="s">
        <v>2699</v>
      </c>
      <c r="D4160" t="s">
        <v>3497</v>
      </c>
      <c r="E4160">
        <v>6</v>
      </c>
      <c r="F4160" t="s">
        <v>3526</v>
      </c>
      <c r="G4160" t="s">
        <v>3519</v>
      </c>
      <c r="H4160">
        <v>2.5</v>
      </c>
      <c r="I4160">
        <v>31.6</v>
      </c>
      <c r="J4160">
        <v>189.6</v>
      </c>
    </row>
    <row r="4161" spans="1:10" x14ac:dyDescent="0.25">
      <c r="A4161" t="s">
        <v>6686</v>
      </c>
      <c r="B4161" s="3">
        <v>45168</v>
      </c>
      <c r="C4161" t="s">
        <v>2426</v>
      </c>
      <c r="D4161" t="s">
        <v>3479</v>
      </c>
      <c r="E4161">
        <v>6</v>
      </c>
      <c r="F4161" t="s">
        <v>3526</v>
      </c>
      <c r="G4161" t="s">
        <v>3517</v>
      </c>
      <c r="H4161">
        <v>2.5</v>
      </c>
      <c r="I4161">
        <v>34.200000000000003</v>
      </c>
      <c r="J4161">
        <v>205.2</v>
      </c>
    </row>
    <row r="4162" spans="1:10" x14ac:dyDescent="0.25">
      <c r="A4162" t="s">
        <v>6687</v>
      </c>
      <c r="B4162" s="3">
        <v>45024</v>
      </c>
      <c r="C4162" t="s">
        <v>1717</v>
      </c>
      <c r="D4162" t="s">
        <v>3491</v>
      </c>
      <c r="E4162">
        <v>6</v>
      </c>
      <c r="F4162" t="s">
        <v>3525</v>
      </c>
      <c r="G4162" t="s">
        <v>3519</v>
      </c>
      <c r="H4162">
        <v>0.5</v>
      </c>
      <c r="I4162">
        <v>8.6999999999999993</v>
      </c>
      <c r="J4162">
        <v>52.2</v>
      </c>
    </row>
    <row r="4163" spans="1:10" x14ac:dyDescent="0.25">
      <c r="A4163" t="s">
        <v>6688</v>
      </c>
      <c r="B4163" s="3">
        <v>45362</v>
      </c>
      <c r="C4163" t="s">
        <v>2690</v>
      </c>
      <c r="D4163" t="s">
        <v>3479</v>
      </c>
      <c r="E4163">
        <v>1</v>
      </c>
      <c r="F4163" t="s">
        <v>3526</v>
      </c>
      <c r="G4163" t="s">
        <v>3517</v>
      </c>
      <c r="H4163">
        <v>2.5</v>
      </c>
      <c r="I4163">
        <v>34.200000000000003</v>
      </c>
      <c r="J4163">
        <v>34.200000000000003</v>
      </c>
    </row>
    <row r="4164" spans="1:10" x14ac:dyDescent="0.25">
      <c r="A4164" t="s">
        <v>6689</v>
      </c>
      <c r="B4164" s="3">
        <v>45488</v>
      </c>
      <c r="C4164" t="s">
        <v>1848</v>
      </c>
      <c r="D4164" t="s">
        <v>3509</v>
      </c>
      <c r="E4164">
        <v>5</v>
      </c>
      <c r="F4164" t="s">
        <v>3524</v>
      </c>
      <c r="G4164" t="s">
        <v>3517</v>
      </c>
      <c r="H4164">
        <v>0.2</v>
      </c>
      <c r="I4164">
        <v>3.6</v>
      </c>
      <c r="J4164">
        <v>18</v>
      </c>
    </row>
    <row r="4165" spans="1:10" x14ac:dyDescent="0.25">
      <c r="A4165" t="s">
        <v>6690</v>
      </c>
      <c r="B4165" s="3">
        <v>44155</v>
      </c>
      <c r="C4165" t="s">
        <v>1675</v>
      </c>
      <c r="D4165" t="s">
        <v>3515</v>
      </c>
      <c r="E4165">
        <v>6</v>
      </c>
      <c r="F4165" t="s">
        <v>3526</v>
      </c>
      <c r="G4165" t="s">
        <v>3517</v>
      </c>
      <c r="H4165">
        <v>0.2</v>
      </c>
      <c r="I4165">
        <v>4.5</v>
      </c>
      <c r="J4165">
        <v>27</v>
      </c>
    </row>
    <row r="4166" spans="1:10" x14ac:dyDescent="0.25">
      <c r="A4166" t="s">
        <v>6691</v>
      </c>
      <c r="B4166" s="3">
        <v>45146</v>
      </c>
      <c r="C4166" t="s">
        <v>2056</v>
      </c>
      <c r="D4166" t="s">
        <v>3469</v>
      </c>
      <c r="E4166">
        <v>1</v>
      </c>
      <c r="F4166" t="s">
        <v>3524</v>
      </c>
      <c r="G4166" t="s">
        <v>3519</v>
      </c>
      <c r="H4166">
        <v>1</v>
      </c>
      <c r="I4166">
        <v>10</v>
      </c>
      <c r="J4166">
        <v>10</v>
      </c>
    </row>
    <row r="4167" spans="1:10" x14ac:dyDescent="0.25">
      <c r="A4167" t="s">
        <v>6692</v>
      </c>
      <c r="B4167" s="3">
        <v>45266</v>
      </c>
      <c r="C4167" t="s">
        <v>1473</v>
      </c>
      <c r="D4167" t="s">
        <v>3486</v>
      </c>
      <c r="E4167">
        <v>2</v>
      </c>
      <c r="F4167" t="s">
        <v>3523</v>
      </c>
      <c r="G4167" t="s">
        <v>3519</v>
      </c>
      <c r="H4167">
        <v>1</v>
      </c>
      <c r="I4167">
        <v>11.3</v>
      </c>
      <c r="J4167">
        <v>22.6</v>
      </c>
    </row>
    <row r="4168" spans="1:10" x14ac:dyDescent="0.25">
      <c r="A4168" t="s">
        <v>6693</v>
      </c>
      <c r="B4168" s="3">
        <v>45612</v>
      </c>
      <c r="C4168" t="s">
        <v>1752</v>
      </c>
      <c r="D4168" t="s">
        <v>3474</v>
      </c>
      <c r="E4168">
        <v>4</v>
      </c>
      <c r="F4168" t="s">
        <v>3525</v>
      </c>
      <c r="G4168" t="s">
        <v>3518</v>
      </c>
      <c r="H4168">
        <v>1</v>
      </c>
      <c r="I4168">
        <v>13</v>
      </c>
      <c r="J4168">
        <v>52</v>
      </c>
    </row>
    <row r="4169" spans="1:10" x14ac:dyDescent="0.25">
      <c r="A4169" t="s">
        <v>6694</v>
      </c>
      <c r="B4169" s="3">
        <v>44627</v>
      </c>
      <c r="C4169" t="s">
        <v>3072</v>
      </c>
      <c r="D4169" t="s">
        <v>3474</v>
      </c>
      <c r="E4169">
        <v>2</v>
      </c>
      <c r="F4169" t="s">
        <v>3525</v>
      </c>
      <c r="G4169" t="s">
        <v>3518</v>
      </c>
      <c r="H4169">
        <v>1</v>
      </c>
      <c r="I4169">
        <v>13</v>
      </c>
      <c r="J4169">
        <v>26</v>
      </c>
    </row>
    <row r="4170" spans="1:10" x14ac:dyDescent="0.25">
      <c r="A4170" t="s">
        <v>6695</v>
      </c>
      <c r="B4170" s="3">
        <v>45548</v>
      </c>
      <c r="C4170" t="s">
        <v>1175</v>
      </c>
      <c r="D4170" t="s">
        <v>3511</v>
      </c>
      <c r="E4170">
        <v>5</v>
      </c>
      <c r="F4170" t="s">
        <v>3523</v>
      </c>
      <c r="G4170" t="s">
        <v>3517</v>
      </c>
      <c r="H4170">
        <v>0.5</v>
      </c>
      <c r="I4170">
        <v>7.8</v>
      </c>
      <c r="J4170">
        <v>39</v>
      </c>
    </row>
    <row r="4171" spans="1:10" x14ac:dyDescent="0.25">
      <c r="A4171" t="s">
        <v>6696</v>
      </c>
      <c r="B4171" s="3">
        <v>45575</v>
      </c>
      <c r="C4171" t="s">
        <v>1458</v>
      </c>
      <c r="D4171" t="s">
        <v>3496</v>
      </c>
      <c r="E4171">
        <v>6</v>
      </c>
      <c r="F4171" t="s">
        <v>3525</v>
      </c>
      <c r="G4171" t="s">
        <v>3518</v>
      </c>
      <c r="H4171">
        <v>2.5</v>
      </c>
      <c r="I4171">
        <v>29.8</v>
      </c>
      <c r="J4171">
        <v>178.8</v>
      </c>
    </row>
    <row r="4172" spans="1:10" x14ac:dyDescent="0.25">
      <c r="A4172" t="s">
        <v>6697</v>
      </c>
      <c r="B4172" s="3">
        <v>44702</v>
      </c>
      <c r="C4172" t="s">
        <v>2009</v>
      </c>
      <c r="D4172" t="s">
        <v>3478</v>
      </c>
      <c r="E4172">
        <v>6</v>
      </c>
      <c r="F4172" t="s">
        <v>3523</v>
      </c>
      <c r="G4172" t="s">
        <v>3518</v>
      </c>
      <c r="H4172">
        <v>1</v>
      </c>
      <c r="I4172">
        <v>10</v>
      </c>
      <c r="J4172">
        <v>60</v>
      </c>
    </row>
    <row r="4173" spans="1:10" x14ac:dyDescent="0.25">
      <c r="A4173" t="s">
        <v>6698</v>
      </c>
      <c r="B4173" s="3">
        <v>45408</v>
      </c>
      <c r="C4173" t="s">
        <v>1914</v>
      </c>
      <c r="D4173" t="s">
        <v>3513</v>
      </c>
      <c r="E4173">
        <v>3</v>
      </c>
      <c r="F4173" t="s">
        <v>3523</v>
      </c>
      <c r="G4173" t="s">
        <v>3517</v>
      </c>
      <c r="H4173">
        <v>2.5</v>
      </c>
      <c r="I4173">
        <v>29.8</v>
      </c>
      <c r="J4173">
        <v>89.4</v>
      </c>
    </row>
    <row r="4174" spans="1:10" x14ac:dyDescent="0.25">
      <c r="A4174" t="s">
        <v>6699</v>
      </c>
      <c r="B4174" s="3">
        <v>45093</v>
      </c>
      <c r="C4174" t="s">
        <v>1761</v>
      </c>
      <c r="D4174" t="s">
        <v>3495</v>
      </c>
      <c r="E4174">
        <v>3</v>
      </c>
      <c r="F4174" t="s">
        <v>3525</v>
      </c>
      <c r="G4174" t="s">
        <v>3517</v>
      </c>
      <c r="H4174">
        <v>2.5</v>
      </c>
      <c r="I4174">
        <v>36.5</v>
      </c>
      <c r="J4174">
        <v>109.5</v>
      </c>
    </row>
    <row r="4175" spans="1:10" x14ac:dyDescent="0.25">
      <c r="A4175" t="s">
        <v>6700</v>
      </c>
      <c r="B4175" s="3">
        <v>45151</v>
      </c>
      <c r="C4175" t="s">
        <v>3106</v>
      </c>
      <c r="D4175" t="s">
        <v>3501</v>
      </c>
      <c r="E4175">
        <v>1</v>
      </c>
      <c r="F4175" t="s">
        <v>3525</v>
      </c>
      <c r="G4175" t="s">
        <v>3517</v>
      </c>
      <c r="H4175">
        <v>1</v>
      </c>
      <c r="I4175">
        <v>15.9</v>
      </c>
      <c r="J4175">
        <v>15.9</v>
      </c>
    </row>
    <row r="4176" spans="1:10" x14ac:dyDescent="0.25">
      <c r="A4176" t="s">
        <v>6701</v>
      </c>
      <c r="B4176" s="3">
        <v>44717</v>
      </c>
      <c r="C4176" t="s">
        <v>2840</v>
      </c>
      <c r="D4176" t="s">
        <v>3515</v>
      </c>
      <c r="E4176">
        <v>5</v>
      </c>
      <c r="F4176" t="s">
        <v>3526</v>
      </c>
      <c r="G4176" t="s">
        <v>3517</v>
      </c>
      <c r="H4176">
        <v>0.2</v>
      </c>
      <c r="I4176">
        <v>4.5</v>
      </c>
      <c r="J4176">
        <v>22.5</v>
      </c>
    </row>
    <row r="4177" spans="1:10" x14ac:dyDescent="0.25">
      <c r="A4177" t="s">
        <v>6702</v>
      </c>
      <c r="B4177" s="3">
        <v>45175</v>
      </c>
      <c r="C4177" t="s">
        <v>1517</v>
      </c>
      <c r="D4177" t="s">
        <v>3492</v>
      </c>
      <c r="E4177">
        <v>2</v>
      </c>
      <c r="F4177" t="s">
        <v>3525</v>
      </c>
      <c r="G4177" t="s">
        <v>3517</v>
      </c>
      <c r="H4177">
        <v>0.5</v>
      </c>
      <c r="I4177">
        <v>9.5</v>
      </c>
      <c r="J4177">
        <v>19</v>
      </c>
    </row>
    <row r="4178" spans="1:10" x14ac:dyDescent="0.25">
      <c r="A4178" t="s">
        <v>6703</v>
      </c>
      <c r="B4178" s="3">
        <v>44327</v>
      </c>
      <c r="C4178" t="s">
        <v>1265</v>
      </c>
      <c r="D4178" t="s">
        <v>3469</v>
      </c>
      <c r="E4178">
        <v>4</v>
      </c>
      <c r="F4178" t="s">
        <v>3524</v>
      </c>
      <c r="G4178" t="s">
        <v>3519</v>
      </c>
      <c r="H4178">
        <v>1</v>
      </c>
      <c r="I4178">
        <v>10</v>
      </c>
      <c r="J4178">
        <v>40</v>
      </c>
    </row>
    <row r="4179" spans="1:10" x14ac:dyDescent="0.25">
      <c r="A4179" t="s">
        <v>6704</v>
      </c>
      <c r="B4179" s="3">
        <v>44656</v>
      </c>
      <c r="C4179" t="s">
        <v>1290</v>
      </c>
      <c r="D4179" t="s">
        <v>3497</v>
      </c>
      <c r="E4179">
        <v>4</v>
      </c>
      <c r="F4179" t="s">
        <v>3526</v>
      </c>
      <c r="G4179" t="s">
        <v>3519</v>
      </c>
      <c r="H4179">
        <v>2.5</v>
      </c>
      <c r="I4179">
        <v>31.6</v>
      </c>
      <c r="J4179">
        <v>126.4</v>
      </c>
    </row>
    <row r="4180" spans="1:10" x14ac:dyDescent="0.25">
      <c r="A4180" t="s">
        <v>6705</v>
      </c>
      <c r="B4180" s="3">
        <v>44792</v>
      </c>
      <c r="C4180" t="s">
        <v>722</v>
      </c>
      <c r="D4180" t="s">
        <v>3475</v>
      </c>
      <c r="E4180">
        <v>3</v>
      </c>
      <c r="F4180" t="s">
        <v>3526</v>
      </c>
      <c r="G4180" t="s">
        <v>3518</v>
      </c>
      <c r="H4180">
        <v>0.5</v>
      </c>
      <c r="I4180">
        <v>7.3</v>
      </c>
      <c r="J4180">
        <v>21.9</v>
      </c>
    </row>
    <row r="4181" spans="1:10" x14ac:dyDescent="0.25">
      <c r="A4181" t="s">
        <v>6706</v>
      </c>
      <c r="B4181" s="3">
        <v>45624</v>
      </c>
      <c r="C4181" t="s">
        <v>3360</v>
      </c>
      <c r="D4181" t="s">
        <v>3475</v>
      </c>
      <c r="E4181">
        <v>3</v>
      </c>
      <c r="F4181" t="s">
        <v>3526</v>
      </c>
      <c r="G4181" t="s">
        <v>3518</v>
      </c>
      <c r="H4181">
        <v>0.5</v>
      </c>
      <c r="I4181">
        <v>7.3</v>
      </c>
      <c r="J4181">
        <v>21.9</v>
      </c>
    </row>
    <row r="4182" spans="1:10" x14ac:dyDescent="0.25">
      <c r="A4182" t="s">
        <v>6707</v>
      </c>
      <c r="B4182" s="3">
        <v>45244</v>
      </c>
      <c r="C4182" t="s">
        <v>1556</v>
      </c>
      <c r="D4182" t="s">
        <v>3504</v>
      </c>
      <c r="E4182">
        <v>3</v>
      </c>
      <c r="F4182" t="s">
        <v>3524</v>
      </c>
      <c r="G4182" t="s">
        <v>3517</v>
      </c>
      <c r="H4182">
        <v>0.5</v>
      </c>
      <c r="I4182">
        <v>7.2</v>
      </c>
      <c r="J4182">
        <v>21.6</v>
      </c>
    </row>
    <row r="4183" spans="1:10" x14ac:dyDescent="0.25">
      <c r="A4183" t="s">
        <v>6708</v>
      </c>
      <c r="B4183" s="3">
        <v>43511</v>
      </c>
      <c r="C4183" t="s">
        <v>2663</v>
      </c>
      <c r="D4183" t="s">
        <v>3513</v>
      </c>
      <c r="E4183">
        <v>3</v>
      </c>
      <c r="F4183" t="s">
        <v>3523</v>
      </c>
      <c r="G4183" t="s">
        <v>3517</v>
      </c>
      <c r="H4183">
        <v>2.5</v>
      </c>
      <c r="I4183">
        <v>29.8</v>
      </c>
      <c r="J4183">
        <v>89.4</v>
      </c>
    </row>
    <row r="4184" spans="1:10" x14ac:dyDescent="0.25">
      <c r="A4184" t="s">
        <v>6709</v>
      </c>
      <c r="B4184" s="3">
        <v>45007</v>
      </c>
      <c r="C4184" t="s">
        <v>3348</v>
      </c>
      <c r="D4184" t="s">
        <v>3484</v>
      </c>
      <c r="E4184">
        <v>5</v>
      </c>
      <c r="F4184" t="s">
        <v>3526</v>
      </c>
      <c r="G4184" t="s">
        <v>3518</v>
      </c>
      <c r="H4184">
        <v>0.2</v>
      </c>
      <c r="I4184">
        <v>3.6</v>
      </c>
      <c r="J4184">
        <v>18</v>
      </c>
    </row>
    <row r="4185" spans="1:10" x14ac:dyDescent="0.25">
      <c r="A4185" t="s">
        <v>6710</v>
      </c>
      <c r="B4185" s="3">
        <v>44534</v>
      </c>
      <c r="C4185" t="s">
        <v>1705</v>
      </c>
      <c r="D4185" t="s">
        <v>3484</v>
      </c>
      <c r="E4185">
        <v>1</v>
      </c>
      <c r="F4185" t="s">
        <v>3526</v>
      </c>
      <c r="G4185" t="s">
        <v>3518</v>
      </c>
      <c r="H4185">
        <v>0.2</v>
      </c>
      <c r="I4185">
        <v>3.6</v>
      </c>
      <c r="J4185">
        <v>3.6</v>
      </c>
    </row>
    <row r="4186" spans="1:10" x14ac:dyDescent="0.25">
      <c r="A4186" t="s">
        <v>6711</v>
      </c>
      <c r="B4186" s="3">
        <v>44578</v>
      </c>
      <c r="C4186" t="s">
        <v>899</v>
      </c>
      <c r="D4186" t="s">
        <v>3478</v>
      </c>
      <c r="E4186">
        <v>6</v>
      </c>
      <c r="F4186" t="s">
        <v>3523</v>
      </c>
      <c r="G4186" t="s">
        <v>3518</v>
      </c>
      <c r="H4186">
        <v>1</v>
      </c>
      <c r="I4186">
        <v>10</v>
      </c>
      <c r="J4186">
        <v>60</v>
      </c>
    </row>
    <row r="4187" spans="1:10" x14ac:dyDescent="0.25">
      <c r="A4187" t="s">
        <v>6712</v>
      </c>
      <c r="B4187" s="3">
        <v>45185</v>
      </c>
      <c r="C4187" t="s">
        <v>1547</v>
      </c>
      <c r="D4187" t="s">
        <v>3512</v>
      </c>
      <c r="E4187">
        <v>3</v>
      </c>
      <c r="F4187" t="s">
        <v>3525</v>
      </c>
      <c r="G4187" t="s">
        <v>3519</v>
      </c>
      <c r="H4187">
        <v>2.5</v>
      </c>
      <c r="I4187">
        <v>33.5</v>
      </c>
      <c r="J4187">
        <v>100.5</v>
      </c>
    </row>
    <row r="4188" spans="1:10" x14ac:dyDescent="0.25">
      <c r="A4188" t="s">
        <v>6713</v>
      </c>
      <c r="B4188" s="3">
        <v>44898</v>
      </c>
      <c r="C4188" t="s">
        <v>1333</v>
      </c>
      <c r="D4188" t="s">
        <v>3496</v>
      </c>
      <c r="E4188">
        <v>5</v>
      </c>
      <c r="F4188" t="s">
        <v>3525</v>
      </c>
      <c r="G4188" t="s">
        <v>3518</v>
      </c>
      <c r="H4188">
        <v>2.5</v>
      </c>
      <c r="I4188">
        <v>29.8</v>
      </c>
      <c r="J4188">
        <v>149</v>
      </c>
    </row>
    <row r="4189" spans="1:10" x14ac:dyDescent="0.25">
      <c r="A4189" t="s">
        <v>6714</v>
      </c>
      <c r="B4189" s="3">
        <v>45011</v>
      </c>
      <c r="C4189" t="s">
        <v>2696</v>
      </c>
      <c r="D4189" t="s">
        <v>3471</v>
      </c>
      <c r="E4189">
        <v>4</v>
      </c>
      <c r="F4189" t="s">
        <v>3523</v>
      </c>
      <c r="G4189" t="s">
        <v>3517</v>
      </c>
      <c r="H4189">
        <v>1</v>
      </c>
      <c r="I4189">
        <v>13</v>
      </c>
      <c r="J4189">
        <v>52</v>
      </c>
    </row>
    <row r="4190" spans="1:10" x14ac:dyDescent="0.25">
      <c r="A4190" t="s">
        <v>6715</v>
      </c>
      <c r="B4190" s="3">
        <v>45561</v>
      </c>
      <c r="C4190" t="s">
        <v>915</v>
      </c>
      <c r="D4190" t="s">
        <v>3469</v>
      </c>
      <c r="E4190">
        <v>2</v>
      </c>
      <c r="F4190" t="s">
        <v>3524</v>
      </c>
      <c r="G4190" t="s">
        <v>3519</v>
      </c>
      <c r="H4190">
        <v>1</v>
      </c>
      <c r="I4190">
        <v>10</v>
      </c>
      <c r="J4190">
        <v>20</v>
      </c>
    </row>
    <row r="4191" spans="1:10" x14ac:dyDescent="0.25">
      <c r="A4191" t="s">
        <v>6716</v>
      </c>
      <c r="B4191" s="3">
        <v>43934</v>
      </c>
      <c r="C4191" t="s">
        <v>3184</v>
      </c>
      <c r="D4191" t="s">
        <v>3510</v>
      </c>
      <c r="E4191">
        <v>4</v>
      </c>
      <c r="F4191" t="s">
        <v>3524</v>
      </c>
      <c r="G4191" t="s">
        <v>3517</v>
      </c>
      <c r="H4191">
        <v>1</v>
      </c>
      <c r="I4191">
        <v>12</v>
      </c>
      <c r="J4191">
        <v>48</v>
      </c>
    </row>
    <row r="4192" spans="1:10" x14ac:dyDescent="0.25">
      <c r="A4192" t="s">
        <v>6717</v>
      </c>
      <c r="B4192" s="3">
        <v>44029</v>
      </c>
      <c r="C4192" t="s">
        <v>1708</v>
      </c>
      <c r="D4192" t="s">
        <v>3516</v>
      </c>
      <c r="E4192">
        <v>4</v>
      </c>
      <c r="F4192" t="s">
        <v>3526</v>
      </c>
      <c r="G4192" t="s">
        <v>3518</v>
      </c>
      <c r="H4192">
        <v>2.5</v>
      </c>
      <c r="I4192">
        <v>27.9</v>
      </c>
      <c r="J4192">
        <v>111.6</v>
      </c>
    </row>
    <row r="4193" spans="1:10" x14ac:dyDescent="0.25">
      <c r="A4193" t="s">
        <v>6718</v>
      </c>
      <c r="B4193" s="3">
        <v>43756</v>
      </c>
      <c r="C4193" t="s">
        <v>1175</v>
      </c>
      <c r="D4193" t="s">
        <v>3496</v>
      </c>
      <c r="E4193">
        <v>4</v>
      </c>
      <c r="F4193" t="s">
        <v>3525</v>
      </c>
      <c r="G4193" t="s">
        <v>3518</v>
      </c>
      <c r="H4193">
        <v>2.5</v>
      </c>
      <c r="I4193">
        <v>29.8</v>
      </c>
      <c r="J4193">
        <v>119.2</v>
      </c>
    </row>
    <row r="4194" spans="1:10" x14ac:dyDescent="0.25">
      <c r="A4194" t="s">
        <v>6719</v>
      </c>
      <c r="B4194" s="3">
        <v>45019</v>
      </c>
      <c r="C4194" t="s">
        <v>1178</v>
      </c>
      <c r="D4194" t="s">
        <v>3510</v>
      </c>
      <c r="E4194">
        <v>2</v>
      </c>
      <c r="F4194" t="s">
        <v>3524</v>
      </c>
      <c r="G4194" t="s">
        <v>3517</v>
      </c>
      <c r="H4194">
        <v>1</v>
      </c>
      <c r="I4194">
        <v>12</v>
      </c>
      <c r="J4194">
        <v>24</v>
      </c>
    </row>
    <row r="4195" spans="1:10" x14ac:dyDescent="0.25">
      <c r="A4195" t="s">
        <v>6720</v>
      </c>
      <c r="B4195" s="3">
        <v>45116</v>
      </c>
      <c r="C4195" t="s">
        <v>1312</v>
      </c>
      <c r="D4195" t="s">
        <v>3508</v>
      </c>
      <c r="E4195">
        <v>2</v>
      </c>
      <c r="F4195" t="s">
        <v>3524</v>
      </c>
      <c r="G4195" t="s">
        <v>3518</v>
      </c>
      <c r="H4195">
        <v>1</v>
      </c>
      <c r="I4195">
        <v>9</v>
      </c>
      <c r="J4195">
        <v>18</v>
      </c>
    </row>
    <row r="4196" spans="1:10" x14ac:dyDescent="0.25">
      <c r="A4196" t="s">
        <v>6721</v>
      </c>
      <c r="B4196" s="3">
        <v>45256</v>
      </c>
      <c r="C4196" t="s">
        <v>734</v>
      </c>
      <c r="D4196" t="s">
        <v>3477</v>
      </c>
      <c r="E4196">
        <v>4</v>
      </c>
      <c r="F4196" t="s">
        <v>3524</v>
      </c>
      <c r="G4196" t="s">
        <v>3519</v>
      </c>
      <c r="H4196">
        <v>0.5</v>
      </c>
      <c r="I4196">
        <v>6</v>
      </c>
      <c r="J4196">
        <v>24</v>
      </c>
    </row>
    <row r="4197" spans="1:10" x14ac:dyDescent="0.25">
      <c r="A4197" t="s">
        <v>6722</v>
      </c>
      <c r="B4197" s="3">
        <v>45427</v>
      </c>
      <c r="C4197" t="s">
        <v>710</v>
      </c>
      <c r="D4197" t="s">
        <v>3484</v>
      </c>
      <c r="E4197">
        <v>6</v>
      </c>
      <c r="F4197" t="s">
        <v>3526</v>
      </c>
      <c r="G4197" t="s">
        <v>3518</v>
      </c>
      <c r="H4197">
        <v>0.2</v>
      </c>
      <c r="I4197">
        <v>3.6</v>
      </c>
      <c r="J4197">
        <v>21.6</v>
      </c>
    </row>
    <row r="4198" spans="1:10" x14ac:dyDescent="0.25">
      <c r="A4198" t="s">
        <v>6723</v>
      </c>
      <c r="B4198" s="3">
        <v>45463</v>
      </c>
      <c r="C4198" t="s">
        <v>1278</v>
      </c>
      <c r="D4198" t="s">
        <v>3503</v>
      </c>
      <c r="E4198">
        <v>2</v>
      </c>
      <c r="F4198" t="s">
        <v>3524</v>
      </c>
      <c r="G4198" t="s">
        <v>3518</v>
      </c>
      <c r="H4198">
        <v>0.5</v>
      </c>
      <c r="I4198">
        <v>5.4</v>
      </c>
      <c r="J4198">
        <v>10.8</v>
      </c>
    </row>
    <row r="4199" spans="1:10" x14ac:dyDescent="0.25">
      <c r="A4199" t="s">
        <v>6724</v>
      </c>
      <c r="B4199" s="3">
        <v>45445</v>
      </c>
      <c r="C4199" t="s">
        <v>2840</v>
      </c>
      <c r="D4199" t="s">
        <v>3475</v>
      </c>
      <c r="E4199">
        <v>2</v>
      </c>
      <c r="F4199" t="s">
        <v>3526</v>
      </c>
      <c r="G4199" t="s">
        <v>3518</v>
      </c>
      <c r="H4199">
        <v>0.5</v>
      </c>
      <c r="I4199">
        <v>7.3</v>
      </c>
      <c r="J4199">
        <v>14.6</v>
      </c>
    </row>
    <row r="4200" spans="1:10" x14ac:dyDescent="0.25">
      <c r="A4200" t="s">
        <v>6725</v>
      </c>
      <c r="B4200" s="3">
        <v>45344</v>
      </c>
      <c r="C4200" t="s">
        <v>956</v>
      </c>
      <c r="D4200" t="s">
        <v>3494</v>
      </c>
      <c r="E4200">
        <v>2</v>
      </c>
      <c r="F4200" t="s">
        <v>3524</v>
      </c>
      <c r="G4200" t="s">
        <v>3518</v>
      </c>
      <c r="H4200">
        <v>0.2</v>
      </c>
      <c r="I4200">
        <v>2.7</v>
      </c>
      <c r="J4200">
        <v>5.4</v>
      </c>
    </row>
    <row r="4201" spans="1:10" x14ac:dyDescent="0.25">
      <c r="A4201" t="s">
        <v>6726</v>
      </c>
      <c r="B4201" s="3">
        <v>45233</v>
      </c>
      <c r="C4201" t="s">
        <v>1330</v>
      </c>
      <c r="D4201" t="s">
        <v>3480</v>
      </c>
      <c r="E4201">
        <v>2</v>
      </c>
      <c r="F4201" t="s">
        <v>3524</v>
      </c>
      <c r="G4201" t="s">
        <v>3518</v>
      </c>
      <c r="H4201">
        <v>2.5</v>
      </c>
      <c r="I4201">
        <v>20.6</v>
      </c>
      <c r="J4201">
        <v>41.2</v>
      </c>
    </row>
    <row r="4202" spans="1:10" x14ac:dyDescent="0.25">
      <c r="A4202" t="s">
        <v>6727</v>
      </c>
      <c r="B4202" s="3">
        <v>44808</v>
      </c>
      <c r="C4202" t="s">
        <v>1121</v>
      </c>
      <c r="D4202" t="s">
        <v>3493</v>
      </c>
      <c r="E4202">
        <v>5</v>
      </c>
      <c r="F4202" t="s">
        <v>3525</v>
      </c>
      <c r="G4202" t="s">
        <v>3519</v>
      </c>
      <c r="H4202">
        <v>1</v>
      </c>
      <c r="I4202">
        <v>14.6</v>
      </c>
      <c r="J4202">
        <v>73</v>
      </c>
    </row>
    <row r="4203" spans="1:10" x14ac:dyDescent="0.25">
      <c r="A4203" t="s">
        <v>6728</v>
      </c>
      <c r="B4203" s="3">
        <v>44783</v>
      </c>
      <c r="C4203" t="s">
        <v>2933</v>
      </c>
      <c r="D4203" t="s">
        <v>3492</v>
      </c>
      <c r="E4203">
        <v>1</v>
      </c>
      <c r="F4203" t="s">
        <v>3525</v>
      </c>
      <c r="G4203" t="s">
        <v>3517</v>
      </c>
      <c r="H4203">
        <v>0.5</v>
      </c>
      <c r="I4203">
        <v>9.5</v>
      </c>
      <c r="J4203">
        <v>9.5</v>
      </c>
    </row>
    <row r="4204" spans="1:10" x14ac:dyDescent="0.25">
      <c r="A4204" t="s">
        <v>6729</v>
      </c>
      <c r="B4204" s="3">
        <v>45391</v>
      </c>
      <c r="C4204" t="s">
        <v>2612</v>
      </c>
      <c r="D4204" t="s">
        <v>3504</v>
      </c>
      <c r="E4204">
        <v>3</v>
      </c>
      <c r="F4204" t="s">
        <v>3524</v>
      </c>
      <c r="G4204" t="s">
        <v>3517</v>
      </c>
      <c r="H4204">
        <v>0.5</v>
      </c>
      <c r="I4204">
        <v>7.2</v>
      </c>
      <c r="J4204">
        <v>21.6</v>
      </c>
    </row>
    <row r="4205" spans="1:10" x14ac:dyDescent="0.25">
      <c r="A4205" t="s">
        <v>6730</v>
      </c>
      <c r="B4205" s="3">
        <v>45613</v>
      </c>
      <c r="C4205" t="s">
        <v>1702</v>
      </c>
      <c r="D4205" t="s">
        <v>3490</v>
      </c>
      <c r="E4205">
        <v>4</v>
      </c>
      <c r="F4205" t="s">
        <v>3525</v>
      </c>
      <c r="G4205" t="s">
        <v>3519</v>
      </c>
      <c r="H4205">
        <v>0.2</v>
      </c>
      <c r="I4205">
        <v>4.4000000000000004</v>
      </c>
      <c r="J4205">
        <v>17.600000000000001</v>
      </c>
    </row>
    <row r="4206" spans="1:10" x14ac:dyDescent="0.25">
      <c r="A4206" t="s">
        <v>6731</v>
      </c>
      <c r="B4206" s="3">
        <v>43799</v>
      </c>
      <c r="C4206" t="s">
        <v>2786</v>
      </c>
      <c r="D4206" t="s">
        <v>3484</v>
      </c>
      <c r="E4206">
        <v>2</v>
      </c>
      <c r="F4206" t="s">
        <v>3526</v>
      </c>
      <c r="G4206" t="s">
        <v>3518</v>
      </c>
      <c r="H4206">
        <v>0.2</v>
      </c>
      <c r="I4206">
        <v>3.6</v>
      </c>
      <c r="J4206">
        <v>7.2</v>
      </c>
    </row>
    <row r="4207" spans="1:10" x14ac:dyDescent="0.25">
      <c r="A4207" t="s">
        <v>6732</v>
      </c>
      <c r="B4207" s="3">
        <v>43792</v>
      </c>
      <c r="C4207" t="s">
        <v>716</v>
      </c>
      <c r="D4207" t="s">
        <v>3498</v>
      </c>
      <c r="E4207">
        <v>6</v>
      </c>
      <c r="F4207" t="s">
        <v>3523</v>
      </c>
      <c r="G4207" t="s">
        <v>3517</v>
      </c>
      <c r="H4207">
        <v>0.2</v>
      </c>
      <c r="I4207">
        <v>3.9</v>
      </c>
      <c r="J4207">
        <v>23.4</v>
      </c>
    </row>
    <row r="4208" spans="1:10" x14ac:dyDescent="0.25">
      <c r="A4208" t="s">
        <v>6733</v>
      </c>
      <c r="B4208" s="3">
        <v>45122</v>
      </c>
      <c r="C4208" t="s">
        <v>2221</v>
      </c>
      <c r="D4208" t="s">
        <v>3505</v>
      </c>
      <c r="E4208">
        <v>1</v>
      </c>
      <c r="F4208" t="s">
        <v>3524</v>
      </c>
      <c r="G4208" t="s">
        <v>3519</v>
      </c>
      <c r="H4208">
        <v>0.2</v>
      </c>
      <c r="I4208">
        <v>3</v>
      </c>
      <c r="J4208">
        <v>3</v>
      </c>
    </row>
    <row r="4209" spans="1:10" x14ac:dyDescent="0.25">
      <c r="A4209" t="s">
        <v>6734</v>
      </c>
      <c r="B4209" s="3">
        <v>44416</v>
      </c>
      <c r="C4209" t="s">
        <v>1199</v>
      </c>
      <c r="D4209" t="s">
        <v>3508</v>
      </c>
      <c r="E4209">
        <v>2</v>
      </c>
      <c r="F4209" t="s">
        <v>3524</v>
      </c>
      <c r="G4209" t="s">
        <v>3518</v>
      </c>
      <c r="H4209">
        <v>1</v>
      </c>
      <c r="I4209">
        <v>9</v>
      </c>
      <c r="J4209">
        <v>18</v>
      </c>
    </row>
    <row r="4210" spans="1:10" x14ac:dyDescent="0.25">
      <c r="A4210" t="s">
        <v>6735</v>
      </c>
      <c r="B4210" s="3">
        <v>45147</v>
      </c>
      <c r="C4210" t="s">
        <v>1160</v>
      </c>
      <c r="D4210" t="s">
        <v>3508</v>
      </c>
      <c r="E4210">
        <v>5</v>
      </c>
      <c r="F4210" t="s">
        <v>3524</v>
      </c>
      <c r="G4210" t="s">
        <v>3518</v>
      </c>
      <c r="H4210">
        <v>1</v>
      </c>
      <c r="I4210">
        <v>9</v>
      </c>
      <c r="J4210">
        <v>45</v>
      </c>
    </row>
    <row r="4211" spans="1:10" x14ac:dyDescent="0.25">
      <c r="A4211" t="s">
        <v>6736</v>
      </c>
      <c r="B4211" s="3">
        <v>44868</v>
      </c>
      <c r="C4211" t="s">
        <v>2227</v>
      </c>
      <c r="D4211" t="s">
        <v>3510</v>
      </c>
      <c r="E4211">
        <v>6</v>
      </c>
      <c r="F4211" t="s">
        <v>3524</v>
      </c>
      <c r="G4211" t="s">
        <v>3517</v>
      </c>
      <c r="H4211">
        <v>1</v>
      </c>
      <c r="I4211">
        <v>12</v>
      </c>
      <c r="J4211">
        <v>72</v>
      </c>
    </row>
    <row r="4212" spans="1:10" x14ac:dyDescent="0.25">
      <c r="A4212" t="s">
        <v>6737</v>
      </c>
      <c r="B4212" s="3">
        <v>44783</v>
      </c>
      <c r="C4212" t="s">
        <v>2027</v>
      </c>
      <c r="D4212" t="s">
        <v>3507</v>
      </c>
      <c r="E4212">
        <v>4</v>
      </c>
      <c r="F4212" t="s">
        <v>3526</v>
      </c>
      <c r="G4212" t="s">
        <v>3517</v>
      </c>
      <c r="H4212">
        <v>0.5</v>
      </c>
      <c r="I4212">
        <v>8.9</v>
      </c>
      <c r="J4212">
        <v>35.6</v>
      </c>
    </row>
    <row r="4213" spans="1:10" x14ac:dyDescent="0.25">
      <c r="A4213" t="s">
        <v>6738</v>
      </c>
      <c r="B4213" s="3">
        <v>45255</v>
      </c>
      <c r="C4213" t="s">
        <v>1660</v>
      </c>
      <c r="D4213" t="s">
        <v>3489</v>
      </c>
      <c r="E4213">
        <v>5</v>
      </c>
      <c r="F4213" t="s">
        <v>3523</v>
      </c>
      <c r="G4213" t="s">
        <v>3518</v>
      </c>
      <c r="H4213">
        <v>0.5</v>
      </c>
      <c r="I4213">
        <v>6</v>
      </c>
      <c r="J4213">
        <v>30</v>
      </c>
    </row>
    <row r="4214" spans="1:10" x14ac:dyDescent="0.25">
      <c r="A4214" t="s">
        <v>6739</v>
      </c>
      <c r="B4214" s="3">
        <v>45118</v>
      </c>
      <c r="C4214" t="s">
        <v>691</v>
      </c>
      <c r="D4214" t="s">
        <v>3480</v>
      </c>
      <c r="E4214">
        <v>2</v>
      </c>
      <c r="F4214" t="s">
        <v>3524</v>
      </c>
      <c r="G4214" t="s">
        <v>3518</v>
      </c>
      <c r="H4214">
        <v>2.5</v>
      </c>
      <c r="I4214">
        <v>20.6</v>
      </c>
      <c r="J4214">
        <v>41.2</v>
      </c>
    </row>
    <row r="4215" spans="1:10" x14ac:dyDescent="0.25">
      <c r="A4215" t="s">
        <v>6740</v>
      </c>
      <c r="B4215" s="3">
        <v>44977</v>
      </c>
      <c r="C4215" t="s">
        <v>2503</v>
      </c>
      <c r="D4215" t="s">
        <v>3480</v>
      </c>
      <c r="E4215">
        <v>3</v>
      </c>
      <c r="F4215" t="s">
        <v>3524</v>
      </c>
      <c r="G4215" t="s">
        <v>3518</v>
      </c>
      <c r="H4215">
        <v>2.5</v>
      </c>
      <c r="I4215">
        <v>20.6</v>
      </c>
      <c r="J4215">
        <v>61.8</v>
      </c>
    </row>
    <row r="4216" spans="1:10" x14ac:dyDescent="0.25">
      <c r="A4216" t="s">
        <v>6741</v>
      </c>
      <c r="B4216" s="3">
        <v>44967</v>
      </c>
      <c r="C4216" t="s">
        <v>3237</v>
      </c>
      <c r="D4216" t="s">
        <v>3515</v>
      </c>
      <c r="E4216">
        <v>5</v>
      </c>
      <c r="F4216" t="s">
        <v>3526</v>
      </c>
      <c r="G4216" t="s">
        <v>3517</v>
      </c>
      <c r="H4216">
        <v>0.2</v>
      </c>
      <c r="I4216">
        <v>4.5</v>
      </c>
      <c r="J4216">
        <v>22.5</v>
      </c>
    </row>
    <row r="4217" spans="1:10" x14ac:dyDescent="0.25">
      <c r="A4217" t="s">
        <v>6742</v>
      </c>
      <c r="B4217" s="3">
        <v>44554</v>
      </c>
      <c r="C4217" t="s">
        <v>2939</v>
      </c>
      <c r="D4217" t="s">
        <v>3476</v>
      </c>
      <c r="E4217">
        <v>2</v>
      </c>
      <c r="F4217" t="s">
        <v>3525</v>
      </c>
      <c r="G4217" t="s">
        <v>3517</v>
      </c>
      <c r="H4217">
        <v>0.2</v>
      </c>
      <c r="I4217">
        <v>4.8</v>
      </c>
      <c r="J4217">
        <v>9.6</v>
      </c>
    </row>
    <row r="4218" spans="1:10" x14ac:dyDescent="0.25">
      <c r="A4218" t="s">
        <v>6743</v>
      </c>
      <c r="B4218" s="3">
        <v>43923</v>
      </c>
      <c r="C4218" t="s">
        <v>1369</v>
      </c>
      <c r="D4218" t="s">
        <v>3471</v>
      </c>
      <c r="E4218">
        <v>5</v>
      </c>
      <c r="F4218" t="s">
        <v>3523</v>
      </c>
      <c r="G4218" t="s">
        <v>3517</v>
      </c>
      <c r="H4218">
        <v>1</v>
      </c>
      <c r="I4218">
        <v>13</v>
      </c>
      <c r="J4218">
        <v>65</v>
      </c>
    </row>
    <row r="4219" spans="1:10" x14ac:dyDescent="0.25">
      <c r="A4219" t="s">
        <v>6744</v>
      </c>
      <c r="B4219" s="3">
        <v>44242</v>
      </c>
      <c r="C4219" t="s">
        <v>2918</v>
      </c>
      <c r="D4219" t="s">
        <v>3478</v>
      </c>
      <c r="E4219">
        <v>2</v>
      </c>
      <c r="F4219" t="s">
        <v>3523</v>
      </c>
      <c r="G4219" t="s">
        <v>3518</v>
      </c>
      <c r="H4219">
        <v>1</v>
      </c>
      <c r="I4219">
        <v>10</v>
      </c>
      <c r="J4219">
        <v>20</v>
      </c>
    </row>
    <row r="4220" spans="1:10" x14ac:dyDescent="0.25">
      <c r="A4220" t="s">
        <v>6745</v>
      </c>
      <c r="B4220" s="3">
        <v>44857</v>
      </c>
      <c r="C4220" t="s">
        <v>2766</v>
      </c>
      <c r="D4220" t="s">
        <v>3490</v>
      </c>
      <c r="E4220">
        <v>1</v>
      </c>
      <c r="F4220" t="s">
        <v>3525</v>
      </c>
      <c r="G4220" t="s">
        <v>3519</v>
      </c>
      <c r="H4220">
        <v>0.2</v>
      </c>
      <c r="I4220">
        <v>4.4000000000000004</v>
      </c>
      <c r="J4220">
        <v>4.4000000000000004</v>
      </c>
    </row>
    <row r="4221" spans="1:10" x14ac:dyDescent="0.25">
      <c r="A4221" t="s">
        <v>6746</v>
      </c>
      <c r="B4221" s="3">
        <v>44947</v>
      </c>
      <c r="C4221" t="s">
        <v>3193</v>
      </c>
      <c r="D4221" t="s">
        <v>3491</v>
      </c>
      <c r="E4221">
        <v>3</v>
      </c>
      <c r="F4221" t="s">
        <v>3525</v>
      </c>
      <c r="G4221" t="s">
        <v>3519</v>
      </c>
      <c r="H4221">
        <v>0.5</v>
      </c>
      <c r="I4221">
        <v>8.6999999999999993</v>
      </c>
      <c r="J4221">
        <v>26.1</v>
      </c>
    </row>
    <row r="4222" spans="1:10" x14ac:dyDescent="0.25">
      <c r="A4222" t="s">
        <v>6747</v>
      </c>
      <c r="B4222" s="3">
        <v>45021</v>
      </c>
      <c r="C4222" t="s">
        <v>2107</v>
      </c>
      <c r="D4222" t="s">
        <v>3498</v>
      </c>
      <c r="E4222">
        <v>2</v>
      </c>
      <c r="F4222" t="s">
        <v>3523</v>
      </c>
      <c r="G4222" t="s">
        <v>3517</v>
      </c>
      <c r="H4222">
        <v>0.2</v>
      </c>
      <c r="I4222">
        <v>3.9</v>
      </c>
      <c r="J4222">
        <v>7.8</v>
      </c>
    </row>
    <row r="4223" spans="1:10" x14ac:dyDescent="0.25">
      <c r="A4223" t="s">
        <v>6748</v>
      </c>
      <c r="B4223" s="3">
        <v>45034</v>
      </c>
      <c r="C4223" t="s">
        <v>3199</v>
      </c>
      <c r="D4223" t="s">
        <v>3510</v>
      </c>
      <c r="E4223">
        <v>2</v>
      </c>
      <c r="F4223" t="s">
        <v>3524</v>
      </c>
      <c r="G4223" t="s">
        <v>3517</v>
      </c>
      <c r="H4223">
        <v>1</v>
      </c>
      <c r="I4223">
        <v>12</v>
      </c>
      <c r="J4223">
        <v>24</v>
      </c>
    </row>
    <row r="4224" spans="1:10" x14ac:dyDescent="0.25">
      <c r="A4224" t="s">
        <v>6749</v>
      </c>
      <c r="B4224" s="3">
        <v>45514</v>
      </c>
      <c r="C4224" t="s">
        <v>2236</v>
      </c>
      <c r="D4224" t="s">
        <v>3481</v>
      </c>
      <c r="E4224">
        <v>6</v>
      </c>
      <c r="F4224" t="s">
        <v>3525</v>
      </c>
      <c r="G4224" t="s">
        <v>3518</v>
      </c>
      <c r="H4224">
        <v>0.2</v>
      </c>
      <c r="I4224">
        <v>3.9</v>
      </c>
      <c r="J4224">
        <v>23.4</v>
      </c>
    </row>
    <row r="4225" spans="1:10" x14ac:dyDescent="0.25">
      <c r="A4225" t="s">
        <v>6750</v>
      </c>
      <c r="B4225" s="3">
        <v>45123</v>
      </c>
      <c r="C4225" t="s">
        <v>1848</v>
      </c>
      <c r="D4225" t="s">
        <v>3500</v>
      </c>
      <c r="E4225">
        <v>2</v>
      </c>
      <c r="F4225" t="s">
        <v>3525</v>
      </c>
      <c r="G4225" t="s">
        <v>3518</v>
      </c>
      <c r="H4225">
        <v>0.5</v>
      </c>
      <c r="I4225">
        <v>7.8</v>
      </c>
      <c r="J4225">
        <v>15.6</v>
      </c>
    </row>
    <row r="4226" spans="1:10" x14ac:dyDescent="0.25">
      <c r="A4226" t="s">
        <v>6751</v>
      </c>
      <c r="B4226" s="3">
        <v>44661</v>
      </c>
      <c r="C4226" t="s">
        <v>3315</v>
      </c>
      <c r="D4226" t="s">
        <v>3492</v>
      </c>
      <c r="E4226">
        <v>4</v>
      </c>
      <c r="F4226" t="s">
        <v>3525</v>
      </c>
      <c r="G4226" t="s">
        <v>3517</v>
      </c>
      <c r="H4226">
        <v>0.5</v>
      </c>
      <c r="I4226">
        <v>9.5</v>
      </c>
      <c r="J4226">
        <v>38</v>
      </c>
    </row>
    <row r="4227" spans="1:10" x14ac:dyDescent="0.25">
      <c r="A4227" t="s">
        <v>6752</v>
      </c>
      <c r="B4227" s="3">
        <v>44615</v>
      </c>
      <c r="C4227" t="s">
        <v>1746</v>
      </c>
      <c r="D4227" t="s">
        <v>3498</v>
      </c>
      <c r="E4227">
        <v>2</v>
      </c>
      <c r="F4227" t="s">
        <v>3523</v>
      </c>
      <c r="G4227" t="s">
        <v>3517</v>
      </c>
      <c r="H4227">
        <v>0.2</v>
      </c>
      <c r="I4227">
        <v>3.9</v>
      </c>
      <c r="J4227">
        <v>7.8</v>
      </c>
    </row>
    <row r="4228" spans="1:10" x14ac:dyDescent="0.25">
      <c r="A4228" t="s">
        <v>6753</v>
      </c>
      <c r="B4228" s="3">
        <v>44727</v>
      </c>
      <c r="C4228" t="s">
        <v>2888</v>
      </c>
      <c r="D4228" t="s">
        <v>3471</v>
      </c>
      <c r="E4228">
        <v>1</v>
      </c>
      <c r="F4228" t="s">
        <v>3523</v>
      </c>
      <c r="G4228" t="s">
        <v>3517</v>
      </c>
      <c r="H4228">
        <v>1</v>
      </c>
      <c r="I4228">
        <v>13</v>
      </c>
      <c r="J4228">
        <v>13</v>
      </c>
    </row>
    <row r="4229" spans="1:10" x14ac:dyDescent="0.25">
      <c r="A4229" t="s">
        <v>6754</v>
      </c>
      <c r="B4229" s="3">
        <v>43932</v>
      </c>
      <c r="C4229" t="s">
        <v>1372</v>
      </c>
      <c r="D4229" t="s">
        <v>3493</v>
      </c>
      <c r="E4229">
        <v>4</v>
      </c>
      <c r="F4229" t="s">
        <v>3525</v>
      </c>
      <c r="G4229" t="s">
        <v>3519</v>
      </c>
      <c r="H4229">
        <v>1</v>
      </c>
      <c r="I4229">
        <v>14.6</v>
      </c>
      <c r="J4229">
        <v>58.4</v>
      </c>
    </row>
    <row r="4230" spans="1:10" x14ac:dyDescent="0.25">
      <c r="A4230" t="s">
        <v>6755</v>
      </c>
      <c r="B4230" s="3">
        <v>45455</v>
      </c>
      <c r="C4230" t="s">
        <v>1532</v>
      </c>
      <c r="D4230" t="s">
        <v>3479</v>
      </c>
      <c r="E4230">
        <v>4</v>
      </c>
      <c r="F4230" t="s">
        <v>3526</v>
      </c>
      <c r="G4230" t="s">
        <v>3517</v>
      </c>
      <c r="H4230">
        <v>2.5</v>
      </c>
      <c r="I4230">
        <v>34.200000000000003</v>
      </c>
      <c r="J4230">
        <v>136.80000000000001</v>
      </c>
    </row>
    <row r="4231" spans="1:10" x14ac:dyDescent="0.25">
      <c r="A4231" t="s">
        <v>6756</v>
      </c>
      <c r="B4231" s="3">
        <v>43710</v>
      </c>
      <c r="C4231" t="s">
        <v>617</v>
      </c>
      <c r="D4231" t="s">
        <v>3502</v>
      </c>
      <c r="E4231">
        <v>4</v>
      </c>
      <c r="F4231" t="s">
        <v>3526</v>
      </c>
      <c r="G4231" t="s">
        <v>3517</v>
      </c>
      <c r="H4231">
        <v>1</v>
      </c>
      <c r="I4231">
        <v>14.9</v>
      </c>
      <c r="J4231">
        <v>59.6</v>
      </c>
    </row>
    <row r="4232" spans="1:10" x14ac:dyDescent="0.25">
      <c r="A4232" t="s">
        <v>6757</v>
      </c>
      <c r="B4232" s="3">
        <v>43983</v>
      </c>
      <c r="C4232" t="s">
        <v>1211</v>
      </c>
      <c r="D4232" t="s">
        <v>3485</v>
      </c>
      <c r="E4232">
        <v>6</v>
      </c>
      <c r="F4232" t="s">
        <v>3523</v>
      </c>
      <c r="G4232" t="s">
        <v>3518</v>
      </c>
      <c r="H4232">
        <v>0.2</v>
      </c>
      <c r="I4232">
        <v>3</v>
      </c>
      <c r="J4232">
        <v>18</v>
      </c>
    </row>
    <row r="4233" spans="1:10" x14ac:dyDescent="0.25">
      <c r="A4233" t="s">
        <v>6758</v>
      </c>
      <c r="B4233" s="3">
        <v>44154</v>
      </c>
      <c r="C4233" t="s">
        <v>3030</v>
      </c>
      <c r="D4233" t="s">
        <v>3495</v>
      </c>
      <c r="E4233">
        <v>2</v>
      </c>
      <c r="F4233" t="s">
        <v>3525</v>
      </c>
      <c r="G4233" t="s">
        <v>3517</v>
      </c>
      <c r="H4233">
        <v>2.5</v>
      </c>
      <c r="I4233">
        <v>36.5</v>
      </c>
      <c r="J4233">
        <v>73</v>
      </c>
    </row>
    <row r="4234" spans="1:10" x14ac:dyDescent="0.25">
      <c r="A4234" t="s">
        <v>6759</v>
      </c>
      <c r="B4234" s="3">
        <v>45059</v>
      </c>
      <c r="C4234" t="s">
        <v>1758</v>
      </c>
      <c r="D4234" t="s">
        <v>3484</v>
      </c>
      <c r="E4234">
        <v>6</v>
      </c>
      <c r="F4234" t="s">
        <v>3526</v>
      </c>
      <c r="G4234" t="s">
        <v>3518</v>
      </c>
      <c r="H4234">
        <v>0.2</v>
      </c>
      <c r="I4234">
        <v>3.6</v>
      </c>
      <c r="J4234">
        <v>21.6</v>
      </c>
    </row>
    <row r="4235" spans="1:10" x14ac:dyDescent="0.25">
      <c r="A4235" t="s">
        <v>6760</v>
      </c>
      <c r="B4235" s="3">
        <v>45598</v>
      </c>
      <c r="C4235" t="s">
        <v>863</v>
      </c>
      <c r="D4235" t="s">
        <v>3494</v>
      </c>
      <c r="E4235">
        <v>3</v>
      </c>
      <c r="F4235" t="s">
        <v>3524</v>
      </c>
      <c r="G4235" t="s">
        <v>3518</v>
      </c>
      <c r="H4235">
        <v>0.2</v>
      </c>
      <c r="I4235">
        <v>2.7</v>
      </c>
      <c r="J4235">
        <v>8.1</v>
      </c>
    </row>
    <row r="4236" spans="1:10" x14ac:dyDescent="0.25">
      <c r="A4236" t="s">
        <v>6761</v>
      </c>
      <c r="B4236" s="3">
        <v>45379</v>
      </c>
      <c r="C4236" t="s">
        <v>2198</v>
      </c>
      <c r="D4236" t="s">
        <v>3502</v>
      </c>
      <c r="E4236">
        <v>3</v>
      </c>
      <c r="F4236" t="s">
        <v>3526</v>
      </c>
      <c r="G4236" t="s">
        <v>3517</v>
      </c>
      <c r="H4236">
        <v>1</v>
      </c>
      <c r="I4236">
        <v>14.9</v>
      </c>
      <c r="J4236">
        <v>44.7</v>
      </c>
    </row>
    <row r="4237" spans="1:10" x14ac:dyDescent="0.25">
      <c r="A4237" t="s">
        <v>6762</v>
      </c>
      <c r="B4237" s="3">
        <v>44533</v>
      </c>
      <c r="C4237" t="s">
        <v>835</v>
      </c>
      <c r="D4237" t="s">
        <v>3484</v>
      </c>
      <c r="E4237">
        <v>1</v>
      </c>
      <c r="F4237" t="s">
        <v>3526</v>
      </c>
      <c r="G4237" t="s">
        <v>3518</v>
      </c>
      <c r="H4237">
        <v>0.2</v>
      </c>
      <c r="I4237">
        <v>3.6</v>
      </c>
      <c r="J4237">
        <v>3.6</v>
      </c>
    </row>
    <row r="4238" spans="1:10" x14ac:dyDescent="0.25">
      <c r="A4238" t="s">
        <v>6763</v>
      </c>
      <c r="B4238" s="3">
        <v>45303</v>
      </c>
      <c r="C4238" t="s">
        <v>1924</v>
      </c>
      <c r="D4238" t="s">
        <v>3474</v>
      </c>
      <c r="E4238">
        <v>2</v>
      </c>
      <c r="F4238" t="s">
        <v>3525</v>
      </c>
      <c r="G4238" t="s">
        <v>3518</v>
      </c>
      <c r="H4238">
        <v>1</v>
      </c>
      <c r="I4238">
        <v>13</v>
      </c>
      <c r="J4238">
        <v>26</v>
      </c>
    </row>
    <row r="4239" spans="1:10" x14ac:dyDescent="0.25">
      <c r="A4239" t="s">
        <v>6764</v>
      </c>
      <c r="B4239" s="3">
        <v>43531</v>
      </c>
      <c r="C4239" t="s">
        <v>1296</v>
      </c>
      <c r="D4239" t="s">
        <v>3499</v>
      </c>
      <c r="E4239">
        <v>2</v>
      </c>
      <c r="F4239" t="s">
        <v>3523</v>
      </c>
      <c r="G4239" t="s">
        <v>3518</v>
      </c>
      <c r="H4239">
        <v>2.5</v>
      </c>
      <c r="I4239">
        <v>22.9</v>
      </c>
      <c r="J4239">
        <v>45.8</v>
      </c>
    </row>
    <row r="4240" spans="1:10" x14ac:dyDescent="0.25">
      <c r="A4240" t="s">
        <v>6765</v>
      </c>
      <c r="B4240" s="3">
        <v>44573</v>
      </c>
      <c r="C4240" t="s">
        <v>1012</v>
      </c>
      <c r="D4240" t="s">
        <v>3513</v>
      </c>
      <c r="E4240">
        <v>3</v>
      </c>
      <c r="F4240" t="s">
        <v>3523</v>
      </c>
      <c r="G4240" t="s">
        <v>3517</v>
      </c>
      <c r="H4240">
        <v>2.5</v>
      </c>
      <c r="I4240">
        <v>29.8</v>
      </c>
      <c r="J4240">
        <v>89.4</v>
      </c>
    </row>
    <row r="4241" spans="1:10" x14ac:dyDescent="0.25">
      <c r="A4241" t="s">
        <v>6766</v>
      </c>
      <c r="B4241" s="3">
        <v>45046</v>
      </c>
      <c r="C4241" t="s">
        <v>1387</v>
      </c>
      <c r="D4241" t="s">
        <v>3486</v>
      </c>
      <c r="E4241">
        <v>6</v>
      </c>
      <c r="F4241" t="s">
        <v>3523</v>
      </c>
      <c r="G4241" t="s">
        <v>3519</v>
      </c>
      <c r="H4241">
        <v>1</v>
      </c>
      <c r="I4241">
        <v>11.3</v>
      </c>
      <c r="J4241">
        <v>67.8</v>
      </c>
    </row>
    <row r="4242" spans="1:10" x14ac:dyDescent="0.25">
      <c r="A4242" t="s">
        <v>6767</v>
      </c>
      <c r="B4242" s="3">
        <v>44934</v>
      </c>
      <c r="C4242" t="s">
        <v>899</v>
      </c>
      <c r="D4242" t="s">
        <v>3516</v>
      </c>
      <c r="E4242">
        <v>3</v>
      </c>
      <c r="F4242" t="s">
        <v>3526</v>
      </c>
      <c r="G4242" t="s">
        <v>3518</v>
      </c>
      <c r="H4242">
        <v>2.5</v>
      </c>
      <c r="I4242">
        <v>27.9</v>
      </c>
      <c r="J4242">
        <v>83.7</v>
      </c>
    </row>
    <row r="4243" spans="1:10" x14ac:dyDescent="0.25">
      <c r="A4243" t="s">
        <v>6768</v>
      </c>
      <c r="B4243" s="3">
        <v>45415</v>
      </c>
      <c r="C4243" t="s">
        <v>1369</v>
      </c>
      <c r="D4243" t="s">
        <v>3469</v>
      </c>
      <c r="E4243">
        <v>4</v>
      </c>
      <c r="F4243" t="s">
        <v>3524</v>
      </c>
      <c r="G4243" t="s">
        <v>3519</v>
      </c>
      <c r="H4243">
        <v>1</v>
      </c>
      <c r="I4243">
        <v>10</v>
      </c>
      <c r="J4243">
        <v>40</v>
      </c>
    </row>
    <row r="4244" spans="1:10" x14ac:dyDescent="0.25">
      <c r="A4244" t="s">
        <v>6769</v>
      </c>
      <c r="B4244" s="3">
        <v>44118</v>
      </c>
      <c r="C4244" t="s">
        <v>2786</v>
      </c>
      <c r="D4244" t="s">
        <v>3491</v>
      </c>
      <c r="E4244">
        <v>3</v>
      </c>
      <c r="F4244" t="s">
        <v>3525</v>
      </c>
      <c r="G4244" t="s">
        <v>3519</v>
      </c>
      <c r="H4244">
        <v>0.5</v>
      </c>
      <c r="I4244">
        <v>8.6999999999999993</v>
      </c>
      <c r="J4244">
        <v>26.1</v>
      </c>
    </row>
    <row r="4245" spans="1:10" x14ac:dyDescent="0.25">
      <c r="A4245" t="s">
        <v>6770</v>
      </c>
      <c r="B4245" s="3">
        <v>44279</v>
      </c>
      <c r="C4245" t="s">
        <v>2257</v>
      </c>
      <c r="D4245" t="s">
        <v>3516</v>
      </c>
      <c r="E4245">
        <v>6</v>
      </c>
      <c r="F4245" t="s">
        <v>3526</v>
      </c>
      <c r="G4245" t="s">
        <v>3518</v>
      </c>
      <c r="H4245">
        <v>2.5</v>
      </c>
      <c r="I4245">
        <v>27.9</v>
      </c>
      <c r="J4245">
        <v>167.4</v>
      </c>
    </row>
    <row r="4246" spans="1:10" x14ac:dyDescent="0.25">
      <c r="A4246" t="s">
        <v>6771</v>
      </c>
      <c r="B4246" s="3">
        <v>43865</v>
      </c>
      <c r="C4246" t="s">
        <v>3166</v>
      </c>
      <c r="D4246" t="s">
        <v>3495</v>
      </c>
      <c r="E4246">
        <v>4</v>
      </c>
      <c r="F4246" t="s">
        <v>3525</v>
      </c>
      <c r="G4246" t="s">
        <v>3517</v>
      </c>
      <c r="H4246">
        <v>2.5</v>
      </c>
      <c r="I4246">
        <v>36.5</v>
      </c>
      <c r="J4246">
        <v>146</v>
      </c>
    </row>
    <row r="4247" spans="1:10" x14ac:dyDescent="0.25">
      <c r="A4247" t="s">
        <v>6772</v>
      </c>
      <c r="B4247" s="3">
        <v>44572</v>
      </c>
      <c r="C4247" t="s">
        <v>3348</v>
      </c>
      <c r="D4247" t="s">
        <v>3470</v>
      </c>
      <c r="E4247">
        <v>5</v>
      </c>
      <c r="F4247" t="s">
        <v>3526</v>
      </c>
      <c r="G4247" t="s">
        <v>3519</v>
      </c>
      <c r="H4247">
        <v>0.5</v>
      </c>
      <c r="I4247">
        <v>8.3000000000000007</v>
      </c>
      <c r="J4247">
        <v>41.5</v>
      </c>
    </row>
    <row r="4248" spans="1:10" x14ac:dyDescent="0.25">
      <c r="A4248" t="s">
        <v>6773</v>
      </c>
      <c r="B4248" s="3">
        <v>44687</v>
      </c>
      <c r="C4248" t="s">
        <v>778</v>
      </c>
      <c r="D4248" t="s">
        <v>3471</v>
      </c>
      <c r="E4248">
        <v>4</v>
      </c>
      <c r="F4248" t="s">
        <v>3523</v>
      </c>
      <c r="G4248" t="s">
        <v>3517</v>
      </c>
      <c r="H4248">
        <v>1</v>
      </c>
      <c r="I4248">
        <v>13</v>
      </c>
      <c r="J4248">
        <v>52</v>
      </c>
    </row>
    <row r="4249" spans="1:10" x14ac:dyDescent="0.25">
      <c r="A4249" t="s">
        <v>6774</v>
      </c>
      <c r="B4249" s="3">
        <v>44947</v>
      </c>
      <c r="C4249" t="s">
        <v>2557</v>
      </c>
      <c r="D4249" t="s">
        <v>3480</v>
      </c>
      <c r="E4249">
        <v>6</v>
      </c>
      <c r="F4249" t="s">
        <v>3524</v>
      </c>
      <c r="G4249" t="s">
        <v>3518</v>
      </c>
      <c r="H4249">
        <v>2.5</v>
      </c>
      <c r="I4249">
        <v>20.6</v>
      </c>
      <c r="J4249">
        <v>123.6</v>
      </c>
    </row>
    <row r="4250" spans="1:10" x14ac:dyDescent="0.25">
      <c r="A4250" t="s">
        <v>6775</v>
      </c>
      <c r="B4250" s="3">
        <v>45378</v>
      </c>
      <c r="C4250" t="s">
        <v>1878</v>
      </c>
      <c r="D4250" t="s">
        <v>3495</v>
      </c>
      <c r="E4250">
        <v>1</v>
      </c>
      <c r="F4250" t="s">
        <v>3525</v>
      </c>
      <c r="G4250" t="s">
        <v>3517</v>
      </c>
      <c r="H4250">
        <v>2.5</v>
      </c>
      <c r="I4250">
        <v>36.5</v>
      </c>
      <c r="J4250">
        <v>36.5</v>
      </c>
    </row>
    <row r="4251" spans="1:10" x14ac:dyDescent="0.25">
      <c r="A4251" t="s">
        <v>6776</v>
      </c>
      <c r="B4251" s="3">
        <v>45383</v>
      </c>
      <c r="C4251" t="s">
        <v>1547</v>
      </c>
      <c r="D4251" t="s">
        <v>3479</v>
      </c>
      <c r="E4251">
        <v>4</v>
      </c>
      <c r="F4251" t="s">
        <v>3526</v>
      </c>
      <c r="G4251" t="s">
        <v>3517</v>
      </c>
      <c r="H4251">
        <v>2.5</v>
      </c>
      <c r="I4251">
        <v>34.200000000000003</v>
      </c>
      <c r="J4251">
        <v>136.80000000000001</v>
      </c>
    </row>
    <row r="4252" spans="1:10" x14ac:dyDescent="0.25">
      <c r="A4252" t="s">
        <v>6777</v>
      </c>
      <c r="B4252" s="3">
        <v>45329</v>
      </c>
      <c r="C4252" t="s">
        <v>2372</v>
      </c>
      <c r="D4252" t="s">
        <v>3508</v>
      </c>
      <c r="E4252">
        <v>4</v>
      </c>
      <c r="F4252" t="s">
        <v>3524</v>
      </c>
      <c r="G4252" t="s">
        <v>3518</v>
      </c>
      <c r="H4252">
        <v>1</v>
      </c>
      <c r="I4252">
        <v>9</v>
      </c>
      <c r="J4252">
        <v>36</v>
      </c>
    </row>
    <row r="4253" spans="1:10" x14ac:dyDescent="0.25">
      <c r="A4253" t="s">
        <v>6778</v>
      </c>
      <c r="B4253" s="3">
        <v>44283</v>
      </c>
      <c r="C4253" t="s">
        <v>2663</v>
      </c>
      <c r="D4253" t="s">
        <v>3482</v>
      </c>
      <c r="E4253">
        <v>4</v>
      </c>
      <c r="F4253" t="s">
        <v>3524</v>
      </c>
      <c r="G4253" t="s">
        <v>3519</v>
      </c>
      <c r="H4253">
        <v>2.5</v>
      </c>
      <c r="I4253">
        <v>22.9</v>
      </c>
      <c r="J4253">
        <v>91.6</v>
      </c>
    </row>
    <row r="4254" spans="1:10" x14ac:dyDescent="0.25">
      <c r="A4254" t="s">
        <v>6779</v>
      </c>
      <c r="B4254" s="3">
        <v>43957</v>
      </c>
      <c r="C4254" t="s">
        <v>1911</v>
      </c>
      <c r="D4254" t="s">
        <v>3508</v>
      </c>
      <c r="E4254">
        <v>5</v>
      </c>
      <c r="F4254" t="s">
        <v>3524</v>
      </c>
      <c r="G4254" t="s">
        <v>3518</v>
      </c>
      <c r="H4254">
        <v>1</v>
      </c>
      <c r="I4254">
        <v>9</v>
      </c>
      <c r="J4254">
        <v>45</v>
      </c>
    </row>
    <row r="4255" spans="1:10" x14ac:dyDescent="0.25">
      <c r="A4255" t="s">
        <v>6780</v>
      </c>
      <c r="B4255" s="3">
        <v>45178</v>
      </c>
      <c r="C4255" t="s">
        <v>3455</v>
      </c>
      <c r="D4255" t="s">
        <v>3489</v>
      </c>
      <c r="E4255">
        <v>3</v>
      </c>
      <c r="F4255" t="s">
        <v>3523</v>
      </c>
      <c r="G4255" t="s">
        <v>3518</v>
      </c>
      <c r="H4255">
        <v>0.5</v>
      </c>
      <c r="I4255">
        <v>6</v>
      </c>
      <c r="J4255">
        <v>18</v>
      </c>
    </row>
    <row r="4256" spans="1:10" x14ac:dyDescent="0.25">
      <c r="A4256" t="s">
        <v>6781</v>
      </c>
      <c r="B4256" s="3">
        <v>44995</v>
      </c>
      <c r="C4256" t="s">
        <v>947</v>
      </c>
      <c r="D4256" t="s">
        <v>3483</v>
      </c>
      <c r="E4256">
        <v>2</v>
      </c>
      <c r="F4256" t="s">
        <v>3523</v>
      </c>
      <c r="G4256" t="s">
        <v>3519</v>
      </c>
      <c r="H4256">
        <v>0.2</v>
      </c>
      <c r="I4256">
        <v>3.4</v>
      </c>
      <c r="J4256">
        <v>6.8</v>
      </c>
    </row>
    <row r="4257" spans="1:10" x14ac:dyDescent="0.25">
      <c r="A4257" t="s">
        <v>6782</v>
      </c>
      <c r="B4257" s="3">
        <v>44669</v>
      </c>
      <c r="C4257" t="s">
        <v>1366</v>
      </c>
      <c r="D4257" t="s">
        <v>3482</v>
      </c>
      <c r="E4257">
        <v>6</v>
      </c>
      <c r="F4257" t="s">
        <v>3524</v>
      </c>
      <c r="G4257" t="s">
        <v>3519</v>
      </c>
      <c r="H4257">
        <v>2.5</v>
      </c>
      <c r="I4257">
        <v>22.9</v>
      </c>
      <c r="J4257">
        <v>137.4</v>
      </c>
    </row>
    <row r="4258" spans="1:10" x14ac:dyDescent="0.25">
      <c r="A4258" t="s">
        <v>6783</v>
      </c>
      <c r="B4258" s="3">
        <v>45463</v>
      </c>
      <c r="C4258" t="s">
        <v>1908</v>
      </c>
      <c r="D4258" t="s">
        <v>3491</v>
      </c>
      <c r="E4258">
        <v>2</v>
      </c>
      <c r="F4258" t="s">
        <v>3525</v>
      </c>
      <c r="G4258" t="s">
        <v>3519</v>
      </c>
      <c r="H4258">
        <v>0.5</v>
      </c>
      <c r="I4258">
        <v>8.6999999999999993</v>
      </c>
      <c r="J4258">
        <v>17.399999999999999</v>
      </c>
    </row>
    <row r="4259" spans="1:10" x14ac:dyDescent="0.25">
      <c r="A4259" t="s">
        <v>6784</v>
      </c>
      <c r="B4259" s="3">
        <v>45438</v>
      </c>
      <c r="C4259" t="s">
        <v>3411</v>
      </c>
      <c r="D4259" t="s">
        <v>3508</v>
      </c>
      <c r="E4259">
        <v>6</v>
      </c>
      <c r="F4259" t="s">
        <v>3524</v>
      </c>
      <c r="G4259" t="s">
        <v>3518</v>
      </c>
      <c r="H4259">
        <v>1</v>
      </c>
      <c r="I4259">
        <v>9</v>
      </c>
      <c r="J4259">
        <v>54</v>
      </c>
    </row>
    <row r="4260" spans="1:10" x14ac:dyDescent="0.25">
      <c r="A4260" t="s">
        <v>6785</v>
      </c>
      <c r="B4260" s="3">
        <v>44567</v>
      </c>
      <c r="C4260" t="s">
        <v>1278</v>
      </c>
      <c r="D4260" t="s">
        <v>3477</v>
      </c>
      <c r="E4260">
        <v>1</v>
      </c>
      <c r="F4260" t="s">
        <v>3524</v>
      </c>
      <c r="G4260" t="s">
        <v>3519</v>
      </c>
      <c r="H4260">
        <v>0.5</v>
      </c>
      <c r="I4260">
        <v>6</v>
      </c>
      <c r="J4260">
        <v>6</v>
      </c>
    </row>
    <row r="4261" spans="1:10" x14ac:dyDescent="0.25">
      <c r="A4261" t="s">
        <v>6786</v>
      </c>
      <c r="B4261" s="3">
        <v>44493</v>
      </c>
      <c r="C4261" t="s">
        <v>899</v>
      </c>
      <c r="D4261" t="s">
        <v>3514</v>
      </c>
      <c r="E4261">
        <v>3</v>
      </c>
      <c r="F4261" t="s">
        <v>3526</v>
      </c>
      <c r="G4261" t="s">
        <v>3518</v>
      </c>
      <c r="H4261">
        <v>1</v>
      </c>
      <c r="I4261">
        <v>12.2</v>
      </c>
      <c r="J4261">
        <v>36.6</v>
      </c>
    </row>
    <row r="4262" spans="1:10" x14ac:dyDescent="0.25">
      <c r="A4262" t="s">
        <v>6787</v>
      </c>
      <c r="B4262" s="3">
        <v>45427</v>
      </c>
      <c r="C4262" t="s">
        <v>2137</v>
      </c>
      <c r="D4262" t="s">
        <v>3502</v>
      </c>
      <c r="E4262">
        <v>6</v>
      </c>
      <c r="F4262" t="s">
        <v>3526</v>
      </c>
      <c r="G4262" t="s">
        <v>3517</v>
      </c>
      <c r="H4262">
        <v>1</v>
      </c>
      <c r="I4262">
        <v>14.9</v>
      </c>
      <c r="J4262">
        <v>89.4</v>
      </c>
    </row>
    <row r="4263" spans="1:10" x14ac:dyDescent="0.25">
      <c r="A4263" t="s">
        <v>6788</v>
      </c>
      <c r="B4263" s="3">
        <v>45118</v>
      </c>
      <c r="C4263" t="s">
        <v>2763</v>
      </c>
      <c r="D4263" t="s">
        <v>3497</v>
      </c>
      <c r="E4263">
        <v>1</v>
      </c>
      <c r="F4263" t="s">
        <v>3526</v>
      </c>
      <c r="G4263" t="s">
        <v>3519</v>
      </c>
      <c r="H4263">
        <v>2.5</v>
      </c>
      <c r="I4263">
        <v>31.6</v>
      </c>
      <c r="J4263">
        <v>31.6</v>
      </c>
    </row>
    <row r="4264" spans="1:10" x14ac:dyDescent="0.25">
      <c r="A4264" t="s">
        <v>6789</v>
      </c>
      <c r="B4264" s="3">
        <v>45258</v>
      </c>
      <c r="C4264" t="s">
        <v>592</v>
      </c>
      <c r="D4264" t="s">
        <v>3473</v>
      </c>
      <c r="E4264">
        <v>1</v>
      </c>
      <c r="F4264" t="s">
        <v>3524</v>
      </c>
      <c r="G4264" t="s">
        <v>3517</v>
      </c>
      <c r="H4264">
        <v>2.5</v>
      </c>
      <c r="I4264">
        <v>27.5</v>
      </c>
      <c r="J4264">
        <v>27.5</v>
      </c>
    </row>
    <row r="4265" spans="1:10" x14ac:dyDescent="0.25">
      <c r="A4265" t="s">
        <v>6790</v>
      </c>
      <c r="B4265" s="3">
        <v>45465</v>
      </c>
      <c r="C4265" t="s">
        <v>2730</v>
      </c>
      <c r="D4265" t="s">
        <v>3513</v>
      </c>
      <c r="E4265">
        <v>6</v>
      </c>
      <c r="F4265" t="s">
        <v>3523</v>
      </c>
      <c r="G4265" t="s">
        <v>3517</v>
      </c>
      <c r="H4265">
        <v>2.5</v>
      </c>
      <c r="I4265">
        <v>29.8</v>
      </c>
      <c r="J4265">
        <v>178.8</v>
      </c>
    </row>
    <row r="4266" spans="1:10" x14ac:dyDescent="0.25">
      <c r="A4266" t="s">
        <v>6791</v>
      </c>
      <c r="B4266" s="3">
        <v>44646</v>
      </c>
      <c r="C4266" t="s">
        <v>1085</v>
      </c>
      <c r="D4266" t="s">
        <v>3513</v>
      </c>
      <c r="E4266">
        <v>4</v>
      </c>
      <c r="F4266" t="s">
        <v>3523</v>
      </c>
      <c r="G4266" t="s">
        <v>3517</v>
      </c>
      <c r="H4266">
        <v>2.5</v>
      </c>
      <c r="I4266">
        <v>29.8</v>
      </c>
      <c r="J4266">
        <v>119.2</v>
      </c>
    </row>
    <row r="4267" spans="1:10" x14ac:dyDescent="0.25">
      <c r="A4267" t="s">
        <v>6792</v>
      </c>
      <c r="B4267" s="3">
        <v>45299</v>
      </c>
      <c r="C4267" t="s">
        <v>3118</v>
      </c>
      <c r="D4267" t="s">
        <v>3480</v>
      </c>
      <c r="E4267">
        <v>4</v>
      </c>
      <c r="F4267" t="s">
        <v>3524</v>
      </c>
      <c r="G4267" t="s">
        <v>3518</v>
      </c>
      <c r="H4267">
        <v>2.5</v>
      </c>
      <c r="I4267">
        <v>20.6</v>
      </c>
      <c r="J4267">
        <v>82.4</v>
      </c>
    </row>
    <row r="4268" spans="1:10" x14ac:dyDescent="0.25">
      <c r="A4268" t="s">
        <v>6793</v>
      </c>
      <c r="B4268" s="3">
        <v>45075</v>
      </c>
      <c r="C4268" t="s">
        <v>778</v>
      </c>
      <c r="D4268" t="s">
        <v>3479</v>
      </c>
      <c r="E4268">
        <v>6</v>
      </c>
      <c r="F4268" t="s">
        <v>3526</v>
      </c>
      <c r="G4268" t="s">
        <v>3517</v>
      </c>
      <c r="H4268">
        <v>2.5</v>
      </c>
      <c r="I4268">
        <v>34.200000000000003</v>
      </c>
      <c r="J4268">
        <v>205.2</v>
      </c>
    </row>
    <row r="4269" spans="1:10" x14ac:dyDescent="0.25">
      <c r="A4269" t="s">
        <v>6794</v>
      </c>
      <c r="B4269" s="3">
        <v>44945</v>
      </c>
      <c r="C4269" t="s">
        <v>3095</v>
      </c>
      <c r="D4269" t="s">
        <v>3488</v>
      </c>
      <c r="E4269">
        <v>4</v>
      </c>
      <c r="F4269" t="s">
        <v>3523</v>
      </c>
      <c r="G4269" t="s">
        <v>3519</v>
      </c>
      <c r="H4269">
        <v>0.5</v>
      </c>
      <c r="I4269">
        <v>6.8</v>
      </c>
      <c r="J4269">
        <v>27.2</v>
      </c>
    </row>
    <row r="4270" spans="1:10" x14ac:dyDescent="0.25">
      <c r="A4270" t="s">
        <v>6795</v>
      </c>
      <c r="B4270" s="3">
        <v>45199</v>
      </c>
      <c r="C4270" t="s">
        <v>1339</v>
      </c>
      <c r="D4270" t="s">
        <v>3502</v>
      </c>
      <c r="E4270">
        <v>6</v>
      </c>
      <c r="F4270" t="s">
        <v>3526</v>
      </c>
      <c r="G4270" t="s">
        <v>3517</v>
      </c>
      <c r="H4270">
        <v>1</v>
      </c>
      <c r="I4270">
        <v>14.9</v>
      </c>
      <c r="J4270">
        <v>89.4</v>
      </c>
    </row>
    <row r="4271" spans="1:10" x14ac:dyDescent="0.25">
      <c r="A4271" t="s">
        <v>6796</v>
      </c>
      <c r="B4271" s="3">
        <v>45013</v>
      </c>
      <c r="C4271" t="s">
        <v>2633</v>
      </c>
      <c r="D4271" t="s">
        <v>3513</v>
      </c>
      <c r="E4271">
        <v>2</v>
      </c>
      <c r="F4271" t="s">
        <v>3523</v>
      </c>
      <c r="G4271" t="s">
        <v>3517</v>
      </c>
      <c r="H4271">
        <v>2.5</v>
      </c>
      <c r="I4271">
        <v>29.8</v>
      </c>
      <c r="J4271">
        <v>59.6</v>
      </c>
    </row>
    <row r="4272" spans="1:10" x14ac:dyDescent="0.25">
      <c r="A4272" t="s">
        <v>6797</v>
      </c>
      <c r="B4272" s="3">
        <v>45086</v>
      </c>
      <c r="C4272" t="s">
        <v>3231</v>
      </c>
      <c r="D4272" t="s">
        <v>3475</v>
      </c>
      <c r="E4272">
        <v>6</v>
      </c>
      <c r="F4272" t="s">
        <v>3526</v>
      </c>
      <c r="G4272" t="s">
        <v>3518</v>
      </c>
      <c r="H4272">
        <v>0.5</v>
      </c>
      <c r="I4272">
        <v>7.3</v>
      </c>
      <c r="J4272">
        <v>43.8</v>
      </c>
    </row>
    <row r="4273" spans="1:10" x14ac:dyDescent="0.25">
      <c r="A4273" t="s">
        <v>6798</v>
      </c>
      <c r="B4273" s="3">
        <v>45462</v>
      </c>
      <c r="C4273" t="s">
        <v>1902</v>
      </c>
      <c r="D4273" t="s">
        <v>3504</v>
      </c>
      <c r="E4273">
        <v>4</v>
      </c>
      <c r="F4273" t="s">
        <v>3524</v>
      </c>
      <c r="G4273" t="s">
        <v>3517</v>
      </c>
      <c r="H4273">
        <v>0.5</v>
      </c>
      <c r="I4273">
        <v>7.2</v>
      </c>
      <c r="J4273">
        <v>28.8</v>
      </c>
    </row>
    <row r="4274" spans="1:10" x14ac:dyDescent="0.25">
      <c r="A4274" t="s">
        <v>6799</v>
      </c>
      <c r="B4274" s="3">
        <v>44232</v>
      </c>
      <c r="C4274" t="s">
        <v>863</v>
      </c>
      <c r="D4274" t="s">
        <v>3513</v>
      </c>
      <c r="E4274">
        <v>6</v>
      </c>
      <c r="F4274" t="s">
        <v>3523</v>
      </c>
      <c r="G4274" t="s">
        <v>3517</v>
      </c>
      <c r="H4274">
        <v>2.5</v>
      </c>
      <c r="I4274">
        <v>29.8</v>
      </c>
      <c r="J4274">
        <v>178.8</v>
      </c>
    </row>
    <row r="4275" spans="1:10" x14ac:dyDescent="0.25">
      <c r="A4275" t="s">
        <v>6800</v>
      </c>
      <c r="B4275" s="3">
        <v>45455</v>
      </c>
      <c r="C4275" t="s">
        <v>3048</v>
      </c>
      <c r="D4275" t="s">
        <v>3475</v>
      </c>
      <c r="E4275">
        <v>4</v>
      </c>
      <c r="F4275" t="s">
        <v>3526</v>
      </c>
      <c r="G4275" t="s">
        <v>3518</v>
      </c>
      <c r="H4275">
        <v>0.5</v>
      </c>
      <c r="I4275">
        <v>7.3</v>
      </c>
      <c r="J4275">
        <v>29.2</v>
      </c>
    </row>
    <row r="4276" spans="1:10" x14ac:dyDescent="0.25">
      <c r="A4276" t="s">
        <v>6801</v>
      </c>
      <c r="B4276" s="3">
        <v>44577</v>
      </c>
      <c r="C4276" t="s">
        <v>2602</v>
      </c>
      <c r="D4276" t="s">
        <v>3495</v>
      </c>
      <c r="E4276">
        <v>5</v>
      </c>
      <c r="F4276" t="s">
        <v>3525</v>
      </c>
      <c r="G4276" t="s">
        <v>3517</v>
      </c>
      <c r="H4276">
        <v>2.5</v>
      </c>
      <c r="I4276">
        <v>36.5</v>
      </c>
      <c r="J4276">
        <v>182.5</v>
      </c>
    </row>
    <row r="4277" spans="1:10" x14ac:dyDescent="0.25">
      <c r="A4277" t="s">
        <v>6802</v>
      </c>
      <c r="B4277" s="3">
        <v>45021</v>
      </c>
      <c r="C4277" t="s">
        <v>3255</v>
      </c>
      <c r="D4277" t="s">
        <v>3487</v>
      </c>
      <c r="E4277">
        <v>5</v>
      </c>
      <c r="F4277" t="s">
        <v>3526</v>
      </c>
      <c r="G4277" t="s">
        <v>3519</v>
      </c>
      <c r="H4277">
        <v>0.2</v>
      </c>
      <c r="I4277">
        <v>4.0999999999999996</v>
      </c>
      <c r="J4277">
        <v>20.5</v>
      </c>
    </row>
    <row r="4278" spans="1:10" x14ac:dyDescent="0.25">
      <c r="A4278" t="s">
        <v>6803</v>
      </c>
      <c r="B4278" s="3">
        <v>45631</v>
      </c>
      <c r="C4278" t="s">
        <v>3455</v>
      </c>
      <c r="D4278" t="s">
        <v>3473</v>
      </c>
      <c r="E4278">
        <v>5</v>
      </c>
      <c r="F4278" t="s">
        <v>3524</v>
      </c>
      <c r="G4278" t="s">
        <v>3517</v>
      </c>
      <c r="H4278">
        <v>2.5</v>
      </c>
      <c r="I4278">
        <v>27.5</v>
      </c>
      <c r="J4278">
        <v>137.5</v>
      </c>
    </row>
    <row r="4279" spans="1:10" x14ac:dyDescent="0.25">
      <c r="A4279" t="s">
        <v>6804</v>
      </c>
      <c r="B4279" s="3">
        <v>44140</v>
      </c>
      <c r="C4279" t="s">
        <v>1582</v>
      </c>
      <c r="D4279" t="s">
        <v>3504</v>
      </c>
      <c r="E4279">
        <v>1</v>
      </c>
      <c r="F4279" t="s">
        <v>3524</v>
      </c>
      <c r="G4279" t="s">
        <v>3517</v>
      </c>
      <c r="H4279">
        <v>0.5</v>
      </c>
      <c r="I4279">
        <v>7.2</v>
      </c>
      <c r="J4279">
        <v>7.2</v>
      </c>
    </row>
    <row r="4280" spans="1:10" x14ac:dyDescent="0.25">
      <c r="A4280" t="s">
        <v>6805</v>
      </c>
      <c r="B4280" s="3">
        <v>44574</v>
      </c>
      <c r="C4280" t="s">
        <v>3214</v>
      </c>
      <c r="D4280" t="s">
        <v>3491</v>
      </c>
      <c r="E4280">
        <v>5</v>
      </c>
      <c r="F4280" t="s">
        <v>3525</v>
      </c>
      <c r="G4280" t="s">
        <v>3519</v>
      </c>
      <c r="H4280">
        <v>0.5</v>
      </c>
      <c r="I4280">
        <v>8.6999999999999993</v>
      </c>
      <c r="J4280">
        <v>43.5</v>
      </c>
    </row>
    <row r="4281" spans="1:10" x14ac:dyDescent="0.25">
      <c r="A4281" t="s">
        <v>6806</v>
      </c>
      <c r="B4281" s="3">
        <v>45086</v>
      </c>
      <c r="C4281" t="s">
        <v>3411</v>
      </c>
      <c r="D4281" t="s">
        <v>3479</v>
      </c>
      <c r="E4281">
        <v>1</v>
      </c>
      <c r="F4281" t="s">
        <v>3526</v>
      </c>
      <c r="G4281" t="s">
        <v>3517</v>
      </c>
      <c r="H4281">
        <v>2.5</v>
      </c>
      <c r="I4281">
        <v>34.200000000000003</v>
      </c>
      <c r="J4281">
        <v>34.200000000000003</v>
      </c>
    </row>
    <row r="4282" spans="1:10" x14ac:dyDescent="0.25">
      <c r="A4282" t="s">
        <v>6807</v>
      </c>
      <c r="B4282" s="3">
        <v>44689</v>
      </c>
      <c r="C4282" t="s">
        <v>2201</v>
      </c>
      <c r="D4282" t="s">
        <v>3513</v>
      </c>
      <c r="E4282">
        <v>4</v>
      </c>
      <c r="F4282" t="s">
        <v>3523</v>
      </c>
      <c r="G4282" t="s">
        <v>3517</v>
      </c>
      <c r="H4282">
        <v>2.5</v>
      </c>
      <c r="I4282">
        <v>29.8</v>
      </c>
      <c r="J4282">
        <v>119.2</v>
      </c>
    </row>
    <row r="4283" spans="1:10" x14ac:dyDescent="0.25">
      <c r="A4283" t="s">
        <v>6808</v>
      </c>
      <c r="B4283" s="3">
        <v>44520</v>
      </c>
      <c r="C4283" t="s">
        <v>487</v>
      </c>
      <c r="D4283" t="s">
        <v>3507</v>
      </c>
      <c r="E4283">
        <v>6</v>
      </c>
      <c r="F4283" t="s">
        <v>3526</v>
      </c>
      <c r="G4283" t="s">
        <v>3517</v>
      </c>
      <c r="H4283">
        <v>0.5</v>
      </c>
      <c r="I4283">
        <v>8.9</v>
      </c>
      <c r="J4283">
        <v>53.4</v>
      </c>
    </row>
    <row r="4284" spans="1:10" x14ac:dyDescent="0.25">
      <c r="A4284" t="s">
        <v>6809</v>
      </c>
      <c r="B4284" s="3">
        <v>44892</v>
      </c>
      <c r="C4284" t="s">
        <v>508</v>
      </c>
      <c r="D4284" t="s">
        <v>3488</v>
      </c>
      <c r="E4284">
        <v>1</v>
      </c>
      <c r="F4284" t="s">
        <v>3523</v>
      </c>
      <c r="G4284" t="s">
        <v>3519</v>
      </c>
      <c r="H4284">
        <v>0.5</v>
      </c>
      <c r="I4284">
        <v>6.8</v>
      </c>
      <c r="J4284">
        <v>6.8</v>
      </c>
    </row>
    <row r="4285" spans="1:10" x14ac:dyDescent="0.25">
      <c r="A4285" t="s">
        <v>6810</v>
      </c>
      <c r="B4285" s="3">
        <v>44844</v>
      </c>
      <c r="C4285" t="s">
        <v>3363</v>
      </c>
      <c r="D4285" t="s">
        <v>3486</v>
      </c>
      <c r="E4285">
        <v>5</v>
      </c>
      <c r="F4285" t="s">
        <v>3523</v>
      </c>
      <c r="G4285" t="s">
        <v>3519</v>
      </c>
      <c r="H4285">
        <v>1</v>
      </c>
      <c r="I4285">
        <v>11.3</v>
      </c>
      <c r="J4285">
        <v>56.5</v>
      </c>
    </row>
    <row r="4286" spans="1:10" x14ac:dyDescent="0.25">
      <c r="A4286" t="s">
        <v>6811</v>
      </c>
      <c r="B4286" s="3">
        <v>45560</v>
      </c>
      <c r="C4286" t="s">
        <v>2789</v>
      </c>
      <c r="D4286" t="s">
        <v>3488</v>
      </c>
      <c r="E4286">
        <v>2</v>
      </c>
      <c r="F4286" t="s">
        <v>3523</v>
      </c>
      <c r="G4286" t="s">
        <v>3519</v>
      </c>
      <c r="H4286">
        <v>0.5</v>
      </c>
      <c r="I4286">
        <v>6.8</v>
      </c>
      <c r="J4286">
        <v>13.6</v>
      </c>
    </row>
    <row r="4287" spans="1:10" x14ac:dyDescent="0.25">
      <c r="A4287" t="s">
        <v>6812</v>
      </c>
      <c r="B4287" s="3">
        <v>43878</v>
      </c>
      <c r="C4287" t="s">
        <v>3354</v>
      </c>
      <c r="D4287" t="s">
        <v>3516</v>
      </c>
      <c r="E4287">
        <v>4</v>
      </c>
      <c r="F4287" t="s">
        <v>3526</v>
      </c>
      <c r="G4287" t="s">
        <v>3518</v>
      </c>
      <c r="H4287">
        <v>2.5</v>
      </c>
      <c r="I4287">
        <v>27.9</v>
      </c>
      <c r="J4287">
        <v>111.6</v>
      </c>
    </row>
    <row r="4288" spans="1:10" x14ac:dyDescent="0.25">
      <c r="A4288" t="s">
        <v>6813</v>
      </c>
      <c r="B4288" s="3">
        <v>44725</v>
      </c>
      <c r="C4288" t="s">
        <v>3390</v>
      </c>
      <c r="D4288" t="s">
        <v>3497</v>
      </c>
      <c r="E4288">
        <v>2</v>
      </c>
      <c r="F4288" t="s">
        <v>3526</v>
      </c>
      <c r="G4288" t="s">
        <v>3519</v>
      </c>
      <c r="H4288">
        <v>2.5</v>
      </c>
      <c r="I4288">
        <v>31.6</v>
      </c>
      <c r="J4288">
        <v>63.2</v>
      </c>
    </row>
    <row r="4289" spans="1:10" x14ac:dyDescent="0.25">
      <c r="A4289" t="s">
        <v>6814</v>
      </c>
      <c r="B4289" s="3">
        <v>45316</v>
      </c>
      <c r="C4289" t="s">
        <v>2236</v>
      </c>
      <c r="D4289" t="s">
        <v>3494</v>
      </c>
      <c r="E4289">
        <v>6</v>
      </c>
      <c r="F4289" t="s">
        <v>3524</v>
      </c>
      <c r="G4289" t="s">
        <v>3518</v>
      </c>
      <c r="H4289">
        <v>0.2</v>
      </c>
      <c r="I4289">
        <v>2.7</v>
      </c>
      <c r="J4289">
        <v>16.2</v>
      </c>
    </row>
    <row r="4290" spans="1:10" x14ac:dyDescent="0.25">
      <c r="A4290" t="s">
        <v>6815</v>
      </c>
      <c r="B4290" s="3">
        <v>44364</v>
      </c>
      <c r="C4290" t="s">
        <v>1690</v>
      </c>
      <c r="D4290" t="s">
        <v>3510</v>
      </c>
      <c r="E4290">
        <v>5</v>
      </c>
      <c r="F4290" t="s">
        <v>3524</v>
      </c>
      <c r="G4290" t="s">
        <v>3517</v>
      </c>
      <c r="H4290">
        <v>1</v>
      </c>
      <c r="I4290">
        <v>12</v>
      </c>
      <c r="J4290">
        <v>60</v>
      </c>
    </row>
    <row r="4291" spans="1:10" x14ac:dyDescent="0.25">
      <c r="A4291" t="s">
        <v>6816</v>
      </c>
      <c r="B4291" s="3">
        <v>44897</v>
      </c>
      <c r="C4291" t="s">
        <v>2512</v>
      </c>
      <c r="D4291" t="s">
        <v>3507</v>
      </c>
      <c r="E4291">
        <v>2</v>
      </c>
      <c r="F4291" t="s">
        <v>3526</v>
      </c>
      <c r="G4291" t="s">
        <v>3517</v>
      </c>
      <c r="H4291">
        <v>0.5</v>
      </c>
      <c r="I4291">
        <v>8.9</v>
      </c>
      <c r="J4291">
        <v>17.8</v>
      </c>
    </row>
    <row r="4292" spans="1:10" x14ac:dyDescent="0.25">
      <c r="A4292" t="s">
        <v>6817</v>
      </c>
      <c r="B4292" s="3">
        <v>45093</v>
      </c>
      <c r="C4292" t="s">
        <v>1755</v>
      </c>
      <c r="D4292" t="s">
        <v>3492</v>
      </c>
      <c r="E4292">
        <v>5</v>
      </c>
      <c r="F4292" t="s">
        <v>3525</v>
      </c>
      <c r="G4292" t="s">
        <v>3517</v>
      </c>
      <c r="H4292">
        <v>0.5</v>
      </c>
      <c r="I4292">
        <v>9.5</v>
      </c>
      <c r="J4292">
        <v>47.5</v>
      </c>
    </row>
    <row r="4293" spans="1:10" x14ac:dyDescent="0.25">
      <c r="A4293" t="s">
        <v>6818</v>
      </c>
      <c r="B4293" s="3">
        <v>45428</v>
      </c>
      <c r="C4293" t="s">
        <v>1375</v>
      </c>
      <c r="D4293" t="s">
        <v>3482</v>
      </c>
      <c r="E4293">
        <v>2</v>
      </c>
      <c r="F4293" t="s">
        <v>3524</v>
      </c>
      <c r="G4293" t="s">
        <v>3519</v>
      </c>
      <c r="H4293">
        <v>2.5</v>
      </c>
      <c r="I4293">
        <v>22.9</v>
      </c>
      <c r="J4293">
        <v>45.8</v>
      </c>
    </row>
    <row r="4294" spans="1:10" x14ac:dyDescent="0.25">
      <c r="A4294" t="s">
        <v>6819</v>
      </c>
      <c r="B4294" s="3">
        <v>43726</v>
      </c>
      <c r="C4294" t="s">
        <v>2822</v>
      </c>
      <c r="D4294" t="s">
        <v>3479</v>
      </c>
      <c r="E4294">
        <v>5</v>
      </c>
      <c r="F4294" t="s">
        <v>3526</v>
      </c>
      <c r="G4294" t="s">
        <v>3517</v>
      </c>
      <c r="H4294">
        <v>2.5</v>
      </c>
      <c r="I4294">
        <v>34.200000000000003</v>
      </c>
      <c r="J4294">
        <v>171</v>
      </c>
    </row>
    <row r="4295" spans="1:10" x14ac:dyDescent="0.25">
      <c r="A4295" t="s">
        <v>6820</v>
      </c>
      <c r="B4295" s="3">
        <v>45396</v>
      </c>
      <c r="C4295" t="s">
        <v>2162</v>
      </c>
      <c r="D4295" t="s">
        <v>3494</v>
      </c>
      <c r="E4295">
        <v>3</v>
      </c>
      <c r="F4295" t="s">
        <v>3524</v>
      </c>
      <c r="G4295" t="s">
        <v>3518</v>
      </c>
      <c r="H4295">
        <v>0.2</v>
      </c>
      <c r="I4295">
        <v>2.7</v>
      </c>
      <c r="J4295">
        <v>8.1</v>
      </c>
    </row>
    <row r="4296" spans="1:10" x14ac:dyDescent="0.25">
      <c r="A4296" t="s">
        <v>6821</v>
      </c>
      <c r="B4296" s="3">
        <v>44962</v>
      </c>
      <c r="C4296" t="s">
        <v>2696</v>
      </c>
      <c r="D4296" t="s">
        <v>3481</v>
      </c>
      <c r="E4296">
        <v>3</v>
      </c>
      <c r="F4296" t="s">
        <v>3525</v>
      </c>
      <c r="G4296" t="s">
        <v>3518</v>
      </c>
      <c r="H4296">
        <v>0.2</v>
      </c>
      <c r="I4296">
        <v>3.9</v>
      </c>
      <c r="J4296">
        <v>11.7</v>
      </c>
    </row>
    <row r="4297" spans="1:10" x14ac:dyDescent="0.25">
      <c r="A4297" t="s">
        <v>6822</v>
      </c>
      <c r="B4297" s="3">
        <v>45205</v>
      </c>
      <c r="C4297" t="s">
        <v>1097</v>
      </c>
      <c r="D4297" t="s">
        <v>3504</v>
      </c>
      <c r="E4297">
        <v>3</v>
      </c>
      <c r="F4297" t="s">
        <v>3524</v>
      </c>
      <c r="G4297" t="s">
        <v>3517</v>
      </c>
      <c r="H4297">
        <v>0.5</v>
      </c>
      <c r="I4297">
        <v>7.2</v>
      </c>
      <c r="J4297">
        <v>21.6</v>
      </c>
    </row>
    <row r="4298" spans="1:10" x14ac:dyDescent="0.25">
      <c r="A4298" t="s">
        <v>6823</v>
      </c>
      <c r="B4298" s="3">
        <v>43599</v>
      </c>
      <c r="C4298" t="s">
        <v>1112</v>
      </c>
      <c r="D4298" t="s">
        <v>3500</v>
      </c>
      <c r="E4298">
        <v>1</v>
      </c>
      <c r="F4298" t="s">
        <v>3525</v>
      </c>
      <c r="G4298" t="s">
        <v>3518</v>
      </c>
      <c r="H4298">
        <v>0.5</v>
      </c>
      <c r="I4298">
        <v>7.8</v>
      </c>
      <c r="J4298">
        <v>7.8</v>
      </c>
    </row>
    <row r="4299" spans="1:10" x14ac:dyDescent="0.25">
      <c r="A4299" t="s">
        <v>6824</v>
      </c>
      <c r="B4299" s="3">
        <v>44922</v>
      </c>
      <c r="C4299" t="s">
        <v>3300</v>
      </c>
      <c r="D4299" t="s">
        <v>3486</v>
      </c>
      <c r="E4299">
        <v>4</v>
      </c>
      <c r="F4299" t="s">
        <v>3523</v>
      </c>
      <c r="G4299" t="s">
        <v>3519</v>
      </c>
      <c r="H4299">
        <v>1</v>
      </c>
      <c r="I4299">
        <v>11.3</v>
      </c>
      <c r="J4299">
        <v>45.2</v>
      </c>
    </row>
    <row r="4300" spans="1:10" x14ac:dyDescent="0.25">
      <c r="A4300" t="s">
        <v>6825</v>
      </c>
      <c r="B4300" s="3">
        <v>44735</v>
      </c>
      <c r="C4300" t="s">
        <v>2873</v>
      </c>
      <c r="D4300" t="s">
        <v>3482</v>
      </c>
      <c r="E4300">
        <v>6</v>
      </c>
      <c r="F4300" t="s">
        <v>3524</v>
      </c>
      <c r="G4300" t="s">
        <v>3519</v>
      </c>
      <c r="H4300">
        <v>2.5</v>
      </c>
      <c r="I4300">
        <v>22.9</v>
      </c>
      <c r="J4300">
        <v>137.4</v>
      </c>
    </row>
    <row r="4301" spans="1:10" x14ac:dyDescent="0.25">
      <c r="A4301" t="s">
        <v>6826</v>
      </c>
      <c r="B4301" s="3">
        <v>45106</v>
      </c>
      <c r="C4301" t="s">
        <v>994</v>
      </c>
      <c r="D4301" t="s">
        <v>3474</v>
      </c>
      <c r="E4301">
        <v>1</v>
      </c>
      <c r="F4301" t="s">
        <v>3525</v>
      </c>
      <c r="G4301" t="s">
        <v>3518</v>
      </c>
      <c r="H4301">
        <v>1</v>
      </c>
      <c r="I4301">
        <v>13</v>
      </c>
      <c r="J4301">
        <v>13</v>
      </c>
    </row>
    <row r="4302" spans="1:10" x14ac:dyDescent="0.25">
      <c r="A4302" t="s">
        <v>6827</v>
      </c>
      <c r="B4302" s="3">
        <v>45289</v>
      </c>
      <c r="C4302" t="s">
        <v>3393</v>
      </c>
      <c r="D4302" t="s">
        <v>3490</v>
      </c>
      <c r="E4302">
        <v>5</v>
      </c>
      <c r="F4302" t="s">
        <v>3525</v>
      </c>
      <c r="G4302" t="s">
        <v>3519</v>
      </c>
      <c r="H4302">
        <v>0.2</v>
      </c>
      <c r="I4302">
        <v>4.4000000000000004</v>
      </c>
      <c r="J4302">
        <v>22</v>
      </c>
    </row>
    <row r="4303" spans="1:10" x14ac:dyDescent="0.25">
      <c r="A4303" t="s">
        <v>6828</v>
      </c>
      <c r="B4303" s="3">
        <v>43581</v>
      </c>
      <c r="C4303" t="s">
        <v>814</v>
      </c>
      <c r="D4303" t="s">
        <v>3471</v>
      </c>
      <c r="E4303">
        <v>3</v>
      </c>
      <c r="F4303" t="s">
        <v>3523</v>
      </c>
      <c r="G4303" t="s">
        <v>3517</v>
      </c>
      <c r="H4303">
        <v>1</v>
      </c>
      <c r="I4303">
        <v>13</v>
      </c>
      <c r="J4303">
        <v>39</v>
      </c>
    </row>
    <row r="4304" spans="1:10" x14ac:dyDescent="0.25">
      <c r="A4304" t="s">
        <v>6829</v>
      </c>
      <c r="B4304" s="3">
        <v>44616</v>
      </c>
      <c r="C4304" t="s">
        <v>2251</v>
      </c>
      <c r="D4304" t="s">
        <v>3499</v>
      </c>
      <c r="E4304">
        <v>3</v>
      </c>
      <c r="F4304" t="s">
        <v>3523</v>
      </c>
      <c r="G4304" t="s">
        <v>3518</v>
      </c>
      <c r="H4304">
        <v>2.5</v>
      </c>
      <c r="I4304">
        <v>22.9</v>
      </c>
      <c r="J4304">
        <v>68.7</v>
      </c>
    </row>
    <row r="4305" spans="1:10" x14ac:dyDescent="0.25">
      <c r="A4305" t="s">
        <v>6830</v>
      </c>
      <c r="B4305" s="3">
        <v>45010</v>
      </c>
      <c r="C4305" t="s">
        <v>3214</v>
      </c>
      <c r="D4305" t="s">
        <v>3477</v>
      </c>
      <c r="E4305">
        <v>4</v>
      </c>
      <c r="F4305" t="s">
        <v>3524</v>
      </c>
      <c r="G4305" t="s">
        <v>3519</v>
      </c>
      <c r="H4305">
        <v>0.5</v>
      </c>
      <c r="I4305">
        <v>6</v>
      </c>
      <c r="J4305">
        <v>24</v>
      </c>
    </row>
    <row r="4306" spans="1:10" x14ac:dyDescent="0.25">
      <c r="A4306" t="s">
        <v>6831</v>
      </c>
      <c r="B4306" s="3">
        <v>44985</v>
      </c>
      <c r="C4306" t="s">
        <v>649</v>
      </c>
      <c r="D4306" t="s">
        <v>3471</v>
      </c>
      <c r="E4306">
        <v>4</v>
      </c>
      <c r="F4306" t="s">
        <v>3523</v>
      </c>
      <c r="G4306" t="s">
        <v>3517</v>
      </c>
      <c r="H4306">
        <v>1</v>
      </c>
      <c r="I4306">
        <v>13</v>
      </c>
      <c r="J4306">
        <v>52</v>
      </c>
    </row>
    <row r="4307" spans="1:10" x14ac:dyDescent="0.25">
      <c r="A4307" t="s">
        <v>6832</v>
      </c>
      <c r="B4307" s="3">
        <v>44829</v>
      </c>
      <c r="C4307" t="s">
        <v>3036</v>
      </c>
      <c r="D4307" t="s">
        <v>3475</v>
      </c>
      <c r="E4307">
        <v>6</v>
      </c>
      <c r="F4307" t="s">
        <v>3526</v>
      </c>
      <c r="G4307" t="s">
        <v>3518</v>
      </c>
      <c r="H4307">
        <v>0.5</v>
      </c>
      <c r="I4307">
        <v>7.3</v>
      </c>
      <c r="J4307">
        <v>43.8</v>
      </c>
    </row>
    <row r="4308" spans="1:10" x14ac:dyDescent="0.25">
      <c r="A4308" t="s">
        <v>6833</v>
      </c>
      <c r="B4308" s="3">
        <v>45629</v>
      </c>
      <c r="C4308" t="s">
        <v>1550</v>
      </c>
      <c r="D4308" t="s">
        <v>3483</v>
      </c>
      <c r="E4308">
        <v>4</v>
      </c>
      <c r="F4308" t="s">
        <v>3523</v>
      </c>
      <c r="G4308" t="s">
        <v>3519</v>
      </c>
      <c r="H4308">
        <v>0.2</v>
      </c>
      <c r="I4308">
        <v>3.4</v>
      </c>
      <c r="J4308">
        <v>13.6</v>
      </c>
    </row>
    <row r="4309" spans="1:10" x14ac:dyDescent="0.25">
      <c r="A4309" t="s">
        <v>6834</v>
      </c>
      <c r="B4309" s="3">
        <v>45424</v>
      </c>
      <c r="C4309" t="s">
        <v>906</v>
      </c>
      <c r="D4309" t="s">
        <v>3495</v>
      </c>
      <c r="E4309">
        <v>6</v>
      </c>
      <c r="F4309" t="s">
        <v>3525</v>
      </c>
      <c r="G4309" t="s">
        <v>3517</v>
      </c>
      <c r="H4309">
        <v>2.5</v>
      </c>
      <c r="I4309">
        <v>36.5</v>
      </c>
      <c r="J4309">
        <v>219</v>
      </c>
    </row>
    <row r="4310" spans="1:10" x14ac:dyDescent="0.25">
      <c r="A4310" t="s">
        <v>6835</v>
      </c>
      <c r="B4310" s="3">
        <v>44878</v>
      </c>
      <c r="C4310" t="s">
        <v>899</v>
      </c>
      <c r="D4310" t="s">
        <v>3511</v>
      </c>
      <c r="E4310">
        <v>4</v>
      </c>
      <c r="F4310" t="s">
        <v>3523</v>
      </c>
      <c r="G4310" t="s">
        <v>3517</v>
      </c>
      <c r="H4310">
        <v>0.5</v>
      </c>
      <c r="I4310">
        <v>7.8</v>
      </c>
      <c r="J4310">
        <v>31.2</v>
      </c>
    </row>
    <row r="4311" spans="1:10" x14ac:dyDescent="0.25">
      <c r="A4311" t="s">
        <v>6836</v>
      </c>
      <c r="B4311" s="3">
        <v>44608</v>
      </c>
      <c r="C4311" t="s">
        <v>826</v>
      </c>
      <c r="D4311" t="s">
        <v>3510</v>
      </c>
      <c r="E4311">
        <v>3</v>
      </c>
      <c r="F4311" t="s">
        <v>3524</v>
      </c>
      <c r="G4311" t="s">
        <v>3517</v>
      </c>
      <c r="H4311">
        <v>1</v>
      </c>
      <c r="I4311">
        <v>12</v>
      </c>
      <c r="J4311">
        <v>36</v>
      </c>
    </row>
    <row r="4312" spans="1:10" x14ac:dyDescent="0.25">
      <c r="A4312" t="s">
        <v>6837</v>
      </c>
      <c r="B4312" s="3">
        <v>45249</v>
      </c>
      <c r="C4312" t="s">
        <v>2945</v>
      </c>
      <c r="D4312" t="s">
        <v>3513</v>
      </c>
      <c r="E4312">
        <v>3</v>
      </c>
      <c r="F4312" t="s">
        <v>3523</v>
      </c>
      <c r="G4312" t="s">
        <v>3517</v>
      </c>
      <c r="H4312">
        <v>2.5</v>
      </c>
      <c r="I4312">
        <v>29.8</v>
      </c>
      <c r="J4312">
        <v>89.4</v>
      </c>
    </row>
    <row r="4313" spans="1:10" x14ac:dyDescent="0.25">
      <c r="A4313" t="s">
        <v>6838</v>
      </c>
      <c r="B4313" s="3">
        <v>45107</v>
      </c>
      <c r="C4313" t="s">
        <v>2539</v>
      </c>
      <c r="D4313" t="s">
        <v>3470</v>
      </c>
      <c r="E4313">
        <v>4</v>
      </c>
      <c r="F4313" t="s">
        <v>3526</v>
      </c>
      <c r="G4313" t="s">
        <v>3519</v>
      </c>
      <c r="H4313">
        <v>0.5</v>
      </c>
      <c r="I4313">
        <v>8.3000000000000007</v>
      </c>
      <c r="J4313">
        <v>33.200000000000003</v>
      </c>
    </row>
    <row r="4314" spans="1:10" x14ac:dyDescent="0.25">
      <c r="A4314" t="s">
        <v>6839</v>
      </c>
      <c r="B4314" s="3">
        <v>44796</v>
      </c>
      <c r="C4314" t="s">
        <v>1634</v>
      </c>
      <c r="D4314" t="s">
        <v>3513</v>
      </c>
      <c r="E4314">
        <v>5</v>
      </c>
      <c r="F4314" t="s">
        <v>3523</v>
      </c>
      <c r="G4314" t="s">
        <v>3517</v>
      </c>
      <c r="H4314">
        <v>2.5</v>
      </c>
      <c r="I4314">
        <v>29.8</v>
      </c>
      <c r="J4314">
        <v>149</v>
      </c>
    </row>
    <row r="4315" spans="1:10" x14ac:dyDescent="0.25">
      <c r="A4315" t="s">
        <v>6840</v>
      </c>
      <c r="B4315" s="3">
        <v>44712</v>
      </c>
      <c r="C4315" t="s">
        <v>698</v>
      </c>
      <c r="D4315" t="s">
        <v>3510</v>
      </c>
      <c r="E4315">
        <v>6</v>
      </c>
      <c r="F4315" t="s">
        <v>3524</v>
      </c>
      <c r="G4315" t="s">
        <v>3517</v>
      </c>
      <c r="H4315">
        <v>1</v>
      </c>
      <c r="I4315">
        <v>12</v>
      </c>
      <c r="J4315">
        <v>72</v>
      </c>
    </row>
    <row r="4316" spans="1:10" x14ac:dyDescent="0.25">
      <c r="A4316" t="s">
        <v>6841</v>
      </c>
      <c r="B4316" s="3">
        <v>45148</v>
      </c>
      <c r="C4316" t="s">
        <v>2344</v>
      </c>
      <c r="D4316" t="s">
        <v>3486</v>
      </c>
      <c r="E4316">
        <v>3</v>
      </c>
      <c r="F4316" t="s">
        <v>3523</v>
      </c>
      <c r="G4316" t="s">
        <v>3519</v>
      </c>
      <c r="H4316">
        <v>1</v>
      </c>
      <c r="I4316">
        <v>11.3</v>
      </c>
      <c r="J4316">
        <v>33.9</v>
      </c>
    </row>
    <row r="4317" spans="1:10" x14ac:dyDescent="0.25">
      <c r="A4317" t="s">
        <v>6842</v>
      </c>
      <c r="B4317" s="3">
        <v>44967</v>
      </c>
      <c r="C4317" t="s">
        <v>1109</v>
      </c>
      <c r="D4317" t="s">
        <v>3474</v>
      </c>
      <c r="E4317">
        <v>6</v>
      </c>
      <c r="F4317" t="s">
        <v>3525</v>
      </c>
      <c r="G4317" t="s">
        <v>3518</v>
      </c>
      <c r="H4317">
        <v>1</v>
      </c>
      <c r="I4317">
        <v>13</v>
      </c>
      <c r="J4317">
        <v>78</v>
      </c>
    </row>
    <row r="4318" spans="1:10" x14ac:dyDescent="0.25">
      <c r="A4318" t="s">
        <v>6843</v>
      </c>
      <c r="B4318" s="3">
        <v>45544</v>
      </c>
      <c r="C4318" t="s">
        <v>2362</v>
      </c>
      <c r="D4318" t="s">
        <v>3504</v>
      </c>
      <c r="E4318">
        <v>1</v>
      </c>
      <c r="F4318" t="s">
        <v>3524</v>
      </c>
      <c r="G4318" t="s">
        <v>3517</v>
      </c>
      <c r="H4318">
        <v>0.5</v>
      </c>
      <c r="I4318">
        <v>7.2</v>
      </c>
      <c r="J4318">
        <v>7.2</v>
      </c>
    </row>
    <row r="4319" spans="1:10" x14ac:dyDescent="0.25">
      <c r="A4319" t="s">
        <v>6844</v>
      </c>
      <c r="B4319" s="3">
        <v>45604</v>
      </c>
      <c r="C4319" t="s">
        <v>514</v>
      </c>
      <c r="D4319" t="s">
        <v>3472</v>
      </c>
      <c r="E4319">
        <v>4</v>
      </c>
      <c r="F4319" t="s">
        <v>3526</v>
      </c>
      <c r="G4319" t="s">
        <v>3519</v>
      </c>
      <c r="H4319">
        <v>1</v>
      </c>
      <c r="I4319">
        <v>13.8</v>
      </c>
      <c r="J4319">
        <v>55.2</v>
      </c>
    </row>
    <row r="4320" spans="1:10" x14ac:dyDescent="0.25">
      <c r="A4320" t="s">
        <v>6845</v>
      </c>
      <c r="B4320" s="3">
        <v>44076</v>
      </c>
      <c r="C4320" t="s">
        <v>1976</v>
      </c>
      <c r="D4320" t="s">
        <v>3502</v>
      </c>
      <c r="E4320">
        <v>2</v>
      </c>
      <c r="F4320" t="s">
        <v>3526</v>
      </c>
      <c r="G4320" t="s">
        <v>3517</v>
      </c>
      <c r="H4320">
        <v>1</v>
      </c>
      <c r="I4320">
        <v>14.9</v>
      </c>
      <c r="J4320">
        <v>29.8</v>
      </c>
    </row>
    <row r="4321" spans="1:10" x14ac:dyDescent="0.25">
      <c r="A4321" t="s">
        <v>6846</v>
      </c>
      <c r="B4321" s="3">
        <v>44946</v>
      </c>
      <c r="C4321" t="s">
        <v>1896</v>
      </c>
      <c r="D4321" t="s">
        <v>3475</v>
      </c>
      <c r="E4321">
        <v>5</v>
      </c>
      <c r="F4321" t="s">
        <v>3526</v>
      </c>
      <c r="G4321" t="s">
        <v>3518</v>
      </c>
      <c r="H4321">
        <v>0.5</v>
      </c>
      <c r="I4321">
        <v>7.3</v>
      </c>
      <c r="J4321">
        <v>36.5</v>
      </c>
    </row>
    <row r="4322" spans="1:10" x14ac:dyDescent="0.25">
      <c r="A4322" t="s">
        <v>6847</v>
      </c>
      <c r="B4322" s="3">
        <v>44953</v>
      </c>
      <c r="C4322" t="s">
        <v>2302</v>
      </c>
      <c r="D4322" t="s">
        <v>3501</v>
      </c>
      <c r="E4322">
        <v>4</v>
      </c>
      <c r="F4322" t="s">
        <v>3525</v>
      </c>
      <c r="G4322" t="s">
        <v>3517</v>
      </c>
      <c r="H4322">
        <v>1</v>
      </c>
      <c r="I4322">
        <v>15.9</v>
      </c>
      <c r="J4322">
        <v>63.6</v>
      </c>
    </row>
    <row r="4323" spans="1:10" x14ac:dyDescent="0.25">
      <c r="A4323" t="s">
        <v>6848</v>
      </c>
      <c r="B4323" s="3">
        <v>44775</v>
      </c>
      <c r="C4323" t="s">
        <v>3154</v>
      </c>
      <c r="D4323" t="s">
        <v>3507</v>
      </c>
      <c r="E4323">
        <v>5</v>
      </c>
      <c r="F4323" t="s">
        <v>3526</v>
      </c>
      <c r="G4323" t="s">
        <v>3517</v>
      </c>
      <c r="H4323">
        <v>0.5</v>
      </c>
      <c r="I4323">
        <v>8.9</v>
      </c>
      <c r="J4323">
        <v>44.5</v>
      </c>
    </row>
    <row r="4324" spans="1:10" x14ac:dyDescent="0.25">
      <c r="A4324" t="s">
        <v>6849</v>
      </c>
      <c r="B4324" s="3">
        <v>45580</v>
      </c>
      <c r="C4324" t="s">
        <v>1131</v>
      </c>
      <c r="D4324" t="s">
        <v>3493</v>
      </c>
      <c r="E4324">
        <v>1</v>
      </c>
      <c r="F4324" t="s">
        <v>3525</v>
      </c>
      <c r="G4324" t="s">
        <v>3519</v>
      </c>
      <c r="H4324">
        <v>1</v>
      </c>
      <c r="I4324">
        <v>14.6</v>
      </c>
      <c r="J4324">
        <v>14.6</v>
      </c>
    </row>
    <row r="4325" spans="1:10" x14ac:dyDescent="0.25">
      <c r="A4325" t="s">
        <v>6850</v>
      </c>
      <c r="B4325" s="3">
        <v>44566</v>
      </c>
      <c r="C4325" t="s">
        <v>1438</v>
      </c>
      <c r="D4325" t="s">
        <v>3485</v>
      </c>
      <c r="E4325">
        <v>1</v>
      </c>
      <c r="F4325" t="s">
        <v>3523</v>
      </c>
      <c r="G4325" t="s">
        <v>3518</v>
      </c>
      <c r="H4325">
        <v>0.2</v>
      </c>
      <c r="I4325">
        <v>3</v>
      </c>
      <c r="J4325">
        <v>3</v>
      </c>
    </row>
    <row r="4326" spans="1:10" x14ac:dyDescent="0.25">
      <c r="A4326" t="s">
        <v>6851</v>
      </c>
      <c r="B4326" s="3">
        <v>45637</v>
      </c>
      <c r="C4326" t="s">
        <v>3178</v>
      </c>
      <c r="D4326" t="s">
        <v>3482</v>
      </c>
      <c r="E4326">
        <v>1</v>
      </c>
      <c r="F4326" t="s">
        <v>3524</v>
      </c>
      <c r="G4326" t="s">
        <v>3519</v>
      </c>
      <c r="H4326">
        <v>2.5</v>
      </c>
      <c r="I4326">
        <v>22.9</v>
      </c>
      <c r="J4326">
        <v>22.9</v>
      </c>
    </row>
    <row r="4327" spans="1:10" x14ac:dyDescent="0.25">
      <c r="A4327" t="s">
        <v>6852</v>
      </c>
      <c r="B4327" s="3">
        <v>44777</v>
      </c>
      <c r="C4327" t="s">
        <v>1550</v>
      </c>
      <c r="D4327" t="s">
        <v>3512</v>
      </c>
      <c r="E4327">
        <v>2</v>
      </c>
      <c r="F4327" t="s">
        <v>3525</v>
      </c>
      <c r="G4327" t="s">
        <v>3519</v>
      </c>
      <c r="H4327">
        <v>2.5</v>
      </c>
      <c r="I4327">
        <v>33.5</v>
      </c>
      <c r="J4327">
        <v>67</v>
      </c>
    </row>
    <row r="4328" spans="1:10" x14ac:dyDescent="0.25">
      <c r="A4328" t="s">
        <v>6853</v>
      </c>
      <c r="B4328" s="3">
        <v>45621</v>
      </c>
      <c r="C4328" t="s">
        <v>1582</v>
      </c>
      <c r="D4328" t="s">
        <v>3479</v>
      </c>
      <c r="E4328">
        <v>6</v>
      </c>
      <c r="F4328" t="s">
        <v>3526</v>
      </c>
      <c r="G4328" t="s">
        <v>3517</v>
      </c>
      <c r="H4328">
        <v>2.5</v>
      </c>
      <c r="I4328">
        <v>34.200000000000003</v>
      </c>
      <c r="J4328">
        <v>205.2</v>
      </c>
    </row>
    <row r="4329" spans="1:10" x14ac:dyDescent="0.25">
      <c r="A4329" t="s">
        <v>6854</v>
      </c>
      <c r="B4329" s="3">
        <v>44411</v>
      </c>
      <c r="C4329" t="s">
        <v>2795</v>
      </c>
      <c r="D4329" t="s">
        <v>3479</v>
      </c>
      <c r="E4329">
        <v>4</v>
      </c>
      <c r="F4329" t="s">
        <v>3526</v>
      </c>
      <c r="G4329" t="s">
        <v>3517</v>
      </c>
      <c r="H4329">
        <v>2.5</v>
      </c>
      <c r="I4329">
        <v>34.200000000000003</v>
      </c>
      <c r="J4329">
        <v>136.80000000000001</v>
      </c>
    </row>
    <row r="4330" spans="1:10" x14ac:dyDescent="0.25">
      <c r="A4330" t="s">
        <v>6855</v>
      </c>
      <c r="B4330" s="3">
        <v>43573</v>
      </c>
      <c r="C4330" t="s">
        <v>544</v>
      </c>
      <c r="D4330" t="s">
        <v>3501</v>
      </c>
      <c r="E4330">
        <v>1</v>
      </c>
      <c r="F4330" t="s">
        <v>3525</v>
      </c>
      <c r="G4330" t="s">
        <v>3517</v>
      </c>
      <c r="H4330">
        <v>1</v>
      </c>
      <c r="I4330">
        <v>15.9</v>
      </c>
      <c r="J4330">
        <v>15.9</v>
      </c>
    </row>
    <row r="4331" spans="1:10" x14ac:dyDescent="0.25">
      <c r="A4331" t="s">
        <v>6856</v>
      </c>
      <c r="B4331" s="3">
        <v>45486</v>
      </c>
      <c r="C4331" t="s">
        <v>1588</v>
      </c>
      <c r="D4331" t="s">
        <v>3480</v>
      </c>
      <c r="E4331">
        <v>5</v>
      </c>
      <c r="F4331" t="s">
        <v>3524</v>
      </c>
      <c r="G4331" t="s">
        <v>3518</v>
      </c>
      <c r="H4331">
        <v>2.5</v>
      </c>
      <c r="I4331">
        <v>20.6</v>
      </c>
      <c r="J4331">
        <v>103</v>
      </c>
    </row>
    <row r="4332" spans="1:10" x14ac:dyDescent="0.25">
      <c r="A4332" t="s">
        <v>6857</v>
      </c>
      <c r="B4332" s="3">
        <v>44606</v>
      </c>
      <c r="C4332" t="s">
        <v>3438</v>
      </c>
      <c r="D4332" t="s">
        <v>3471</v>
      </c>
      <c r="E4332">
        <v>2</v>
      </c>
      <c r="F4332" t="s">
        <v>3523</v>
      </c>
      <c r="G4332" t="s">
        <v>3517</v>
      </c>
      <c r="H4332">
        <v>1</v>
      </c>
      <c r="I4332">
        <v>13</v>
      </c>
      <c r="J4332">
        <v>26</v>
      </c>
    </row>
    <row r="4333" spans="1:10" x14ac:dyDescent="0.25">
      <c r="A4333" t="s">
        <v>6858</v>
      </c>
      <c r="B4333" s="3">
        <v>44979</v>
      </c>
      <c r="C4333" t="s">
        <v>2983</v>
      </c>
      <c r="D4333" t="s">
        <v>3513</v>
      </c>
      <c r="E4333">
        <v>5</v>
      </c>
      <c r="F4333" t="s">
        <v>3523</v>
      </c>
      <c r="G4333" t="s">
        <v>3517</v>
      </c>
      <c r="H4333">
        <v>2.5</v>
      </c>
      <c r="I4333">
        <v>29.8</v>
      </c>
      <c r="J4333">
        <v>149</v>
      </c>
    </row>
    <row r="4334" spans="1:10" x14ac:dyDescent="0.25">
      <c r="A4334" t="s">
        <v>6859</v>
      </c>
      <c r="B4334" s="3">
        <v>45328</v>
      </c>
      <c r="C4334" t="s">
        <v>1785</v>
      </c>
      <c r="D4334" t="s">
        <v>3471</v>
      </c>
      <c r="E4334">
        <v>5</v>
      </c>
      <c r="F4334" t="s">
        <v>3523</v>
      </c>
      <c r="G4334" t="s">
        <v>3517</v>
      </c>
      <c r="H4334">
        <v>1</v>
      </c>
      <c r="I4334">
        <v>13</v>
      </c>
      <c r="J4334">
        <v>65</v>
      </c>
    </row>
    <row r="4335" spans="1:10" x14ac:dyDescent="0.25">
      <c r="A4335" t="s">
        <v>6860</v>
      </c>
      <c r="B4335" s="3">
        <v>45594</v>
      </c>
      <c r="C4335" t="s">
        <v>2927</v>
      </c>
      <c r="D4335" t="s">
        <v>3483</v>
      </c>
      <c r="E4335">
        <v>3</v>
      </c>
      <c r="F4335" t="s">
        <v>3523</v>
      </c>
      <c r="G4335" t="s">
        <v>3519</v>
      </c>
      <c r="H4335">
        <v>0.2</v>
      </c>
      <c r="I4335">
        <v>3.4</v>
      </c>
      <c r="J4335">
        <v>10.199999999999999</v>
      </c>
    </row>
    <row r="4336" spans="1:10" x14ac:dyDescent="0.25">
      <c r="A4336" t="s">
        <v>6861</v>
      </c>
      <c r="B4336" s="3">
        <v>44833</v>
      </c>
      <c r="C4336" t="s">
        <v>2843</v>
      </c>
      <c r="D4336" t="s">
        <v>3485</v>
      </c>
      <c r="E4336">
        <v>6</v>
      </c>
      <c r="F4336" t="s">
        <v>3523</v>
      </c>
      <c r="G4336" t="s">
        <v>3518</v>
      </c>
      <c r="H4336">
        <v>0.2</v>
      </c>
      <c r="I4336">
        <v>3</v>
      </c>
      <c r="J4336">
        <v>18</v>
      </c>
    </row>
    <row r="4337" spans="1:10" x14ac:dyDescent="0.25">
      <c r="A4337" t="s">
        <v>6862</v>
      </c>
      <c r="B4337" s="3">
        <v>44914</v>
      </c>
      <c r="C4337" t="s">
        <v>2681</v>
      </c>
      <c r="D4337" t="s">
        <v>3506</v>
      </c>
      <c r="E4337">
        <v>4</v>
      </c>
      <c r="F4337" t="s">
        <v>3523</v>
      </c>
      <c r="G4337" t="s">
        <v>3519</v>
      </c>
      <c r="H4337">
        <v>2.5</v>
      </c>
      <c r="I4337">
        <v>25.9</v>
      </c>
      <c r="J4337">
        <v>103.6</v>
      </c>
    </row>
    <row r="4338" spans="1:10" x14ac:dyDescent="0.25">
      <c r="A4338" t="s">
        <v>6863</v>
      </c>
      <c r="B4338" s="3">
        <v>45056</v>
      </c>
      <c r="C4338" t="s">
        <v>3417</v>
      </c>
      <c r="D4338" t="s">
        <v>3487</v>
      </c>
      <c r="E4338">
        <v>2</v>
      </c>
      <c r="F4338" t="s">
        <v>3526</v>
      </c>
      <c r="G4338" t="s">
        <v>3519</v>
      </c>
      <c r="H4338">
        <v>0.2</v>
      </c>
      <c r="I4338">
        <v>4.0999999999999996</v>
      </c>
      <c r="J4338">
        <v>8.1999999999999993</v>
      </c>
    </row>
    <row r="4339" spans="1:10" x14ac:dyDescent="0.25">
      <c r="A4339" t="s">
        <v>6864</v>
      </c>
      <c r="B4339" s="3">
        <v>45251</v>
      </c>
      <c r="C4339" t="s">
        <v>1782</v>
      </c>
      <c r="D4339" t="s">
        <v>3489</v>
      </c>
      <c r="E4339">
        <v>2</v>
      </c>
      <c r="F4339" t="s">
        <v>3523</v>
      </c>
      <c r="G4339" t="s">
        <v>3518</v>
      </c>
      <c r="H4339">
        <v>0.5</v>
      </c>
      <c r="I4339">
        <v>6</v>
      </c>
      <c r="J4339">
        <v>12</v>
      </c>
    </row>
    <row r="4340" spans="1:10" x14ac:dyDescent="0.25">
      <c r="A4340" t="s">
        <v>6865</v>
      </c>
      <c r="B4340" s="3">
        <v>44798</v>
      </c>
      <c r="C4340" t="s">
        <v>2798</v>
      </c>
      <c r="D4340" t="s">
        <v>3494</v>
      </c>
      <c r="E4340">
        <v>2</v>
      </c>
      <c r="F4340" t="s">
        <v>3524</v>
      </c>
      <c r="G4340" t="s">
        <v>3518</v>
      </c>
      <c r="H4340">
        <v>0.2</v>
      </c>
      <c r="I4340">
        <v>2.7</v>
      </c>
      <c r="J4340">
        <v>5.4</v>
      </c>
    </row>
    <row r="4341" spans="1:10" x14ac:dyDescent="0.25">
      <c r="A4341" t="s">
        <v>6866</v>
      </c>
      <c r="B4341" s="3">
        <v>43996</v>
      </c>
      <c r="C4341" t="s">
        <v>2018</v>
      </c>
      <c r="D4341" t="s">
        <v>3471</v>
      </c>
      <c r="E4341">
        <v>5</v>
      </c>
      <c r="F4341" t="s">
        <v>3523</v>
      </c>
      <c r="G4341" t="s">
        <v>3517</v>
      </c>
      <c r="H4341">
        <v>1</v>
      </c>
      <c r="I4341">
        <v>13</v>
      </c>
      <c r="J4341">
        <v>65</v>
      </c>
    </row>
    <row r="4342" spans="1:10" x14ac:dyDescent="0.25">
      <c r="A4342" t="s">
        <v>6867</v>
      </c>
      <c r="B4342" s="3">
        <v>45501</v>
      </c>
      <c r="C4342" t="s">
        <v>3157</v>
      </c>
      <c r="D4342" t="s">
        <v>3512</v>
      </c>
      <c r="E4342">
        <v>1</v>
      </c>
      <c r="F4342" t="s">
        <v>3525</v>
      </c>
      <c r="G4342" t="s">
        <v>3519</v>
      </c>
      <c r="H4342">
        <v>2.5</v>
      </c>
      <c r="I4342">
        <v>33.5</v>
      </c>
      <c r="J4342">
        <v>33.5</v>
      </c>
    </row>
    <row r="4343" spans="1:10" x14ac:dyDescent="0.25">
      <c r="A4343" t="s">
        <v>6868</v>
      </c>
      <c r="B4343" s="3">
        <v>43804</v>
      </c>
      <c r="C4343" t="s">
        <v>1137</v>
      </c>
      <c r="D4343" t="s">
        <v>3501</v>
      </c>
      <c r="E4343">
        <v>2</v>
      </c>
      <c r="F4343" t="s">
        <v>3525</v>
      </c>
      <c r="G4343" t="s">
        <v>3517</v>
      </c>
      <c r="H4343">
        <v>1</v>
      </c>
      <c r="I4343">
        <v>15.9</v>
      </c>
      <c r="J4343">
        <v>31.8</v>
      </c>
    </row>
    <row r="4344" spans="1:10" x14ac:dyDescent="0.25">
      <c r="A4344" t="s">
        <v>6869</v>
      </c>
      <c r="B4344" s="3">
        <v>44919</v>
      </c>
      <c r="C4344" t="s">
        <v>3449</v>
      </c>
      <c r="D4344" t="s">
        <v>3479</v>
      </c>
      <c r="E4344">
        <v>5</v>
      </c>
      <c r="F4344" t="s">
        <v>3526</v>
      </c>
      <c r="G4344" t="s">
        <v>3517</v>
      </c>
      <c r="H4344">
        <v>2.5</v>
      </c>
      <c r="I4344">
        <v>34.200000000000003</v>
      </c>
      <c r="J4344">
        <v>171</v>
      </c>
    </row>
    <row r="4345" spans="1:10" x14ac:dyDescent="0.25">
      <c r="A4345" t="s">
        <v>6870</v>
      </c>
      <c r="B4345" s="3">
        <v>45134</v>
      </c>
      <c r="C4345" t="s">
        <v>968</v>
      </c>
      <c r="D4345" t="s">
        <v>3496</v>
      </c>
      <c r="E4345">
        <v>1</v>
      </c>
      <c r="F4345" t="s">
        <v>3525</v>
      </c>
      <c r="G4345" t="s">
        <v>3518</v>
      </c>
      <c r="H4345">
        <v>2.5</v>
      </c>
      <c r="I4345">
        <v>29.8</v>
      </c>
      <c r="J4345">
        <v>29.8</v>
      </c>
    </row>
    <row r="4346" spans="1:10" x14ac:dyDescent="0.25">
      <c r="A4346" t="s">
        <v>6871</v>
      </c>
      <c r="B4346" s="3">
        <v>44994</v>
      </c>
      <c r="C4346" t="s">
        <v>2459</v>
      </c>
      <c r="D4346" t="s">
        <v>3512</v>
      </c>
      <c r="E4346">
        <v>3</v>
      </c>
      <c r="F4346" t="s">
        <v>3525</v>
      </c>
      <c r="G4346" t="s">
        <v>3519</v>
      </c>
      <c r="H4346">
        <v>2.5</v>
      </c>
      <c r="I4346">
        <v>33.5</v>
      </c>
      <c r="J4346">
        <v>100.5</v>
      </c>
    </row>
    <row r="4347" spans="1:10" x14ac:dyDescent="0.25">
      <c r="A4347" t="s">
        <v>6872</v>
      </c>
      <c r="B4347" s="3">
        <v>43511</v>
      </c>
      <c r="C4347" t="s">
        <v>1208</v>
      </c>
      <c r="D4347" t="s">
        <v>3510</v>
      </c>
      <c r="E4347">
        <v>2</v>
      </c>
      <c r="F4347" t="s">
        <v>3524</v>
      </c>
      <c r="G4347" t="s">
        <v>3517</v>
      </c>
      <c r="H4347">
        <v>1</v>
      </c>
      <c r="I4347">
        <v>12</v>
      </c>
      <c r="J4347">
        <v>24</v>
      </c>
    </row>
    <row r="4348" spans="1:10" x14ac:dyDescent="0.25">
      <c r="A4348" t="s">
        <v>6873</v>
      </c>
      <c r="B4348" s="3">
        <v>44891</v>
      </c>
      <c r="C4348" t="s">
        <v>2539</v>
      </c>
      <c r="D4348" t="s">
        <v>3484</v>
      </c>
      <c r="E4348">
        <v>5</v>
      </c>
      <c r="F4348" t="s">
        <v>3526</v>
      </c>
      <c r="G4348" t="s">
        <v>3518</v>
      </c>
      <c r="H4348">
        <v>0.2</v>
      </c>
      <c r="I4348">
        <v>3.6</v>
      </c>
      <c r="J4348">
        <v>18</v>
      </c>
    </row>
    <row r="4349" spans="1:10" x14ac:dyDescent="0.25">
      <c r="A4349" t="s">
        <v>6874</v>
      </c>
      <c r="B4349" s="3">
        <v>44870</v>
      </c>
      <c r="C4349" t="s">
        <v>1690</v>
      </c>
      <c r="D4349" t="s">
        <v>3491</v>
      </c>
      <c r="E4349">
        <v>2</v>
      </c>
      <c r="F4349" t="s">
        <v>3525</v>
      </c>
      <c r="G4349" t="s">
        <v>3519</v>
      </c>
      <c r="H4349">
        <v>0.5</v>
      </c>
      <c r="I4349">
        <v>8.6999999999999993</v>
      </c>
      <c r="J4349">
        <v>17.399999999999999</v>
      </c>
    </row>
    <row r="4350" spans="1:10" x14ac:dyDescent="0.25">
      <c r="A4350" t="s">
        <v>6875</v>
      </c>
      <c r="B4350" s="3">
        <v>45245</v>
      </c>
      <c r="C4350" t="s">
        <v>558</v>
      </c>
      <c r="D4350" t="s">
        <v>3490</v>
      </c>
      <c r="E4350">
        <v>1</v>
      </c>
      <c r="F4350" t="s">
        <v>3525</v>
      </c>
      <c r="G4350" t="s">
        <v>3519</v>
      </c>
      <c r="H4350">
        <v>0.2</v>
      </c>
      <c r="I4350">
        <v>4.4000000000000004</v>
      </c>
      <c r="J4350">
        <v>4.4000000000000004</v>
      </c>
    </row>
    <row r="4351" spans="1:10" x14ac:dyDescent="0.25">
      <c r="A4351" t="s">
        <v>6876</v>
      </c>
      <c r="B4351" s="3">
        <v>44823</v>
      </c>
      <c r="C4351" t="s">
        <v>841</v>
      </c>
      <c r="D4351" t="s">
        <v>3498</v>
      </c>
      <c r="E4351">
        <v>2</v>
      </c>
      <c r="F4351" t="s">
        <v>3523</v>
      </c>
      <c r="G4351" t="s">
        <v>3517</v>
      </c>
      <c r="H4351">
        <v>0.2</v>
      </c>
      <c r="I4351">
        <v>3.9</v>
      </c>
      <c r="J4351">
        <v>7.8</v>
      </c>
    </row>
    <row r="4352" spans="1:10" x14ac:dyDescent="0.25">
      <c r="A4352" t="s">
        <v>6877</v>
      </c>
      <c r="B4352" s="3">
        <v>43783</v>
      </c>
      <c r="C4352" t="s">
        <v>2009</v>
      </c>
      <c r="D4352" t="s">
        <v>3470</v>
      </c>
      <c r="E4352">
        <v>5</v>
      </c>
      <c r="F4352" t="s">
        <v>3526</v>
      </c>
      <c r="G4352" t="s">
        <v>3519</v>
      </c>
      <c r="H4352">
        <v>0.5</v>
      </c>
      <c r="I4352">
        <v>8.3000000000000007</v>
      </c>
      <c r="J4352">
        <v>41.5</v>
      </c>
    </row>
    <row r="4353" spans="1:10" x14ac:dyDescent="0.25">
      <c r="A4353" t="s">
        <v>6878</v>
      </c>
      <c r="B4353" s="3">
        <v>43789</v>
      </c>
      <c r="C4353" t="s">
        <v>1842</v>
      </c>
      <c r="D4353" t="s">
        <v>3485</v>
      </c>
      <c r="E4353">
        <v>2</v>
      </c>
      <c r="F4353" t="s">
        <v>3523</v>
      </c>
      <c r="G4353" t="s">
        <v>3518</v>
      </c>
      <c r="H4353">
        <v>0.2</v>
      </c>
      <c r="I4353">
        <v>3</v>
      </c>
      <c r="J4353">
        <v>6</v>
      </c>
    </row>
    <row r="4354" spans="1:10" x14ac:dyDescent="0.25">
      <c r="A4354" t="s">
        <v>6879</v>
      </c>
      <c r="B4354" s="3">
        <v>45182</v>
      </c>
      <c r="C4354" t="s">
        <v>1012</v>
      </c>
      <c r="D4354" t="s">
        <v>3475</v>
      </c>
      <c r="E4354">
        <v>3</v>
      </c>
      <c r="F4354" t="s">
        <v>3526</v>
      </c>
      <c r="G4354" t="s">
        <v>3518</v>
      </c>
      <c r="H4354">
        <v>0.5</v>
      </c>
      <c r="I4354">
        <v>7.3</v>
      </c>
      <c r="J4354">
        <v>21.9</v>
      </c>
    </row>
    <row r="4355" spans="1:10" x14ac:dyDescent="0.25">
      <c r="A4355" t="s">
        <v>6880</v>
      </c>
      <c r="B4355" s="3">
        <v>45064</v>
      </c>
      <c r="C4355" t="s">
        <v>2359</v>
      </c>
      <c r="D4355" t="s">
        <v>3507</v>
      </c>
      <c r="E4355">
        <v>2</v>
      </c>
      <c r="F4355" t="s">
        <v>3526</v>
      </c>
      <c r="G4355" t="s">
        <v>3517</v>
      </c>
      <c r="H4355">
        <v>0.5</v>
      </c>
      <c r="I4355">
        <v>8.9</v>
      </c>
      <c r="J4355">
        <v>17.8</v>
      </c>
    </row>
    <row r="4356" spans="1:10" x14ac:dyDescent="0.25">
      <c r="A4356" t="s">
        <v>6881</v>
      </c>
      <c r="B4356" s="3">
        <v>45422</v>
      </c>
      <c r="C4356" t="s">
        <v>1387</v>
      </c>
      <c r="D4356" t="s">
        <v>3514</v>
      </c>
      <c r="E4356">
        <v>6</v>
      </c>
      <c r="F4356" t="s">
        <v>3526</v>
      </c>
      <c r="G4356" t="s">
        <v>3518</v>
      </c>
      <c r="H4356">
        <v>1</v>
      </c>
      <c r="I4356">
        <v>12.2</v>
      </c>
      <c r="J4356">
        <v>73.2</v>
      </c>
    </row>
    <row r="4357" spans="1:10" x14ac:dyDescent="0.25">
      <c r="A4357" t="s">
        <v>6882</v>
      </c>
      <c r="B4357" s="3">
        <v>45356</v>
      </c>
      <c r="C4357" t="s">
        <v>2168</v>
      </c>
      <c r="D4357" t="s">
        <v>3481</v>
      </c>
      <c r="E4357">
        <v>4</v>
      </c>
      <c r="F4357" t="s">
        <v>3525</v>
      </c>
      <c r="G4357" t="s">
        <v>3518</v>
      </c>
      <c r="H4357">
        <v>0.2</v>
      </c>
      <c r="I4357">
        <v>3.9</v>
      </c>
      <c r="J4357">
        <v>15.6</v>
      </c>
    </row>
    <row r="4358" spans="1:10" x14ac:dyDescent="0.25">
      <c r="A4358" t="s">
        <v>6883</v>
      </c>
      <c r="B4358" s="3">
        <v>45052</v>
      </c>
      <c r="C4358" t="s">
        <v>1003</v>
      </c>
      <c r="D4358" t="s">
        <v>3496</v>
      </c>
      <c r="E4358">
        <v>5</v>
      </c>
      <c r="F4358" t="s">
        <v>3525</v>
      </c>
      <c r="G4358" t="s">
        <v>3518</v>
      </c>
      <c r="H4358">
        <v>2.5</v>
      </c>
      <c r="I4358">
        <v>29.8</v>
      </c>
      <c r="J4358">
        <v>149</v>
      </c>
    </row>
    <row r="4359" spans="1:10" x14ac:dyDescent="0.25">
      <c r="A4359" t="s">
        <v>6884</v>
      </c>
      <c r="B4359" s="3">
        <v>44989</v>
      </c>
      <c r="C4359" t="s">
        <v>1271</v>
      </c>
      <c r="D4359" t="s">
        <v>3493</v>
      </c>
      <c r="E4359">
        <v>1</v>
      </c>
      <c r="F4359" t="s">
        <v>3525</v>
      </c>
      <c r="G4359" t="s">
        <v>3519</v>
      </c>
      <c r="H4359">
        <v>1</v>
      </c>
      <c r="I4359">
        <v>14.6</v>
      </c>
      <c r="J4359">
        <v>14.6</v>
      </c>
    </row>
    <row r="4360" spans="1:10" x14ac:dyDescent="0.25">
      <c r="A4360" t="s">
        <v>6885</v>
      </c>
      <c r="B4360" s="3">
        <v>44712</v>
      </c>
      <c r="C4360" t="s">
        <v>3246</v>
      </c>
      <c r="D4360" t="s">
        <v>3515</v>
      </c>
      <c r="E4360">
        <v>5</v>
      </c>
      <c r="F4360" t="s">
        <v>3526</v>
      </c>
      <c r="G4360" t="s">
        <v>3517</v>
      </c>
      <c r="H4360">
        <v>0.2</v>
      </c>
      <c r="I4360">
        <v>4.5</v>
      </c>
      <c r="J4360">
        <v>22.5</v>
      </c>
    </row>
    <row r="4361" spans="1:10" x14ac:dyDescent="0.25">
      <c r="A4361" t="s">
        <v>6886</v>
      </c>
      <c r="B4361" s="3">
        <v>44868</v>
      </c>
      <c r="C4361" t="s">
        <v>3022</v>
      </c>
      <c r="D4361" t="s">
        <v>3503</v>
      </c>
      <c r="E4361">
        <v>3</v>
      </c>
      <c r="F4361" t="s">
        <v>3524</v>
      </c>
      <c r="G4361" t="s">
        <v>3518</v>
      </c>
      <c r="H4361">
        <v>0.5</v>
      </c>
      <c r="I4361">
        <v>5.4</v>
      </c>
      <c r="J4361">
        <v>16.2</v>
      </c>
    </row>
    <row r="4362" spans="1:10" x14ac:dyDescent="0.25">
      <c r="A4362" t="s">
        <v>6887</v>
      </c>
      <c r="B4362" s="3">
        <v>45106</v>
      </c>
      <c r="C4362" t="s">
        <v>2152</v>
      </c>
      <c r="D4362" t="s">
        <v>3488</v>
      </c>
      <c r="E4362">
        <v>3</v>
      </c>
      <c r="F4362" t="s">
        <v>3523</v>
      </c>
      <c r="G4362" t="s">
        <v>3519</v>
      </c>
      <c r="H4362">
        <v>0.5</v>
      </c>
      <c r="I4362">
        <v>6.8</v>
      </c>
      <c r="J4362">
        <v>20.399999999999999</v>
      </c>
    </row>
    <row r="4363" spans="1:10" x14ac:dyDescent="0.25">
      <c r="A4363" t="s">
        <v>6888</v>
      </c>
      <c r="B4363" s="3">
        <v>44687</v>
      </c>
      <c r="C4363" t="s">
        <v>778</v>
      </c>
      <c r="D4363" t="s">
        <v>3500</v>
      </c>
      <c r="E4363">
        <v>3</v>
      </c>
      <c r="F4363" t="s">
        <v>3525</v>
      </c>
      <c r="G4363" t="s">
        <v>3518</v>
      </c>
      <c r="H4363">
        <v>0.5</v>
      </c>
      <c r="I4363">
        <v>7.8</v>
      </c>
      <c r="J4363">
        <v>23.4</v>
      </c>
    </row>
    <row r="4364" spans="1:10" x14ac:dyDescent="0.25">
      <c r="A4364" t="s">
        <v>6889</v>
      </c>
      <c r="B4364" s="3">
        <v>43987</v>
      </c>
      <c r="C4364" t="s">
        <v>2143</v>
      </c>
      <c r="D4364" t="s">
        <v>3510</v>
      </c>
      <c r="E4364">
        <v>5</v>
      </c>
      <c r="F4364" t="s">
        <v>3524</v>
      </c>
      <c r="G4364" t="s">
        <v>3517</v>
      </c>
      <c r="H4364">
        <v>1</v>
      </c>
      <c r="I4364">
        <v>12</v>
      </c>
      <c r="J4364">
        <v>60</v>
      </c>
    </row>
    <row r="4365" spans="1:10" x14ac:dyDescent="0.25">
      <c r="A4365" t="s">
        <v>6890</v>
      </c>
      <c r="B4365" s="3">
        <v>45275</v>
      </c>
      <c r="C4365" t="s">
        <v>1693</v>
      </c>
      <c r="D4365" t="s">
        <v>3497</v>
      </c>
      <c r="E4365">
        <v>3</v>
      </c>
      <c r="F4365" t="s">
        <v>3526</v>
      </c>
      <c r="G4365" t="s">
        <v>3519</v>
      </c>
      <c r="H4365">
        <v>2.5</v>
      </c>
      <c r="I4365">
        <v>31.6</v>
      </c>
      <c r="J4365">
        <v>94.8</v>
      </c>
    </row>
    <row r="4366" spans="1:10" x14ac:dyDescent="0.25">
      <c r="A4366" t="s">
        <v>6891</v>
      </c>
      <c r="B4366" s="3">
        <v>45178</v>
      </c>
      <c r="C4366" t="s">
        <v>875</v>
      </c>
      <c r="D4366" t="s">
        <v>3502</v>
      </c>
      <c r="E4366">
        <v>6</v>
      </c>
      <c r="F4366" t="s">
        <v>3526</v>
      </c>
      <c r="G4366" t="s">
        <v>3517</v>
      </c>
      <c r="H4366">
        <v>1</v>
      </c>
      <c r="I4366">
        <v>14.9</v>
      </c>
      <c r="J4366">
        <v>89.4</v>
      </c>
    </row>
    <row r="4367" spans="1:10" x14ac:dyDescent="0.25">
      <c r="A4367" t="s">
        <v>6892</v>
      </c>
      <c r="B4367" s="3">
        <v>44714</v>
      </c>
      <c r="C4367" t="s">
        <v>707</v>
      </c>
      <c r="D4367" t="s">
        <v>3502</v>
      </c>
      <c r="E4367">
        <v>3</v>
      </c>
      <c r="F4367" t="s">
        <v>3526</v>
      </c>
      <c r="G4367" t="s">
        <v>3517</v>
      </c>
      <c r="H4367">
        <v>1</v>
      </c>
      <c r="I4367">
        <v>14.9</v>
      </c>
      <c r="J4367">
        <v>44.7</v>
      </c>
    </row>
    <row r="4368" spans="1:10" x14ac:dyDescent="0.25">
      <c r="A4368" t="s">
        <v>6893</v>
      </c>
      <c r="B4368" s="3">
        <v>44991</v>
      </c>
      <c r="C4368" t="s">
        <v>3030</v>
      </c>
      <c r="D4368" t="s">
        <v>3501</v>
      </c>
      <c r="E4368">
        <v>1</v>
      </c>
      <c r="F4368" t="s">
        <v>3525</v>
      </c>
      <c r="G4368" t="s">
        <v>3517</v>
      </c>
      <c r="H4368">
        <v>1</v>
      </c>
      <c r="I4368">
        <v>15.9</v>
      </c>
      <c r="J4368">
        <v>15.9</v>
      </c>
    </row>
    <row r="4369" spans="1:10" x14ac:dyDescent="0.25">
      <c r="A4369" t="s">
        <v>6894</v>
      </c>
      <c r="B4369" s="3">
        <v>45356</v>
      </c>
      <c r="C4369" t="s">
        <v>3196</v>
      </c>
      <c r="D4369" t="s">
        <v>3494</v>
      </c>
      <c r="E4369">
        <v>3</v>
      </c>
      <c r="F4369" t="s">
        <v>3524</v>
      </c>
      <c r="G4369" t="s">
        <v>3518</v>
      </c>
      <c r="H4369">
        <v>0.2</v>
      </c>
      <c r="I4369">
        <v>2.7</v>
      </c>
      <c r="J4369">
        <v>8.1</v>
      </c>
    </row>
    <row r="4370" spans="1:10" x14ac:dyDescent="0.25">
      <c r="A4370" t="s">
        <v>6895</v>
      </c>
      <c r="B4370" s="3">
        <v>45006</v>
      </c>
      <c r="C4370" t="s">
        <v>1426</v>
      </c>
      <c r="D4370" t="s">
        <v>3505</v>
      </c>
      <c r="E4370">
        <v>3</v>
      </c>
      <c r="F4370" t="s">
        <v>3524</v>
      </c>
      <c r="G4370" t="s">
        <v>3519</v>
      </c>
      <c r="H4370">
        <v>0.2</v>
      </c>
      <c r="I4370">
        <v>3</v>
      </c>
      <c r="J4370">
        <v>9</v>
      </c>
    </row>
    <row r="4371" spans="1:10" x14ac:dyDescent="0.25">
      <c r="A4371" t="s">
        <v>6896</v>
      </c>
      <c r="B4371" s="3">
        <v>45578</v>
      </c>
      <c r="C4371" t="s">
        <v>2733</v>
      </c>
      <c r="D4371" t="s">
        <v>3506</v>
      </c>
      <c r="E4371">
        <v>6</v>
      </c>
      <c r="F4371" t="s">
        <v>3523</v>
      </c>
      <c r="G4371" t="s">
        <v>3519</v>
      </c>
      <c r="H4371">
        <v>2.5</v>
      </c>
      <c r="I4371">
        <v>25.9</v>
      </c>
      <c r="J4371">
        <v>155.4</v>
      </c>
    </row>
    <row r="4372" spans="1:10" x14ac:dyDescent="0.25">
      <c r="A4372" t="s">
        <v>6897</v>
      </c>
      <c r="B4372" s="3">
        <v>45107</v>
      </c>
      <c r="C4372" t="s">
        <v>2769</v>
      </c>
      <c r="D4372" t="s">
        <v>3511</v>
      </c>
      <c r="E4372">
        <v>4</v>
      </c>
      <c r="F4372" t="s">
        <v>3523</v>
      </c>
      <c r="G4372" t="s">
        <v>3517</v>
      </c>
      <c r="H4372">
        <v>0.5</v>
      </c>
      <c r="I4372">
        <v>7.8</v>
      </c>
      <c r="J4372">
        <v>31.2</v>
      </c>
    </row>
    <row r="4373" spans="1:10" x14ac:dyDescent="0.25">
      <c r="A4373" t="s">
        <v>6898</v>
      </c>
      <c r="B4373" s="3">
        <v>44987</v>
      </c>
      <c r="C4373" t="s">
        <v>2251</v>
      </c>
      <c r="D4373" t="s">
        <v>3504</v>
      </c>
      <c r="E4373">
        <v>3</v>
      </c>
      <c r="F4373" t="s">
        <v>3524</v>
      </c>
      <c r="G4373" t="s">
        <v>3517</v>
      </c>
      <c r="H4373">
        <v>0.5</v>
      </c>
      <c r="I4373">
        <v>7.2</v>
      </c>
      <c r="J4373">
        <v>21.6</v>
      </c>
    </row>
    <row r="4374" spans="1:10" x14ac:dyDescent="0.25">
      <c r="A4374" t="s">
        <v>6899</v>
      </c>
      <c r="B4374" s="3">
        <v>44711</v>
      </c>
      <c r="C4374" t="s">
        <v>1890</v>
      </c>
      <c r="D4374" t="s">
        <v>3489</v>
      </c>
      <c r="E4374">
        <v>3</v>
      </c>
      <c r="F4374" t="s">
        <v>3523</v>
      </c>
      <c r="G4374" t="s">
        <v>3518</v>
      </c>
      <c r="H4374">
        <v>0.5</v>
      </c>
      <c r="I4374">
        <v>6</v>
      </c>
      <c r="J4374">
        <v>18</v>
      </c>
    </row>
    <row r="4375" spans="1:10" x14ac:dyDescent="0.25">
      <c r="A4375" t="s">
        <v>6900</v>
      </c>
      <c r="B4375" s="3">
        <v>44840</v>
      </c>
      <c r="C4375" t="s">
        <v>2388</v>
      </c>
      <c r="D4375" t="s">
        <v>3486</v>
      </c>
      <c r="E4375">
        <v>3</v>
      </c>
      <c r="F4375" t="s">
        <v>3523</v>
      </c>
      <c r="G4375" t="s">
        <v>3519</v>
      </c>
      <c r="H4375">
        <v>1</v>
      </c>
      <c r="I4375">
        <v>11.3</v>
      </c>
      <c r="J4375">
        <v>33.9</v>
      </c>
    </row>
    <row r="4376" spans="1:10" x14ac:dyDescent="0.25">
      <c r="A4376" t="s">
        <v>6901</v>
      </c>
      <c r="B4376" s="3">
        <v>45408</v>
      </c>
      <c r="C4376" t="s">
        <v>2828</v>
      </c>
      <c r="D4376" t="s">
        <v>3504</v>
      </c>
      <c r="E4376">
        <v>2</v>
      </c>
      <c r="F4376" t="s">
        <v>3524</v>
      </c>
      <c r="G4376" t="s">
        <v>3517</v>
      </c>
      <c r="H4376">
        <v>0.5</v>
      </c>
      <c r="I4376">
        <v>7.2</v>
      </c>
      <c r="J4376">
        <v>14.4</v>
      </c>
    </row>
    <row r="4377" spans="1:10" x14ac:dyDescent="0.25">
      <c r="A4377" t="s">
        <v>6902</v>
      </c>
      <c r="B4377" s="3">
        <v>45229</v>
      </c>
      <c r="C4377" t="s">
        <v>959</v>
      </c>
      <c r="D4377" t="s">
        <v>3507</v>
      </c>
      <c r="E4377">
        <v>5</v>
      </c>
      <c r="F4377" t="s">
        <v>3526</v>
      </c>
      <c r="G4377" t="s">
        <v>3517</v>
      </c>
      <c r="H4377">
        <v>0.5</v>
      </c>
      <c r="I4377">
        <v>8.9</v>
      </c>
      <c r="J4377">
        <v>44.5</v>
      </c>
    </row>
    <row r="4378" spans="1:10" x14ac:dyDescent="0.25">
      <c r="A4378" t="s">
        <v>6903</v>
      </c>
      <c r="B4378" s="3">
        <v>44702</v>
      </c>
      <c r="C4378" t="s">
        <v>2359</v>
      </c>
      <c r="D4378" t="s">
        <v>3484</v>
      </c>
      <c r="E4378">
        <v>5</v>
      </c>
      <c r="F4378" t="s">
        <v>3526</v>
      </c>
      <c r="G4378" t="s">
        <v>3518</v>
      </c>
      <c r="H4378">
        <v>0.2</v>
      </c>
      <c r="I4378">
        <v>3.6</v>
      </c>
      <c r="J4378">
        <v>18</v>
      </c>
    </row>
    <row r="4379" spans="1:10" x14ac:dyDescent="0.25">
      <c r="A4379" t="s">
        <v>6904</v>
      </c>
      <c r="B4379" s="3">
        <v>44994</v>
      </c>
      <c r="C4379" t="s">
        <v>841</v>
      </c>
      <c r="D4379" t="s">
        <v>3470</v>
      </c>
      <c r="E4379">
        <v>6</v>
      </c>
      <c r="F4379" t="s">
        <v>3526</v>
      </c>
      <c r="G4379" t="s">
        <v>3519</v>
      </c>
      <c r="H4379">
        <v>0.5</v>
      </c>
      <c r="I4379">
        <v>8.3000000000000007</v>
      </c>
      <c r="J4379">
        <v>49.8</v>
      </c>
    </row>
    <row r="4380" spans="1:10" x14ac:dyDescent="0.25">
      <c r="A4380" t="s">
        <v>6905</v>
      </c>
      <c r="B4380" s="3">
        <v>44984</v>
      </c>
      <c r="C4380" t="s">
        <v>3133</v>
      </c>
      <c r="D4380" t="s">
        <v>3494</v>
      </c>
      <c r="E4380">
        <v>1</v>
      </c>
      <c r="F4380" t="s">
        <v>3524</v>
      </c>
      <c r="G4380" t="s">
        <v>3518</v>
      </c>
      <c r="H4380">
        <v>0.2</v>
      </c>
      <c r="I4380">
        <v>2.7</v>
      </c>
      <c r="J4380">
        <v>2.7</v>
      </c>
    </row>
    <row r="4381" spans="1:10" x14ac:dyDescent="0.25">
      <c r="A4381" t="s">
        <v>6906</v>
      </c>
      <c r="B4381" s="3">
        <v>44830</v>
      </c>
      <c r="C4381" t="s">
        <v>1896</v>
      </c>
      <c r="D4381" t="s">
        <v>3496</v>
      </c>
      <c r="E4381">
        <v>5</v>
      </c>
      <c r="F4381" t="s">
        <v>3525</v>
      </c>
      <c r="G4381" t="s">
        <v>3518</v>
      </c>
      <c r="H4381">
        <v>2.5</v>
      </c>
      <c r="I4381">
        <v>29.8</v>
      </c>
      <c r="J4381">
        <v>149</v>
      </c>
    </row>
    <row r="4382" spans="1:10" x14ac:dyDescent="0.25">
      <c r="A4382" t="s">
        <v>6907</v>
      </c>
      <c r="B4382" s="3">
        <v>44170</v>
      </c>
      <c r="C4382" t="s">
        <v>1137</v>
      </c>
      <c r="D4382" t="s">
        <v>3476</v>
      </c>
      <c r="E4382">
        <v>5</v>
      </c>
      <c r="F4382" t="s">
        <v>3525</v>
      </c>
      <c r="G4382" t="s">
        <v>3517</v>
      </c>
      <c r="H4382">
        <v>0.2</v>
      </c>
      <c r="I4382">
        <v>4.8</v>
      </c>
      <c r="J4382">
        <v>24</v>
      </c>
    </row>
    <row r="4383" spans="1:10" x14ac:dyDescent="0.25">
      <c r="A4383" t="s">
        <v>6908</v>
      </c>
      <c r="B4383" s="3">
        <v>45273</v>
      </c>
      <c r="C4383" t="s">
        <v>3157</v>
      </c>
      <c r="D4383" t="s">
        <v>3490</v>
      </c>
      <c r="E4383">
        <v>1</v>
      </c>
      <c r="F4383" t="s">
        <v>3525</v>
      </c>
      <c r="G4383" t="s">
        <v>3519</v>
      </c>
      <c r="H4383">
        <v>0.2</v>
      </c>
      <c r="I4383">
        <v>4.4000000000000004</v>
      </c>
      <c r="J4383">
        <v>4.4000000000000004</v>
      </c>
    </row>
    <row r="4384" spans="1:10" x14ac:dyDescent="0.25">
      <c r="A4384" t="s">
        <v>6909</v>
      </c>
      <c r="B4384" s="3">
        <v>45231</v>
      </c>
      <c r="C4384" t="s">
        <v>1976</v>
      </c>
      <c r="D4384" t="s">
        <v>3471</v>
      </c>
      <c r="E4384">
        <v>1</v>
      </c>
      <c r="F4384" t="s">
        <v>3523</v>
      </c>
      <c r="G4384" t="s">
        <v>3517</v>
      </c>
      <c r="H4384">
        <v>1</v>
      </c>
      <c r="I4384">
        <v>13</v>
      </c>
      <c r="J4384">
        <v>13</v>
      </c>
    </row>
    <row r="4385" spans="1:10" x14ac:dyDescent="0.25">
      <c r="A4385" t="s">
        <v>6910</v>
      </c>
      <c r="B4385" s="3">
        <v>43796</v>
      </c>
      <c r="C4385" t="s">
        <v>2867</v>
      </c>
      <c r="D4385" t="s">
        <v>3500</v>
      </c>
      <c r="E4385">
        <v>1</v>
      </c>
      <c r="F4385" t="s">
        <v>3525</v>
      </c>
      <c r="G4385" t="s">
        <v>3518</v>
      </c>
      <c r="H4385">
        <v>0.5</v>
      </c>
      <c r="I4385">
        <v>7.8</v>
      </c>
      <c r="J4385">
        <v>7.8</v>
      </c>
    </row>
    <row r="4386" spans="1:10" x14ac:dyDescent="0.25">
      <c r="A4386" t="s">
        <v>6911</v>
      </c>
      <c r="B4386" s="3">
        <v>44943</v>
      </c>
      <c r="C4386" t="s">
        <v>713</v>
      </c>
      <c r="D4386" t="s">
        <v>3495</v>
      </c>
      <c r="E4386">
        <v>5</v>
      </c>
      <c r="F4386" t="s">
        <v>3525</v>
      </c>
      <c r="G4386" t="s">
        <v>3517</v>
      </c>
      <c r="H4386">
        <v>2.5</v>
      </c>
      <c r="I4386">
        <v>36.5</v>
      </c>
      <c r="J4386">
        <v>182.5</v>
      </c>
    </row>
    <row r="4387" spans="1:10" x14ac:dyDescent="0.25">
      <c r="A4387" t="s">
        <v>6912</v>
      </c>
      <c r="B4387" s="3">
        <v>45555</v>
      </c>
      <c r="C4387" t="s">
        <v>2092</v>
      </c>
      <c r="D4387" t="s">
        <v>3484</v>
      </c>
      <c r="E4387">
        <v>5</v>
      </c>
      <c r="F4387" t="s">
        <v>3526</v>
      </c>
      <c r="G4387" t="s">
        <v>3518</v>
      </c>
      <c r="H4387">
        <v>0.2</v>
      </c>
      <c r="I4387">
        <v>3.6</v>
      </c>
      <c r="J4387">
        <v>18</v>
      </c>
    </row>
    <row r="4388" spans="1:10" x14ac:dyDescent="0.25">
      <c r="A4388" t="s">
        <v>6913</v>
      </c>
      <c r="B4388" s="3">
        <v>45503</v>
      </c>
      <c r="C4388" t="s">
        <v>2107</v>
      </c>
      <c r="D4388" t="s">
        <v>3475</v>
      </c>
      <c r="E4388">
        <v>4</v>
      </c>
      <c r="F4388" t="s">
        <v>3526</v>
      </c>
      <c r="G4388" t="s">
        <v>3518</v>
      </c>
      <c r="H4388">
        <v>0.5</v>
      </c>
      <c r="I4388">
        <v>7.3</v>
      </c>
      <c r="J4388">
        <v>29.2</v>
      </c>
    </row>
    <row r="4389" spans="1:10" x14ac:dyDescent="0.25">
      <c r="A4389" t="s">
        <v>6914</v>
      </c>
      <c r="B4389" s="3">
        <v>45611</v>
      </c>
      <c r="C4389" t="s">
        <v>2456</v>
      </c>
      <c r="D4389" t="s">
        <v>3494</v>
      </c>
      <c r="E4389">
        <v>2</v>
      </c>
      <c r="F4389" t="s">
        <v>3524</v>
      </c>
      <c r="G4389" t="s">
        <v>3518</v>
      </c>
      <c r="H4389">
        <v>0.2</v>
      </c>
      <c r="I4389">
        <v>2.7</v>
      </c>
      <c r="J4389">
        <v>5.4</v>
      </c>
    </row>
    <row r="4390" spans="1:10" x14ac:dyDescent="0.25">
      <c r="A4390" t="s">
        <v>6915</v>
      </c>
      <c r="B4390" s="3">
        <v>44817</v>
      </c>
      <c r="C4390" t="s">
        <v>2974</v>
      </c>
      <c r="D4390" t="s">
        <v>3473</v>
      </c>
      <c r="E4390">
        <v>3</v>
      </c>
      <c r="F4390" t="s">
        <v>3524</v>
      </c>
      <c r="G4390" t="s">
        <v>3517</v>
      </c>
      <c r="H4390">
        <v>2.5</v>
      </c>
      <c r="I4390">
        <v>27.5</v>
      </c>
      <c r="J4390">
        <v>82.5</v>
      </c>
    </row>
    <row r="4391" spans="1:10" x14ac:dyDescent="0.25">
      <c r="A4391" t="s">
        <v>6916</v>
      </c>
      <c r="B4391" s="3">
        <v>45598</v>
      </c>
      <c r="C4391" t="s">
        <v>3048</v>
      </c>
      <c r="D4391" t="s">
        <v>3486</v>
      </c>
      <c r="E4391">
        <v>5</v>
      </c>
      <c r="F4391" t="s">
        <v>3523</v>
      </c>
      <c r="G4391" t="s">
        <v>3519</v>
      </c>
      <c r="H4391">
        <v>1</v>
      </c>
      <c r="I4391">
        <v>11.3</v>
      </c>
      <c r="J4391">
        <v>56.5</v>
      </c>
    </row>
    <row r="4392" spans="1:10" x14ac:dyDescent="0.25">
      <c r="A4392" t="s">
        <v>6917</v>
      </c>
      <c r="B4392" s="3">
        <v>43911</v>
      </c>
      <c r="C4392" t="s">
        <v>3193</v>
      </c>
      <c r="D4392" t="s">
        <v>3485</v>
      </c>
      <c r="E4392">
        <v>3</v>
      </c>
      <c r="F4392" t="s">
        <v>3523</v>
      </c>
      <c r="G4392" t="s">
        <v>3518</v>
      </c>
      <c r="H4392">
        <v>0.2</v>
      </c>
      <c r="I4392">
        <v>3</v>
      </c>
      <c r="J4392">
        <v>9</v>
      </c>
    </row>
    <row r="4393" spans="1:10" x14ac:dyDescent="0.25">
      <c r="A4393" t="s">
        <v>6918</v>
      </c>
      <c r="B4393" s="3">
        <v>44690</v>
      </c>
      <c r="C4393" t="s">
        <v>2948</v>
      </c>
      <c r="D4393" t="s">
        <v>3480</v>
      </c>
      <c r="E4393">
        <v>2</v>
      </c>
      <c r="F4393" t="s">
        <v>3524</v>
      </c>
      <c r="G4393" t="s">
        <v>3518</v>
      </c>
      <c r="H4393">
        <v>2.5</v>
      </c>
      <c r="I4393">
        <v>20.6</v>
      </c>
      <c r="J4393">
        <v>41.2</v>
      </c>
    </row>
    <row r="4394" spans="1:10" x14ac:dyDescent="0.25">
      <c r="A4394" t="s">
        <v>6919</v>
      </c>
      <c r="B4394" s="3">
        <v>45296</v>
      </c>
      <c r="C4394" t="s">
        <v>3163</v>
      </c>
      <c r="D4394" t="s">
        <v>3476</v>
      </c>
      <c r="E4394">
        <v>3</v>
      </c>
      <c r="F4394" t="s">
        <v>3525</v>
      </c>
      <c r="G4394" t="s">
        <v>3517</v>
      </c>
      <c r="H4394">
        <v>0.2</v>
      </c>
      <c r="I4394">
        <v>4.8</v>
      </c>
      <c r="J4394">
        <v>14.4</v>
      </c>
    </row>
    <row r="4395" spans="1:10" x14ac:dyDescent="0.25">
      <c r="A4395" t="s">
        <v>6920</v>
      </c>
      <c r="B4395" s="3">
        <v>44622</v>
      </c>
      <c r="C4395" t="s">
        <v>1229</v>
      </c>
      <c r="D4395" t="s">
        <v>3512</v>
      </c>
      <c r="E4395">
        <v>5</v>
      </c>
      <c r="F4395" t="s">
        <v>3525</v>
      </c>
      <c r="G4395" t="s">
        <v>3519</v>
      </c>
      <c r="H4395">
        <v>2.5</v>
      </c>
      <c r="I4395">
        <v>33.5</v>
      </c>
      <c r="J4395">
        <v>167.5</v>
      </c>
    </row>
    <row r="4396" spans="1:10" x14ac:dyDescent="0.25">
      <c r="A4396" t="s">
        <v>6921</v>
      </c>
      <c r="B4396" s="3">
        <v>44634</v>
      </c>
      <c r="C4396" t="s">
        <v>3312</v>
      </c>
      <c r="D4396" t="s">
        <v>3488</v>
      </c>
      <c r="E4396">
        <v>3</v>
      </c>
      <c r="F4396" t="s">
        <v>3523</v>
      </c>
      <c r="G4396" t="s">
        <v>3519</v>
      </c>
      <c r="H4396">
        <v>0.5</v>
      </c>
      <c r="I4396">
        <v>6.8</v>
      </c>
      <c r="J4396">
        <v>20.399999999999999</v>
      </c>
    </row>
    <row r="4397" spans="1:10" x14ac:dyDescent="0.25">
      <c r="A4397" t="s">
        <v>6922</v>
      </c>
      <c r="B4397" s="3">
        <v>43745</v>
      </c>
      <c r="C4397" t="s">
        <v>2140</v>
      </c>
      <c r="D4397" t="s">
        <v>3481</v>
      </c>
      <c r="E4397">
        <v>6</v>
      </c>
      <c r="F4397" t="s">
        <v>3525</v>
      </c>
      <c r="G4397" t="s">
        <v>3518</v>
      </c>
      <c r="H4397">
        <v>0.2</v>
      </c>
      <c r="I4397">
        <v>3.9</v>
      </c>
      <c r="J4397">
        <v>23.4</v>
      </c>
    </row>
    <row r="4398" spans="1:10" x14ac:dyDescent="0.25">
      <c r="A4398" t="s">
        <v>6923</v>
      </c>
      <c r="B4398" s="3">
        <v>45240</v>
      </c>
      <c r="C4398" t="s">
        <v>1348</v>
      </c>
      <c r="D4398" t="s">
        <v>3495</v>
      </c>
      <c r="E4398">
        <v>2</v>
      </c>
      <c r="F4398" t="s">
        <v>3525</v>
      </c>
      <c r="G4398" t="s">
        <v>3517</v>
      </c>
      <c r="H4398">
        <v>2.5</v>
      </c>
      <c r="I4398">
        <v>36.5</v>
      </c>
      <c r="J4398">
        <v>73</v>
      </c>
    </row>
    <row r="4399" spans="1:10" x14ac:dyDescent="0.25">
      <c r="A4399" t="s">
        <v>6924</v>
      </c>
      <c r="B4399" s="3">
        <v>45502</v>
      </c>
      <c r="C4399" t="s">
        <v>3324</v>
      </c>
      <c r="D4399" t="s">
        <v>3473</v>
      </c>
      <c r="E4399">
        <v>2</v>
      </c>
      <c r="F4399" t="s">
        <v>3524</v>
      </c>
      <c r="G4399" t="s">
        <v>3517</v>
      </c>
      <c r="H4399">
        <v>2.5</v>
      </c>
      <c r="I4399">
        <v>27.5</v>
      </c>
      <c r="J4399">
        <v>55</v>
      </c>
    </row>
    <row r="4400" spans="1:10" x14ac:dyDescent="0.25">
      <c r="A4400" t="s">
        <v>6925</v>
      </c>
      <c r="B4400" s="3">
        <v>45383</v>
      </c>
      <c r="C4400" t="s">
        <v>2215</v>
      </c>
      <c r="D4400" t="s">
        <v>3507</v>
      </c>
      <c r="E4400">
        <v>4</v>
      </c>
      <c r="F4400" t="s">
        <v>3526</v>
      </c>
      <c r="G4400" t="s">
        <v>3517</v>
      </c>
      <c r="H4400">
        <v>0.5</v>
      </c>
      <c r="I4400">
        <v>8.9</v>
      </c>
      <c r="J4400">
        <v>35.6</v>
      </c>
    </row>
    <row r="4401" spans="1:10" x14ac:dyDescent="0.25">
      <c r="A4401" t="s">
        <v>6926</v>
      </c>
      <c r="B4401" s="3">
        <v>44905</v>
      </c>
      <c r="C4401" t="s">
        <v>2766</v>
      </c>
      <c r="D4401" t="s">
        <v>3487</v>
      </c>
      <c r="E4401">
        <v>3</v>
      </c>
      <c r="F4401" t="s">
        <v>3526</v>
      </c>
      <c r="G4401" t="s">
        <v>3519</v>
      </c>
      <c r="H4401">
        <v>0.2</v>
      </c>
      <c r="I4401">
        <v>4.0999999999999996</v>
      </c>
      <c r="J4401">
        <v>12.3</v>
      </c>
    </row>
    <row r="4402" spans="1:10" x14ac:dyDescent="0.25">
      <c r="A4402" t="s">
        <v>6927</v>
      </c>
      <c r="B4402" s="3">
        <v>45225</v>
      </c>
      <c r="C4402" t="s">
        <v>1461</v>
      </c>
      <c r="D4402" t="s">
        <v>3477</v>
      </c>
      <c r="E4402">
        <v>1</v>
      </c>
      <c r="F4402" t="s">
        <v>3524</v>
      </c>
      <c r="G4402" t="s">
        <v>3519</v>
      </c>
      <c r="H4402">
        <v>0.5</v>
      </c>
      <c r="I4402">
        <v>6</v>
      </c>
      <c r="J4402">
        <v>6</v>
      </c>
    </row>
    <row r="4403" spans="1:10" x14ac:dyDescent="0.25">
      <c r="A4403" t="s">
        <v>6928</v>
      </c>
      <c r="B4403" s="3">
        <v>45181</v>
      </c>
      <c r="C4403" t="s">
        <v>2666</v>
      </c>
      <c r="D4403" t="s">
        <v>3484</v>
      </c>
      <c r="E4403">
        <v>4</v>
      </c>
      <c r="F4403" t="s">
        <v>3526</v>
      </c>
      <c r="G4403" t="s">
        <v>3518</v>
      </c>
      <c r="H4403">
        <v>0.2</v>
      </c>
      <c r="I4403">
        <v>3.6</v>
      </c>
      <c r="J4403">
        <v>14.4</v>
      </c>
    </row>
    <row r="4404" spans="1:10" x14ac:dyDescent="0.25">
      <c r="A4404" t="s">
        <v>6929</v>
      </c>
      <c r="B4404" s="3">
        <v>45435</v>
      </c>
      <c r="C4404" t="s">
        <v>2879</v>
      </c>
      <c r="D4404" t="s">
        <v>3499</v>
      </c>
      <c r="E4404">
        <v>6</v>
      </c>
      <c r="F4404" t="s">
        <v>3523</v>
      </c>
      <c r="G4404" t="s">
        <v>3518</v>
      </c>
      <c r="H4404">
        <v>2.5</v>
      </c>
      <c r="I4404">
        <v>22.9</v>
      </c>
      <c r="J4404">
        <v>137.4</v>
      </c>
    </row>
    <row r="4405" spans="1:10" x14ac:dyDescent="0.25">
      <c r="A4405" t="s">
        <v>6930</v>
      </c>
      <c r="B4405" s="3">
        <v>44961</v>
      </c>
      <c r="C4405" t="s">
        <v>2104</v>
      </c>
      <c r="D4405" t="s">
        <v>3513</v>
      </c>
      <c r="E4405">
        <v>6</v>
      </c>
      <c r="F4405" t="s">
        <v>3523</v>
      </c>
      <c r="G4405" t="s">
        <v>3517</v>
      </c>
      <c r="H4405">
        <v>2.5</v>
      </c>
      <c r="I4405">
        <v>29.8</v>
      </c>
      <c r="J4405">
        <v>178.8</v>
      </c>
    </row>
    <row r="4406" spans="1:10" x14ac:dyDescent="0.25">
      <c r="A4406" t="s">
        <v>6931</v>
      </c>
      <c r="B4406" s="3">
        <v>45378</v>
      </c>
      <c r="C4406" t="s">
        <v>1911</v>
      </c>
      <c r="D4406" t="s">
        <v>3482</v>
      </c>
      <c r="E4406">
        <v>3</v>
      </c>
      <c r="F4406" t="s">
        <v>3524</v>
      </c>
      <c r="G4406" t="s">
        <v>3519</v>
      </c>
      <c r="H4406">
        <v>2.5</v>
      </c>
      <c r="I4406">
        <v>22.9</v>
      </c>
      <c r="J4406">
        <v>68.7</v>
      </c>
    </row>
    <row r="4407" spans="1:10" x14ac:dyDescent="0.25">
      <c r="A4407" t="s">
        <v>6932</v>
      </c>
      <c r="B4407" s="3">
        <v>45034</v>
      </c>
      <c r="C4407" t="s">
        <v>2119</v>
      </c>
      <c r="D4407" t="s">
        <v>3510</v>
      </c>
      <c r="E4407">
        <v>5</v>
      </c>
      <c r="F4407" t="s">
        <v>3524</v>
      </c>
      <c r="G4407" t="s">
        <v>3517</v>
      </c>
      <c r="H4407">
        <v>1</v>
      </c>
      <c r="I4407">
        <v>12</v>
      </c>
      <c r="J4407">
        <v>60</v>
      </c>
    </row>
    <row r="4408" spans="1:10" x14ac:dyDescent="0.25">
      <c r="A4408" t="s">
        <v>6933</v>
      </c>
      <c r="B4408" s="3">
        <v>44745</v>
      </c>
      <c r="C4408" t="s">
        <v>517</v>
      </c>
      <c r="D4408" t="s">
        <v>3502</v>
      </c>
      <c r="E4408">
        <v>2</v>
      </c>
      <c r="F4408" t="s">
        <v>3526</v>
      </c>
      <c r="G4408" t="s">
        <v>3517</v>
      </c>
      <c r="H4408">
        <v>1</v>
      </c>
      <c r="I4408">
        <v>14.9</v>
      </c>
      <c r="J4408">
        <v>29.8</v>
      </c>
    </row>
    <row r="4409" spans="1:10" x14ac:dyDescent="0.25">
      <c r="A4409" t="s">
        <v>6934</v>
      </c>
      <c r="B4409" s="3">
        <v>45234</v>
      </c>
      <c r="C4409" t="s">
        <v>1800</v>
      </c>
      <c r="D4409" t="s">
        <v>3509</v>
      </c>
      <c r="E4409">
        <v>6</v>
      </c>
      <c r="F4409" t="s">
        <v>3524</v>
      </c>
      <c r="G4409" t="s">
        <v>3517</v>
      </c>
      <c r="H4409">
        <v>0.2</v>
      </c>
      <c r="I4409">
        <v>3.6</v>
      </c>
      <c r="J4409">
        <v>21.6</v>
      </c>
    </row>
    <row r="4410" spans="1:10" x14ac:dyDescent="0.25">
      <c r="A4410" t="s">
        <v>6935</v>
      </c>
      <c r="B4410" s="3">
        <v>45526</v>
      </c>
      <c r="C4410" t="s">
        <v>502</v>
      </c>
      <c r="D4410" t="s">
        <v>3494</v>
      </c>
      <c r="E4410">
        <v>6</v>
      </c>
      <c r="F4410" t="s">
        <v>3524</v>
      </c>
      <c r="G4410" t="s">
        <v>3518</v>
      </c>
      <c r="H4410">
        <v>0.2</v>
      </c>
      <c r="I4410">
        <v>2.7</v>
      </c>
      <c r="J4410">
        <v>16.2</v>
      </c>
    </row>
    <row r="4411" spans="1:10" x14ac:dyDescent="0.25">
      <c r="A4411" t="s">
        <v>6936</v>
      </c>
      <c r="B4411" s="3">
        <v>44982</v>
      </c>
      <c r="C4411" t="s">
        <v>655</v>
      </c>
      <c r="D4411" t="s">
        <v>3479</v>
      </c>
      <c r="E4411">
        <v>3</v>
      </c>
      <c r="F4411" t="s">
        <v>3526</v>
      </c>
      <c r="G4411" t="s">
        <v>3517</v>
      </c>
      <c r="H4411">
        <v>2.5</v>
      </c>
      <c r="I4411">
        <v>34.200000000000003</v>
      </c>
      <c r="J4411">
        <v>102.6</v>
      </c>
    </row>
    <row r="4412" spans="1:10" x14ac:dyDescent="0.25">
      <c r="A4412" t="s">
        <v>6937</v>
      </c>
      <c r="B4412" s="3">
        <v>44910</v>
      </c>
      <c r="C4412" t="s">
        <v>1908</v>
      </c>
      <c r="D4412" t="s">
        <v>3480</v>
      </c>
      <c r="E4412">
        <v>6</v>
      </c>
      <c r="F4412" t="s">
        <v>3524</v>
      </c>
      <c r="G4412" t="s">
        <v>3518</v>
      </c>
      <c r="H4412">
        <v>2.5</v>
      </c>
      <c r="I4412">
        <v>20.6</v>
      </c>
      <c r="J4412">
        <v>123.6</v>
      </c>
    </row>
    <row r="4413" spans="1:10" x14ac:dyDescent="0.25">
      <c r="A4413" t="s">
        <v>6938</v>
      </c>
      <c r="B4413" s="3">
        <v>45198</v>
      </c>
      <c r="C4413" t="s">
        <v>1333</v>
      </c>
      <c r="D4413" t="s">
        <v>3494</v>
      </c>
      <c r="E4413">
        <v>5</v>
      </c>
      <c r="F4413" t="s">
        <v>3524</v>
      </c>
      <c r="G4413" t="s">
        <v>3518</v>
      </c>
      <c r="H4413">
        <v>0.2</v>
      </c>
      <c r="I4413">
        <v>2.7</v>
      </c>
      <c r="J4413">
        <v>13.5</v>
      </c>
    </row>
    <row r="4414" spans="1:10" x14ac:dyDescent="0.25">
      <c r="A4414" t="s">
        <v>6939</v>
      </c>
      <c r="B4414" s="3">
        <v>44986</v>
      </c>
      <c r="C4414" t="s">
        <v>549</v>
      </c>
      <c r="D4414" t="s">
        <v>3476</v>
      </c>
      <c r="E4414">
        <v>6</v>
      </c>
      <c r="F4414" t="s">
        <v>3525</v>
      </c>
      <c r="G4414" t="s">
        <v>3517</v>
      </c>
      <c r="H4414">
        <v>0.2</v>
      </c>
      <c r="I4414">
        <v>4.8</v>
      </c>
      <c r="J4414">
        <v>28.8</v>
      </c>
    </row>
    <row r="4415" spans="1:10" x14ac:dyDescent="0.25">
      <c r="A4415" t="s">
        <v>6940</v>
      </c>
      <c r="B4415" s="3">
        <v>45530</v>
      </c>
      <c r="C4415" t="s">
        <v>1432</v>
      </c>
      <c r="D4415" t="s">
        <v>3475</v>
      </c>
      <c r="E4415">
        <v>3</v>
      </c>
      <c r="F4415" t="s">
        <v>3526</v>
      </c>
      <c r="G4415" t="s">
        <v>3518</v>
      </c>
      <c r="H4415">
        <v>0.5</v>
      </c>
      <c r="I4415">
        <v>7.3</v>
      </c>
      <c r="J4415">
        <v>21.9</v>
      </c>
    </row>
    <row r="4416" spans="1:10" x14ac:dyDescent="0.25">
      <c r="A4416" t="s">
        <v>6941</v>
      </c>
      <c r="B4416" s="3">
        <v>44864</v>
      </c>
      <c r="C4416" t="s">
        <v>1312</v>
      </c>
      <c r="D4416" t="s">
        <v>3495</v>
      </c>
      <c r="E4416">
        <v>1</v>
      </c>
      <c r="F4416" t="s">
        <v>3525</v>
      </c>
      <c r="G4416" t="s">
        <v>3517</v>
      </c>
      <c r="H4416">
        <v>2.5</v>
      </c>
      <c r="I4416">
        <v>36.5</v>
      </c>
      <c r="J4416">
        <v>36.5</v>
      </c>
    </row>
    <row r="4417" spans="1:10" x14ac:dyDescent="0.25">
      <c r="A4417" t="s">
        <v>6942</v>
      </c>
      <c r="B4417" s="3">
        <v>44439</v>
      </c>
      <c r="C4417" t="s">
        <v>1238</v>
      </c>
      <c r="D4417" t="s">
        <v>3491</v>
      </c>
      <c r="E4417">
        <v>2</v>
      </c>
      <c r="F4417" t="s">
        <v>3525</v>
      </c>
      <c r="G4417" t="s">
        <v>3519</v>
      </c>
      <c r="H4417">
        <v>0.5</v>
      </c>
      <c r="I4417">
        <v>8.6999999999999993</v>
      </c>
      <c r="J4417">
        <v>17.399999999999999</v>
      </c>
    </row>
    <row r="4418" spans="1:10" x14ac:dyDescent="0.25">
      <c r="A4418" t="s">
        <v>6943</v>
      </c>
      <c r="B4418" s="3">
        <v>43738</v>
      </c>
      <c r="C4418" t="s">
        <v>688</v>
      </c>
      <c r="D4418" t="s">
        <v>3470</v>
      </c>
      <c r="E4418">
        <v>6</v>
      </c>
      <c r="F4418" t="s">
        <v>3526</v>
      </c>
      <c r="G4418" t="s">
        <v>3519</v>
      </c>
      <c r="H4418">
        <v>0.5</v>
      </c>
      <c r="I4418">
        <v>8.3000000000000007</v>
      </c>
      <c r="J4418">
        <v>49.8</v>
      </c>
    </row>
    <row r="4419" spans="1:10" x14ac:dyDescent="0.25">
      <c r="A4419" t="s">
        <v>6944</v>
      </c>
      <c r="B4419" s="3">
        <v>45397</v>
      </c>
      <c r="C4419" t="s">
        <v>2497</v>
      </c>
      <c r="D4419" t="s">
        <v>3482</v>
      </c>
      <c r="E4419">
        <v>2</v>
      </c>
      <c r="F4419" t="s">
        <v>3524</v>
      </c>
      <c r="G4419" t="s">
        <v>3519</v>
      </c>
      <c r="H4419">
        <v>2.5</v>
      </c>
      <c r="I4419">
        <v>22.9</v>
      </c>
      <c r="J4419">
        <v>45.8</v>
      </c>
    </row>
    <row r="4420" spans="1:10" x14ac:dyDescent="0.25">
      <c r="A4420" t="s">
        <v>6945</v>
      </c>
      <c r="B4420" s="3">
        <v>44787</v>
      </c>
      <c r="C4420" t="s">
        <v>2192</v>
      </c>
      <c r="D4420" t="s">
        <v>3485</v>
      </c>
      <c r="E4420">
        <v>3</v>
      </c>
      <c r="F4420" t="s">
        <v>3523</v>
      </c>
      <c r="G4420" t="s">
        <v>3518</v>
      </c>
      <c r="H4420">
        <v>0.2</v>
      </c>
      <c r="I4420">
        <v>3</v>
      </c>
      <c r="J4420">
        <v>9</v>
      </c>
    </row>
    <row r="4421" spans="1:10" x14ac:dyDescent="0.25">
      <c r="A4421" t="s">
        <v>6946</v>
      </c>
      <c r="B4421" s="3">
        <v>45498</v>
      </c>
      <c r="C4421" t="s">
        <v>878</v>
      </c>
      <c r="D4421" t="s">
        <v>3515</v>
      </c>
      <c r="E4421">
        <v>6</v>
      </c>
      <c r="F4421" t="s">
        <v>3526</v>
      </c>
      <c r="G4421" t="s">
        <v>3517</v>
      </c>
      <c r="H4421">
        <v>0.2</v>
      </c>
      <c r="I4421">
        <v>4.5</v>
      </c>
      <c r="J4421">
        <v>27</v>
      </c>
    </row>
    <row r="4422" spans="1:10" x14ac:dyDescent="0.25">
      <c r="A4422" t="s">
        <v>6947</v>
      </c>
      <c r="B4422" s="3">
        <v>43715</v>
      </c>
      <c r="C4422" t="s">
        <v>2155</v>
      </c>
      <c r="D4422" t="s">
        <v>3505</v>
      </c>
      <c r="E4422">
        <v>2</v>
      </c>
      <c r="F4422" t="s">
        <v>3524</v>
      </c>
      <c r="G4422" t="s">
        <v>3519</v>
      </c>
      <c r="H4422">
        <v>0.2</v>
      </c>
      <c r="I4422">
        <v>3</v>
      </c>
      <c r="J4422">
        <v>6</v>
      </c>
    </row>
    <row r="4423" spans="1:10" x14ac:dyDescent="0.25">
      <c r="A4423" t="s">
        <v>6948</v>
      </c>
      <c r="B4423" s="3">
        <v>45610</v>
      </c>
      <c r="C4423" t="s">
        <v>944</v>
      </c>
      <c r="D4423" t="s">
        <v>3479</v>
      </c>
      <c r="E4423">
        <v>3</v>
      </c>
      <c r="F4423" t="s">
        <v>3526</v>
      </c>
      <c r="G4423" t="s">
        <v>3517</v>
      </c>
      <c r="H4423">
        <v>2.5</v>
      </c>
      <c r="I4423">
        <v>34.200000000000003</v>
      </c>
      <c r="J4423">
        <v>102.6</v>
      </c>
    </row>
    <row r="4424" spans="1:10" x14ac:dyDescent="0.25">
      <c r="A4424" t="s">
        <v>6949</v>
      </c>
      <c r="B4424" s="3">
        <v>44897</v>
      </c>
      <c r="C4424" t="s">
        <v>1755</v>
      </c>
      <c r="D4424" t="s">
        <v>3472</v>
      </c>
      <c r="E4424">
        <v>1</v>
      </c>
      <c r="F4424" t="s">
        <v>3526</v>
      </c>
      <c r="G4424" t="s">
        <v>3519</v>
      </c>
      <c r="H4424">
        <v>1</v>
      </c>
      <c r="I4424">
        <v>13.8</v>
      </c>
      <c r="J4424">
        <v>13.8</v>
      </c>
    </row>
    <row r="4425" spans="1:10" x14ac:dyDescent="0.25">
      <c r="A4425" t="s">
        <v>6950</v>
      </c>
      <c r="B4425" s="3">
        <v>45641</v>
      </c>
      <c r="C4425" t="s">
        <v>544</v>
      </c>
      <c r="D4425" t="s">
        <v>3509</v>
      </c>
      <c r="E4425">
        <v>2</v>
      </c>
      <c r="F4425" t="s">
        <v>3524</v>
      </c>
      <c r="G4425" t="s">
        <v>3517</v>
      </c>
      <c r="H4425">
        <v>0.2</v>
      </c>
      <c r="I4425">
        <v>3.6</v>
      </c>
      <c r="J4425">
        <v>7.2</v>
      </c>
    </row>
    <row r="4426" spans="1:10" x14ac:dyDescent="0.25">
      <c r="A4426" t="s">
        <v>6951</v>
      </c>
      <c r="B4426" s="3">
        <v>45388</v>
      </c>
      <c r="C4426" t="s">
        <v>3010</v>
      </c>
      <c r="D4426" t="s">
        <v>3479</v>
      </c>
      <c r="E4426">
        <v>4</v>
      </c>
      <c r="F4426" t="s">
        <v>3526</v>
      </c>
      <c r="G4426" t="s">
        <v>3517</v>
      </c>
      <c r="H4426">
        <v>2.5</v>
      </c>
      <c r="I4426">
        <v>34.200000000000003</v>
      </c>
      <c r="J4426">
        <v>136.80000000000001</v>
      </c>
    </row>
    <row r="4427" spans="1:10" x14ac:dyDescent="0.25">
      <c r="A4427" t="s">
        <v>6952</v>
      </c>
      <c r="B4427" s="3">
        <v>44656</v>
      </c>
      <c r="C4427" t="s">
        <v>959</v>
      </c>
      <c r="D4427" t="s">
        <v>3495</v>
      </c>
      <c r="E4427">
        <v>3</v>
      </c>
      <c r="F4427" t="s">
        <v>3525</v>
      </c>
      <c r="G4427" t="s">
        <v>3517</v>
      </c>
      <c r="H4427">
        <v>2.5</v>
      </c>
      <c r="I4427">
        <v>36.5</v>
      </c>
      <c r="J4427">
        <v>109.5</v>
      </c>
    </row>
    <row r="4428" spans="1:10" x14ac:dyDescent="0.25">
      <c r="A4428" t="s">
        <v>6953</v>
      </c>
      <c r="B4428" s="3">
        <v>45375</v>
      </c>
      <c r="C4428" t="s">
        <v>2669</v>
      </c>
      <c r="D4428" t="s">
        <v>3479</v>
      </c>
      <c r="E4428">
        <v>5</v>
      </c>
      <c r="F4428" t="s">
        <v>3526</v>
      </c>
      <c r="G4428" t="s">
        <v>3517</v>
      </c>
      <c r="H4428">
        <v>2.5</v>
      </c>
      <c r="I4428">
        <v>34.200000000000003</v>
      </c>
      <c r="J4428">
        <v>171</v>
      </c>
    </row>
    <row r="4429" spans="1:10" x14ac:dyDescent="0.25">
      <c r="A4429" t="s">
        <v>6954</v>
      </c>
      <c r="B4429" s="3">
        <v>43950</v>
      </c>
      <c r="C4429" t="s">
        <v>652</v>
      </c>
      <c r="D4429" t="s">
        <v>3472</v>
      </c>
      <c r="E4429">
        <v>3</v>
      </c>
      <c r="F4429" t="s">
        <v>3526</v>
      </c>
      <c r="G4429" t="s">
        <v>3519</v>
      </c>
      <c r="H4429">
        <v>1</v>
      </c>
      <c r="I4429">
        <v>13.8</v>
      </c>
      <c r="J4429">
        <v>41.4</v>
      </c>
    </row>
    <row r="4430" spans="1:10" x14ac:dyDescent="0.25">
      <c r="A4430" t="s">
        <v>6955</v>
      </c>
      <c r="B4430" s="3">
        <v>44735</v>
      </c>
      <c r="C4430" t="s">
        <v>2898</v>
      </c>
      <c r="D4430" t="s">
        <v>3470</v>
      </c>
      <c r="E4430">
        <v>2</v>
      </c>
      <c r="F4430" t="s">
        <v>3526</v>
      </c>
      <c r="G4430" t="s">
        <v>3519</v>
      </c>
      <c r="H4430">
        <v>0.5</v>
      </c>
      <c r="I4430">
        <v>8.3000000000000007</v>
      </c>
      <c r="J4430">
        <v>16.600000000000001</v>
      </c>
    </row>
    <row r="4431" spans="1:10" x14ac:dyDescent="0.25">
      <c r="A4431" t="s">
        <v>6956</v>
      </c>
      <c r="B4431" s="3">
        <v>45250</v>
      </c>
      <c r="C4431" t="s">
        <v>3423</v>
      </c>
      <c r="D4431" t="s">
        <v>3504</v>
      </c>
      <c r="E4431">
        <v>2</v>
      </c>
      <c r="F4431" t="s">
        <v>3524</v>
      </c>
      <c r="G4431" t="s">
        <v>3517</v>
      </c>
      <c r="H4431">
        <v>0.5</v>
      </c>
      <c r="I4431">
        <v>7.2</v>
      </c>
      <c r="J4431">
        <v>14.4</v>
      </c>
    </row>
    <row r="4432" spans="1:10" x14ac:dyDescent="0.25">
      <c r="A4432" t="s">
        <v>6957</v>
      </c>
      <c r="B4432" s="3">
        <v>43542</v>
      </c>
      <c r="C4432" t="s">
        <v>2104</v>
      </c>
      <c r="D4432" t="s">
        <v>3501</v>
      </c>
      <c r="E4432">
        <v>4</v>
      </c>
      <c r="F4432" t="s">
        <v>3525</v>
      </c>
      <c r="G4432" t="s">
        <v>3517</v>
      </c>
      <c r="H4432">
        <v>1</v>
      </c>
      <c r="I4432">
        <v>15.9</v>
      </c>
      <c r="J4432">
        <v>63.6</v>
      </c>
    </row>
    <row r="4433" spans="1:10" x14ac:dyDescent="0.25">
      <c r="A4433" t="s">
        <v>6958</v>
      </c>
      <c r="B4433" s="3">
        <v>45247</v>
      </c>
      <c r="C4433" t="s">
        <v>1097</v>
      </c>
      <c r="D4433" t="s">
        <v>3485</v>
      </c>
      <c r="E4433">
        <v>5</v>
      </c>
      <c r="F4433" t="s">
        <v>3523</v>
      </c>
      <c r="G4433" t="s">
        <v>3518</v>
      </c>
      <c r="H4433">
        <v>0.2</v>
      </c>
      <c r="I4433">
        <v>3</v>
      </c>
      <c r="J4433">
        <v>15</v>
      </c>
    </row>
    <row r="4434" spans="1:10" x14ac:dyDescent="0.25">
      <c r="A4434" t="s">
        <v>6959</v>
      </c>
      <c r="B4434" s="3">
        <v>45441</v>
      </c>
      <c r="C4434" t="s">
        <v>2675</v>
      </c>
      <c r="D4434" t="s">
        <v>3494</v>
      </c>
      <c r="E4434">
        <v>2</v>
      </c>
      <c r="F4434" t="s">
        <v>3524</v>
      </c>
      <c r="G4434" t="s">
        <v>3518</v>
      </c>
      <c r="H4434">
        <v>0.2</v>
      </c>
      <c r="I4434">
        <v>2.7</v>
      </c>
      <c r="J4434">
        <v>5.4</v>
      </c>
    </row>
    <row r="4435" spans="1:10" x14ac:dyDescent="0.25">
      <c r="A4435" t="s">
        <v>6960</v>
      </c>
      <c r="B4435" s="3">
        <v>45002</v>
      </c>
      <c r="C4435" t="s">
        <v>1205</v>
      </c>
      <c r="D4435" t="s">
        <v>3511</v>
      </c>
      <c r="E4435">
        <v>2</v>
      </c>
      <c r="F4435" t="s">
        <v>3523</v>
      </c>
      <c r="G4435" t="s">
        <v>3517</v>
      </c>
      <c r="H4435">
        <v>0.5</v>
      </c>
      <c r="I4435">
        <v>7.8</v>
      </c>
      <c r="J4435">
        <v>15.6</v>
      </c>
    </row>
    <row r="4436" spans="1:10" x14ac:dyDescent="0.25">
      <c r="A4436" t="s">
        <v>6961</v>
      </c>
      <c r="B4436" s="3">
        <v>44867</v>
      </c>
      <c r="C4436" t="s">
        <v>2207</v>
      </c>
      <c r="D4436" t="s">
        <v>3502</v>
      </c>
      <c r="E4436">
        <v>2</v>
      </c>
      <c r="F4436" t="s">
        <v>3526</v>
      </c>
      <c r="G4436" t="s">
        <v>3517</v>
      </c>
      <c r="H4436">
        <v>1</v>
      </c>
      <c r="I4436">
        <v>14.9</v>
      </c>
      <c r="J4436">
        <v>29.8</v>
      </c>
    </row>
    <row r="4437" spans="1:10" x14ac:dyDescent="0.25">
      <c r="A4437" t="s">
        <v>6962</v>
      </c>
      <c r="B4437" s="3">
        <v>45610</v>
      </c>
      <c r="C4437" t="s">
        <v>508</v>
      </c>
      <c r="D4437" t="s">
        <v>3516</v>
      </c>
      <c r="E4437">
        <v>5</v>
      </c>
      <c r="F4437" t="s">
        <v>3526</v>
      </c>
      <c r="G4437" t="s">
        <v>3518</v>
      </c>
      <c r="H4437">
        <v>2.5</v>
      </c>
      <c r="I4437">
        <v>27.9</v>
      </c>
      <c r="J4437">
        <v>139.5</v>
      </c>
    </row>
    <row r="4438" spans="1:10" x14ac:dyDescent="0.25">
      <c r="A4438" t="s">
        <v>6963</v>
      </c>
      <c r="B4438" s="3">
        <v>44064</v>
      </c>
      <c r="C4438" t="s">
        <v>1822</v>
      </c>
      <c r="D4438" t="s">
        <v>3477</v>
      </c>
      <c r="E4438">
        <v>1</v>
      </c>
      <c r="F4438" t="s">
        <v>3524</v>
      </c>
      <c r="G4438" t="s">
        <v>3519</v>
      </c>
      <c r="H4438">
        <v>0.5</v>
      </c>
      <c r="I4438">
        <v>6</v>
      </c>
      <c r="J4438">
        <v>6</v>
      </c>
    </row>
    <row r="4439" spans="1:10" x14ac:dyDescent="0.25">
      <c r="A4439" t="s">
        <v>6964</v>
      </c>
      <c r="B4439" s="3">
        <v>44869</v>
      </c>
      <c r="C4439" t="s">
        <v>2359</v>
      </c>
      <c r="D4439" t="s">
        <v>3480</v>
      </c>
      <c r="E4439">
        <v>2</v>
      </c>
      <c r="F4439" t="s">
        <v>3524</v>
      </c>
      <c r="G4439" t="s">
        <v>3518</v>
      </c>
      <c r="H4439">
        <v>2.5</v>
      </c>
      <c r="I4439">
        <v>20.6</v>
      </c>
      <c r="J4439">
        <v>41.2</v>
      </c>
    </row>
    <row r="4440" spans="1:10" x14ac:dyDescent="0.25">
      <c r="A4440" t="s">
        <v>6965</v>
      </c>
      <c r="B4440" s="3">
        <v>44100</v>
      </c>
      <c r="C4440" t="s">
        <v>2837</v>
      </c>
      <c r="D4440" t="s">
        <v>3482</v>
      </c>
      <c r="E4440">
        <v>6</v>
      </c>
      <c r="F4440" t="s">
        <v>3524</v>
      </c>
      <c r="G4440" t="s">
        <v>3519</v>
      </c>
      <c r="H4440">
        <v>2.5</v>
      </c>
      <c r="I4440">
        <v>22.9</v>
      </c>
      <c r="J4440">
        <v>137.4</v>
      </c>
    </row>
    <row r="4441" spans="1:10" x14ac:dyDescent="0.25">
      <c r="A4441" t="s">
        <v>6966</v>
      </c>
      <c r="B4441" s="3">
        <v>45054</v>
      </c>
      <c r="C4441" t="s">
        <v>1924</v>
      </c>
      <c r="D4441" t="s">
        <v>3490</v>
      </c>
      <c r="E4441">
        <v>2</v>
      </c>
      <c r="F4441" t="s">
        <v>3525</v>
      </c>
      <c r="G4441" t="s">
        <v>3519</v>
      </c>
      <c r="H4441">
        <v>0.2</v>
      </c>
      <c r="I4441">
        <v>4.4000000000000004</v>
      </c>
      <c r="J4441">
        <v>8.8000000000000007</v>
      </c>
    </row>
    <row r="4442" spans="1:10" x14ac:dyDescent="0.25">
      <c r="A4442" t="s">
        <v>6967</v>
      </c>
      <c r="B4442" s="3">
        <v>45339</v>
      </c>
      <c r="C4442" t="s">
        <v>1199</v>
      </c>
      <c r="D4442" t="s">
        <v>3501</v>
      </c>
      <c r="E4442">
        <v>3</v>
      </c>
      <c r="F4442" t="s">
        <v>3525</v>
      </c>
      <c r="G4442" t="s">
        <v>3517</v>
      </c>
      <c r="H4442">
        <v>1</v>
      </c>
      <c r="I4442">
        <v>15.9</v>
      </c>
      <c r="J4442">
        <v>47.7</v>
      </c>
    </row>
    <row r="4443" spans="1:10" x14ac:dyDescent="0.25">
      <c r="A4443" t="s">
        <v>6968</v>
      </c>
      <c r="B4443" s="3">
        <v>45206</v>
      </c>
      <c r="C4443" t="s">
        <v>2432</v>
      </c>
      <c r="D4443" t="s">
        <v>3516</v>
      </c>
      <c r="E4443">
        <v>6</v>
      </c>
      <c r="F4443" t="s">
        <v>3526</v>
      </c>
      <c r="G4443" t="s">
        <v>3518</v>
      </c>
      <c r="H4443">
        <v>2.5</v>
      </c>
      <c r="I4443">
        <v>27.9</v>
      </c>
      <c r="J4443">
        <v>167.4</v>
      </c>
    </row>
    <row r="4444" spans="1:10" x14ac:dyDescent="0.25">
      <c r="A4444" t="s">
        <v>6969</v>
      </c>
      <c r="B4444" s="3">
        <v>45216</v>
      </c>
      <c r="C4444" t="s">
        <v>2672</v>
      </c>
      <c r="D4444" t="s">
        <v>3482</v>
      </c>
      <c r="E4444">
        <v>5</v>
      </c>
      <c r="F4444" t="s">
        <v>3524</v>
      </c>
      <c r="G4444" t="s">
        <v>3519</v>
      </c>
      <c r="H4444">
        <v>2.5</v>
      </c>
      <c r="I4444">
        <v>22.9</v>
      </c>
      <c r="J4444">
        <v>114.5</v>
      </c>
    </row>
    <row r="4445" spans="1:10" x14ac:dyDescent="0.25">
      <c r="A4445" t="s">
        <v>6970</v>
      </c>
      <c r="B4445" s="3">
        <v>43530</v>
      </c>
      <c r="C4445" t="s">
        <v>1018</v>
      </c>
      <c r="D4445" t="s">
        <v>3470</v>
      </c>
      <c r="E4445">
        <v>3</v>
      </c>
      <c r="F4445" t="s">
        <v>3526</v>
      </c>
      <c r="G4445" t="s">
        <v>3519</v>
      </c>
      <c r="H4445">
        <v>0.5</v>
      </c>
      <c r="I4445">
        <v>8.3000000000000007</v>
      </c>
      <c r="J4445">
        <v>24.9</v>
      </c>
    </row>
    <row r="4446" spans="1:10" x14ac:dyDescent="0.25">
      <c r="A4446" t="s">
        <v>6971</v>
      </c>
      <c r="B4446" s="3">
        <v>44526</v>
      </c>
      <c r="C4446" t="s">
        <v>1262</v>
      </c>
      <c r="D4446" t="s">
        <v>3489</v>
      </c>
      <c r="E4446">
        <v>3</v>
      </c>
      <c r="F4446" t="s">
        <v>3523</v>
      </c>
      <c r="G4446" t="s">
        <v>3518</v>
      </c>
      <c r="H4446">
        <v>0.5</v>
      </c>
      <c r="I4446">
        <v>6</v>
      </c>
      <c r="J4446">
        <v>18</v>
      </c>
    </row>
    <row r="4447" spans="1:10" x14ac:dyDescent="0.25">
      <c r="A4447" t="s">
        <v>6972</v>
      </c>
      <c r="B4447" s="3">
        <v>44936</v>
      </c>
      <c r="C4447" t="s">
        <v>884</v>
      </c>
      <c r="D4447" t="s">
        <v>3482</v>
      </c>
      <c r="E4447">
        <v>4</v>
      </c>
      <c r="F4447" t="s">
        <v>3524</v>
      </c>
      <c r="G4447" t="s">
        <v>3519</v>
      </c>
      <c r="H4447">
        <v>2.5</v>
      </c>
      <c r="I4447">
        <v>22.9</v>
      </c>
      <c r="J4447">
        <v>91.6</v>
      </c>
    </row>
    <row r="4448" spans="1:10" x14ac:dyDescent="0.25">
      <c r="A4448" t="s">
        <v>6973</v>
      </c>
      <c r="B4448" s="3">
        <v>45293</v>
      </c>
      <c r="C4448" t="s">
        <v>926</v>
      </c>
      <c r="D4448" t="s">
        <v>3512</v>
      </c>
      <c r="E4448">
        <v>6</v>
      </c>
      <c r="F4448" t="s">
        <v>3525</v>
      </c>
      <c r="G4448" t="s">
        <v>3519</v>
      </c>
      <c r="H4448">
        <v>2.5</v>
      </c>
      <c r="I4448">
        <v>33.5</v>
      </c>
      <c r="J4448">
        <v>201</v>
      </c>
    </row>
    <row r="4449" spans="1:10" x14ac:dyDescent="0.25">
      <c r="A4449" t="s">
        <v>6974</v>
      </c>
      <c r="B4449" s="3">
        <v>44889</v>
      </c>
      <c r="C4449" t="s">
        <v>1232</v>
      </c>
      <c r="D4449" t="s">
        <v>3515</v>
      </c>
      <c r="E4449">
        <v>2</v>
      </c>
      <c r="F4449" t="s">
        <v>3526</v>
      </c>
      <c r="G4449" t="s">
        <v>3517</v>
      </c>
      <c r="H4449">
        <v>0.2</v>
      </c>
      <c r="I4449">
        <v>4.5</v>
      </c>
      <c r="J4449">
        <v>9</v>
      </c>
    </row>
    <row r="4450" spans="1:10" x14ac:dyDescent="0.25">
      <c r="A4450" t="s">
        <v>6975</v>
      </c>
      <c r="B4450" s="3">
        <v>45224</v>
      </c>
      <c r="C4450" t="s">
        <v>808</v>
      </c>
      <c r="D4450" t="s">
        <v>3516</v>
      </c>
      <c r="E4450">
        <v>1</v>
      </c>
      <c r="F4450" t="s">
        <v>3526</v>
      </c>
      <c r="G4450" t="s">
        <v>3518</v>
      </c>
      <c r="H4450">
        <v>2.5</v>
      </c>
      <c r="I4450">
        <v>27.9</v>
      </c>
      <c r="J4450">
        <v>27.9</v>
      </c>
    </row>
    <row r="4451" spans="1:10" x14ac:dyDescent="0.25">
      <c r="A4451" t="s">
        <v>6976</v>
      </c>
      <c r="B4451" s="3">
        <v>45489</v>
      </c>
      <c r="C4451" t="s">
        <v>1690</v>
      </c>
      <c r="D4451" t="s">
        <v>3472</v>
      </c>
      <c r="E4451">
        <v>1</v>
      </c>
      <c r="F4451" t="s">
        <v>3526</v>
      </c>
      <c r="G4451" t="s">
        <v>3519</v>
      </c>
      <c r="H4451">
        <v>1</v>
      </c>
      <c r="I4451">
        <v>13.8</v>
      </c>
      <c r="J4451">
        <v>13.8</v>
      </c>
    </row>
    <row r="4452" spans="1:10" x14ac:dyDescent="0.25">
      <c r="A4452" t="s">
        <v>6977</v>
      </c>
      <c r="B4452" s="3">
        <v>45410</v>
      </c>
      <c r="C4452" t="s">
        <v>1426</v>
      </c>
      <c r="D4452" t="s">
        <v>3496</v>
      </c>
      <c r="E4452">
        <v>2</v>
      </c>
      <c r="F4452" t="s">
        <v>3525</v>
      </c>
      <c r="G4452" t="s">
        <v>3518</v>
      </c>
      <c r="H4452">
        <v>2.5</v>
      </c>
      <c r="I4452">
        <v>29.8</v>
      </c>
      <c r="J4452">
        <v>59.6</v>
      </c>
    </row>
    <row r="4453" spans="1:10" x14ac:dyDescent="0.25">
      <c r="A4453" t="s">
        <v>6978</v>
      </c>
      <c r="B4453" s="3">
        <v>45485</v>
      </c>
      <c r="C4453" t="s">
        <v>3399</v>
      </c>
      <c r="D4453" t="s">
        <v>3502</v>
      </c>
      <c r="E4453">
        <v>5</v>
      </c>
      <c r="F4453" t="s">
        <v>3526</v>
      </c>
      <c r="G4453" t="s">
        <v>3517</v>
      </c>
      <c r="H4453">
        <v>1</v>
      </c>
      <c r="I4453">
        <v>14.9</v>
      </c>
      <c r="J4453">
        <v>74.5</v>
      </c>
    </row>
    <row r="4454" spans="1:10" x14ac:dyDescent="0.25">
      <c r="A4454" t="s">
        <v>6979</v>
      </c>
      <c r="B4454" s="3">
        <v>43881</v>
      </c>
      <c r="C4454" t="s">
        <v>3154</v>
      </c>
      <c r="D4454" t="s">
        <v>3473</v>
      </c>
      <c r="E4454">
        <v>2</v>
      </c>
      <c r="F4454" t="s">
        <v>3524</v>
      </c>
      <c r="G4454" t="s">
        <v>3517</v>
      </c>
      <c r="H4454">
        <v>2.5</v>
      </c>
      <c r="I4454">
        <v>27.5</v>
      </c>
      <c r="J4454">
        <v>55</v>
      </c>
    </row>
    <row r="4455" spans="1:10" x14ac:dyDescent="0.25">
      <c r="A4455" t="s">
        <v>6980</v>
      </c>
      <c r="B4455" s="3">
        <v>45093</v>
      </c>
      <c r="C4455" t="s">
        <v>860</v>
      </c>
      <c r="D4455" t="s">
        <v>3509</v>
      </c>
      <c r="E4455">
        <v>4</v>
      </c>
      <c r="F4455" t="s">
        <v>3524</v>
      </c>
      <c r="G4455" t="s">
        <v>3517</v>
      </c>
      <c r="H4455">
        <v>0.2</v>
      </c>
      <c r="I4455">
        <v>3.6</v>
      </c>
      <c r="J4455">
        <v>14.4</v>
      </c>
    </row>
    <row r="4456" spans="1:10" x14ac:dyDescent="0.25">
      <c r="A4456" t="s">
        <v>6981</v>
      </c>
      <c r="B4456" s="3">
        <v>45262</v>
      </c>
      <c r="C4456" t="s">
        <v>3157</v>
      </c>
      <c r="D4456" t="s">
        <v>3477</v>
      </c>
      <c r="E4456">
        <v>4</v>
      </c>
      <c r="F4456" t="s">
        <v>3524</v>
      </c>
      <c r="G4456" t="s">
        <v>3519</v>
      </c>
      <c r="H4456">
        <v>0.5</v>
      </c>
      <c r="I4456">
        <v>6</v>
      </c>
      <c r="J4456">
        <v>24</v>
      </c>
    </row>
    <row r="4457" spans="1:10" x14ac:dyDescent="0.25">
      <c r="A4457" t="s">
        <v>6982</v>
      </c>
      <c r="B4457" s="3">
        <v>45132</v>
      </c>
      <c r="C4457" t="s">
        <v>3240</v>
      </c>
      <c r="D4457" t="s">
        <v>3475</v>
      </c>
      <c r="E4457">
        <v>4</v>
      </c>
      <c r="F4457" t="s">
        <v>3526</v>
      </c>
      <c r="G4457" t="s">
        <v>3518</v>
      </c>
      <c r="H4457">
        <v>0.5</v>
      </c>
      <c r="I4457">
        <v>7.3</v>
      </c>
      <c r="J4457">
        <v>29.2</v>
      </c>
    </row>
    <row r="4458" spans="1:10" x14ac:dyDescent="0.25">
      <c r="A4458" t="s">
        <v>6983</v>
      </c>
      <c r="B4458" s="3">
        <v>45550</v>
      </c>
      <c r="C4458" t="s">
        <v>3363</v>
      </c>
      <c r="D4458" t="s">
        <v>3483</v>
      </c>
      <c r="E4458">
        <v>5</v>
      </c>
      <c r="F4458" t="s">
        <v>3523</v>
      </c>
      <c r="G4458" t="s">
        <v>3519</v>
      </c>
      <c r="H4458">
        <v>0.2</v>
      </c>
      <c r="I4458">
        <v>3.4</v>
      </c>
      <c r="J4458">
        <v>17</v>
      </c>
    </row>
    <row r="4459" spans="1:10" x14ac:dyDescent="0.25">
      <c r="A4459" t="s">
        <v>6984</v>
      </c>
      <c r="B4459" s="3">
        <v>45472</v>
      </c>
      <c r="C4459" t="s">
        <v>3396</v>
      </c>
      <c r="D4459" t="s">
        <v>3481</v>
      </c>
      <c r="E4459">
        <v>2</v>
      </c>
      <c r="F4459" t="s">
        <v>3525</v>
      </c>
      <c r="G4459" t="s">
        <v>3518</v>
      </c>
      <c r="H4459">
        <v>0.2</v>
      </c>
      <c r="I4459">
        <v>3.9</v>
      </c>
      <c r="J4459">
        <v>7.8</v>
      </c>
    </row>
    <row r="4460" spans="1:10" x14ac:dyDescent="0.25">
      <c r="A4460" t="s">
        <v>6985</v>
      </c>
      <c r="B4460" s="3">
        <v>45452</v>
      </c>
      <c r="C4460" t="s">
        <v>691</v>
      </c>
      <c r="D4460" t="s">
        <v>3499</v>
      </c>
      <c r="E4460">
        <v>3</v>
      </c>
      <c r="F4460" t="s">
        <v>3523</v>
      </c>
      <c r="G4460" t="s">
        <v>3518</v>
      </c>
      <c r="H4460">
        <v>2.5</v>
      </c>
      <c r="I4460">
        <v>22.9</v>
      </c>
      <c r="J4460">
        <v>68.7</v>
      </c>
    </row>
    <row r="4461" spans="1:10" x14ac:dyDescent="0.25">
      <c r="A4461" t="s">
        <v>6986</v>
      </c>
      <c r="B4461" s="3">
        <v>45304</v>
      </c>
      <c r="C4461" t="s">
        <v>2311</v>
      </c>
      <c r="D4461" t="s">
        <v>3473</v>
      </c>
      <c r="E4461">
        <v>1</v>
      </c>
      <c r="F4461" t="s">
        <v>3524</v>
      </c>
      <c r="G4461" t="s">
        <v>3517</v>
      </c>
      <c r="H4461">
        <v>2.5</v>
      </c>
      <c r="I4461">
        <v>27.5</v>
      </c>
      <c r="J4461">
        <v>27.5</v>
      </c>
    </row>
    <row r="4462" spans="1:10" x14ac:dyDescent="0.25">
      <c r="A4462" t="s">
        <v>6987</v>
      </c>
      <c r="B4462" s="3">
        <v>44710</v>
      </c>
      <c r="C4462" t="s">
        <v>1205</v>
      </c>
      <c r="D4462" t="s">
        <v>3474</v>
      </c>
      <c r="E4462">
        <v>2</v>
      </c>
      <c r="F4462" t="s">
        <v>3525</v>
      </c>
      <c r="G4462" t="s">
        <v>3518</v>
      </c>
      <c r="H4462">
        <v>1</v>
      </c>
      <c r="I4462">
        <v>13</v>
      </c>
      <c r="J4462">
        <v>26</v>
      </c>
    </row>
    <row r="4463" spans="1:10" x14ac:dyDescent="0.25">
      <c r="A4463" t="s">
        <v>6988</v>
      </c>
      <c r="B4463" s="3">
        <v>45196</v>
      </c>
      <c r="C4463" t="s">
        <v>595</v>
      </c>
      <c r="D4463" t="s">
        <v>3479</v>
      </c>
      <c r="E4463">
        <v>5</v>
      </c>
      <c r="F4463" t="s">
        <v>3526</v>
      </c>
      <c r="G4463" t="s">
        <v>3517</v>
      </c>
      <c r="H4463">
        <v>2.5</v>
      </c>
      <c r="I4463">
        <v>34.200000000000003</v>
      </c>
      <c r="J4463">
        <v>171</v>
      </c>
    </row>
    <row r="4464" spans="1:10" x14ac:dyDescent="0.25">
      <c r="A4464" t="s">
        <v>6989</v>
      </c>
      <c r="B4464" s="3">
        <v>45434</v>
      </c>
      <c r="C4464" t="s">
        <v>1500</v>
      </c>
      <c r="D4464" t="s">
        <v>3492</v>
      </c>
      <c r="E4464">
        <v>3</v>
      </c>
      <c r="F4464" t="s">
        <v>3525</v>
      </c>
      <c r="G4464" t="s">
        <v>3517</v>
      </c>
      <c r="H4464">
        <v>0.5</v>
      </c>
      <c r="I4464">
        <v>9.5</v>
      </c>
      <c r="J4464">
        <v>28.5</v>
      </c>
    </row>
    <row r="4465" spans="1:10" x14ac:dyDescent="0.25">
      <c r="A4465" t="s">
        <v>6990</v>
      </c>
      <c r="B4465" s="3">
        <v>43526</v>
      </c>
      <c r="C4465" t="s">
        <v>3115</v>
      </c>
      <c r="D4465" t="s">
        <v>3484</v>
      </c>
      <c r="E4465">
        <v>1</v>
      </c>
      <c r="F4465" t="s">
        <v>3526</v>
      </c>
      <c r="G4465" t="s">
        <v>3518</v>
      </c>
      <c r="H4465">
        <v>0.2</v>
      </c>
      <c r="I4465">
        <v>3.6</v>
      </c>
      <c r="J4465">
        <v>3.6</v>
      </c>
    </row>
    <row r="4466" spans="1:10" x14ac:dyDescent="0.25">
      <c r="A4466" t="s">
        <v>6991</v>
      </c>
      <c r="B4466" s="3">
        <v>45413</v>
      </c>
      <c r="C4466" t="s">
        <v>679</v>
      </c>
      <c r="D4466" t="s">
        <v>3502</v>
      </c>
      <c r="E4466">
        <v>5</v>
      </c>
      <c r="F4466" t="s">
        <v>3526</v>
      </c>
      <c r="G4466" t="s">
        <v>3517</v>
      </c>
      <c r="H4466">
        <v>1</v>
      </c>
      <c r="I4466">
        <v>14.9</v>
      </c>
      <c r="J4466">
        <v>74.5</v>
      </c>
    </row>
    <row r="4467" spans="1:10" x14ac:dyDescent="0.25">
      <c r="A4467" t="s">
        <v>6992</v>
      </c>
      <c r="B4467" s="3">
        <v>43867</v>
      </c>
      <c r="C4467" t="s">
        <v>1121</v>
      </c>
      <c r="D4467" t="s">
        <v>3471</v>
      </c>
      <c r="E4467">
        <v>6</v>
      </c>
      <c r="F4467" t="s">
        <v>3523</v>
      </c>
      <c r="G4467" t="s">
        <v>3517</v>
      </c>
      <c r="H4467">
        <v>1</v>
      </c>
      <c r="I4467">
        <v>13</v>
      </c>
      <c r="J4467">
        <v>78</v>
      </c>
    </row>
    <row r="4468" spans="1:10" x14ac:dyDescent="0.25">
      <c r="A4468" t="s">
        <v>6993</v>
      </c>
      <c r="B4468" s="3">
        <v>43815</v>
      </c>
      <c r="C4468" t="s">
        <v>497</v>
      </c>
      <c r="D4468" t="s">
        <v>3515</v>
      </c>
      <c r="E4468">
        <v>2</v>
      </c>
      <c r="F4468" t="s">
        <v>3526</v>
      </c>
      <c r="G4468" t="s">
        <v>3517</v>
      </c>
      <c r="H4468">
        <v>0.2</v>
      </c>
      <c r="I4468">
        <v>4.5</v>
      </c>
      <c r="J4468">
        <v>9</v>
      </c>
    </row>
    <row r="4469" spans="1:10" x14ac:dyDescent="0.25">
      <c r="A4469" t="s">
        <v>6994</v>
      </c>
      <c r="B4469" s="3">
        <v>45166</v>
      </c>
      <c r="C4469" t="s">
        <v>944</v>
      </c>
      <c r="D4469" t="s">
        <v>3487</v>
      </c>
      <c r="E4469">
        <v>5</v>
      </c>
      <c r="F4469" t="s">
        <v>3526</v>
      </c>
      <c r="G4469" t="s">
        <v>3519</v>
      </c>
      <c r="H4469">
        <v>0.2</v>
      </c>
      <c r="I4469">
        <v>4.0999999999999996</v>
      </c>
      <c r="J4469">
        <v>20.5</v>
      </c>
    </row>
    <row r="4470" spans="1:10" x14ac:dyDescent="0.25">
      <c r="A4470" t="s">
        <v>6995</v>
      </c>
      <c r="B4470" s="3">
        <v>45390</v>
      </c>
      <c r="C4470" t="s">
        <v>2077</v>
      </c>
      <c r="D4470" t="s">
        <v>3493</v>
      </c>
      <c r="E4470">
        <v>5</v>
      </c>
      <c r="F4470" t="s">
        <v>3525</v>
      </c>
      <c r="G4470" t="s">
        <v>3519</v>
      </c>
      <c r="H4470">
        <v>1</v>
      </c>
      <c r="I4470">
        <v>14.6</v>
      </c>
      <c r="J4470">
        <v>73</v>
      </c>
    </row>
    <row r="4471" spans="1:10" x14ac:dyDescent="0.25">
      <c r="A4471" t="s">
        <v>6996</v>
      </c>
      <c r="B4471" s="3">
        <v>44590</v>
      </c>
      <c r="C4471" t="s">
        <v>3378</v>
      </c>
      <c r="D4471" t="s">
        <v>3504</v>
      </c>
      <c r="E4471">
        <v>6</v>
      </c>
      <c r="F4471" t="s">
        <v>3524</v>
      </c>
      <c r="G4471" t="s">
        <v>3517</v>
      </c>
      <c r="H4471">
        <v>0.5</v>
      </c>
      <c r="I4471">
        <v>7.2</v>
      </c>
      <c r="J4471">
        <v>43.2</v>
      </c>
    </row>
    <row r="4472" spans="1:10" x14ac:dyDescent="0.25">
      <c r="A4472" t="s">
        <v>6997</v>
      </c>
      <c r="B4472" s="3">
        <v>44072</v>
      </c>
      <c r="C4472" t="s">
        <v>1813</v>
      </c>
      <c r="D4472" t="s">
        <v>3501</v>
      </c>
      <c r="E4472">
        <v>4</v>
      </c>
      <c r="F4472" t="s">
        <v>3525</v>
      </c>
      <c r="G4472" t="s">
        <v>3517</v>
      </c>
      <c r="H4472">
        <v>1</v>
      </c>
      <c r="I4472">
        <v>15.9</v>
      </c>
      <c r="J4472">
        <v>63.6</v>
      </c>
    </row>
    <row r="4473" spans="1:10" x14ac:dyDescent="0.25">
      <c r="A4473" t="s">
        <v>6998</v>
      </c>
      <c r="B4473" s="3">
        <v>45053</v>
      </c>
      <c r="C4473" t="s">
        <v>2308</v>
      </c>
      <c r="D4473" t="s">
        <v>3501</v>
      </c>
      <c r="E4473">
        <v>2</v>
      </c>
      <c r="F4473" t="s">
        <v>3525</v>
      </c>
      <c r="G4473" t="s">
        <v>3517</v>
      </c>
      <c r="H4473">
        <v>1</v>
      </c>
      <c r="I4473">
        <v>15.9</v>
      </c>
      <c r="J4473">
        <v>31.8</v>
      </c>
    </row>
    <row r="4474" spans="1:10" x14ac:dyDescent="0.25">
      <c r="A4474" t="s">
        <v>6999</v>
      </c>
      <c r="B4474" s="3">
        <v>44775</v>
      </c>
      <c r="C4474" t="s">
        <v>1405</v>
      </c>
      <c r="D4474" t="s">
        <v>3511</v>
      </c>
      <c r="E4474">
        <v>6</v>
      </c>
      <c r="F4474" t="s">
        <v>3523</v>
      </c>
      <c r="G4474" t="s">
        <v>3517</v>
      </c>
      <c r="H4474">
        <v>0.5</v>
      </c>
      <c r="I4474">
        <v>7.8</v>
      </c>
      <c r="J4474">
        <v>46.8</v>
      </c>
    </row>
    <row r="4475" spans="1:10" x14ac:dyDescent="0.25">
      <c r="A4475" t="s">
        <v>7000</v>
      </c>
      <c r="B4475" s="3">
        <v>45595</v>
      </c>
      <c r="C4475" t="s">
        <v>3321</v>
      </c>
      <c r="D4475" t="s">
        <v>3473</v>
      </c>
      <c r="E4475">
        <v>6</v>
      </c>
      <c r="F4475" t="s">
        <v>3524</v>
      </c>
      <c r="G4475" t="s">
        <v>3517</v>
      </c>
      <c r="H4475">
        <v>2.5</v>
      </c>
      <c r="I4475">
        <v>27.5</v>
      </c>
      <c r="J4475">
        <v>165</v>
      </c>
    </row>
    <row r="4476" spans="1:10" x14ac:dyDescent="0.25">
      <c r="A4476" t="s">
        <v>7001</v>
      </c>
      <c r="B4476" s="3">
        <v>43940</v>
      </c>
      <c r="C4476" t="s">
        <v>2281</v>
      </c>
      <c r="D4476" t="s">
        <v>3507</v>
      </c>
      <c r="E4476">
        <v>2</v>
      </c>
      <c r="F4476" t="s">
        <v>3526</v>
      </c>
      <c r="G4476" t="s">
        <v>3517</v>
      </c>
      <c r="H4476">
        <v>0.5</v>
      </c>
      <c r="I4476">
        <v>8.9</v>
      </c>
      <c r="J4476">
        <v>17.8</v>
      </c>
    </row>
    <row r="4477" spans="1:10" x14ac:dyDescent="0.25">
      <c r="A4477" t="s">
        <v>7002</v>
      </c>
      <c r="B4477" s="3">
        <v>44620</v>
      </c>
      <c r="C4477" t="s">
        <v>1396</v>
      </c>
      <c r="D4477" t="s">
        <v>3472</v>
      </c>
      <c r="E4477">
        <v>3</v>
      </c>
      <c r="F4477" t="s">
        <v>3526</v>
      </c>
      <c r="G4477" t="s">
        <v>3519</v>
      </c>
      <c r="H4477">
        <v>1</v>
      </c>
      <c r="I4477">
        <v>13.8</v>
      </c>
      <c r="J4477">
        <v>41.4</v>
      </c>
    </row>
    <row r="4478" spans="1:10" x14ac:dyDescent="0.25">
      <c r="A4478" t="s">
        <v>7003</v>
      </c>
      <c r="B4478" s="3">
        <v>45618</v>
      </c>
      <c r="C4478" t="s">
        <v>959</v>
      </c>
      <c r="D4478" t="s">
        <v>3508</v>
      </c>
      <c r="E4478">
        <v>2</v>
      </c>
      <c r="F4478" t="s">
        <v>3524</v>
      </c>
      <c r="G4478" t="s">
        <v>3518</v>
      </c>
      <c r="H4478">
        <v>1</v>
      </c>
      <c r="I4478">
        <v>9</v>
      </c>
      <c r="J4478">
        <v>18</v>
      </c>
    </row>
    <row r="4479" spans="1:10" x14ac:dyDescent="0.25">
      <c r="A4479" t="s">
        <v>7004</v>
      </c>
      <c r="B4479" s="3">
        <v>45340</v>
      </c>
      <c r="C4479" t="s">
        <v>2509</v>
      </c>
      <c r="D4479" t="s">
        <v>3490</v>
      </c>
      <c r="E4479">
        <v>3</v>
      </c>
      <c r="F4479" t="s">
        <v>3525</v>
      </c>
      <c r="G4479" t="s">
        <v>3519</v>
      </c>
      <c r="H4479">
        <v>0.2</v>
      </c>
      <c r="I4479">
        <v>4.4000000000000004</v>
      </c>
      <c r="J4479">
        <v>13.2</v>
      </c>
    </row>
    <row r="4480" spans="1:10" x14ac:dyDescent="0.25">
      <c r="A4480" t="s">
        <v>7005</v>
      </c>
      <c r="B4480" s="3">
        <v>45182</v>
      </c>
      <c r="C4480" t="s">
        <v>857</v>
      </c>
      <c r="D4480" t="s">
        <v>3470</v>
      </c>
      <c r="E4480">
        <v>3</v>
      </c>
      <c r="F4480" t="s">
        <v>3526</v>
      </c>
      <c r="G4480" t="s">
        <v>3519</v>
      </c>
      <c r="H4480">
        <v>0.5</v>
      </c>
      <c r="I4480">
        <v>8.3000000000000007</v>
      </c>
      <c r="J4480">
        <v>24.9</v>
      </c>
    </row>
    <row r="4481" spans="1:10" x14ac:dyDescent="0.25">
      <c r="A4481" t="s">
        <v>7006</v>
      </c>
      <c r="B4481" s="3">
        <v>45581</v>
      </c>
      <c r="C4481" t="s">
        <v>935</v>
      </c>
      <c r="D4481" t="s">
        <v>3490</v>
      </c>
      <c r="E4481">
        <v>3</v>
      </c>
      <c r="F4481" t="s">
        <v>3525</v>
      </c>
      <c r="G4481" t="s">
        <v>3519</v>
      </c>
      <c r="H4481">
        <v>0.2</v>
      </c>
      <c r="I4481">
        <v>4.4000000000000004</v>
      </c>
      <c r="J4481">
        <v>13.2</v>
      </c>
    </row>
    <row r="4482" spans="1:10" x14ac:dyDescent="0.25">
      <c r="A4482" t="s">
        <v>7007</v>
      </c>
      <c r="B4482" s="3">
        <v>43575</v>
      </c>
      <c r="C4482" t="s">
        <v>2736</v>
      </c>
      <c r="D4482" t="s">
        <v>3513</v>
      </c>
      <c r="E4482">
        <v>1</v>
      </c>
      <c r="F4482" t="s">
        <v>3523</v>
      </c>
      <c r="G4482" t="s">
        <v>3517</v>
      </c>
      <c r="H4482">
        <v>2.5</v>
      </c>
      <c r="I4482">
        <v>29.8</v>
      </c>
      <c r="J4482">
        <v>29.8</v>
      </c>
    </row>
    <row r="4483" spans="1:10" x14ac:dyDescent="0.25">
      <c r="A4483" t="s">
        <v>7008</v>
      </c>
      <c r="B4483" s="3">
        <v>43788</v>
      </c>
      <c r="C4483" t="s">
        <v>1160</v>
      </c>
      <c r="D4483" t="s">
        <v>3494</v>
      </c>
      <c r="E4483">
        <v>6</v>
      </c>
      <c r="F4483" t="s">
        <v>3524</v>
      </c>
      <c r="G4483" t="s">
        <v>3518</v>
      </c>
      <c r="H4483">
        <v>0.2</v>
      </c>
      <c r="I4483">
        <v>2.7</v>
      </c>
      <c r="J4483">
        <v>16.2</v>
      </c>
    </row>
    <row r="4484" spans="1:10" x14ac:dyDescent="0.25">
      <c r="A4484" t="s">
        <v>7009</v>
      </c>
      <c r="B4484" s="3">
        <v>44925</v>
      </c>
      <c r="C4484" t="s">
        <v>1948</v>
      </c>
      <c r="D4484" t="s">
        <v>3500</v>
      </c>
      <c r="E4484">
        <v>2</v>
      </c>
      <c r="F4484" t="s">
        <v>3525</v>
      </c>
      <c r="G4484" t="s">
        <v>3518</v>
      </c>
      <c r="H4484">
        <v>0.5</v>
      </c>
      <c r="I4484">
        <v>7.8</v>
      </c>
      <c r="J4484">
        <v>15.6</v>
      </c>
    </row>
    <row r="4485" spans="1:10" x14ac:dyDescent="0.25">
      <c r="A4485" t="s">
        <v>7010</v>
      </c>
      <c r="B4485" s="3">
        <v>44001</v>
      </c>
      <c r="C4485" t="s">
        <v>1732</v>
      </c>
      <c r="D4485" t="s">
        <v>3476</v>
      </c>
      <c r="E4485">
        <v>4</v>
      </c>
      <c r="F4485" t="s">
        <v>3525</v>
      </c>
      <c r="G4485" t="s">
        <v>3517</v>
      </c>
      <c r="H4485">
        <v>0.2</v>
      </c>
      <c r="I4485">
        <v>4.8</v>
      </c>
      <c r="J4485">
        <v>19.2</v>
      </c>
    </row>
    <row r="4486" spans="1:10" x14ac:dyDescent="0.25">
      <c r="A4486" t="s">
        <v>7011</v>
      </c>
      <c r="B4486" s="3">
        <v>44450</v>
      </c>
      <c r="C4486" t="s">
        <v>2224</v>
      </c>
      <c r="D4486" t="s">
        <v>3496</v>
      </c>
      <c r="E4486">
        <v>2</v>
      </c>
      <c r="F4486" t="s">
        <v>3525</v>
      </c>
      <c r="G4486" t="s">
        <v>3518</v>
      </c>
      <c r="H4486">
        <v>2.5</v>
      </c>
      <c r="I4486">
        <v>29.8</v>
      </c>
      <c r="J4486">
        <v>59.6</v>
      </c>
    </row>
    <row r="4487" spans="1:10" x14ac:dyDescent="0.25">
      <c r="A4487" t="s">
        <v>7012</v>
      </c>
      <c r="B4487" s="3">
        <v>44605</v>
      </c>
      <c r="C4487" t="s">
        <v>1696</v>
      </c>
      <c r="D4487" t="s">
        <v>3498</v>
      </c>
      <c r="E4487">
        <v>4</v>
      </c>
      <c r="F4487" t="s">
        <v>3523</v>
      </c>
      <c r="G4487" t="s">
        <v>3517</v>
      </c>
      <c r="H4487">
        <v>0.2</v>
      </c>
      <c r="I4487">
        <v>3.9</v>
      </c>
      <c r="J4487">
        <v>15.6</v>
      </c>
    </row>
    <row r="4488" spans="1:10" x14ac:dyDescent="0.25">
      <c r="A4488" t="s">
        <v>7013</v>
      </c>
      <c r="B4488" s="3">
        <v>45004</v>
      </c>
      <c r="C4488" t="s">
        <v>604</v>
      </c>
      <c r="D4488" t="s">
        <v>3480</v>
      </c>
      <c r="E4488">
        <v>2</v>
      </c>
      <c r="F4488" t="s">
        <v>3524</v>
      </c>
      <c r="G4488" t="s">
        <v>3518</v>
      </c>
      <c r="H4488">
        <v>2.5</v>
      </c>
      <c r="I4488">
        <v>20.6</v>
      </c>
      <c r="J4488">
        <v>41.2</v>
      </c>
    </row>
    <row r="4489" spans="1:10" x14ac:dyDescent="0.25">
      <c r="A4489" t="s">
        <v>7014</v>
      </c>
      <c r="B4489" s="3">
        <v>44846</v>
      </c>
      <c r="C4489" t="s">
        <v>1966</v>
      </c>
      <c r="D4489" t="s">
        <v>3472</v>
      </c>
      <c r="E4489">
        <v>6</v>
      </c>
      <c r="F4489" t="s">
        <v>3526</v>
      </c>
      <c r="G4489" t="s">
        <v>3519</v>
      </c>
      <c r="H4489">
        <v>1</v>
      </c>
      <c r="I4489">
        <v>13.8</v>
      </c>
      <c r="J4489">
        <v>82.8</v>
      </c>
    </row>
    <row r="4490" spans="1:10" x14ac:dyDescent="0.25">
      <c r="A4490" t="s">
        <v>7015</v>
      </c>
      <c r="B4490" s="3">
        <v>43970</v>
      </c>
      <c r="C4490" t="s">
        <v>1511</v>
      </c>
      <c r="D4490" t="s">
        <v>3477</v>
      </c>
      <c r="E4490">
        <v>6</v>
      </c>
      <c r="F4490" t="s">
        <v>3524</v>
      </c>
      <c r="G4490" t="s">
        <v>3519</v>
      </c>
      <c r="H4490">
        <v>0.5</v>
      </c>
      <c r="I4490">
        <v>6</v>
      </c>
      <c r="J4490">
        <v>36</v>
      </c>
    </row>
    <row r="4491" spans="1:10" x14ac:dyDescent="0.25">
      <c r="A4491" t="s">
        <v>7016</v>
      </c>
      <c r="B4491" s="3">
        <v>44035</v>
      </c>
      <c r="C4491" t="s">
        <v>811</v>
      </c>
      <c r="D4491" t="s">
        <v>3469</v>
      </c>
      <c r="E4491">
        <v>4</v>
      </c>
      <c r="F4491" t="s">
        <v>3524</v>
      </c>
      <c r="G4491" t="s">
        <v>3519</v>
      </c>
      <c r="H4491">
        <v>1</v>
      </c>
      <c r="I4491">
        <v>10</v>
      </c>
      <c r="J4491">
        <v>40</v>
      </c>
    </row>
    <row r="4492" spans="1:10" x14ac:dyDescent="0.25">
      <c r="A4492" t="s">
        <v>7017</v>
      </c>
      <c r="B4492" s="3">
        <v>45466</v>
      </c>
      <c r="C4492" t="s">
        <v>1597</v>
      </c>
      <c r="D4492" t="s">
        <v>3480</v>
      </c>
      <c r="E4492">
        <v>1</v>
      </c>
      <c r="F4492" t="s">
        <v>3524</v>
      </c>
      <c r="G4492" t="s">
        <v>3518</v>
      </c>
      <c r="H4492">
        <v>2.5</v>
      </c>
      <c r="I4492">
        <v>20.6</v>
      </c>
      <c r="J4492">
        <v>20.6</v>
      </c>
    </row>
    <row r="4493" spans="1:10" x14ac:dyDescent="0.25">
      <c r="A4493" t="s">
        <v>7018</v>
      </c>
      <c r="B4493" s="3">
        <v>45242</v>
      </c>
      <c r="C4493" t="s">
        <v>2672</v>
      </c>
      <c r="D4493" t="s">
        <v>3513</v>
      </c>
      <c r="E4493">
        <v>3</v>
      </c>
      <c r="F4493" t="s">
        <v>3523</v>
      </c>
      <c r="G4493" t="s">
        <v>3517</v>
      </c>
      <c r="H4493">
        <v>2.5</v>
      </c>
      <c r="I4493">
        <v>29.8</v>
      </c>
      <c r="J4493">
        <v>89.4</v>
      </c>
    </row>
    <row r="4494" spans="1:10" x14ac:dyDescent="0.25">
      <c r="A4494" t="s">
        <v>7019</v>
      </c>
      <c r="B4494" s="3">
        <v>45141</v>
      </c>
      <c r="C4494" t="s">
        <v>1720</v>
      </c>
      <c r="D4494" t="s">
        <v>3485</v>
      </c>
      <c r="E4494">
        <v>5</v>
      </c>
      <c r="F4494" t="s">
        <v>3523</v>
      </c>
      <c r="G4494" t="s">
        <v>3518</v>
      </c>
      <c r="H4494">
        <v>0.2</v>
      </c>
      <c r="I4494">
        <v>3</v>
      </c>
      <c r="J4494">
        <v>15</v>
      </c>
    </row>
    <row r="4495" spans="1:10" x14ac:dyDescent="0.25">
      <c r="A4495" t="s">
        <v>7020</v>
      </c>
      <c r="B4495" s="3">
        <v>45323</v>
      </c>
      <c r="C4495" t="s">
        <v>1594</v>
      </c>
      <c r="D4495" t="s">
        <v>3480</v>
      </c>
      <c r="E4495">
        <v>2</v>
      </c>
      <c r="F4495" t="s">
        <v>3524</v>
      </c>
      <c r="G4495" t="s">
        <v>3518</v>
      </c>
      <c r="H4495">
        <v>2.5</v>
      </c>
      <c r="I4495">
        <v>20.6</v>
      </c>
      <c r="J4495">
        <v>41.2</v>
      </c>
    </row>
    <row r="4496" spans="1:10" x14ac:dyDescent="0.25">
      <c r="A4496" t="s">
        <v>7021</v>
      </c>
      <c r="B4496" s="3">
        <v>43635</v>
      </c>
      <c r="C4496" t="s">
        <v>2924</v>
      </c>
      <c r="D4496" t="s">
        <v>3502</v>
      </c>
      <c r="E4496">
        <v>4</v>
      </c>
      <c r="F4496" t="s">
        <v>3526</v>
      </c>
      <c r="G4496" t="s">
        <v>3517</v>
      </c>
      <c r="H4496">
        <v>1</v>
      </c>
      <c r="I4496">
        <v>14.9</v>
      </c>
      <c r="J4496">
        <v>59.6</v>
      </c>
    </row>
    <row r="4497" spans="1:10" x14ac:dyDescent="0.25">
      <c r="A4497" t="s">
        <v>7022</v>
      </c>
      <c r="B4497" s="3">
        <v>45565</v>
      </c>
      <c r="C4497" t="s">
        <v>688</v>
      </c>
      <c r="D4497" t="s">
        <v>3471</v>
      </c>
      <c r="E4497">
        <v>5</v>
      </c>
      <c r="F4497" t="s">
        <v>3523</v>
      </c>
      <c r="G4497" t="s">
        <v>3517</v>
      </c>
      <c r="H4497">
        <v>1</v>
      </c>
      <c r="I4497">
        <v>13</v>
      </c>
      <c r="J4497">
        <v>65</v>
      </c>
    </row>
    <row r="4498" spans="1:10" x14ac:dyDescent="0.25">
      <c r="A4498" t="s">
        <v>7023</v>
      </c>
      <c r="B4498" s="3">
        <v>45173</v>
      </c>
      <c r="C4498" t="s">
        <v>2332</v>
      </c>
      <c r="D4498" t="s">
        <v>3477</v>
      </c>
      <c r="E4498">
        <v>2</v>
      </c>
      <c r="F4498" t="s">
        <v>3524</v>
      </c>
      <c r="G4498" t="s">
        <v>3519</v>
      </c>
      <c r="H4498">
        <v>0.5</v>
      </c>
      <c r="I4498">
        <v>6</v>
      </c>
      <c r="J4498">
        <v>12</v>
      </c>
    </row>
    <row r="4499" spans="1:10" x14ac:dyDescent="0.25">
      <c r="A4499" t="s">
        <v>7024</v>
      </c>
      <c r="B4499" s="3">
        <v>45651</v>
      </c>
      <c r="C4499" t="s">
        <v>2675</v>
      </c>
      <c r="D4499" t="s">
        <v>3483</v>
      </c>
      <c r="E4499">
        <v>2</v>
      </c>
      <c r="F4499" t="s">
        <v>3523</v>
      </c>
      <c r="G4499" t="s">
        <v>3519</v>
      </c>
      <c r="H4499">
        <v>0.2</v>
      </c>
      <c r="I4499">
        <v>3.4</v>
      </c>
      <c r="J4499">
        <v>6.8</v>
      </c>
    </row>
    <row r="4500" spans="1:10" x14ac:dyDescent="0.25">
      <c r="A4500" t="s">
        <v>7025</v>
      </c>
      <c r="B4500" s="3">
        <v>44753</v>
      </c>
      <c r="C4500" t="s">
        <v>1461</v>
      </c>
      <c r="D4500" t="s">
        <v>3496</v>
      </c>
      <c r="E4500">
        <v>2</v>
      </c>
      <c r="F4500" t="s">
        <v>3525</v>
      </c>
      <c r="G4500" t="s">
        <v>3518</v>
      </c>
      <c r="H4500">
        <v>2.5</v>
      </c>
      <c r="I4500">
        <v>29.8</v>
      </c>
      <c r="J4500">
        <v>59.6</v>
      </c>
    </row>
    <row r="4501" spans="1:10" x14ac:dyDescent="0.25">
      <c r="A4501" t="s">
        <v>7026</v>
      </c>
      <c r="B4501" s="3">
        <v>45045</v>
      </c>
      <c r="C4501" t="s">
        <v>997</v>
      </c>
      <c r="D4501" t="s">
        <v>3506</v>
      </c>
      <c r="E4501">
        <v>4</v>
      </c>
      <c r="F4501" t="s">
        <v>3523</v>
      </c>
      <c r="G4501" t="s">
        <v>3519</v>
      </c>
      <c r="H4501">
        <v>2.5</v>
      </c>
      <c r="I4501">
        <v>25.9</v>
      </c>
      <c r="J4501">
        <v>103.6</v>
      </c>
    </row>
    <row r="4502" spans="1:10" x14ac:dyDescent="0.25">
      <c r="A4502" t="s">
        <v>7027</v>
      </c>
      <c r="B4502" s="3">
        <v>45037</v>
      </c>
      <c r="C4502" t="s">
        <v>965</v>
      </c>
      <c r="D4502" t="s">
        <v>3473</v>
      </c>
      <c r="E4502">
        <v>6</v>
      </c>
      <c r="F4502" t="s">
        <v>3524</v>
      </c>
      <c r="G4502" t="s">
        <v>3517</v>
      </c>
      <c r="H4502">
        <v>2.5</v>
      </c>
      <c r="I4502">
        <v>27.5</v>
      </c>
      <c r="J4502">
        <v>165</v>
      </c>
    </row>
    <row r="4503" spans="1:10" x14ac:dyDescent="0.25">
      <c r="A4503" t="s">
        <v>7028</v>
      </c>
      <c r="B4503" s="3">
        <v>44629</v>
      </c>
      <c r="C4503" t="s">
        <v>1553</v>
      </c>
      <c r="D4503" t="s">
        <v>3494</v>
      </c>
      <c r="E4503">
        <v>4</v>
      </c>
      <c r="F4503" t="s">
        <v>3524</v>
      </c>
      <c r="G4503" t="s">
        <v>3518</v>
      </c>
      <c r="H4503">
        <v>0.2</v>
      </c>
      <c r="I4503">
        <v>2.7</v>
      </c>
      <c r="J4503">
        <v>10.8</v>
      </c>
    </row>
    <row r="4504" spans="1:10" x14ac:dyDescent="0.25">
      <c r="A4504" t="s">
        <v>7029</v>
      </c>
      <c r="B4504" s="3">
        <v>44823</v>
      </c>
      <c r="C4504" t="s">
        <v>3408</v>
      </c>
      <c r="D4504" t="s">
        <v>3490</v>
      </c>
      <c r="E4504">
        <v>4</v>
      </c>
      <c r="F4504" t="s">
        <v>3525</v>
      </c>
      <c r="G4504" t="s">
        <v>3519</v>
      </c>
      <c r="H4504">
        <v>0.2</v>
      </c>
      <c r="I4504">
        <v>4.4000000000000004</v>
      </c>
      <c r="J4504">
        <v>17.600000000000001</v>
      </c>
    </row>
    <row r="4505" spans="1:10" x14ac:dyDescent="0.25">
      <c r="A4505" t="s">
        <v>7030</v>
      </c>
      <c r="B4505" s="3">
        <v>44684</v>
      </c>
      <c r="C4505" t="s">
        <v>1825</v>
      </c>
      <c r="D4505" t="s">
        <v>3489</v>
      </c>
      <c r="E4505">
        <v>2</v>
      </c>
      <c r="F4505" t="s">
        <v>3523</v>
      </c>
      <c r="G4505" t="s">
        <v>3518</v>
      </c>
      <c r="H4505">
        <v>0.5</v>
      </c>
      <c r="I4505">
        <v>6</v>
      </c>
      <c r="J4505">
        <v>12</v>
      </c>
    </row>
    <row r="4506" spans="1:10" x14ac:dyDescent="0.25">
      <c r="A4506" t="s">
        <v>7031</v>
      </c>
      <c r="B4506" s="3">
        <v>45175</v>
      </c>
      <c r="C4506" t="s">
        <v>3166</v>
      </c>
      <c r="D4506" t="s">
        <v>3471</v>
      </c>
      <c r="E4506">
        <v>4</v>
      </c>
      <c r="F4506" t="s">
        <v>3523</v>
      </c>
      <c r="G4506" t="s">
        <v>3517</v>
      </c>
      <c r="H4506">
        <v>1</v>
      </c>
      <c r="I4506">
        <v>13</v>
      </c>
      <c r="J4506">
        <v>52</v>
      </c>
    </row>
    <row r="4507" spans="1:10" x14ac:dyDescent="0.25">
      <c r="A4507" t="s">
        <v>7032</v>
      </c>
      <c r="B4507" s="3">
        <v>45328</v>
      </c>
      <c r="C4507" t="s">
        <v>754</v>
      </c>
      <c r="D4507" t="s">
        <v>3474</v>
      </c>
      <c r="E4507">
        <v>3</v>
      </c>
      <c r="F4507" t="s">
        <v>3525</v>
      </c>
      <c r="G4507" t="s">
        <v>3518</v>
      </c>
      <c r="H4507">
        <v>1</v>
      </c>
      <c r="I4507">
        <v>13</v>
      </c>
      <c r="J4507">
        <v>39</v>
      </c>
    </row>
    <row r="4508" spans="1:10" x14ac:dyDescent="0.25">
      <c r="A4508" t="s">
        <v>7033</v>
      </c>
      <c r="B4508" s="3">
        <v>44059</v>
      </c>
      <c r="C4508" t="s">
        <v>997</v>
      </c>
      <c r="D4508" t="s">
        <v>3516</v>
      </c>
      <c r="E4508">
        <v>1</v>
      </c>
      <c r="F4508" t="s">
        <v>3526</v>
      </c>
      <c r="G4508" t="s">
        <v>3518</v>
      </c>
      <c r="H4508">
        <v>2.5</v>
      </c>
      <c r="I4508">
        <v>27.9</v>
      </c>
      <c r="J4508">
        <v>27.9</v>
      </c>
    </row>
    <row r="4509" spans="1:10" x14ac:dyDescent="0.25">
      <c r="A4509" t="s">
        <v>7034</v>
      </c>
      <c r="B4509" s="3">
        <v>44588</v>
      </c>
      <c r="C4509" t="s">
        <v>2977</v>
      </c>
      <c r="D4509" t="s">
        <v>3479</v>
      </c>
      <c r="E4509">
        <v>4</v>
      </c>
      <c r="F4509" t="s">
        <v>3526</v>
      </c>
      <c r="G4509" t="s">
        <v>3517</v>
      </c>
      <c r="H4509">
        <v>2.5</v>
      </c>
      <c r="I4509">
        <v>34.200000000000003</v>
      </c>
      <c r="J4509">
        <v>136.80000000000001</v>
      </c>
    </row>
    <row r="4510" spans="1:10" x14ac:dyDescent="0.25">
      <c r="A4510" t="s">
        <v>7035</v>
      </c>
      <c r="B4510" s="3">
        <v>44579</v>
      </c>
      <c r="C4510" t="s">
        <v>2566</v>
      </c>
      <c r="D4510" t="s">
        <v>3503</v>
      </c>
      <c r="E4510">
        <v>2</v>
      </c>
      <c r="F4510" t="s">
        <v>3524</v>
      </c>
      <c r="G4510" t="s">
        <v>3518</v>
      </c>
      <c r="H4510">
        <v>0.5</v>
      </c>
      <c r="I4510">
        <v>5.4</v>
      </c>
      <c r="J4510">
        <v>10.8</v>
      </c>
    </row>
    <row r="4511" spans="1:10" x14ac:dyDescent="0.25">
      <c r="A4511" t="s">
        <v>7036</v>
      </c>
      <c r="B4511" s="3">
        <v>44552</v>
      </c>
      <c r="C4511" t="s">
        <v>1068</v>
      </c>
      <c r="D4511" t="s">
        <v>3489</v>
      </c>
      <c r="E4511">
        <v>4</v>
      </c>
      <c r="F4511" t="s">
        <v>3523</v>
      </c>
      <c r="G4511" t="s">
        <v>3518</v>
      </c>
      <c r="H4511">
        <v>0.5</v>
      </c>
      <c r="I4511">
        <v>6</v>
      </c>
      <c r="J4511">
        <v>24</v>
      </c>
    </row>
    <row r="4512" spans="1:10" x14ac:dyDescent="0.25">
      <c r="A4512" t="s">
        <v>7037</v>
      </c>
      <c r="B4512" s="3">
        <v>45360</v>
      </c>
      <c r="C4512" t="s">
        <v>1050</v>
      </c>
      <c r="D4512" t="s">
        <v>3514</v>
      </c>
      <c r="E4512">
        <v>1</v>
      </c>
      <c r="F4512" t="s">
        <v>3526</v>
      </c>
      <c r="G4512" t="s">
        <v>3518</v>
      </c>
      <c r="H4512">
        <v>1</v>
      </c>
      <c r="I4512">
        <v>12.2</v>
      </c>
      <c r="J4512">
        <v>12.2</v>
      </c>
    </row>
    <row r="4513" spans="1:10" x14ac:dyDescent="0.25">
      <c r="A4513" t="s">
        <v>7038</v>
      </c>
      <c r="B4513" s="3">
        <v>45327</v>
      </c>
      <c r="C4513" t="s">
        <v>1939</v>
      </c>
      <c r="D4513" t="s">
        <v>3497</v>
      </c>
      <c r="E4513">
        <v>2</v>
      </c>
      <c r="F4513" t="s">
        <v>3526</v>
      </c>
      <c r="G4513" t="s">
        <v>3519</v>
      </c>
      <c r="H4513">
        <v>2.5</v>
      </c>
      <c r="I4513">
        <v>31.6</v>
      </c>
      <c r="J4513">
        <v>63.2</v>
      </c>
    </row>
    <row r="4514" spans="1:10" x14ac:dyDescent="0.25">
      <c r="A4514" t="s">
        <v>7039</v>
      </c>
      <c r="B4514" s="3">
        <v>45515</v>
      </c>
      <c r="C4514" t="s">
        <v>558</v>
      </c>
      <c r="D4514" t="s">
        <v>3512</v>
      </c>
      <c r="E4514">
        <v>5</v>
      </c>
      <c r="F4514" t="s">
        <v>3525</v>
      </c>
      <c r="G4514" t="s">
        <v>3519</v>
      </c>
      <c r="H4514">
        <v>2.5</v>
      </c>
      <c r="I4514">
        <v>33.5</v>
      </c>
      <c r="J4514">
        <v>167.5</v>
      </c>
    </row>
    <row r="4515" spans="1:10" x14ac:dyDescent="0.25">
      <c r="A4515" t="s">
        <v>7040</v>
      </c>
      <c r="B4515" s="3">
        <v>45272</v>
      </c>
      <c r="C4515" t="s">
        <v>635</v>
      </c>
      <c r="D4515" t="s">
        <v>3508</v>
      </c>
      <c r="E4515">
        <v>4</v>
      </c>
      <c r="F4515" t="s">
        <v>3524</v>
      </c>
      <c r="G4515" t="s">
        <v>3518</v>
      </c>
      <c r="H4515">
        <v>1</v>
      </c>
      <c r="I4515">
        <v>9</v>
      </c>
      <c r="J4515">
        <v>36</v>
      </c>
    </row>
    <row r="4516" spans="1:10" x14ac:dyDescent="0.25">
      <c r="A4516" t="s">
        <v>7041</v>
      </c>
      <c r="B4516" s="3">
        <v>44695</v>
      </c>
      <c r="C4516" t="s">
        <v>1041</v>
      </c>
      <c r="D4516" t="s">
        <v>3498</v>
      </c>
      <c r="E4516">
        <v>6</v>
      </c>
      <c r="F4516" t="s">
        <v>3523</v>
      </c>
      <c r="G4516" t="s">
        <v>3517</v>
      </c>
      <c r="H4516">
        <v>0.2</v>
      </c>
      <c r="I4516">
        <v>3.9</v>
      </c>
      <c r="J4516">
        <v>23.4</v>
      </c>
    </row>
    <row r="4517" spans="1:10" x14ac:dyDescent="0.25">
      <c r="A4517" t="s">
        <v>7042</v>
      </c>
      <c r="B4517" s="3">
        <v>44534</v>
      </c>
      <c r="C4517" t="s">
        <v>2050</v>
      </c>
      <c r="D4517" t="s">
        <v>3497</v>
      </c>
      <c r="E4517">
        <v>2</v>
      </c>
      <c r="F4517" t="s">
        <v>3526</v>
      </c>
      <c r="G4517" t="s">
        <v>3519</v>
      </c>
      <c r="H4517">
        <v>2.5</v>
      </c>
      <c r="I4517">
        <v>31.6</v>
      </c>
      <c r="J4517">
        <v>63.2</v>
      </c>
    </row>
    <row r="4518" spans="1:10" x14ac:dyDescent="0.25">
      <c r="A4518" t="s">
        <v>7043</v>
      </c>
      <c r="B4518" s="3">
        <v>45507</v>
      </c>
      <c r="C4518" t="s">
        <v>778</v>
      </c>
      <c r="D4518" t="s">
        <v>3485</v>
      </c>
      <c r="E4518">
        <v>3</v>
      </c>
      <c r="F4518" t="s">
        <v>3523</v>
      </c>
      <c r="G4518" t="s">
        <v>3518</v>
      </c>
      <c r="H4518">
        <v>0.2</v>
      </c>
      <c r="I4518">
        <v>3</v>
      </c>
      <c r="J4518">
        <v>9</v>
      </c>
    </row>
    <row r="4519" spans="1:10" x14ac:dyDescent="0.25">
      <c r="A4519" t="s">
        <v>7044</v>
      </c>
      <c r="B4519" s="3">
        <v>44793</v>
      </c>
      <c r="C4519" t="s">
        <v>2714</v>
      </c>
      <c r="D4519" t="s">
        <v>3503</v>
      </c>
      <c r="E4519">
        <v>5</v>
      </c>
      <c r="F4519" t="s">
        <v>3524</v>
      </c>
      <c r="G4519" t="s">
        <v>3518</v>
      </c>
      <c r="H4519">
        <v>0.5</v>
      </c>
      <c r="I4519">
        <v>5.4</v>
      </c>
      <c r="J4519">
        <v>27</v>
      </c>
    </row>
    <row r="4520" spans="1:10" x14ac:dyDescent="0.25">
      <c r="A4520" t="s">
        <v>7045</v>
      </c>
      <c r="B4520" s="3">
        <v>44131</v>
      </c>
      <c r="C4520" t="s">
        <v>1591</v>
      </c>
      <c r="D4520" t="s">
        <v>3513</v>
      </c>
      <c r="E4520">
        <v>2</v>
      </c>
      <c r="F4520" t="s">
        <v>3523</v>
      </c>
      <c r="G4520" t="s">
        <v>3517</v>
      </c>
      <c r="H4520">
        <v>2.5</v>
      </c>
      <c r="I4520">
        <v>29.8</v>
      </c>
      <c r="J4520">
        <v>59.6</v>
      </c>
    </row>
    <row r="4521" spans="1:10" x14ac:dyDescent="0.25">
      <c r="A4521" t="s">
        <v>7046</v>
      </c>
      <c r="B4521" s="3">
        <v>44642</v>
      </c>
      <c r="C4521" t="s">
        <v>2630</v>
      </c>
      <c r="D4521" t="s">
        <v>3516</v>
      </c>
      <c r="E4521">
        <v>6</v>
      </c>
      <c r="F4521" t="s">
        <v>3526</v>
      </c>
      <c r="G4521" t="s">
        <v>3518</v>
      </c>
      <c r="H4521">
        <v>2.5</v>
      </c>
      <c r="I4521">
        <v>27.9</v>
      </c>
      <c r="J4521">
        <v>167.4</v>
      </c>
    </row>
    <row r="4522" spans="1:10" x14ac:dyDescent="0.25">
      <c r="A4522" t="s">
        <v>7047</v>
      </c>
      <c r="B4522" s="3">
        <v>45389</v>
      </c>
      <c r="C4522" t="s">
        <v>2347</v>
      </c>
      <c r="D4522" t="s">
        <v>3505</v>
      </c>
      <c r="E4522">
        <v>2</v>
      </c>
      <c r="F4522" t="s">
        <v>3524</v>
      </c>
      <c r="G4522" t="s">
        <v>3519</v>
      </c>
      <c r="H4522">
        <v>0.2</v>
      </c>
      <c r="I4522">
        <v>3</v>
      </c>
      <c r="J4522">
        <v>6</v>
      </c>
    </row>
    <row r="4523" spans="1:10" x14ac:dyDescent="0.25">
      <c r="A4523" t="s">
        <v>7048</v>
      </c>
      <c r="B4523" s="3">
        <v>43691</v>
      </c>
      <c r="C4523" t="s">
        <v>2077</v>
      </c>
      <c r="D4523" t="s">
        <v>3478</v>
      </c>
      <c r="E4523">
        <v>4</v>
      </c>
      <c r="F4523" t="s">
        <v>3523</v>
      </c>
      <c r="G4523" t="s">
        <v>3518</v>
      </c>
      <c r="H4523">
        <v>1</v>
      </c>
      <c r="I4523">
        <v>10</v>
      </c>
      <c r="J4523">
        <v>40</v>
      </c>
    </row>
    <row r="4524" spans="1:10" x14ac:dyDescent="0.25">
      <c r="A4524" t="s">
        <v>7049</v>
      </c>
      <c r="B4524" s="3">
        <v>44460</v>
      </c>
      <c r="C4524" t="s">
        <v>3078</v>
      </c>
      <c r="D4524" t="s">
        <v>3476</v>
      </c>
      <c r="E4524">
        <v>4</v>
      </c>
      <c r="F4524" t="s">
        <v>3525</v>
      </c>
      <c r="G4524" t="s">
        <v>3517</v>
      </c>
      <c r="H4524">
        <v>0.2</v>
      </c>
      <c r="I4524">
        <v>4.8</v>
      </c>
      <c r="J4524">
        <v>19.2</v>
      </c>
    </row>
    <row r="4525" spans="1:10" x14ac:dyDescent="0.25">
      <c r="A4525" t="s">
        <v>7050</v>
      </c>
      <c r="B4525" s="3">
        <v>43615</v>
      </c>
      <c r="C4525" t="s">
        <v>2867</v>
      </c>
      <c r="D4525" t="s">
        <v>3509</v>
      </c>
      <c r="E4525">
        <v>2</v>
      </c>
      <c r="F4525" t="s">
        <v>3524</v>
      </c>
      <c r="G4525" t="s">
        <v>3517</v>
      </c>
      <c r="H4525">
        <v>0.2</v>
      </c>
      <c r="I4525">
        <v>3.6</v>
      </c>
      <c r="J4525">
        <v>7.2</v>
      </c>
    </row>
    <row r="4526" spans="1:10" x14ac:dyDescent="0.25">
      <c r="A4526" t="s">
        <v>7051</v>
      </c>
      <c r="B4526" s="3">
        <v>45588</v>
      </c>
      <c r="C4526" t="s">
        <v>1241</v>
      </c>
      <c r="D4526" t="s">
        <v>3502</v>
      </c>
      <c r="E4526">
        <v>2</v>
      </c>
      <c r="F4526" t="s">
        <v>3526</v>
      </c>
      <c r="G4526" t="s">
        <v>3517</v>
      </c>
      <c r="H4526">
        <v>1</v>
      </c>
      <c r="I4526">
        <v>14.9</v>
      </c>
      <c r="J4526">
        <v>29.8</v>
      </c>
    </row>
    <row r="4527" spans="1:10" x14ac:dyDescent="0.25">
      <c r="A4527" t="s">
        <v>7052</v>
      </c>
      <c r="B4527" s="3">
        <v>43546</v>
      </c>
      <c r="C4527" t="s">
        <v>956</v>
      </c>
      <c r="D4527" t="s">
        <v>3470</v>
      </c>
      <c r="E4527">
        <v>4</v>
      </c>
      <c r="F4527" t="s">
        <v>3526</v>
      </c>
      <c r="G4527" t="s">
        <v>3519</v>
      </c>
      <c r="H4527">
        <v>0.5</v>
      </c>
      <c r="I4527">
        <v>8.3000000000000007</v>
      </c>
      <c r="J4527">
        <v>33.200000000000003</v>
      </c>
    </row>
    <row r="4528" spans="1:10" x14ac:dyDescent="0.25">
      <c r="A4528" t="s">
        <v>7053</v>
      </c>
      <c r="B4528" s="3">
        <v>45129</v>
      </c>
      <c r="C4528" t="s">
        <v>3318</v>
      </c>
      <c r="D4528" t="s">
        <v>3484</v>
      </c>
      <c r="E4528">
        <v>1</v>
      </c>
      <c r="F4528" t="s">
        <v>3526</v>
      </c>
      <c r="G4528" t="s">
        <v>3518</v>
      </c>
      <c r="H4528">
        <v>0.2</v>
      </c>
      <c r="I4528">
        <v>3.6</v>
      </c>
      <c r="J4528">
        <v>3.6</v>
      </c>
    </row>
    <row r="4529" spans="1:10" x14ac:dyDescent="0.25">
      <c r="A4529" t="s">
        <v>7054</v>
      </c>
      <c r="B4529" s="3">
        <v>44022</v>
      </c>
      <c r="C4529" t="s">
        <v>1803</v>
      </c>
      <c r="D4529" t="s">
        <v>3495</v>
      </c>
      <c r="E4529">
        <v>2</v>
      </c>
      <c r="F4529" t="s">
        <v>3525</v>
      </c>
      <c r="G4529" t="s">
        <v>3517</v>
      </c>
      <c r="H4529">
        <v>2.5</v>
      </c>
      <c r="I4529">
        <v>36.5</v>
      </c>
      <c r="J4529">
        <v>73</v>
      </c>
    </row>
    <row r="4530" spans="1:10" x14ac:dyDescent="0.25">
      <c r="A4530" t="s">
        <v>7055</v>
      </c>
      <c r="B4530" s="3">
        <v>45537</v>
      </c>
      <c r="C4530" t="s">
        <v>1538</v>
      </c>
      <c r="D4530" t="s">
        <v>3490</v>
      </c>
      <c r="E4530">
        <v>3</v>
      </c>
      <c r="F4530" t="s">
        <v>3525</v>
      </c>
      <c r="G4530" t="s">
        <v>3519</v>
      </c>
      <c r="H4530">
        <v>0.2</v>
      </c>
      <c r="I4530">
        <v>4.4000000000000004</v>
      </c>
      <c r="J4530">
        <v>13.2</v>
      </c>
    </row>
    <row r="4531" spans="1:10" x14ac:dyDescent="0.25">
      <c r="A4531" t="s">
        <v>7056</v>
      </c>
      <c r="B4531" s="3">
        <v>45641</v>
      </c>
      <c r="C4531" t="s">
        <v>3270</v>
      </c>
      <c r="D4531" t="s">
        <v>3496</v>
      </c>
      <c r="E4531">
        <v>3</v>
      </c>
      <c r="F4531" t="s">
        <v>3525</v>
      </c>
      <c r="G4531" t="s">
        <v>3518</v>
      </c>
      <c r="H4531">
        <v>2.5</v>
      </c>
      <c r="I4531">
        <v>29.8</v>
      </c>
      <c r="J4531">
        <v>89.4</v>
      </c>
    </row>
    <row r="4532" spans="1:10" x14ac:dyDescent="0.25">
      <c r="A4532" t="s">
        <v>7057</v>
      </c>
      <c r="B4532" s="3">
        <v>44877</v>
      </c>
      <c r="C4532" t="s">
        <v>2485</v>
      </c>
      <c r="D4532" t="s">
        <v>3510</v>
      </c>
      <c r="E4532">
        <v>6</v>
      </c>
      <c r="F4532" t="s">
        <v>3524</v>
      </c>
      <c r="G4532" t="s">
        <v>3517</v>
      </c>
      <c r="H4532">
        <v>1</v>
      </c>
      <c r="I4532">
        <v>12</v>
      </c>
      <c r="J4532">
        <v>72</v>
      </c>
    </row>
    <row r="4533" spans="1:10" x14ac:dyDescent="0.25">
      <c r="A4533" t="s">
        <v>7058</v>
      </c>
      <c r="B4533" s="3">
        <v>44063</v>
      </c>
      <c r="C4533" t="s">
        <v>2521</v>
      </c>
      <c r="D4533" t="s">
        <v>3501</v>
      </c>
      <c r="E4533">
        <v>3</v>
      </c>
      <c r="F4533" t="s">
        <v>3525</v>
      </c>
      <c r="G4533" t="s">
        <v>3517</v>
      </c>
      <c r="H4533">
        <v>1</v>
      </c>
      <c r="I4533">
        <v>15.9</v>
      </c>
      <c r="J4533">
        <v>47.7</v>
      </c>
    </row>
    <row r="4534" spans="1:10" x14ac:dyDescent="0.25">
      <c r="A4534" t="s">
        <v>7059</v>
      </c>
      <c r="B4534" s="3">
        <v>44254</v>
      </c>
      <c r="C4534" t="s">
        <v>1890</v>
      </c>
      <c r="D4534" t="s">
        <v>3512</v>
      </c>
      <c r="E4534">
        <v>4</v>
      </c>
      <c r="F4534" t="s">
        <v>3525</v>
      </c>
      <c r="G4534" t="s">
        <v>3519</v>
      </c>
      <c r="H4534">
        <v>2.5</v>
      </c>
      <c r="I4534">
        <v>33.5</v>
      </c>
      <c r="J4534">
        <v>134</v>
      </c>
    </row>
    <row r="4535" spans="1:10" x14ac:dyDescent="0.25">
      <c r="A4535" t="s">
        <v>7060</v>
      </c>
      <c r="B4535" s="3">
        <v>45384</v>
      </c>
      <c r="C4535" t="s">
        <v>2198</v>
      </c>
      <c r="D4535" t="s">
        <v>3500</v>
      </c>
      <c r="E4535">
        <v>5</v>
      </c>
      <c r="F4535" t="s">
        <v>3525</v>
      </c>
      <c r="G4535" t="s">
        <v>3518</v>
      </c>
      <c r="H4535">
        <v>0.5</v>
      </c>
      <c r="I4535">
        <v>7.8</v>
      </c>
      <c r="J4535">
        <v>39</v>
      </c>
    </row>
    <row r="4536" spans="1:10" x14ac:dyDescent="0.25">
      <c r="A4536" t="s">
        <v>7061</v>
      </c>
      <c r="B4536" s="3">
        <v>45373</v>
      </c>
      <c r="C4536" t="s">
        <v>2372</v>
      </c>
      <c r="D4536" t="s">
        <v>3487</v>
      </c>
      <c r="E4536">
        <v>1</v>
      </c>
      <c r="F4536" t="s">
        <v>3526</v>
      </c>
      <c r="G4536" t="s">
        <v>3519</v>
      </c>
      <c r="H4536">
        <v>0.2</v>
      </c>
      <c r="I4536">
        <v>4.0999999999999996</v>
      </c>
      <c r="J4536">
        <v>4.0999999999999996</v>
      </c>
    </row>
    <row r="4537" spans="1:10" x14ac:dyDescent="0.25">
      <c r="A4537" t="s">
        <v>7062</v>
      </c>
      <c r="B4537" s="3">
        <v>45090</v>
      </c>
      <c r="C4537" t="s">
        <v>1068</v>
      </c>
      <c r="D4537" t="s">
        <v>3497</v>
      </c>
      <c r="E4537">
        <v>5</v>
      </c>
      <c r="F4537" t="s">
        <v>3526</v>
      </c>
      <c r="G4537" t="s">
        <v>3519</v>
      </c>
      <c r="H4537">
        <v>2.5</v>
      </c>
      <c r="I4537">
        <v>31.6</v>
      </c>
      <c r="J4537">
        <v>158</v>
      </c>
    </row>
    <row r="4538" spans="1:10" x14ac:dyDescent="0.25">
      <c r="A4538" t="s">
        <v>7063</v>
      </c>
      <c r="B4538" s="3">
        <v>45313</v>
      </c>
      <c r="C4538" t="s">
        <v>2536</v>
      </c>
      <c r="D4538" t="s">
        <v>3492</v>
      </c>
      <c r="E4538">
        <v>2</v>
      </c>
      <c r="F4538" t="s">
        <v>3525</v>
      </c>
      <c r="G4538" t="s">
        <v>3517</v>
      </c>
      <c r="H4538">
        <v>0.5</v>
      </c>
      <c r="I4538">
        <v>9.5</v>
      </c>
      <c r="J4538">
        <v>19</v>
      </c>
    </row>
    <row r="4539" spans="1:10" x14ac:dyDescent="0.25">
      <c r="A4539" t="s">
        <v>7064</v>
      </c>
      <c r="B4539" s="3">
        <v>45046</v>
      </c>
      <c r="C4539" t="s">
        <v>838</v>
      </c>
      <c r="D4539" t="s">
        <v>3481</v>
      </c>
      <c r="E4539">
        <v>1</v>
      </c>
      <c r="F4539" t="s">
        <v>3525</v>
      </c>
      <c r="G4539" t="s">
        <v>3518</v>
      </c>
      <c r="H4539">
        <v>0.2</v>
      </c>
      <c r="I4539">
        <v>3.9</v>
      </c>
      <c r="J4539">
        <v>3.9</v>
      </c>
    </row>
    <row r="4540" spans="1:10" x14ac:dyDescent="0.25">
      <c r="A4540" t="s">
        <v>7065</v>
      </c>
      <c r="B4540" s="3">
        <v>44519</v>
      </c>
      <c r="C4540" t="s">
        <v>704</v>
      </c>
      <c r="D4540" t="s">
        <v>3471</v>
      </c>
      <c r="E4540">
        <v>1</v>
      </c>
      <c r="F4540" t="s">
        <v>3523</v>
      </c>
      <c r="G4540" t="s">
        <v>3517</v>
      </c>
      <c r="H4540">
        <v>1</v>
      </c>
      <c r="I4540">
        <v>13</v>
      </c>
      <c r="J4540">
        <v>13</v>
      </c>
    </row>
    <row r="4541" spans="1:10" x14ac:dyDescent="0.25">
      <c r="A4541" t="s">
        <v>7066</v>
      </c>
      <c r="B4541" s="3">
        <v>44807</v>
      </c>
      <c r="C4541" t="s">
        <v>1333</v>
      </c>
      <c r="D4541" t="s">
        <v>3511</v>
      </c>
      <c r="E4541">
        <v>5</v>
      </c>
      <c r="F4541" t="s">
        <v>3523</v>
      </c>
      <c r="G4541" t="s">
        <v>3517</v>
      </c>
      <c r="H4541">
        <v>0.5</v>
      </c>
      <c r="I4541">
        <v>7.8</v>
      </c>
      <c r="J4541">
        <v>39</v>
      </c>
    </row>
    <row r="4542" spans="1:10" x14ac:dyDescent="0.25">
      <c r="A4542" t="s">
        <v>7067</v>
      </c>
      <c r="B4542" s="3">
        <v>43514</v>
      </c>
      <c r="C4542" t="s">
        <v>2804</v>
      </c>
      <c r="D4542" t="s">
        <v>3481</v>
      </c>
      <c r="E4542">
        <v>2</v>
      </c>
      <c r="F4542" t="s">
        <v>3525</v>
      </c>
      <c r="G4542" t="s">
        <v>3518</v>
      </c>
      <c r="H4542">
        <v>0.2</v>
      </c>
      <c r="I4542">
        <v>3.9</v>
      </c>
      <c r="J4542">
        <v>7.8</v>
      </c>
    </row>
    <row r="4543" spans="1:10" x14ac:dyDescent="0.25">
      <c r="A4543" t="s">
        <v>7068</v>
      </c>
      <c r="B4543" s="3">
        <v>44820</v>
      </c>
      <c r="C4543" t="s">
        <v>1360</v>
      </c>
      <c r="D4543" t="s">
        <v>3508</v>
      </c>
      <c r="E4543">
        <v>1</v>
      </c>
      <c r="F4543" t="s">
        <v>3524</v>
      </c>
      <c r="G4543" t="s">
        <v>3518</v>
      </c>
      <c r="H4543">
        <v>1</v>
      </c>
      <c r="I4543">
        <v>9</v>
      </c>
      <c r="J4543">
        <v>9</v>
      </c>
    </row>
    <row r="4544" spans="1:10" x14ac:dyDescent="0.25">
      <c r="A4544" t="s">
        <v>7069</v>
      </c>
      <c r="B4544" s="3">
        <v>44421</v>
      </c>
      <c r="C4544" t="s">
        <v>2936</v>
      </c>
      <c r="D4544" t="s">
        <v>3474</v>
      </c>
      <c r="E4544">
        <v>6</v>
      </c>
      <c r="F4544" t="s">
        <v>3525</v>
      </c>
      <c r="G4544" t="s">
        <v>3518</v>
      </c>
      <c r="H4544">
        <v>1</v>
      </c>
      <c r="I4544">
        <v>13</v>
      </c>
      <c r="J4544">
        <v>78</v>
      </c>
    </row>
    <row r="4545" spans="1:10" x14ac:dyDescent="0.25">
      <c r="A4545" t="s">
        <v>7070</v>
      </c>
      <c r="B4545" s="3">
        <v>45140</v>
      </c>
      <c r="C4545" t="s">
        <v>1553</v>
      </c>
      <c r="D4545" t="s">
        <v>3516</v>
      </c>
      <c r="E4545">
        <v>2</v>
      </c>
      <c r="F4545" t="s">
        <v>3526</v>
      </c>
      <c r="G4545" t="s">
        <v>3518</v>
      </c>
      <c r="H4545">
        <v>2.5</v>
      </c>
      <c r="I4545">
        <v>27.9</v>
      </c>
      <c r="J4545">
        <v>55.8</v>
      </c>
    </row>
    <row r="4546" spans="1:10" x14ac:dyDescent="0.25">
      <c r="A4546" t="s">
        <v>7071</v>
      </c>
      <c r="B4546" s="3">
        <v>45059</v>
      </c>
      <c r="C4546" t="s">
        <v>784</v>
      </c>
      <c r="D4546" t="s">
        <v>3472</v>
      </c>
      <c r="E4546">
        <v>5</v>
      </c>
      <c r="F4546" t="s">
        <v>3526</v>
      </c>
      <c r="G4546" t="s">
        <v>3519</v>
      </c>
      <c r="H4546">
        <v>1</v>
      </c>
      <c r="I4546">
        <v>13.8</v>
      </c>
      <c r="J4546">
        <v>69</v>
      </c>
    </row>
    <row r="4547" spans="1:10" x14ac:dyDescent="0.25">
      <c r="A4547" t="s">
        <v>7072</v>
      </c>
      <c r="B4547" s="3">
        <v>45170</v>
      </c>
      <c r="C4547" t="s">
        <v>1607</v>
      </c>
      <c r="D4547" t="s">
        <v>3514</v>
      </c>
      <c r="E4547">
        <v>4</v>
      </c>
      <c r="F4547" t="s">
        <v>3526</v>
      </c>
      <c r="G4547" t="s">
        <v>3518</v>
      </c>
      <c r="H4547">
        <v>1</v>
      </c>
      <c r="I4547">
        <v>12.2</v>
      </c>
      <c r="J4547">
        <v>48.8</v>
      </c>
    </row>
    <row r="4548" spans="1:10" x14ac:dyDescent="0.25">
      <c r="A4548" t="s">
        <v>7073</v>
      </c>
      <c r="B4548" s="3">
        <v>44035</v>
      </c>
      <c r="C4548" t="s">
        <v>2596</v>
      </c>
      <c r="D4548" t="s">
        <v>3514</v>
      </c>
      <c r="E4548">
        <v>4</v>
      </c>
      <c r="F4548" t="s">
        <v>3526</v>
      </c>
      <c r="G4548" t="s">
        <v>3518</v>
      </c>
      <c r="H4548">
        <v>1</v>
      </c>
      <c r="I4548">
        <v>12.2</v>
      </c>
      <c r="J4548">
        <v>48.8</v>
      </c>
    </row>
    <row r="4549" spans="1:10" x14ac:dyDescent="0.25">
      <c r="A4549" t="s">
        <v>7074</v>
      </c>
      <c r="B4549" s="3">
        <v>45561</v>
      </c>
      <c r="C4549" t="s">
        <v>2400</v>
      </c>
      <c r="D4549" t="s">
        <v>3511</v>
      </c>
      <c r="E4549">
        <v>3</v>
      </c>
      <c r="F4549" t="s">
        <v>3523</v>
      </c>
      <c r="G4549" t="s">
        <v>3517</v>
      </c>
      <c r="H4549">
        <v>0.5</v>
      </c>
      <c r="I4549">
        <v>7.8</v>
      </c>
      <c r="J4549">
        <v>23.4</v>
      </c>
    </row>
    <row r="4550" spans="1:10" x14ac:dyDescent="0.25">
      <c r="A4550" t="s">
        <v>7075</v>
      </c>
      <c r="B4550" s="3">
        <v>43689</v>
      </c>
      <c r="C4550" t="s">
        <v>1281</v>
      </c>
      <c r="D4550" t="s">
        <v>3498</v>
      </c>
      <c r="E4550">
        <v>3</v>
      </c>
      <c r="F4550" t="s">
        <v>3523</v>
      </c>
      <c r="G4550" t="s">
        <v>3517</v>
      </c>
      <c r="H4550">
        <v>0.2</v>
      </c>
      <c r="I4550">
        <v>3.9</v>
      </c>
      <c r="J4550">
        <v>11.7</v>
      </c>
    </row>
    <row r="4551" spans="1:10" x14ac:dyDescent="0.25">
      <c r="A4551" t="s">
        <v>7076</v>
      </c>
      <c r="B4551" s="3">
        <v>45620</v>
      </c>
      <c r="C4551" t="s">
        <v>1121</v>
      </c>
      <c r="D4551" t="s">
        <v>3516</v>
      </c>
      <c r="E4551">
        <v>5</v>
      </c>
      <c r="F4551" t="s">
        <v>3526</v>
      </c>
      <c r="G4551" t="s">
        <v>3518</v>
      </c>
      <c r="H4551">
        <v>2.5</v>
      </c>
      <c r="I4551">
        <v>27.9</v>
      </c>
      <c r="J4551">
        <v>139.5</v>
      </c>
    </row>
    <row r="4552" spans="1:10" x14ac:dyDescent="0.25">
      <c r="A4552" t="s">
        <v>7077</v>
      </c>
      <c r="B4552" s="3">
        <v>44145</v>
      </c>
      <c r="C4552" t="s">
        <v>1024</v>
      </c>
      <c r="D4552" t="s">
        <v>3491</v>
      </c>
      <c r="E4552">
        <v>1</v>
      </c>
      <c r="F4552" t="s">
        <v>3525</v>
      </c>
      <c r="G4552" t="s">
        <v>3519</v>
      </c>
      <c r="H4552">
        <v>0.5</v>
      </c>
      <c r="I4552">
        <v>8.6999999999999993</v>
      </c>
      <c r="J4552">
        <v>8.6999999999999993</v>
      </c>
    </row>
    <row r="4553" spans="1:10" x14ac:dyDescent="0.25">
      <c r="A4553" t="s">
        <v>7078</v>
      </c>
      <c r="B4553" s="3">
        <v>44463</v>
      </c>
      <c r="C4553" t="s">
        <v>1872</v>
      </c>
      <c r="D4553" t="s">
        <v>3474</v>
      </c>
      <c r="E4553">
        <v>2</v>
      </c>
      <c r="F4553" t="s">
        <v>3525</v>
      </c>
      <c r="G4553" t="s">
        <v>3518</v>
      </c>
      <c r="H4553">
        <v>1</v>
      </c>
      <c r="I4553">
        <v>13</v>
      </c>
      <c r="J4553">
        <v>26</v>
      </c>
    </row>
    <row r="4554" spans="1:10" x14ac:dyDescent="0.25">
      <c r="A4554" t="s">
        <v>7079</v>
      </c>
      <c r="B4554" s="3">
        <v>43629</v>
      </c>
      <c r="C4554" t="s">
        <v>2536</v>
      </c>
      <c r="D4554" t="s">
        <v>3477</v>
      </c>
      <c r="E4554">
        <v>4</v>
      </c>
      <c r="F4554" t="s">
        <v>3524</v>
      </c>
      <c r="G4554" t="s">
        <v>3519</v>
      </c>
      <c r="H4554">
        <v>0.5</v>
      </c>
      <c r="I4554">
        <v>6</v>
      </c>
      <c r="J4554">
        <v>24</v>
      </c>
    </row>
    <row r="4555" spans="1:10" x14ac:dyDescent="0.25">
      <c r="A4555" t="s">
        <v>7080</v>
      </c>
      <c r="B4555" s="3">
        <v>45202</v>
      </c>
      <c r="C4555" t="s">
        <v>2497</v>
      </c>
      <c r="D4555" t="s">
        <v>3508</v>
      </c>
      <c r="E4555">
        <v>2</v>
      </c>
      <c r="F4555" t="s">
        <v>3524</v>
      </c>
      <c r="G4555" t="s">
        <v>3518</v>
      </c>
      <c r="H4555">
        <v>1</v>
      </c>
      <c r="I4555">
        <v>9</v>
      </c>
      <c r="J4555">
        <v>18</v>
      </c>
    </row>
    <row r="4556" spans="1:10" x14ac:dyDescent="0.25">
      <c r="A4556" t="s">
        <v>7081</v>
      </c>
      <c r="B4556" s="3">
        <v>44729</v>
      </c>
      <c r="C4556" t="s">
        <v>3118</v>
      </c>
      <c r="D4556" t="s">
        <v>3500</v>
      </c>
      <c r="E4556">
        <v>2</v>
      </c>
      <c r="F4556" t="s">
        <v>3525</v>
      </c>
      <c r="G4556" t="s">
        <v>3518</v>
      </c>
      <c r="H4556">
        <v>0.5</v>
      </c>
      <c r="I4556">
        <v>7.8</v>
      </c>
      <c r="J4556">
        <v>15.6</v>
      </c>
    </row>
    <row r="4557" spans="1:10" x14ac:dyDescent="0.25">
      <c r="A4557" t="s">
        <v>7082</v>
      </c>
      <c r="B4557" s="3">
        <v>45222</v>
      </c>
      <c r="C4557" t="s">
        <v>1646</v>
      </c>
      <c r="D4557" t="s">
        <v>3472</v>
      </c>
      <c r="E4557">
        <v>1</v>
      </c>
      <c r="F4557" t="s">
        <v>3526</v>
      </c>
      <c r="G4557" t="s">
        <v>3519</v>
      </c>
      <c r="H4557">
        <v>1</v>
      </c>
      <c r="I4557">
        <v>13.8</v>
      </c>
      <c r="J4557">
        <v>13.8</v>
      </c>
    </row>
    <row r="4558" spans="1:10" x14ac:dyDescent="0.25">
      <c r="A4558" t="s">
        <v>7083</v>
      </c>
      <c r="B4558" s="3">
        <v>44844</v>
      </c>
      <c r="C4558" t="s">
        <v>3007</v>
      </c>
      <c r="D4558" t="s">
        <v>3502</v>
      </c>
      <c r="E4558">
        <v>5</v>
      </c>
      <c r="F4558" t="s">
        <v>3526</v>
      </c>
      <c r="G4558" t="s">
        <v>3517</v>
      </c>
      <c r="H4558">
        <v>1</v>
      </c>
      <c r="I4558">
        <v>14.9</v>
      </c>
      <c r="J4558">
        <v>74.5</v>
      </c>
    </row>
    <row r="4559" spans="1:10" x14ac:dyDescent="0.25">
      <c r="A4559" t="s">
        <v>7084</v>
      </c>
      <c r="B4559" s="3">
        <v>45294</v>
      </c>
      <c r="C4559" t="s">
        <v>929</v>
      </c>
      <c r="D4559" t="s">
        <v>3511</v>
      </c>
      <c r="E4559">
        <v>2</v>
      </c>
      <c r="F4559" t="s">
        <v>3523</v>
      </c>
      <c r="G4559" t="s">
        <v>3517</v>
      </c>
      <c r="H4559">
        <v>0.5</v>
      </c>
      <c r="I4559">
        <v>7.8</v>
      </c>
      <c r="J4559">
        <v>15.6</v>
      </c>
    </row>
    <row r="4560" spans="1:10" x14ac:dyDescent="0.25">
      <c r="A4560" t="s">
        <v>7085</v>
      </c>
      <c r="B4560" s="3">
        <v>45420</v>
      </c>
      <c r="C4560" t="s">
        <v>2456</v>
      </c>
      <c r="D4560" t="s">
        <v>3472</v>
      </c>
      <c r="E4560">
        <v>5</v>
      </c>
      <c r="F4560" t="s">
        <v>3526</v>
      </c>
      <c r="G4560" t="s">
        <v>3519</v>
      </c>
      <c r="H4560">
        <v>1</v>
      </c>
      <c r="I4560">
        <v>13.8</v>
      </c>
      <c r="J4560">
        <v>69</v>
      </c>
    </row>
    <row r="4561" spans="1:10" x14ac:dyDescent="0.25">
      <c r="A4561" t="s">
        <v>7086</v>
      </c>
      <c r="B4561" s="3">
        <v>44299</v>
      </c>
      <c r="C4561" t="s">
        <v>573</v>
      </c>
      <c r="D4561" t="s">
        <v>3491</v>
      </c>
      <c r="E4561">
        <v>2</v>
      </c>
      <c r="F4561" t="s">
        <v>3525</v>
      </c>
      <c r="G4561" t="s">
        <v>3519</v>
      </c>
      <c r="H4561">
        <v>0.5</v>
      </c>
      <c r="I4561">
        <v>8.6999999999999993</v>
      </c>
      <c r="J4561">
        <v>17.399999999999999</v>
      </c>
    </row>
    <row r="4562" spans="1:10" x14ac:dyDescent="0.25">
      <c r="A4562" t="s">
        <v>7087</v>
      </c>
      <c r="B4562" s="3">
        <v>43649</v>
      </c>
      <c r="C4562" t="s">
        <v>3060</v>
      </c>
      <c r="D4562" t="s">
        <v>3470</v>
      </c>
      <c r="E4562">
        <v>4</v>
      </c>
      <c r="F4562" t="s">
        <v>3526</v>
      </c>
      <c r="G4562" t="s">
        <v>3519</v>
      </c>
      <c r="H4562">
        <v>0.5</v>
      </c>
      <c r="I4562">
        <v>8.3000000000000007</v>
      </c>
      <c r="J4562">
        <v>33.200000000000003</v>
      </c>
    </row>
    <row r="4563" spans="1:10" x14ac:dyDescent="0.25">
      <c r="A4563" t="s">
        <v>7088</v>
      </c>
      <c r="B4563" s="3">
        <v>45566</v>
      </c>
      <c r="C4563" t="s">
        <v>1372</v>
      </c>
      <c r="D4563" t="s">
        <v>3503</v>
      </c>
      <c r="E4563">
        <v>6</v>
      </c>
      <c r="F4563" t="s">
        <v>3524</v>
      </c>
      <c r="G4563" t="s">
        <v>3518</v>
      </c>
      <c r="H4563">
        <v>0.5</v>
      </c>
      <c r="I4563">
        <v>5.4</v>
      </c>
      <c r="J4563">
        <v>32.4</v>
      </c>
    </row>
    <row r="4564" spans="1:10" x14ac:dyDescent="0.25">
      <c r="A4564" t="s">
        <v>7089</v>
      </c>
      <c r="B4564" s="3">
        <v>44229</v>
      </c>
      <c r="C4564" t="s">
        <v>2372</v>
      </c>
      <c r="D4564" t="s">
        <v>3516</v>
      </c>
      <c r="E4564">
        <v>4</v>
      </c>
      <c r="F4564" t="s">
        <v>3526</v>
      </c>
      <c r="G4564" t="s">
        <v>3518</v>
      </c>
      <c r="H4564">
        <v>2.5</v>
      </c>
      <c r="I4564">
        <v>27.9</v>
      </c>
      <c r="J4564">
        <v>111.6</v>
      </c>
    </row>
    <row r="4565" spans="1:10" x14ac:dyDescent="0.25">
      <c r="A4565" t="s">
        <v>7090</v>
      </c>
      <c r="B4565" s="3">
        <v>45076</v>
      </c>
      <c r="C4565" t="s">
        <v>2408</v>
      </c>
      <c r="D4565" t="s">
        <v>3497</v>
      </c>
      <c r="E4565">
        <v>6</v>
      </c>
      <c r="F4565" t="s">
        <v>3526</v>
      </c>
      <c r="G4565" t="s">
        <v>3519</v>
      </c>
      <c r="H4565">
        <v>2.5</v>
      </c>
      <c r="I4565">
        <v>31.6</v>
      </c>
      <c r="J4565">
        <v>189.6</v>
      </c>
    </row>
    <row r="4566" spans="1:10" x14ac:dyDescent="0.25">
      <c r="A4566" t="s">
        <v>7091</v>
      </c>
      <c r="B4566" s="3">
        <v>45509</v>
      </c>
      <c r="C4566" t="s">
        <v>2089</v>
      </c>
      <c r="D4566" t="s">
        <v>3483</v>
      </c>
      <c r="E4566">
        <v>2</v>
      </c>
      <c r="F4566" t="s">
        <v>3523</v>
      </c>
      <c r="G4566" t="s">
        <v>3519</v>
      </c>
      <c r="H4566">
        <v>0.2</v>
      </c>
      <c r="I4566">
        <v>3.4</v>
      </c>
      <c r="J4566">
        <v>6.8</v>
      </c>
    </row>
    <row r="4567" spans="1:10" x14ac:dyDescent="0.25">
      <c r="A4567" t="s">
        <v>7092</v>
      </c>
      <c r="B4567" s="3">
        <v>44936</v>
      </c>
      <c r="C4567" t="s">
        <v>3273</v>
      </c>
      <c r="D4567" t="s">
        <v>3511</v>
      </c>
      <c r="E4567">
        <v>6</v>
      </c>
      <c r="F4567" t="s">
        <v>3523</v>
      </c>
      <c r="G4567" t="s">
        <v>3517</v>
      </c>
      <c r="H4567">
        <v>0.5</v>
      </c>
      <c r="I4567">
        <v>7.8</v>
      </c>
      <c r="J4567">
        <v>46.8</v>
      </c>
    </row>
    <row r="4568" spans="1:10" x14ac:dyDescent="0.25">
      <c r="A4568" t="s">
        <v>7093</v>
      </c>
      <c r="B4568" s="3">
        <v>45136</v>
      </c>
      <c r="C4568" t="s">
        <v>1749</v>
      </c>
      <c r="D4568" t="s">
        <v>3514</v>
      </c>
      <c r="E4568">
        <v>2</v>
      </c>
      <c r="F4568" t="s">
        <v>3526</v>
      </c>
      <c r="G4568" t="s">
        <v>3518</v>
      </c>
      <c r="H4568">
        <v>1</v>
      </c>
      <c r="I4568">
        <v>12.2</v>
      </c>
      <c r="J4568">
        <v>24.4</v>
      </c>
    </row>
    <row r="4569" spans="1:10" x14ac:dyDescent="0.25">
      <c r="A4569" t="s">
        <v>7094</v>
      </c>
      <c r="B4569" s="3">
        <v>44642</v>
      </c>
      <c r="C4569" t="s">
        <v>1253</v>
      </c>
      <c r="D4569" t="s">
        <v>3479</v>
      </c>
      <c r="E4569">
        <v>6</v>
      </c>
      <c r="F4569" t="s">
        <v>3526</v>
      </c>
      <c r="G4569" t="s">
        <v>3517</v>
      </c>
      <c r="H4569">
        <v>2.5</v>
      </c>
      <c r="I4569">
        <v>34.200000000000003</v>
      </c>
      <c r="J4569">
        <v>205.2</v>
      </c>
    </row>
    <row r="4570" spans="1:10" x14ac:dyDescent="0.25">
      <c r="A4570" t="s">
        <v>7095</v>
      </c>
      <c r="B4570" s="3">
        <v>44987</v>
      </c>
      <c r="C4570" t="s">
        <v>3303</v>
      </c>
      <c r="D4570" t="s">
        <v>3515</v>
      </c>
      <c r="E4570">
        <v>1</v>
      </c>
      <c r="F4570" t="s">
        <v>3526</v>
      </c>
      <c r="G4570" t="s">
        <v>3517</v>
      </c>
      <c r="H4570">
        <v>0.2</v>
      </c>
      <c r="I4570">
        <v>4.5</v>
      </c>
      <c r="J4570">
        <v>4.5</v>
      </c>
    </row>
    <row r="4571" spans="1:10" x14ac:dyDescent="0.25">
      <c r="A4571" t="s">
        <v>7096</v>
      </c>
      <c r="B4571" s="3">
        <v>45479</v>
      </c>
      <c r="C4571" t="s">
        <v>505</v>
      </c>
      <c r="D4571" t="s">
        <v>3512</v>
      </c>
      <c r="E4571">
        <v>4</v>
      </c>
      <c r="F4571" t="s">
        <v>3525</v>
      </c>
      <c r="G4571" t="s">
        <v>3519</v>
      </c>
      <c r="H4571">
        <v>2.5</v>
      </c>
      <c r="I4571">
        <v>33.5</v>
      </c>
      <c r="J4571">
        <v>134</v>
      </c>
    </row>
    <row r="4572" spans="1:10" x14ac:dyDescent="0.25">
      <c r="A4572" t="s">
        <v>7097</v>
      </c>
      <c r="B4572" s="3">
        <v>44638</v>
      </c>
      <c r="C4572" t="s">
        <v>3205</v>
      </c>
      <c r="D4572" t="s">
        <v>3487</v>
      </c>
      <c r="E4572">
        <v>3</v>
      </c>
      <c r="F4572" t="s">
        <v>3526</v>
      </c>
      <c r="G4572" t="s">
        <v>3519</v>
      </c>
      <c r="H4572">
        <v>0.2</v>
      </c>
      <c r="I4572">
        <v>4.0999999999999996</v>
      </c>
      <c r="J4572">
        <v>12.3</v>
      </c>
    </row>
    <row r="4573" spans="1:10" x14ac:dyDescent="0.25">
      <c r="A4573" t="s">
        <v>7098</v>
      </c>
      <c r="B4573" s="3">
        <v>45288</v>
      </c>
      <c r="C4573" t="s">
        <v>2210</v>
      </c>
      <c r="D4573" t="s">
        <v>3500</v>
      </c>
      <c r="E4573">
        <v>2</v>
      </c>
      <c r="F4573" t="s">
        <v>3525</v>
      </c>
      <c r="G4573" t="s">
        <v>3518</v>
      </c>
      <c r="H4573">
        <v>0.5</v>
      </c>
      <c r="I4573">
        <v>7.8</v>
      </c>
      <c r="J4573">
        <v>15.6</v>
      </c>
    </row>
    <row r="4574" spans="1:10" x14ac:dyDescent="0.25">
      <c r="A4574" t="s">
        <v>7099</v>
      </c>
      <c r="B4574" s="3">
        <v>44838</v>
      </c>
      <c r="C4574" t="s">
        <v>3282</v>
      </c>
      <c r="D4574" t="s">
        <v>3506</v>
      </c>
      <c r="E4574">
        <v>4</v>
      </c>
      <c r="F4574" t="s">
        <v>3523</v>
      </c>
      <c r="G4574" t="s">
        <v>3519</v>
      </c>
      <c r="H4574">
        <v>2.5</v>
      </c>
      <c r="I4574">
        <v>25.9</v>
      </c>
      <c r="J4574">
        <v>103.6</v>
      </c>
    </row>
    <row r="4575" spans="1:10" x14ac:dyDescent="0.25">
      <c r="A4575" t="s">
        <v>7100</v>
      </c>
      <c r="B4575" s="3">
        <v>43860</v>
      </c>
      <c r="C4575" t="s">
        <v>2012</v>
      </c>
      <c r="D4575" t="s">
        <v>3476</v>
      </c>
      <c r="E4575">
        <v>3</v>
      </c>
      <c r="F4575" t="s">
        <v>3525</v>
      </c>
      <c r="G4575" t="s">
        <v>3517</v>
      </c>
      <c r="H4575">
        <v>0.2</v>
      </c>
      <c r="I4575">
        <v>4.8</v>
      </c>
      <c r="J4575">
        <v>14.4</v>
      </c>
    </row>
    <row r="4576" spans="1:10" x14ac:dyDescent="0.25">
      <c r="A4576" t="s">
        <v>7101</v>
      </c>
      <c r="B4576" s="3">
        <v>44436</v>
      </c>
      <c r="C4576" t="s">
        <v>1655</v>
      </c>
      <c r="D4576" t="s">
        <v>3475</v>
      </c>
      <c r="E4576">
        <v>5</v>
      </c>
      <c r="F4576" t="s">
        <v>3526</v>
      </c>
      <c r="G4576" t="s">
        <v>3518</v>
      </c>
      <c r="H4576">
        <v>0.5</v>
      </c>
      <c r="I4576">
        <v>7.3</v>
      </c>
      <c r="J4576">
        <v>36.5</v>
      </c>
    </row>
    <row r="4577" spans="1:10" x14ac:dyDescent="0.25">
      <c r="A4577" t="s">
        <v>7102</v>
      </c>
      <c r="B4577" s="3">
        <v>45620</v>
      </c>
      <c r="C4577" t="s">
        <v>2224</v>
      </c>
      <c r="D4577" t="s">
        <v>3500</v>
      </c>
      <c r="E4577">
        <v>5</v>
      </c>
      <c r="F4577" t="s">
        <v>3525</v>
      </c>
      <c r="G4577" t="s">
        <v>3518</v>
      </c>
      <c r="H4577">
        <v>0.5</v>
      </c>
      <c r="I4577">
        <v>7.8</v>
      </c>
      <c r="J4577">
        <v>39</v>
      </c>
    </row>
    <row r="4578" spans="1:10" x14ac:dyDescent="0.25">
      <c r="A4578" t="s">
        <v>7103</v>
      </c>
      <c r="B4578" s="3">
        <v>45497</v>
      </c>
      <c r="C4578" t="s">
        <v>570</v>
      </c>
      <c r="D4578" t="s">
        <v>3493</v>
      </c>
      <c r="E4578">
        <v>2</v>
      </c>
      <c r="F4578" t="s">
        <v>3525</v>
      </c>
      <c r="G4578" t="s">
        <v>3519</v>
      </c>
      <c r="H4578">
        <v>1</v>
      </c>
      <c r="I4578">
        <v>14.6</v>
      </c>
      <c r="J4578">
        <v>29.2</v>
      </c>
    </row>
    <row r="4579" spans="1:10" x14ac:dyDescent="0.25">
      <c r="A4579" t="s">
        <v>7104</v>
      </c>
      <c r="B4579" s="3">
        <v>44970</v>
      </c>
      <c r="C4579" t="s">
        <v>1012</v>
      </c>
      <c r="D4579" t="s">
        <v>3499</v>
      </c>
      <c r="E4579">
        <v>2</v>
      </c>
      <c r="F4579" t="s">
        <v>3523</v>
      </c>
      <c r="G4579" t="s">
        <v>3518</v>
      </c>
      <c r="H4579">
        <v>2.5</v>
      </c>
      <c r="I4579">
        <v>22.9</v>
      </c>
      <c r="J4579">
        <v>45.8</v>
      </c>
    </row>
    <row r="4580" spans="1:10" x14ac:dyDescent="0.25">
      <c r="A4580" t="s">
        <v>7105</v>
      </c>
      <c r="B4580" s="3">
        <v>45348</v>
      </c>
      <c r="C4580" t="s">
        <v>1803</v>
      </c>
      <c r="D4580" t="s">
        <v>3486</v>
      </c>
      <c r="E4580">
        <v>1</v>
      </c>
      <c r="F4580" t="s">
        <v>3523</v>
      </c>
      <c r="G4580" t="s">
        <v>3519</v>
      </c>
      <c r="H4580">
        <v>1</v>
      </c>
      <c r="I4580">
        <v>11.3</v>
      </c>
      <c r="J4580">
        <v>11.3</v>
      </c>
    </row>
    <row r="4581" spans="1:10" x14ac:dyDescent="0.25">
      <c r="A4581" t="s">
        <v>7106</v>
      </c>
      <c r="B4581" s="3">
        <v>44492</v>
      </c>
      <c r="C4581" t="s">
        <v>3318</v>
      </c>
      <c r="D4581" t="s">
        <v>3504</v>
      </c>
      <c r="E4581">
        <v>1</v>
      </c>
      <c r="F4581" t="s">
        <v>3524</v>
      </c>
      <c r="G4581" t="s">
        <v>3517</v>
      </c>
      <c r="H4581">
        <v>0.5</v>
      </c>
      <c r="I4581">
        <v>7.2</v>
      </c>
      <c r="J4581">
        <v>7.2</v>
      </c>
    </row>
    <row r="4582" spans="1:10" x14ac:dyDescent="0.25">
      <c r="A4582" t="s">
        <v>7107</v>
      </c>
      <c r="B4582" s="3">
        <v>45109</v>
      </c>
      <c r="C4582" t="s">
        <v>1354</v>
      </c>
      <c r="D4582" t="s">
        <v>3471</v>
      </c>
      <c r="E4582">
        <v>6</v>
      </c>
      <c r="F4582" t="s">
        <v>3523</v>
      </c>
      <c r="G4582" t="s">
        <v>3517</v>
      </c>
      <c r="H4582">
        <v>1</v>
      </c>
      <c r="I4582">
        <v>13</v>
      </c>
      <c r="J4582">
        <v>78</v>
      </c>
    </row>
    <row r="4583" spans="1:10" x14ac:dyDescent="0.25">
      <c r="A4583" t="s">
        <v>7108</v>
      </c>
      <c r="B4583" s="3">
        <v>45237</v>
      </c>
      <c r="C4583" t="s">
        <v>1723</v>
      </c>
      <c r="D4583" t="s">
        <v>3502</v>
      </c>
      <c r="E4583">
        <v>6</v>
      </c>
      <c r="F4583" t="s">
        <v>3526</v>
      </c>
      <c r="G4583" t="s">
        <v>3517</v>
      </c>
      <c r="H4583">
        <v>1</v>
      </c>
      <c r="I4583">
        <v>14.9</v>
      </c>
      <c r="J4583">
        <v>89.4</v>
      </c>
    </row>
    <row r="4584" spans="1:10" x14ac:dyDescent="0.25">
      <c r="A4584" t="s">
        <v>7109</v>
      </c>
      <c r="B4584" s="3">
        <v>44701</v>
      </c>
      <c r="C4584" t="s">
        <v>2645</v>
      </c>
      <c r="D4584" t="s">
        <v>3504</v>
      </c>
      <c r="E4584">
        <v>5</v>
      </c>
      <c r="F4584" t="s">
        <v>3524</v>
      </c>
      <c r="G4584" t="s">
        <v>3517</v>
      </c>
      <c r="H4584">
        <v>0.5</v>
      </c>
      <c r="I4584">
        <v>7.2</v>
      </c>
      <c r="J4584">
        <v>36</v>
      </c>
    </row>
    <row r="4585" spans="1:10" x14ac:dyDescent="0.25">
      <c r="A4585" t="s">
        <v>7110</v>
      </c>
      <c r="B4585" s="3">
        <v>45012</v>
      </c>
      <c r="C4585" t="s">
        <v>2062</v>
      </c>
      <c r="D4585" t="s">
        <v>3512</v>
      </c>
      <c r="E4585">
        <v>5</v>
      </c>
      <c r="F4585" t="s">
        <v>3525</v>
      </c>
      <c r="G4585" t="s">
        <v>3519</v>
      </c>
      <c r="H4585">
        <v>2.5</v>
      </c>
      <c r="I4585">
        <v>33.5</v>
      </c>
      <c r="J4585">
        <v>167.5</v>
      </c>
    </row>
    <row r="4586" spans="1:10" x14ac:dyDescent="0.25">
      <c r="A4586" t="s">
        <v>7111</v>
      </c>
      <c r="B4586" s="3">
        <v>43513</v>
      </c>
      <c r="C4586" t="s">
        <v>3318</v>
      </c>
      <c r="D4586" t="s">
        <v>3478</v>
      </c>
      <c r="E4586">
        <v>3</v>
      </c>
      <c r="F4586" t="s">
        <v>3523</v>
      </c>
      <c r="G4586" t="s">
        <v>3518</v>
      </c>
      <c r="H4586">
        <v>1</v>
      </c>
      <c r="I4586">
        <v>10</v>
      </c>
      <c r="J4586">
        <v>30</v>
      </c>
    </row>
    <row r="4587" spans="1:10" x14ac:dyDescent="0.25">
      <c r="A4587" t="s">
        <v>7112</v>
      </c>
      <c r="B4587" s="3">
        <v>43545</v>
      </c>
      <c r="C4587" t="s">
        <v>2263</v>
      </c>
      <c r="D4587" t="s">
        <v>3497</v>
      </c>
      <c r="E4587">
        <v>5</v>
      </c>
      <c r="F4587" t="s">
        <v>3526</v>
      </c>
      <c r="G4587" t="s">
        <v>3519</v>
      </c>
      <c r="H4587">
        <v>2.5</v>
      </c>
      <c r="I4587">
        <v>31.6</v>
      </c>
      <c r="J4587">
        <v>158</v>
      </c>
    </row>
    <row r="4588" spans="1:10" x14ac:dyDescent="0.25">
      <c r="A4588" t="s">
        <v>7113</v>
      </c>
      <c r="B4588" s="3">
        <v>45420</v>
      </c>
      <c r="C4588" t="s">
        <v>1327</v>
      </c>
      <c r="D4588" t="s">
        <v>3476</v>
      </c>
      <c r="E4588">
        <v>4</v>
      </c>
      <c r="F4588" t="s">
        <v>3525</v>
      </c>
      <c r="G4588" t="s">
        <v>3517</v>
      </c>
      <c r="H4588">
        <v>0.2</v>
      </c>
      <c r="I4588">
        <v>4.8</v>
      </c>
      <c r="J4588">
        <v>19.2</v>
      </c>
    </row>
    <row r="4589" spans="1:10" x14ac:dyDescent="0.25">
      <c r="A4589" t="s">
        <v>7114</v>
      </c>
      <c r="B4589" s="3">
        <v>44658</v>
      </c>
      <c r="C4589" t="s">
        <v>766</v>
      </c>
      <c r="D4589" t="s">
        <v>3507</v>
      </c>
      <c r="E4589">
        <v>1</v>
      </c>
      <c r="F4589" t="s">
        <v>3526</v>
      </c>
      <c r="G4589" t="s">
        <v>3517</v>
      </c>
      <c r="H4589">
        <v>0.5</v>
      </c>
      <c r="I4589">
        <v>8.9</v>
      </c>
      <c r="J4589">
        <v>8.9</v>
      </c>
    </row>
    <row r="4590" spans="1:10" x14ac:dyDescent="0.25">
      <c r="A4590" t="s">
        <v>7115</v>
      </c>
      <c r="B4590" s="3">
        <v>45268</v>
      </c>
      <c r="C4590" t="s">
        <v>3243</v>
      </c>
      <c r="D4590" t="s">
        <v>3498</v>
      </c>
      <c r="E4590">
        <v>5</v>
      </c>
      <c r="F4590" t="s">
        <v>3523</v>
      </c>
      <c r="G4590" t="s">
        <v>3517</v>
      </c>
      <c r="H4590">
        <v>0.2</v>
      </c>
      <c r="I4590">
        <v>3.9</v>
      </c>
      <c r="J4590">
        <v>19.5</v>
      </c>
    </row>
    <row r="4591" spans="1:10" x14ac:dyDescent="0.25">
      <c r="A4591" t="s">
        <v>7116</v>
      </c>
      <c r="B4591" s="3">
        <v>44860</v>
      </c>
      <c r="C4591" t="s">
        <v>1613</v>
      </c>
      <c r="D4591" t="s">
        <v>3484</v>
      </c>
      <c r="E4591">
        <v>6</v>
      </c>
      <c r="F4591" t="s">
        <v>3526</v>
      </c>
      <c r="G4591" t="s">
        <v>3518</v>
      </c>
      <c r="H4591">
        <v>0.2</v>
      </c>
      <c r="I4591">
        <v>3.6</v>
      </c>
      <c r="J4591">
        <v>21.6</v>
      </c>
    </row>
    <row r="4592" spans="1:10" x14ac:dyDescent="0.25">
      <c r="A4592" t="s">
        <v>7117</v>
      </c>
      <c r="B4592" s="3">
        <v>45602</v>
      </c>
      <c r="C4592" t="s">
        <v>3087</v>
      </c>
      <c r="D4592" t="s">
        <v>3485</v>
      </c>
      <c r="E4592">
        <v>3</v>
      </c>
      <c r="F4592" t="s">
        <v>3523</v>
      </c>
      <c r="G4592" t="s">
        <v>3518</v>
      </c>
      <c r="H4592">
        <v>0.2</v>
      </c>
      <c r="I4592">
        <v>3</v>
      </c>
      <c r="J4592">
        <v>9</v>
      </c>
    </row>
    <row r="4593" spans="1:10" x14ac:dyDescent="0.25">
      <c r="A4593" t="s">
        <v>7118</v>
      </c>
      <c r="B4593" s="3">
        <v>45247</v>
      </c>
      <c r="C4593" t="s">
        <v>652</v>
      </c>
      <c r="D4593" t="s">
        <v>3508</v>
      </c>
      <c r="E4593">
        <v>1</v>
      </c>
      <c r="F4593" t="s">
        <v>3524</v>
      </c>
      <c r="G4593" t="s">
        <v>3518</v>
      </c>
      <c r="H4593">
        <v>1</v>
      </c>
      <c r="I4593">
        <v>9</v>
      </c>
      <c r="J4593">
        <v>9</v>
      </c>
    </row>
    <row r="4594" spans="1:10" x14ac:dyDescent="0.25">
      <c r="A4594" t="s">
        <v>7119</v>
      </c>
      <c r="B4594" s="3">
        <v>44680</v>
      </c>
      <c r="C4594" t="s">
        <v>1154</v>
      </c>
      <c r="D4594" t="s">
        <v>3501</v>
      </c>
      <c r="E4594">
        <v>5</v>
      </c>
      <c r="F4594" t="s">
        <v>3525</v>
      </c>
      <c r="G4594" t="s">
        <v>3517</v>
      </c>
      <c r="H4594">
        <v>1</v>
      </c>
      <c r="I4594">
        <v>15.9</v>
      </c>
      <c r="J4594">
        <v>79.5</v>
      </c>
    </row>
    <row r="4595" spans="1:10" x14ac:dyDescent="0.25">
      <c r="A4595" t="s">
        <v>7120</v>
      </c>
      <c r="B4595" s="3">
        <v>45642</v>
      </c>
      <c r="C4595" t="s">
        <v>1860</v>
      </c>
      <c r="D4595" t="s">
        <v>3496</v>
      </c>
      <c r="E4595">
        <v>1</v>
      </c>
      <c r="F4595" t="s">
        <v>3525</v>
      </c>
      <c r="G4595" t="s">
        <v>3518</v>
      </c>
      <c r="H4595">
        <v>2.5</v>
      </c>
      <c r="I4595">
        <v>29.8</v>
      </c>
      <c r="J4595">
        <v>29.8</v>
      </c>
    </row>
    <row r="4596" spans="1:10" x14ac:dyDescent="0.25">
      <c r="A4596" t="s">
        <v>7121</v>
      </c>
      <c r="B4596" s="3">
        <v>45576</v>
      </c>
      <c r="C4596" t="s">
        <v>2730</v>
      </c>
      <c r="D4596" t="s">
        <v>3490</v>
      </c>
      <c r="E4596">
        <v>3</v>
      </c>
      <c r="F4596" t="s">
        <v>3525</v>
      </c>
      <c r="G4596" t="s">
        <v>3519</v>
      </c>
      <c r="H4596">
        <v>0.2</v>
      </c>
      <c r="I4596">
        <v>4.4000000000000004</v>
      </c>
      <c r="J4596">
        <v>13.2</v>
      </c>
    </row>
    <row r="4597" spans="1:10" x14ac:dyDescent="0.25">
      <c r="A4597" t="s">
        <v>7122</v>
      </c>
      <c r="B4597" s="3">
        <v>45347</v>
      </c>
      <c r="C4597" t="s">
        <v>3045</v>
      </c>
      <c r="D4597" t="s">
        <v>3497</v>
      </c>
      <c r="E4597">
        <v>4</v>
      </c>
      <c r="F4597" t="s">
        <v>3526</v>
      </c>
      <c r="G4597" t="s">
        <v>3519</v>
      </c>
      <c r="H4597">
        <v>2.5</v>
      </c>
      <c r="I4597">
        <v>31.6</v>
      </c>
      <c r="J4597">
        <v>126.4</v>
      </c>
    </row>
    <row r="4598" spans="1:10" x14ac:dyDescent="0.25">
      <c r="A4598" t="s">
        <v>7123</v>
      </c>
      <c r="B4598" s="3">
        <v>45560</v>
      </c>
      <c r="C4598" t="s">
        <v>3095</v>
      </c>
      <c r="D4598" t="s">
        <v>3516</v>
      </c>
      <c r="E4598">
        <v>1</v>
      </c>
      <c r="F4598" t="s">
        <v>3526</v>
      </c>
      <c r="G4598" t="s">
        <v>3518</v>
      </c>
      <c r="H4598">
        <v>2.5</v>
      </c>
      <c r="I4598">
        <v>27.9</v>
      </c>
      <c r="J4598">
        <v>27.9</v>
      </c>
    </row>
    <row r="4599" spans="1:10" x14ac:dyDescent="0.25">
      <c r="A4599" t="s">
        <v>7124</v>
      </c>
      <c r="B4599" s="3">
        <v>43514</v>
      </c>
      <c r="C4599" t="s">
        <v>1836</v>
      </c>
      <c r="D4599" t="s">
        <v>3496</v>
      </c>
      <c r="E4599">
        <v>3</v>
      </c>
      <c r="F4599" t="s">
        <v>3525</v>
      </c>
      <c r="G4599" t="s">
        <v>3518</v>
      </c>
      <c r="H4599">
        <v>2.5</v>
      </c>
      <c r="I4599">
        <v>29.8</v>
      </c>
      <c r="J4599">
        <v>89.4</v>
      </c>
    </row>
    <row r="4600" spans="1:10" x14ac:dyDescent="0.25">
      <c r="A4600" t="s">
        <v>7125</v>
      </c>
      <c r="B4600" s="3">
        <v>44674</v>
      </c>
      <c r="C4600" t="s">
        <v>906</v>
      </c>
      <c r="D4600" t="s">
        <v>3488</v>
      </c>
      <c r="E4600">
        <v>2</v>
      </c>
      <c r="F4600" t="s">
        <v>3523</v>
      </c>
      <c r="G4600" t="s">
        <v>3519</v>
      </c>
      <c r="H4600">
        <v>0.5</v>
      </c>
      <c r="I4600">
        <v>6.8</v>
      </c>
      <c r="J4600">
        <v>13.6</v>
      </c>
    </row>
    <row r="4601" spans="1:10" x14ac:dyDescent="0.25">
      <c r="A4601" t="s">
        <v>7126</v>
      </c>
      <c r="B4601" s="3">
        <v>45453</v>
      </c>
      <c r="C4601" t="s">
        <v>2675</v>
      </c>
      <c r="D4601" t="s">
        <v>3495</v>
      </c>
      <c r="E4601">
        <v>6</v>
      </c>
      <c r="F4601" t="s">
        <v>3525</v>
      </c>
      <c r="G4601" t="s">
        <v>3517</v>
      </c>
      <c r="H4601">
        <v>2.5</v>
      </c>
      <c r="I4601">
        <v>36.5</v>
      </c>
      <c r="J4601">
        <v>219</v>
      </c>
    </row>
    <row r="4602" spans="1:10" x14ac:dyDescent="0.25">
      <c r="A4602" t="s">
        <v>7127</v>
      </c>
      <c r="B4602" s="3">
        <v>43525</v>
      </c>
      <c r="C4602" t="s">
        <v>638</v>
      </c>
      <c r="D4602" t="s">
        <v>3509</v>
      </c>
      <c r="E4602">
        <v>5</v>
      </c>
      <c r="F4602" t="s">
        <v>3524</v>
      </c>
      <c r="G4602" t="s">
        <v>3517</v>
      </c>
      <c r="H4602">
        <v>0.2</v>
      </c>
      <c r="I4602">
        <v>3.6</v>
      </c>
      <c r="J4602">
        <v>18</v>
      </c>
    </row>
    <row r="4603" spans="1:10" x14ac:dyDescent="0.25">
      <c r="A4603" t="s">
        <v>7128</v>
      </c>
      <c r="B4603" s="3">
        <v>44856</v>
      </c>
      <c r="C4603" t="s">
        <v>3087</v>
      </c>
      <c r="D4603" t="s">
        <v>3482</v>
      </c>
      <c r="E4603">
        <v>5</v>
      </c>
      <c r="F4603" t="s">
        <v>3524</v>
      </c>
      <c r="G4603" t="s">
        <v>3519</v>
      </c>
      <c r="H4603">
        <v>2.5</v>
      </c>
      <c r="I4603">
        <v>22.9</v>
      </c>
      <c r="J4603">
        <v>114.5</v>
      </c>
    </row>
    <row r="4604" spans="1:10" x14ac:dyDescent="0.25">
      <c r="A4604" t="s">
        <v>7129</v>
      </c>
      <c r="B4604" s="3">
        <v>45362</v>
      </c>
      <c r="C4604" t="s">
        <v>3220</v>
      </c>
      <c r="D4604" t="s">
        <v>3501</v>
      </c>
      <c r="E4604">
        <v>4</v>
      </c>
      <c r="F4604" t="s">
        <v>3525</v>
      </c>
      <c r="G4604" t="s">
        <v>3517</v>
      </c>
      <c r="H4604">
        <v>1</v>
      </c>
      <c r="I4604">
        <v>15.9</v>
      </c>
      <c r="J4604">
        <v>63.6</v>
      </c>
    </row>
    <row r="4605" spans="1:10" x14ac:dyDescent="0.25">
      <c r="A4605" t="s">
        <v>7130</v>
      </c>
      <c r="B4605" s="3">
        <v>45560</v>
      </c>
      <c r="C4605" t="s">
        <v>1579</v>
      </c>
      <c r="D4605" t="s">
        <v>3513</v>
      </c>
      <c r="E4605">
        <v>2</v>
      </c>
      <c r="F4605" t="s">
        <v>3523</v>
      </c>
      <c r="G4605" t="s">
        <v>3517</v>
      </c>
      <c r="H4605">
        <v>2.5</v>
      </c>
      <c r="I4605">
        <v>29.8</v>
      </c>
      <c r="J4605">
        <v>59.6</v>
      </c>
    </row>
    <row r="4606" spans="1:10" x14ac:dyDescent="0.25">
      <c r="A4606" t="s">
        <v>7131</v>
      </c>
      <c r="B4606" s="3">
        <v>45181</v>
      </c>
      <c r="C4606" t="s">
        <v>1582</v>
      </c>
      <c r="D4606" t="s">
        <v>3509</v>
      </c>
      <c r="E4606">
        <v>1</v>
      </c>
      <c r="F4606" t="s">
        <v>3524</v>
      </c>
      <c r="G4606" t="s">
        <v>3517</v>
      </c>
      <c r="H4606">
        <v>0.2</v>
      </c>
      <c r="I4606">
        <v>3.6</v>
      </c>
      <c r="J4606">
        <v>3.6</v>
      </c>
    </row>
    <row r="4607" spans="1:10" x14ac:dyDescent="0.25">
      <c r="A4607" t="s">
        <v>7132</v>
      </c>
      <c r="B4607" s="3">
        <v>43495</v>
      </c>
      <c r="C4607" t="s">
        <v>1402</v>
      </c>
      <c r="D4607" t="s">
        <v>3484</v>
      </c>
      <c r="E4607">
        <v>2</v>
      </c>
      <c r="F4607" t="s">
        <v>3526</v>
      </c>
      <c r="G4607" t="s">
        <v>3518</v>
      </c>
      <c r="H4607">
        <v>0.2</v>
      </c>
      <c r="I4607">
        <v>3.6</v>
      </c>
      <c r="J4607">
        <v>7.2</v>
      </c>
    </row>
    <row r="4608" spans="1:10" x14ac:dyDescent="0.25">
      <c r="A4608" t="s">
        <v>7133</v>
      </c>
      <c r="B4608" s="3">
        <v>45026</v>
      </c>
      <c r="C4608" t="s">
        <v>965</v>
      </c>
      <c r="D4608" t="s">
        <v>3493</v>
      </c>
      <c r="E4608">
        <v>4</v>
      </c>
      <c r="F4608" t="s">
        <v>3525</v>
      </c>
      <c r="G4608" t="s">
        <v>3519</v>
      </c>
      <c r="H4608">
        <v>1</v>
      </c>
      <c r="I4608">
        <v>14.6</v>
      </c>
      <c r="J4608">
        <v>58.4</v>
      </c>
    </row>
    <row r="4609" spans="1:10" x14ac:dyDescent="0.25">
      <c r="A4609" t="s">
        <v>7134</v>
      </c>
      <c r="B4609" s="3">
        <v>43861</v>
      </c>
      <c r="C4609" t="s">
        <v>1118</v>
      </c>
      <c r="D4609" t="s">
        <v>3493</v>
      </c>
      <c r="E4609">
        <v>2</v>
      </c>
      <c r="F4609" t="s">
        <v>3525</v>
      </c>
      <c r="G4609" t="s">
        <v>3519</v>
      </c>
      <c r="H4609">
        <v>1</v>
      </c>
      <c r="I4609">
        <v>14.6</v>
      </c>
      <c r="J4609">
        <v>29.2</v>
      </c>
    </row>
    <row r="4610" spans="1:10" x14ac:dyDescent="0.25">
      <c r="A4610" t="s">
        <v>7135</v>
      </c>
      <c r="B4610" s="3">
        <v>44278</v>
      </c>
      <c r="C4610" t="s">
        <v>676</v>
      </c>
      <c r="D4610" t="s">
        <v>3509</v>
      </c>
      <c r="E4610">
        <v>1</v>
      </c>
      <c r="F4610" t="s">
        <v>3524</v>
      </c>
      <c r="G4610" t="s">
        <v>3517</v>
      </c>
      <c r="H4610">
        <v>0.2</v>
      </c>
      <c r="I4610">
        <v>3.6</v>
      </c>
      <c r="J4610">
        <v>3.6</v>
      </c>
    </row>
    <row r="4611" spans="1:10" x14ac:dyDescent="0.25">
      <c r="A4611" t="s">
        <v>7136</v>
      </c>
      <c r="B4611" s="3">
        <v>44762</v>
      </c>
      <c r="C4611" t="s">
        <v>3048</v>
      </c>
      <c r="D4611" t="s">
        <v>3484</v>
      </c>
      <c r="E4611">
        <v>6</v>
      </c>
      <c r="F4611" t="s">
        <v>3526</v>
      </c>
      <c r="G4611" t="s">
        <v>3518</v>
      </c>
      <c r="H4611">
        <v>0.2</v>
      </c>
      <c r="I4611">
        <v>3.6</v>
      </c>
      <c r="J4611">
        <v>21.6</v>
      </c>
    </row>
    <row r="4612" spans="1:10" x14ac:dyDescent="0.25">
      <c r="A4612" t="s">
        <v>7137</v>
      </c>
      <c r="B4612" s="3">
        <v>44051</v>
      </c>
      <c r="C4612" t="s">
        <v>2992</v>
      </c>
      <c r="D4612" t="s">
        <v>3490</v>
      </c>
      <c r="E4612">
        <v>2</v>
      </c>
      <c r="F4612" t="s">
        <v>3525</v>
      </c>
      <c r="G4612" t="s">
        <v>3519</v>
      </c>
      <c r="H4612">
        <v>0.2</v>
      </c>
      <c r="I4612">
        <v>4.4000000000000004</v>
      </c>
      <c r="J4612">
        <v>8.8000000000000007</v>
      </c>
    </row>
    <row r="4613" spans="1:10" x14ac:dyDescent="0.25">
      <c r="A4613" t="s">
        <v>7138</v>
      </c>
      <c r="B4613" s="3">
        <v>45585</v>
      </c>
      <c r="C4613" t="s">
        <v>2500</v>
      </c>
      <c r="D4613" t="s">
        <v>3512</v>
      </c>
      <c r="E4613">
        <v>1</v>
      </c>
      <c r="F4613" t="s">
        <v>3525</v>
      </c>
      <c r="G4613" t="s">
        <v>3519</v>
      </c>
      <c r="H4613">
        <v>2.5</v>
      </c>
      <c r="I4613">
        <v>33.5</v>
      </c>
      <c r="J4613">
        <v>33.5</v>
      </c>
    </row>
    <row r="4614" spans="1:10" x14ac:dyDescent="0.25">
      <c r="A4614" t="s">
        <v>7139</v>
      </c>
      <c r="B4614" s="3">
        <v>44510</v>
      </c>
      <c r="C4614" t="s">
        <v>769</v>
      </c>
      <c r="D4614" t="s">
        <v>3514</v>
      </c>
      <c r="E4614">
        <v>6</v>
      </c>
      <c r="F4614" t="s">
        <v>3526</v>
      </c>
      <c r="G4614" t="s">
        <v>3518</v>
      </c>
      <c r="H4614">
        <v>1</v>
      </c>
      <c r="I4614">
        <v>12.2</v>
      </c>
      <c r="J4614">
        <v>73.2</v>
      </c>
    </row>
    <row r="4615" spans="1:10" x14ac:dyDescent="0.25">
      <c r="A4615" t="s">
        <v>7140</v>
      </c>
      <c r="B4615" s="3">
        <v>45142</v>
      </c>
      <c r="C4615" t="s">
        <v>965</v>
      </c>
      <c r="D4615" t="s">
        <v>3475</v>
      </c>
      <c r="E4615">
        <v>1</v>
      </c>
      <c r="F4615" t="s">
        <v>3526</v>
      </c>
      <c r="G4615" t="s">
        <v>3518</v>
      </c>
      <c r="H4615">
        <v>0.5</v>
      </c>
      <c r="I4615">
        <v>7.3</v>
      </c>
      <c r="J4615">
        <v>7.3</v>
      </c>
    </row>
    <row r="4616" spans="1:10" x14ac:dyDescent="0.25">
      <c r="A4616" t="s">
        <v>7141</v>
      </c>
      <c r="B4616" s="3">
        <v>45187</v>
      </c>
      <c r="C4616" t="s">
        <v>2381</v>
      </c>
      <c r="D4616" t="s">
        <v>3485</v>
      </c>
      <c r="E4616">
        <v>1</v>
      </c>
      <c r="F4616" t="s">
        <v>3523</v>
      </c>
      <c r="G4616" t="s">
        <v>3518</v>
      </c>
      <c r="H4616">
        <v>0.2</v>
      </c>
      <c r="I4616">
        <v>3</v>
      </c>
      <c r="J4616">
        <v>3</v>
      </c>
    </row>
    <row r="4617" spans="1:10" x14ac:dyDescent="0.25">
      <c r="A4617" t="s">
        <v>7142</v>
      </c>
      <c r="B4617" s="3">
        <v>44175</v>
      </c>
      <c r="C4617" t="s">
        <v>2110</v>
      </c>
      <c r="D4617" t="s">
        <v>3503</v>
      </c>
      <c r="E4617">
        <v>5</v>
      </c>
      <c r="F4617" t="s">
        <v>3524</v>
      </c>
      <c r="G4617" t="s">
        <v>3518</v>
      </c>
      <c r="H4617">
        <v>0.5</v>
      </c>
      <c r="I4617">
        <v>5.4</v>
      </c>
      <c r="J4617">
        <v>27</v>
      </c>
    </row>
    <row r="4618" spans="1:10" x14ac:dyDescent="0.25">
      <c r="A4618" t="s">
        <v>7143</v>
      </c>
      <c r="B4618" s="3">
        <v>45457</v>
      </c>
      <c r="C4618" t="s">
        <v>1553</v>
      </c>
      <c r="D4618" t="s">
        <v>3503</v>
      </c>
      <c r="E4618">
        <v>3</v>
      </c>
      <c r="F4618" t="s">
        <v>3524</v>
      </c>
      <c r="G4618" t="s">
        <v>3518</v>
      </c>
      <c r="H4618">
        <v>0.5</v>
      </c>
      <c r="I4618">
        <v>5.4</v>
      </c>
      <c r="J4618">
        <v>16.2</v>
      </c>
    </row>
    <row r="4619" spans="1:10" x14ac:dyDescent="0.25">
      <c r="A4619" t="s">
        <v>7144</v>
      </c>
      <c r="B4619" s="3">
        <v>45628</v>
      </c>
      <c r="C4619" t="s">
        <v>722</v>
      </c>
      <c r="D4619" t="s">
        <v>3484</v>
      </c>
      <c r="E4619">
        <v>3</v>
      </c>
      <c r="F4619" t="s">
        <v>3526</v>
      </c>
      <c r="G4619" t="s">
        <v>3518</v>
      </c>
      <c r="H4619">
        <v>0.2</v>
      </c>
      <c r="I4619">
        <v>3.6</v>
      </c>
      <c r="J4619">
        <v>10.8</v>
      </c>
    </row>
    <row r="4620" spans="1:10" x14ac:dyDescent="0.25">
      <c r="A4620" t="s">
        <v>7145</v>
      </c>
      <c r="B4620" s="3">
        <v>44945</v>
      </c>
      <c r="C4620" t="s">
        <v>1378</v>
      </c>
      <c r="D4620" t="s">
        <v>3492</v>
      </c>
      <c r="E4620">
        <v>1</v>
      </c>
      <c r="F4620" t="s">
        <v>3525</v>
      </c>
      <c r="G4620" t="s">
        <v>3517</v>
      </c>
      <c r="H4620">
        <v>0.5</v>
      </c>
      <c r="I4620">
        <v>9.5</v>
      </c>
      <c r="J4620">
        <v>9.5</v>
      </c>
    </row>
    <row r="4621" spans="1:10" x14ac:dyDescent="0.25">
      <c r="A4621" t="s">
        <v>7146</v>
      </c>
      <c r="B4621" s="3">
        <v>45641</v>
      </c>
      <c r="C4621" t="s">
        <v>2438</v>
      </c>
      <c r="D4621" t="s">
        <v>3479</v>
      </c>
      <c r="E4621">
        <v>5</v>
      </c>
      <c r="F4621" t="s">
        <v>3526</v>
      </c>
      <c r="G4621" t="s">
        <v>3517</v>
      </c>
      <c r="H4621">
        <v>2.5</v>
      </c>
      <c r="I4621">
        <v>34.200000000000003</v>
      </c>
      <c r="J4621">
        <v>171</v>
      </c>
    </row>
    <row r="4622" spans="1:10" x14ac:dyDescent="0.25">
      <c r="A4622" t="s">
        <v>7147</v>
      </c>
      <c r="B4622" s="3">
        <v>44610</v>
      </c>
      <c r="C4622" t="s">
        <v>2669</v>
      </c>
      <c r="D4622" t="s">
        <v>3479</v>
      </c>
      <c r="E4622">
        <v>4</v>
      </c>
      <c r="F4622" t="s">
        <v>3526</v>
      </c>
      <c r="G4622" t="s">
        <v>3517</v>
      </c>
      <c r="H4622">
        <v>2.5</v>
      </c>
      <c r="I4622">
        <v>34.200000000000003</v>
      </c>
      <c r="J4622">
        <v>136.80000000000001</v>
      </c>
    </row>
    <row r="4623" spans="1:10" x14ac:dyDescent="0.25">
      <c r="A4623" t="s">
        <v>7148</v>
      </c>
      <c r="B4623" s="3">
        <v>44804</v>
      </c>
      <c r="C4623" t="s">
        <v>1238</v>
      </c>
      <c r="D4623" t="s">
        <v>3509</v>
      </c>
      <c r="E4623">
        <v>5</v>
      </c>
      <c r="F4623" t="s">
        <v>3524</v>
      </c>
      <c r="G4623" t="s">
        <v>3517</v>
      </c>
      <c r="H4623">
        <v>0.2</v>
      </c>
      <c r="I4623">
        <v>3.6</v>
      </c>
      <c r="J4623">
        <v>18</v>
      </c>
    </row>
    <row r="4624" spans="1:10" x14ac:dyDescent="0.25">
      <c r="A4624" t="s">
        <v>7149</v>
      </c>
      <c r="B4624" s="3">
        <v>45644</v>
      </c>
      <c r="C4624" t="s">
        <v>1896</v>
      </c>
      <c r="D4624" t="s">
        <v>3497</v>
      </c>
      <c r="E4624">
        <v>2</v>
      </c>
      <c r="F4624" t="s">
        <v>3526</v>
      </c>
      <c r="G4624" t="s">
        <v>3519</v>
      </c>
      <c r="H4624">
        <v>2.5</v>
      </c>
      <c r="I4624">
        <v>31.6</v>
      </c>
      <c r="J4624">
        <v>63.2</v>
      </c>
    </row>
    <row r="4625" spans="1:10" x14ac:dyDescent="0.25">
      <c r="A4625" t="s">
        <v>7150</v>
      </c>
      <c r="B4625" s="3">
        <v>45290</v>
      </c>
      <c r="C4625" t="s">
        <v>1896</v>
      </c>
      <c r="D4625" t="s">
        <v>3479</v>
      </c>
      <c r="E4625">
        <v>3</v>
      </c>
      <c r="F4625" t="s">
        <v>3526</v>
      </c>
      <c r="G4625" t="s">
        <v>3517</v>
      </c>
      <c r="H4625">
        <v>2.5</v>
      </c>
      <c r="I4625">
        <v>34.200000000000003</v>
      </c>
      <c r="J4625">
        <v>102.6</v>
      </c>
    </row>
    <row r="4626" spans="1:10" x14ac:dyDescent="0.25">
      <c r="A4626" t="s">
        <v>7151</v>
      </c>
      <c r="B4626" s="3">
        <v>45169</v>
      </c>
      <c r="C4626" t="s">
        <v>2152</v>
      </c>
      <c r="D4626" t="s">
        <v>3470</v>
      </c>
      <c r="E4626">
        <v>4</v>
      </c>
      <c r="F4626" t="s">
        <v>3526</v>
      </c>
      <c r="G4626" t="s">
        <v>3519</v>
      </c>
      <c r="H4626">
        <v>0.5</v>
      </c>
      <c r="I4626">
        <v>8.3000000000000007</v>
      </c>
      <c r="J4626">
        <v>33.200000000000003</v>
      </c>
    </row>
    <row r="4627" spans="1:10" x14ac:dyDescent="0.25">
      <c r="A4627" t="s">
        <v>7152</v>
      </c>
      <c r="B4627" s="3">
        <v>45539</v>
      </c>
      <c r="C4627" t="s">
        <v>3205</v>
      </c>
      <c r="D4627" t="s">
        <v>3498</v>
      </c>
      <c r="E4627">
        <v>2</v>
      </c>
      <c r="F4627" t="s">
        <v>3523</v>
      </c>
      <c r="G4627" t="s">
        <v>3517</v>
      </c>
      <c r="H4627">
        <v>0.2</v>
      </c>
      <c r="I4627">
        <v>3.9</v>
      </c>
      <c r="J4627">
        <v>7.8</v>
      </c>
    </row>
    <row r="4628" spans="1:10" x14ac:dyDescent="0.25">
      <c r="A4628" t="s">
        <v>7153</v>
      </c>
      <c r="B4628" s="3">
        <v>44877</v>
      </c>
      <c r="C4628" t="s">
        <v>775</v>
      </c>
      <c r="D4628" t="s">
        <v>3514</v>
      </c>
      <c r="E4628">
        <v>5</v>
      </c>
      <c r="F4628" t="s">
        <v>3526</v>
      </c>
      <c r="G4628" t="s">
        <v>3518</v>
      </c>
      <c r="H4628">
        <v>1</v>
      </c>
      <c r="I4628">
        <v>12.2</v>
      </c>
      <c r="J4628">
        <v>61</v>
      </c>
    </row>
    <row r="4629" spans="1:10" x14ac:dyDescent="0.25">
      <c r="A4629" t="s">
        <v>7154</v>
      </c>
      <c r="B4629" s="3">
        <v>45006</v>
      </c>
      <c r="C4629" t="s">
        <v>2867</v>
      </c>
      <c r="D4629" t="s">
        <v>3477</v>
      </c>
      <c r="E4629">
        <v>2</v>
      </c>
      <c r="F4629" t="s">
        <v>3524</v>
      </c>
      <c r="G4629" t="s">
        <v>3519</v>
      </c>
      <c r="H4629">
        <v>0.5</v>
      </c>
      <c r="I4629">
        <v>6</v>
      </c>
      <c r="J4629">
        <v>12</v>
      </c>
    </row>
    <row r="4630" spans="1:10" x14ac:dyDescent="0.25">
      <c r="A4630" t="s">
        <v>7155</v>
      </c>
      <c r="B4630" s="3">
        <v>44911</v>
      </c>
      <c r="C4630" t="s">
        <v>796</v>
      </c>
      <c r="D4630" t="s">
        <v>3482</v>
      </c>
      <c r="E4630">
        <v>3</v>
      </c>
      <c r="F4630" t="s">
        <v>3524</v>
      </c>
      <c r="G4630" t="s">
        <v>3519</v>
      </c>
      <c r="H4630">
        <v>2.5</v>
      </c>
      <c r="I4630">
        <v>22.9</v>
      </c>
      <c r="J4630">
        <v>68.7</v>
      </c>
    </row>
    <row r="4631" spans="1:10" x14ac:dyDescent="0.25">
      <c r="A4631" t="s">
        <v>7156</v>
      </c>
      <c r="B4631" s="3">
        <v>44868</v>
      </c>
      <c r="C4631" t="s">
        <v>971</v>
      </c>
      <c r="D4631" t="s">
        <v>3484</v>
      </c>
      <c r="E4631">
        <v>3</v>
      </c>
      <c r="F4631" t="s">
        <v>3526</v>
      </c>
      <c r="G4631" t="s">
        <v>3518</v>
      </c>
      <c r="H4631">
        <v>0.2</v>
      </c>
      <c r="I4631">
        <v>3.6</v>
      </c>
      <c r="J4631">
        <v>10.8</v>
      </c>
    </row>
    <row r="4632" spans="1:10" x14ac:dyDescent="0.25">
      <c r="A4632" t="s">
        <v>7157</v>
      </c>
      <c r="B4632" s="3">
        <v>43900</v>
      </c>
      <c r="C4632" t="s">
        <v>2408</v>
      </c>
      <c r="D4632" t="s">
        <v>3506</v>
      </c>
      <c r="E4632">
        <v>5</v>
      </c>
      <c r="F4632" t="s">
        <v>3523</v>
      </c>
      <c r="G4632" t="s">
        <v>3519</v>
      </c>
      <c r="H4632">
        <v>2.5</v>
      </c>
      <c r="I4632">
        <v>25.9</v>
      </c>
      <c r="J4632">
        <v>129.5</v>
      </c>
    </row>
    <row r="4633" spans="1:10" x14ac:dyDescent="0.25">
      <c r="A4633" t="s">
        <v>7158</v>
      </c>
      <c r="B4633" s="3">
        <v>43738</v>
      </c>
      <c r="C4633" t="s">
        <v>679</v>
      </c>
      <c r="D4633" t="s">
        <v>3498</v>
      </c>
      <c r="E4633">
        <v>5</v>
      </c>
      <c r="F4633" t="s">
        <v>3523</v>
      </c>
      <c r="G4633" t="s">
        <v>3517</v>
      </c>
      <c r="H4633">
        <v>0.2</v>
      </c>
      <c r="I4633">
        <v>3.9</v>
      </c>
      <c r="J4633">
        <v>19.5</v>
      </c>
    </row>
    <row r="4634" spans="1:10" x14ac:dyDescent="0.25">
      <c r="A4634" t="s">
        <v>7159</v>
      </c>
      <c r="B4634" s="3">
        <v>44712</v>
      </c>
      <c r="C4634" t="s">
        <v>814</v>
      </c>
      <c r="D4634" t="s">
        <v>3515</v>
      </c>
      <c r="E4634">
        <v>2</v>
      </c>
      <c r="F4634" t="s">
        <v>3526</v>
      </c>
      <c r="G4634" t="s">
        <v>3517</v>
      </c>
      <c r="H4634">
        <v>0.2</v>
      </c>
      <c r="I4634">
        <v>4.5</v>
      </c>
      <c r="J4634">
        <v>9</v>
      </c>
    </row>
    <row r="4635" spans="1:10" x14ac:dyDescent="0.25">
      <c r="A4635" t="s">
        <v>7160</v>
      </c>
      <c r="B4635" s="3">
        <v>45096</v>
      </c>
      <c r="C4635" t="s">
        <v>2275</v>
      </c>
      <c r="D4635" t="s">
        <v>3501</v>
      </c>
      <c r="E4635">
        <v>3</v>
      </c>
      <c r="F4635" t="s">
        <v>3525</v>
      </c>
      <c r="G4635" t="s">
        <v>3517</v>
      </c>
      <c r="H4635">
        <v>1</v>
      </c>
      <c r="I4635">
        <v>15.9</v>
      </c>
      <c r="J4635">
        <v>47.7</v>
      </c>
    </row>
    <row r="4636" spans="1:10" x14ac:dyDescent="0.25">
      <c r="A4636" t="s">
        <v>7161</v>
      </c>
      <c r="B4636" s="3">
        <v>45625</v>
      </c>
      <c r="C4636" t="s">
        <v>595</v>
      </c>
      <c r="D4636" t="s">
        <v>3491</v>
      </c>
      <c r="E4636">
        <v>3</v>
      </c>
      <c r="F4636" t="s">
        <v>3525</v>
      </c>
      <c r="G4636" t="s">
        <v>3519</v>
      </c>
      <c r="H4636">
        <v>0.5</v>
      </c>
      <c r="I4636">
        <v>8.6999999999999993</v>
      </c>
      <c r="J4636">
        <v>26.1</v>
      </c>
    </row>
    <row r="4637" spans="1:10" x14ac:dyDescent="0.25">
      <c r="A4637" t="s">
        <v>7162</v>
      </c>
      <c r="B4637" s="3">
        <v>45254</v>
      </c>
      <c r="C4637" t="s">
        <v>586</v>
      </c>
      <c r="D4637" t="s">
        <v>3496</v>
      </c>
      <c r="E4637">
        <v>1</v>
      </c>
      <c r="F4637" t="s">
        <v>3525</v>
      </c>
      <c r="G4637" t="s">
        <v>3518</v>
      </c>
      <c r="H4637">
        <v>2.5</v>
      </c>
      <c r="I4637">
        <v>29.8</v>
      </c>
      <c r="J4637">
        <v>29.8</v>
      </c>
    </row>
    <row r="4638" spans="1:10" x14ac:dyDescent="0.25">
      <c r="A4638" t="s">
        <v>7163</v>
      </c>
      <c r="B4638" s="3">
        <v>44776</v>
      </c>
      <c r="C4638" t="s">
        <v>2630</v>
      </c>
      <c r="D4638" t="s">
        <v>3486</v>
      </c>
      <c r="E4638">
        <v>3</v>
      </c>
      <c r="F4638" t="s">
        <v>3523</v>
      </c>
      <c r="G4638" t="s">
        <v>3519</v>
      </c>
      <c r="H4638">
        <v>1</v>
      </c>
      <c r="I4638">
        <v>11.3</v>
      </c>
      <c r="J4638">
        <v>33.9</v>
      </c>
    </row>
    <row r="4639" spans="1:10" x14ac:dyDescent="0.25">
      <c r="A4639" t="s">
        <v>7164</v>
      </c>
      <c r="B4639" s="3">
        <v>44664</v>
      </c>
      <c r="C4639" t="s">
        <v>997</v>
      </c>
      <c r="D4639" t="s">
        <v>3500</v>
      </c>
      <c r="E4639">
        <v>3</v>
      </c>
      <c r="F4639" t="s">
        <v>3525</v>
      </c>
      <c r="G4639" t="s">
        <v>3518</v>
      </c>
      <c r="H4639">
        <v>0.5</v>
      </c>
      <c r="I4639">
        <v>7.8</v>
      </c>
      <c r="J4639">
        <v>23.4</v>
      </c>
    </row>
    <row r="4640" spans="1:10" x14ac:dyDescent="0.25">
      <c r="A4640" t="s">
        <v>7165</v>
      </c>
      <c r="B4640" s="3">
        <v>43803</v>
      </c>
      <c r="C4640" t="s">
        <v>3036</v>
      </c>
      <c r="D4640" t="s">
        <v>3516</v>
      </c>
      <c r="E4640">
        <v>3</v>
      </c>
      <c r="F4640" t="s">
        <v>3526</v>
      </c>
      <c r="G4640" t="s">
        <v>3518</v>
      </c>
      <c r="H4640">
        <v>2.5</v>
      </c>
      <c r="I4640">
        <v>27.9</v>
      </c>
      <c r="J4640">
        <v>83.7</v>
      </c>
    </row>
    <row r="4641" spans="1:10" x14ac:dyDescent="0.25">
      <c r="A4641" t="s">
        <v>7166</v>
      </c>
      <c r="B4641" s="3">
        <v>43882</v>
      </c>
      <c r="C4641" t="s">
        <v>3063</v>
      </c>
      <c r="D4641" t="s">
        <v>3484</v>
      </c>
      <c r="E4641">
        <v>6</v>
      </c>
      <c r="F4641" t="s">
        <v>3526</v>
      </c>
      <c r="G4641" t="s">
        <v>3518</v>
      </c>
      <c r="H4641">
        <v>0.2</v>
      </c>
      <c r="I4641">
        <v>3.6</v>
      </c>
      <c r="J4641">
        <v>21.6</v>
      </c>
    </row>
    <row r="4642" spans="1:10" x14ac:dyDescent="0.25">
      <c r="A4642" t="s">
        <v>7167</v>
      </c>
      <c r="B4642" s="3">
        <v>45116</v>
      </c>
      <c r="C4642" t="s">
        <v>2733</v>
      </c>
      <c r="D4642" t="s">
        <v>3484</v>
      </c>
      <c r="E4642">
        <v>1</v>
      </c>
      <c r="F4642" t="s">
        <v>3526</v>
      </c>
      <c r="G4642" t="s">
        <v>3518</v>
      </c>
      <c r="H4642">
        <v>0.2</v>
      </c>
      <c r="I4642">
        <v>3.6</v>
      </c>
      <c r="J4642">
        <v>3.6</v>
      </c>
    </row>
    <row r="4643" spans="1:10" x14ac:dyDescent="0.25">
      <c r="A4643" t="s">
        <v>7168</v>
      </c>
      <c r="B4643" s="3">
        <v>45117</v>
      </c>
      <c r="C4643" t="s">
        <v>2642</v>
      </c>
      <c r="D4643" t="s">
        <v>3500</v>
      </c>
      <c r="E4643">
        <v>6</v>
      </c>
      <c r="F4643" t="s">
        <v>3525</v>
      </c>
      <c r="G4643" t="s">
        <v>3518</v>
      </c>
      <c r="H4643">
        <v>0.5</v>
      </c>
      <c r="I4643">
        <v>7.8</v>
      </c>
      <c r="J4643">
        <v>46.8</v>
      </c>
    </row>
    <row r="4644" spans="1:10" x14ac:dyDescent="0.25">
      <c r="A4644" t="s">
        <v>7169</v>
      </c>
      <c r="B4644" s="3">
        <v>45421</v>
      </c>
      <c r="C4644" t="s">
        <v>1752</v>
      </c>
      <c r="D4644" t="s">
        <v>3483</v>
      </c>
      <c r="E4644">
        <v>2</v>
      </c>
      <c r="F4644" t="s">
        <v>3523</v>
      </c>
      <c r="G4644" t="s">
        <v>3519</v>
      </c>
      <c r="H4644">
        <v>0.2</v>
      </c>
      <c r="I4644">
        <v>3.4</v>
      </c>
      <c r="J4644">
        <v>6.8</v>
      </c>
    </row>
    <row r="4645" spans="1:10" x14ac:dyDescent="0.25">
      <c r="A4645" t="s">
        <v>7170</v>
      </c>
      <c r="B4645" s="3">
        <v>44773</v>
      </c>
      <c r="C4645" t="s">
        <v>1438</v>
      </c>
      <c r="D4645" t="s">
        <v>3469</v>
      </c>
      <c r="E4645">
        <v>4</v>
      </c>
      <c r="F4645" t="s">
        <v>3524</v>
      </c>
      <c r="G4645" t="s">
        <v>3519</v>
      </c>
      <c r="H4645">
        <v>1</v>
      </c>
      <c r="I4645">
        <v>10</v>
      </c>
      <c r="J4645">
        <v>40</v>
      </c>
    </row>
    <row r="4646" spans="1:10" x14ac:dyDescent="0.25">
      <c r="A4646" t="s">
        <v>7171</v>
      </c>
      <c r="B4646" s="3">
        <v>44993</v>
      </c>
      <c r="C4646" t="s">
        <v>2551</v>
      </c>
      <c r="D4646" t="s">
        <v>3469</v>
      </c>
      <c r="E4646">
        <v>6</v>
      </c>
      <c r="F4646" t="s">
        <v>3524</v>
      </c>
      <c r="G4646" t="s">
        <v>3519</v>
      </c>
      <c r="H4646">
        <v>1</v>
      </c>
      <c r="I4646">
        <v>10</v>
      </c>
      <c r="J4646">
        <v>60</v>
      </c>
    </row>
    <row r="4647" spans="1:10" x14ac:dyDescent="0.25">
      <c r="A4647" t="s">
        <v>7172</v>
      </c>
      <c r="B4647" s="3">
        <v>44718</v>
      </c>
      <c r="C4647" t="s">
        <v>1559</v>
      </c>
      <c r="D4647" t="s">
        <v>3506</v>
      </c>
      <c r="E4647">
        <v>4</v>
      </c>
      <c r="F4647" t="s">
        <v>3523</v>
      </c>
      <c r="G4647" t="s">
        <v>3519</v>
      </c>
      <c r="H4647">
        <v>2.5</v>
      </c>
      <c r="I4647">
        <v>25.9</v>
      </c>
      <c r="J4647">
        <v>103.6</v>
      </c>
    </row>
    <row r="4648" spans="1:10" x14ac:dyDescent="0.25">
      <c r="A4648" t="s">
        <v>7173</v>
      </c>
      <c r="B4648" s="3">
        <v>45479</v>
      </c>
      <c r="C4648" t="s">
        <v>1982</v>
      </c>
      <c r="D4648" t="s">
        <v>3487</v>
      </c>
      <c r="E4648">
        <v>1</v>
      </c>
      <c r="F4648" t="s">
        <v>3526</v>
      </c>
      <c r="G4648" t="s">
        <v>3519</v>
      </c>
      <c r="H4648">
        <v>0.2</v>
      </c>
      <c r="I4648">
        <v>4.0999999999999996</v>
      </c>
      <c r="J4648">
        <v>4.0999999999999996</v>
      </c>
    </row>
    <row r="4649" spans="1:10" x14ac:dyDescent="0.25">
      <c r="A4649" t="s">
        <v>7174</v>
      </c>
      <c r="B4649" s="3">
        <v>44210</v>
      </c>
      <c r="C4649" t="s">
        <v>2137</v>
      </c>
      <c r="D4649" t="s">
        <v>3516</v>
      </c>
      <c r="E4649">
        <v>5</v>
      </c>
      <c r="F4649" t="s">
        <v>3526</v>
      </c>
      <c r="G4649" t="s">
        <v>3518</v>
      </c>
      <c r="H4649">
        <v>2.5</v>
      </c>
      <c r="I4649">
        <v>27.9</v>
      </c>
      <c r="J4649">
        <v>139.5</v>
      </c>
    </row>
    <row r="4650" spans="1:10" x14ac:dyDescent="0.25">
      <c r="A4650" t="s">
        <v>7175</v>
      </c>
      <c r="B4650" s="3">
        <v>45629</v>
      </c>
      <c r="C4650" t="s">
        <v>2831</v>
      </c>
      <c r="D4650" t="s">
        <v>3507</v>
      </c>
      <c r="E4650">
        <v>6</v>
      </c>
      <c r="F4650" t="s">
        <v>3526</v>
      </c>
      <c r="G4650" t="s">
        <v>3517</v>
      </c>
      <c r="H4650">
        <v>0.5</v>
      </c>
      <c r="I4650">
        <v>8.9</v>
      </c>
      <c r="J4650">
        <v>53.4</v>
      </c>
    </row>
    <row r="4651" spans="1:10" x14ac:dyDescent="0.25">
      <c r="A4651" t="s">
        <v>7176</v>
      </c>
      <c r="B4651" s="3">
        <v>44867</v>
      </c>
      <c r="C4651" t="s">
        <v>1866</v>
      </c>
      <c r="D4651" t="s">
        <v>3493</v>
      </c>
      <c r="E4651">
        <v>3</v>
      </c>
      <c r="F4651" t="s">
        <v>3525</v>
      </c>
      <c r="G4651" t="s">
        <v>3519</v>
      </c>
      <c r="H4651">
        <v>1</v>
      </c>
      <c r="I4651">
        <v>14.6</v>
      </c>
      <c r="J4651">
        <v>43.8</v>
      </c>
    </row>
    <row r="4652" spans="1:10" x14ac:dyDescent="0.25">
      <c r="A4652" t="s">
        <v>7177</v>
      </c>
      <c r="B4652" s="3">
        <v>43924</v>
      </c>
      <c r="C4652" t="s">
        <v>1637</v>
      </c>
      <c r="D4652" t="s">
        <v>3510</v>
      </c>
      <c r="E4652">
        <v>3</v>
      </c>
      <c r="F4652" t="s">
        <v>3524</v>
      </c>
      <c r="G4652" t="s">
        <v>3517</v>
      </c>
      <c r="H4652">
        <v>1</v>
      </c>
      <c r="I4652">
        <v>12</v>
      </c>
      <c r="J4652">
        <v>36</v>
      </c>
    </row>
    <row r="4653" spans="1:10" x14ac:dyDescent="0.25">
      <c r="A4653" t="s">
        <v>7178</v>
      </c>
      <c r="B4653" s="3">
        <v>45161</v>
      </c>
      <c r="C4653" t="s">
        <v>576</v>
      </c>
      <c r="D4653" t="s">
        <v>3499</v>
      </c>
      <c r="E4653">
        <v>2</v>
      </c>
      <c r="F4653" t="s">
        <v>3523</v>
      </c>
      <c r="G4653" t="s">
        <v>3518</v>
      </c>
      <c r="H4653">
        <v>2.5</v>
      </c>
      <c r="I4653">
        <v>22.9</v>
      </c>
      <c r="J4653">
        <v>45.8</v>
      </c>
    </row>
    <row r="4654" spans="1:10" x14ac:dyDescent="0.25">
      <c r="A4654" t="s">
        <v>7179</v>
      </c>
      <c r="B4654" s="3">
        <v>44702</v>
      </c>
      <c r="C4654" t="s">
        <v>1214</v>
      </c>
      <c r="D4654" t="s">
        <v>3491</v>
      </c>
      <c r="E4654">
        <v>4</v>
      </c>
      <c r="F4654" t="s">
        <v>3525</v>
      </c>
      <c r="G4654" t="s">
        <v>3519</v>
      </c>
      <c r="H4654">
        <v>0.5</v>
      </c>
      <c r="I4654">
        <v>8.6999999999999993</v>
      </c>
      <c r="J4654">
        <v>34.799999999999997</v>
      </c>
    </row>
    <row r="4655" spans="1:10" x14ac:dyDescent="0.25">
      <c r="A4655" t="s">
        <v>7180</v>
      </c>
      <c r="B4655" s="3">
        <v>44370</v>
      </c>
      <c r="C4655" t="s">
        <v>2369</v>
      </c>
      <c r="D4655" t="s">
        <v>3483</v>
      </c>
      <c r="E4655">
        <v>1</v>
      </c>
      <c r="F4655" t="s">
        <v>3523</v>
      </c>
      <c r="G4655" t="s">
        <v>3519</v>
      </c>
      <c r="H4655">
        <v>0.2</v>
      </c>
      <c r="I4655">
        <v>3.4</v>
      </c>
      <c r="J4655">
        <v>3.4</v>
      </c>
    </row>
    <row r="4656" spans="1:10" x14ac:dyDescent="0.25">
      <c r="A4656" t="s">
        <v>7181</v>
      </c>
      <c r="B4656" s="3">
        <v>45019</v>
      </c>
      <c r="C4656" t="s">
        <v>2645</v>
      </c>
      <c r="D4656" t="s">
        <v>3512</v>
      </c>
      <c r="E4656">
        <v>1</v>
      </c>
      <c r="F4656" t="s">
        <v>3525</v>
      </c>
      <c r="G4656" t="s">
        <v>3519</v>
      </c>
      <c r="H4656">
        <v>2.5</v>
      </c>
      <c r="I4656">
        <v>33.5</v>
      </c>
      <c r="J4656">
        <v>33.5</v>
      </c>
    </row>
    <row r="4657" spans="1:10" x14ac:dyDescent="0.25">
      <c r="A4657" t="s">
        <v>7182</v>
      </c>
      <c r="B4657" s="3">
        <v>44755</v>
      </c>
      <c r="C4657" t="s">
        <v>2296</v>
      </c>
      <c r="D4657" t="s">
        <v>3500</v>
      </c>
      <c r="E4657">
        <v>3</v>
      </c>
      <c r="F4657" t="s">
        <v>3525</v>
      </c>
      <c r="G4657" t="s">
        <v>3518</v>
      </c>
      <c r="H4657">
        <v>0.5</v>
      </c>
      <c r="I4657">
        <v>7.8</v>
      </c>
      <c r="J4657">
        <v>23.4</v>
      </c>
    </row>
    <row r="4658" spans="1:10" x14ac:dyDescent="0.25">
      <c r="A4658" t="s">
        <v>7183</v>
      </c>
      <c r="B4658" s="3">
        <v>44449</v>
      </c>
      <c r="C4658" t="s">
        <v>3027</v>
      </c>
      <c r="D4658" t="s">
        <v>3494</v>
      </c>
      <c r="E4658">
        <v>1</v>
      </c>
      <c r="F4658" t="s">
        <v>3524</v>
      </c>
      <c r="G4658" t="s">
        <v>3518</v>
      </c>
      <c r="H4658">
        <v>0.2</v>
      </c>
      <c r="I4658">
        <v>2.7</v>
      </c>
      <c r="J4658">
        <v>2.7</v>
      </c>
    </row>
    <row r="4659" spans="1:10" x14ac:dyDescent="0.25">
      <c r="A4659" t="s">
        <v>7184</v>
      </c>
      <c r="B4659" s="3">
        <v>44967</v>
      </c>
      <c r="C4659" t="s">
        <v>676</v>
      </c>
      <c r="D4659" t="s">
        <v>3482</v>
      </c>
      <c r="E4659">
        <v>5</v>
      </c>
      <c r="F4659" t="s">
        <v>3524</v>
      </c>
      <c r="G4659" t="s">
        <v>3519</v>
      </c>
      <c r="H4659">
        <v>2.5</v>
      </c>
      <c r="I4659">
        <v>22.9</v>
      </c>
      <c r="J4659">
        <v>114.5</v>
      </c>
    </row>
    <row r="4660" spans="1:10" x14ac:dyDescent="0.25">
      <c r="A4660" t="s">
        <v>7185</v>
      </c>
      <c r="B4660" s="3">
        <v>45273</v>
      </c>
      <c r="C4660" t="s">
        <v>1675</v>
      </c>
      <c r="D4660" t="s">
        <v>3484</v>
      </c>
      <c r="E4660">
        <v>2</v>
      </c>
      <c r="F4660" t="s">
        <v>3526</v>
      </c>
      <c r="G4660" t="s">
        <v>3518</v>
      </c>
      <c r="H4660">
        <v>0.2</v>
      </c>
      <c r="I4660">
        <v>3.6</v>
      </c>
      <c r="J4660">
        <v>7.2</v>
      </c>
    </row>
    <row r="4661" spans="1:10" x14ac:dyDescent="0.25">
      <c r="A4661" t="s">
        <v>7186</v>
      </c>
      <c r="B4661" s="3">
        <v>44991</v>
      </c>
      <c r="C4661" t="s">
        <v>2473</v>
      </c>
      <c r="D4661" t="s">
        <v>3513</v>
      </c>
      <c r="E4661">
        <v>4</v>
      </c>
      <c r="F4661" t="s">
        <v>3523</v>
      </c>
      <c r="G4661" t="s">
        <v>3517</v>
      </c>
      <c r="H4661">
        <v>2.5</v>
      </c>
      <c r="I4661">
        <v>29.8</v>
      </c>
      <c r="J4661">
        <v>119.2</v>
      </c>
    </row>
    <row r="4662" spans="1:10" x14ac:dyDescent="0.25">
      <c r="A4662" t="s">
        <v>7187</v>
      </c>
      <c r="B4662" s="3">
        <v>44761</v>
      </c>
      <c r="C4662" t="s">
        <v>2578</v>
      </c>
      <c r="D4662" t="s">
        <v>3516</v>
      </c>
      <c r="E4662">
        <v>3</v>
      </c>
      <c r="F4662" t="s">
        <v>3526</v>
      </c>
      <c r="G4662" t="s">
        <v>3518</v>
      </c>
      <c r="H4662">
        <v>2.5</v>
      </c>
      <c r="I4662">
        <v>27.9</v>
      </c>
      <c r="J4662">
        <v>83.7</v>
      </c>
    </row>
    <row r="4663" spans="1:10" x14ac:dyDescent="0.25">
      <c r="A4663" t="s">
        <v>7188</v>
      </c>
      <c r="B4663" s="3">
        <v>45119</v>
      </c>
      <c r="C4663" t="s">
        <v>2236</v>
      </c>
      <c r="D4663" t="s">
        <v>3504</v>
      </c>
      <c r="E4663">
        <v>2</v>
      </c>
      <c r="F4663" t="s">
        <v>3524</v>
      </c>
      <c r="G4663" t="s">
        <v>3517</v>
      </c>
      <c r="H4663">
        <v>0.5</v>
      </c>
      <c r="I4663">
        <v>7.2</v>
      </c>
      <c r="J4663">
        <v>14.4</v>
      </c>
    </row>
    <row r="4664" spans="1:10" x14ac:dyDescent="0.25">
      <c r="A4664" t="s">
        <v>7189</v>
      </c>
      <c r="B4664" s="3">
        <v>44396</v>
      </c>
      <c r="C4664" t="s">
        <v>1822</v>
      </c>
      <c r="D4664" t="s">
        <v>3514</v>
      </c>
      <c r="E4664">
        <v>1</v>
      </c>
      <c r="F4664" t="s">
        <v>3526</v>
      </c>
      <c r="G4664" t="s">
        <v>3518</v>
      </c>
      <c r="H4664">
        <v>1</v>
      </c>
      <c r="I4664">
        <v>12.2</v>
      </c>
      <c r="J4664">
        <v>12.2</v>
      </c>
    </row>
    <row r="4665" spans="1:10" x14ac:dyDescent="0.25">
      <c r="A4665" t="s">
        <v>7190</v>
      </c>
      <c r="B4665" s="3">
        <v>44606</v>
      </c>
      <c r="C4665" t="s">
        <v>763</v>
      </c>
      <c r="D4665" t="s">
        <v>3514</v>
      </c>
      <c r="E4665">
        <v>6</v>
      </c>
      <c r="F4665" t="s">
        <v>3526</v>
      </c>
      <c r="G4665" t="s">
        <v>3518</v>
      </c>
      <c r="H4665">
        <v>1</v>
      </c>
      <c r="I4665">
        <v>12.2</v>
      </c>
      <c r="J4665">
        <v>73.2</v>
      </c>
    </row>
    <row r="4666" spans="1:10" x14ac:dyDescent="0.25">
      <c r="A4666" t="s">
        <v>7191</v>
      </c>
      <c r="B4666" s="3">
        <v>44176</v>
      </c>
      <c r="C4666" t="s">
        <v>2041</v>
      </c>
      <c r="D4666" t="s">
        <v>3474</v>
      </c>
      <c r="E4666">
        <v>6</v>
      </c>
      <c r="F4666" t="s">
        <v>3525</v>
      </c>
      <c r="G4666" t="s">
        <v>3518</v>
      </c>
      <c r="H4666">
        <v>1</v>
      </c>
      <c r="I4666">
        <v>13</v>
      </c>
      <c r="J4666">
        <v>78</v>
      </c>
    </row>
    <row r="4667" spans="1:10" x14ac:dyDescent="0.25">
      <c r="A4667" t="s">
        <v>7192</v>
      </c>
      <c r="B4667" s="3">
        <v>43675</v>
      </c>
      <c r="C4667" t="s">
        <v>2873</v>
      </c>
      <c r="D4667" t="s">
        <v>3499</v>
      </c>
      <c r="E4667">
        <v>5</v>
      </c>
      <c r="F4667" t="s">
        <v>3523</v>
      </c>
      <c r="G4667" t="s">
        <v>3518</v>
      </c>
      <c r="H4667">
        <v>2.5</v>
      </c>
      <c r="I4667">
        <v>22.9</v>
      </c>
      <c r="J4667">
        <v>114.5</v>
      </c>
    </row>
    <row r="4668" spans="1:10" x14ac:dyDescent="0.25">
      <c r="A4668" t="s">
        <v>7193</v>
      </c>
      <c r="B4668" s="3">
        <v>45374</v>
      </c>
      <c r="C4668" t="s">
        <v>635</v>
      </c>
      <c r="D4668" t="s">
        <v>3486</v>
      </c>
      <c r="E4668">
        <v>2</v>
      </c>
      <c r="F4668" t="s">
        <v>3523</v>
      </c>
      <c r="G4668" t="s">
        <v>3519</v>
      </c>
      <c r="H4668">
        <v>1</v>
      </c>
      <c r="I4668">
        <v>11.3</v>
      </c>
      <c r="J4668">
        <v>22.6</v>
      </c>
    </row>
    <row r="4669" spans="1:10" x14ac:dyDescent="0.25">
      <c r="A4669" t="s">
        <v>7194</v>
      </c>
      <c r="B4669" s="3">
        <v>45184</v>
      </c>
      <c r="C4669" t="s">
        <v>487</v>
      </c>
      <c r="D4669" t="s">
        <v>3469</v>
      </c>
      <c r="E4669">
        <v>6</v>
      </c>
      <c r="F4669" t="s">
        <v>3524</v>
      </c>
      <c r="G4669" t="s">
        <v>3519</v>
      </c>
      <c r="H4669">
        <v>1</v>
      </c>
      <c r="I4669">
        <v>10</v>
      </c>
      <c r="J4669">
        <v>60</v>
      </c>
    </row>
    <row r="4670" spans="1:10" x14ac:dyDescent="0.25">
      <c r="A4670" t="s">
        <v>7195</v>
      </c>
      <c r="B4670" s="3">
        <v>45279</v>
      </c>
      <c r="C4670" t="s">
        <v>2338</v>
      </c>
      <c r="D4670" t="s">
        <v>3469</v>
      </c>
      <c r="E4670">
        <v>2</v>
      </c>
      <c r="F4670" t="s">
        <v>3524</v>
      </c>
      <c r="G4670" t="s">
        <v>3519</v>
      </c>
      <c r="H4670">
        <v>1</v>
      </c>
      <c r="I4670">
        <v>10</v>
      </c>
      <c r="J4670">
        <v>20</v>
      </c>
    </row>
    <row r="4671" spans="1:10" x14ac:dyDescent="0.25">
      <c r="A4671" t="s">
        <v>7196</v>
      </c>
      <c r="B4671" s="3">
        <v>44931</v>
      </c>
      <c r="C4671" t="s">
        <v>707</v>
      </c>
      <c r="D4671" t="s">
        <v>3513</v>
      </c>
      <c r="E4671">
        <v>1</v>
      </c>
      <c r="F4671" t="s">
        <v>3523</v>
      </c>
      <c r="G4671" t="s">
        <v>3517</v>
      </c>
      <c r="H4671">
        <v>2.5</v>
      </c>
      <c r="I4671">
        <v>29.8</v>
      </c>
      <c r="J4671">
        <v>29.8</v>
      </c>
    </row>
    <row r="4672" spans="1:10" x14ac:dyDescent="0.25">
      <c r="A4672" t="s">
        <v>7197</v>
      </c>
      <c r="B4672" s="3">
        <v>44186</v>
      </c>
      <c r="C4672" t="s">
        <v>1556</v>
      </c>
      <c r="D4672" t="s">
        <v>3494</v>
      </c>
      <c r="E4672">
        <v>2</v>
      </c>
      <c r="F4672" t="s">
        <v>3524</v>
      </c>
      <c r="G4672" t="s">
        <v>3518</v>
      </c>
      <c r="H4672">
        <v>0.2</v>
      </c>
      <c r="I4672">
        <v>2.7</v>
      </c>
      <c r="J4672">
        <v>5.4</v>
      </c>
    </row>
    <row r="4673" spans="1:10" x14ac:dyDescent="0.25">
      <c r="A4673" t="s">
        <v>7198</v>
      </c>
      <c r="B4673" s="3">
        <v>45571</v>
      </c>
      <c r="C4673" t="s">
        <v>1458</v>
      </c>
      <c r="D4673" t="s">
        <v>3491</v>
      </c>
      <c r="E4673">
        <v>6</v>
      </c>
      <c r="F4673" t="s">
        <v>3525</v>
      </c>
      <c r="G4673" t="s">
        <v>3519</v>
      </c>
      <c r="H4673">
        <v>0.5</v>
      </c>
      <c r="I4673">
        <v>8.6999999999999993</v>
      </c>
      <c r="J4673">
        <v>52.2</v>
      </c>
    </row>
    <row r="4674" spans="1:10" x14ac:dyDescent="0.25">
      <c r="A4674" t="s">
        <v>7199</v>
      </c>
      <c r="B4674" s="3">
        <v>45281</v>
      </c>
      <c r="C4674" t="s">
        <v>3276</v>
      </c>
      <c r="D4674" t="s">
        <v>3501</v>
      </c>
      <c r="E4674">
        <v>3</v>
      </c>
      <c r="F4674" t="s">
        <v>3525</v>
      </c>
      <c r="G4674" t="s">
        <v>3517</v>
      </c>
      <c r="H4674">
        <v>1</v>
      </c>
      <c r="I4674">
        <v>15.9</v>
      </c>
      <c r="J4674">
        <v>47.7</v>
      </c>
    </row>
    <row r="4675" spans="1:10" x14ac:dyDescent="0.25">
      <c r="A4675" t="s">
        <v>7200</v>
      </c>
      <c r="B4675" s="3">
        <v>45608</v>
      </c>
      <c r="C4675" t="s">
        <v>2630</v>
      </c>
      <c r="D4675" t="s">
        <v>3494</v>
      </c>
      <c r="E4675">
        <v>4</v>
      </c>
      <c r="F4675" t="s">
        <v>3524</v>
      </c>
      <c r="G4675" t="s">
        <v>3518</v>
      </c>
      <c r="H4675">
        <v>0.2</v>
      </c>
      <c r="I4675">
        <v>2.7</v>
      </c>
      <c r="J4675">
        <v>10.8</v>
      </c>
    </row>
    <row r="4676" spans="1:10" x14ac:dyDescent="0.25">
      <c r="A4676" t="s">
        <v>7201</v>
      </c>
      <c r="B4676" s="3">
        <v>43877</v>
      </c>
      <c r="C4676" t="s">
        <v>505</v>
      </c>
      <c r="D4676" t="s">
        <v>3501</v>
      </c>
      <c r="E4676">
        <v>3</v>
      </c>
      <c r="F4676" t="s">
        <v>3525</v>
      </c>
      <c r="G4676" t="s">
        <v>3517</v>
      </c>
      <c r="H4676">
        <v>1</v>
      </c>
      <c r="I4676">
        <v>15.9</v>
      </c>
      <c r="J4676">
        <v>47.7</v>
      </c>
    </row>
    <row r="4677" spans="1:10" x14ac:dyDescent="0.25">
      <c r="A4677" t="s">
        <v>7202</v>
      </c>
      <c r="B4677" s="3">
        <v>45632</v>
      </c>
      <c r="C4677" t="s">
        <v>2989</v>
      </c>
      <c r="D4677" t="s">
        <v>3507</v>
      </c>
      <c r="E4677">
        <v>4</v>
      </c>
      <c r="F4677" t="s">
        <v>3526</v>
      </c>
      <c r="G4677" t="s">
        <v>3517</v>
      </c>
      <c r="H4677">
        <v>0.5</v>
      </c>
      <c r="I4677">
        <v>8.9</v>
      </c>
      <c r="J4677">
        <v>35.6</v>
      </c>
    </row>
    <row r="4678" spans="1:10" x14ac:dyDescent="0.25">
      <c r="A4678" t="s">
        <v>7203</v>
      </c>
      <c r="B4678" s="3">
        <v>45149</v>
      </c>
      <c r="C4678" t="s">
        <v>757</v>
      </c>
      <c r="D4678" t="s">
        <v>3505</v>
      </c>
      <c r="E4678">
        <v>1</v>
      </c>
      <c r="F4678" t="s">
        <v>3524</v>
      </c>
      <c r="G4678" t="s">
        <v>3519</v>
      </c>
      <c r="H4678">
        <v>0.2</v>
      </c>
      <c r="I4678">
        <v>3</v>
      </c>
      <c r="J4678">
        <v>3</v>
      </c>
    </row>
    <row r="4679" spans="1:10" x14ac:dyDescent="0.25">
      <c r="A4679" t="s">
        <v>7204</v>
      </c>
      <c r="B4679" s="3">
        <v>45261</v>
      </c>
      <c r="C4679" t="s">
        <v>1797</v>
      </c>
      <c r="D4679" t="s">
        <v>3476</v>
      </c>
      <c r="E4679">
        <v>2</v>
      </c>
      <c r="F4679" t="s">
        <v>3525</v>
      </c>
      <c r="G4679" t="s">
        <v>3517</v>
      </c>
      <c r="H4679">
        <v>0.2</v>
      </c>
      <c r="I4679">
        <v>4.8</v>
      </c>
      <c r="J4679">
        <v>9.6</v>
      </c>
    </row>
    <row r="4680" spans="1:10" x14ac:dyDescent="0.25">
      <c r="A4680" t="s">
        <v>7205</v>
      </c>
      <c r="B4680" s="3">
        <v>44934</v>
      </c>
      <c r="C4680" t="s">
        <v>2441</v>
      </c>
      <c r="D4680" t="s">
        <v>3513</v>
      </c>
      <c r="E4680">
        <v>5</v>
      </c>
      <c r="F4680" t="s">
        <v>3523</v>
      </c>
      <c r="G4680" t="s">
        <v>3517</v>
      </c>
      <c r="H4680">
        <v>2.5</v>
      </c>
      <c r="I4680">
        <v>29.8</v>
      </c>
      <c r="J4680">
        <v>149</v>
      </c>
    </row>
    <row r="4681" spans="1:10" x14ac:dyDescent="0.25">
      <c r="A4681" t="s">
        <v>7206</v>
      </c>
      <c r="B4681" s="3">
        <v>45591</v>
      </c>
      <c r="C4681" t="s">
        <v>2795</v>
      </c>
      <c r="D4681" t="s">
        <v>3478</v>
      </c>
      <c r="E4681">
        <v>6</v>
      </c>
      <c r="F4681" t="s">
        <v>3523</v>
      </c>
      <c r="G4681" t="s">
        <v>3518</v>
      </c>
      <c r="H4681">
        <v>1</v>
      </c>
      <c r="I4681">
        <v>10</v>
      </c>
      <c r="J4681">
        <v>60</v>
      </c>
    </row>
    <row r="4682" spans="1:10" x14ac:dyDescent="0.25">
      <c r="A4682" t="s">
        <v>7207</v>
      </c>
      <c r="B4682" s="3">
        <v>45350</v>
      </c>
      <c r="C4682" t="s">
        <v>766</v>
      </c>
      <c r="D4682" t="s">
        <v>3491</v>
      </c>
      <c r="E4682">
        <v>2</v>
      </c>
      <c r="F4682" t="s">
        <v>3525</v>
      </c>
      <c r="G4682" t="s">
        <v>3519</v>
      </c>
      <c r="H4682">
        <v>0.5</v>
      </c>
      <c r="I4682">
        <v>8.6999999999999993</v>
      </c>
      <c r="J4682">
        <v>17.399999999999999</v>
      </c>
    </row>
    <row r="4683" spans="1:10" x14ac:dyDescent="0.25">
      <c r="A4683" t="s">
        <v>7208</v>
      </c>
      <c r="B4683" s="3">
        <v>44003</v>
      </c>
      <c r="C4683" t="s">
        <v>2198</v>
      </c>
      <c r="D4683" t="s">
        <v>3481</v>
      </c>
      <c r="E4683">
        <v>1</v>
      </c>
      <c r="F4683" t="s">
        <v>3525</v>
      </c>
      <c r="G4683" t="s">
        <v>3518</v>
      </c>
      <c r="H4683">
        <v>0.2</v>
      </c>
      <c r="I4683">
        <v>3.9</v>
      </c>
      <c r="J4683">
        <v>3.9</v>
      </c>
    </row>
    <row r="4684" spans="1:10" x14ac:dyDescent="0.25">
      <c r="A4684" t="s">
        <v>7209</v>
      </c>
      <c r="B4684" s="3">
        <v>45469</v>
      </c>
      <c r="C4684" t="s">
        <v>1000</v>
      </c>
      <c r="D4684" t="s">
        <v>3470</v>
      </c>
      <c r="E4684">
        <v>1</v>
      </c>
      <c r="F4684" t="s">
        <v>3526</v>
      </c>
      <c r="G4684" t="s">
        <v>3519</v>
      </c>
      <c r="H4684">
        <v>0.5</v>
      </c>
      <c r="I4684">
        <v>8.3000000000000007</v>
      </c>
      <c r="J4684">
        <v>8.3000000000000007</v>
      </c>
    </row>
    <row r="4685" spans="1:10" x14ac:dyDescent="0.25">
      <c r="A4685" t="s">
        <v>7210</v>
      </c>
      <c r="B4685" s="3">
        <v>45619</v>
      </c>
      <c r="C4685" t="s">
        <v>2971</v>
      </c>
      <c r="D4685" t="s">
        <v>3470</v>
      </c>
      <c r="E4685">
        <v>5</v>
      </c>
      <c r="F4685" t="s">
        <v>3526</v>
      </c>
      <c r="G4685" t="s">
        <v>3519</v>
      </c>
      <c r="H4685">
        <v>0.5</v>
      </c>
      <c r="I4685">
        <v>8.3000000000000007</v>
      </c>
      <c r="J4685">
        <v>41.5</v>
      </c>
    </row>
    <row r="4686" spans="1:10" x14ac:dyDescent="0.25">
      <c r="A4686" t="s">
        <v>7211</v>
      </c>
      <c r="B4686" s="3">
        <v>45045</v>
      </c>
      <c r="C4686" t="s">
        <v>912</v>
      </c>
      <c r="D4686" t="s">
        <v>3470</v>
      </c>
      <c r="E4686">
        <v>6</v>
      </c>
      <c r="F4686" t="s">
        <v>3526</v>
      </c>
      <c r="G4686" t="s">
        <v>3519</v>
      </c>
      <c r="H4686">
        <v>0.5</v>
      </c>
      <c r="I4686">
        <v>8.3000000000000007</v>
      </c>
      <c r="J4686">
        <v>49.8</v>
      </c>
    </row>
    <row r="4687" spans="1:10" x14ac:dyDescent="0.25">
      <c r="A4687" t="s">
        <v>7212</v>
      </c>
      <c r="B4687" s="3">
        <v>44601</v>
      </c>
      <c r="C4687" t="s">
        <v>1755</v>
      </c>
      <c r="D4687" t="s">
        <v>3493</v>
      </c>
      <c r="E4687">
        <v>1</v>
      </c>
      <c r="F4687" t="s">
        <v>3525</v>
      </c>
      <c r="G4687" t="s">
        <v>3519</v>
      </c>
      <c r="H4687">
        <v>1</v>
      </c>
      <c r="I4687">
        <v>14.6</v>
      </c>
      <c r="J4687">
        <v>14.6</v>
      </c>
    </row>
    <row r="4688" spans="1:10" x14ac:dyDescent="0.25">
      <c r="A4688" t="s">
        <v>7213</v>
      </c>
      <c r="B4688" s="3">
        <v>43898</v>
      </c>
      <c r="C4688" t="s">
        <v>1544</v>
      </c>
      <c r="D4688" t="s">
        <v>3516</v>
      </c>
      <c r="E4688">
        <v>5</v>
      </c>
      <c r="F4688" t="s">
        <v>3526</v>
      </c>
      <c r="G4688" t="s">
        <v>3518</v>
      </c>
      <c r="H4688">
        <v>2.5</v>
      </c>
      <c r="I4688">
        <v>27.9</v>
      </c>
      <c r="J4688">
        <v>139.5</v>
      </c>
    </row>
    <row r="4689" spans="1:10" x14ac:dyDescent="0.25">
      <c r="A4689" t="s">
        <v>7214</v>
      </c>
      <c r="B4689" s="3">
        <v>44774</v>
      </c>
      <c r="C4689" t="s">
        <v>2189</v>
      </c>
      <c r="D4689" t="s">
        <v>3485</v>
      </c>
      <c r="E4689">
        <v>4</v>
      </c>
      <c r="F4689" t="s">
        <v>3523</v>
      </c>
      <c r="G4689" t="s">
        <v>3518</v>
      </c>
      <c r="H4689">
        <v>0.2</v>
      </c>
      <c r="I4689">
        <v>3</v>
      </c>
      <c r="J4689">
        <v>12</v>
      </c>
    </row>
    <row r="4690" spans="1:10" x14ac:dyDescent="0.25">
      <c r="A4690" t="s">
        <v>7215</v>
      </c>
      <c r="B4690" s="3">
        <v>45428</v>
      </c>
      <c r="C4690" t="s">
        <v>567</v>
      </c>
      <c r="D4690" t="s">
        <v>3495</v>
      </c>
      <c r="E4690">
        <v>2</v>
      </c>
      <c r="F4690" t="s">
        <v>3525</v>
      </c>
      <c r="G4690" t="s">
        <v>3517</v>
      </c>
      <c r="H4690">
        <v>2.5</v>
      </c>
      <c r="I4690">
        <v>36.5</v>
      </c>
      <c r="J4690">
        <v>73</v>
      </c>
    </row>
    <row r="4691" spans="1:10" x14ac:dyDescent="0.25">
      <c r="A4691" t="s">
        <v>7216</v>
      </c>
      <c r="B4691" s="3">
        <v>45365</v>
      </c>
      <c r="C4691" t="s">
        <v>863</v>
      </c>
      <c r="D4691" t="s">
        <v>3488</v>
      </c>
      <c r="E4691">
        <v>1</v>
      </c>
      <c r="F4691" t="s">
        <v>3523</v>
      </c>
      <c r="G4691" t="s">
        <v>3519</v>
      </c>
      <c r="H4691">
        <v>0.5</v>
      </c>
      <c r="I4691">
        <v>6.8</v>
      </c>
      <c r="J4691">
        <v>6.8</v>
      </c>
    </row>
    <row r="4692" spans="1:10" x14ac:dyDescent="0.25">
      <c r="A4692" t="s">
        <v>7217</v>
      </c>
      <c r="B4692" s="3">
        <v>45444</v>
      </c>
      <c r="C4692" t="s">
        <v>2736</v>
      </c>
      <c r="D4692" t="s">
        <v>3493</v>
      </c>
      <c r="E4692">
        <v>6</v>
      </c>
      <c r="F4692" t="s">
        <v>3525</v>
      </c>
      <c r="G4692" t="s">
        <v>3519</v>
      </c>
      <c r="H4692">
        <v>1</v>
      </c>
      <c r="I4692">
        <v>14.6</v>
      </c>
      <c r="J4692">
        <v>87.6</v>
      </c>
    </row>
    <row r="4693" spans="1:10" x14ac:dyDescent="0.25">
      <c r="A4693" t="s">
        <v>7218</v>
      </c>
      <c r="B4693" s="3">
        <v>44806</v>
      </c>
      <c r="C4693" t="s">
        <v>2669</v>
      </c>
      <c r="D4693" t="s">
        <v>3505</v>
      </c>
      <c r="E4693">
        <v>2</v>
      </c>
      <c r="F4693" t="s">
        <v>3524</v>
      </c>
      <c r="G4693" t="s">
        <v>3519</v>
      </c>
      <c r="H4693">
        <v>0.2</v>
      </c>
      <c r="I4693">
        <v>3</v>
      </c>
      <c r="J4693">
        <v>6</v>
      </c>
    </row>
    <row r="4694" spans="1:10" x14ac:dyDescent="0.25">
      <c r="A4694" t="s">
        <v>7219</v>
      </c>
      <c r="B4694" s="3">
        <v>45431</v>
      </c>
      <c r="C4694" t="s">
        <v>2957</v>
      </c>
      <c r="D4694" t="s">
        <v>3495</v>
      </c>
      <c r="E4694">
        <v>2</v>
      </c>
      <c r="F4694" t="s">
        <v>3525</v>
      </c>
      <c r="G4694" t="s">
        <v>3517</v>
      </c>
      <c r="H4694">
        <v>2.5</v>
      </c>
      <c r="I4694">
        <v>36.5</v>
      </c>
      <c r="J4694">
        <v>73</v>
      </c>
    </row>
    <row r="4695" spans="1:10" x14ac:dyDescent="0.25">
      <c r="A4695" t="s">
        <v>7220</v>
      </c>
      <c r="B4695" s="3">
        <v>44569</v>
      </c>
      <c r="C4695" t="s">
        <v>2772</v>
      </c>
      <c r="D4695" t="s">
        <v>3502</v>
      </c>
      <c r="E4695">
        <v>3</v>
      </c>
      <c r="F4695" t="s">
        <v>3526</v>
      </c>
      <c r="G4695" t="s">
        <v>3517</v>
      </c>
      <c r="H4695">
        <v>1</v>
      </c>
      <c r="I4695">
        <v>14.9</v>
      </c>
      <c r="J4695">
        <v>44.7</v>
      </c>
    </row>
    <row r="4696" spans="1:10" x14ac:dyDescent="0.25">
      <c r="A4696" t="s">
        <v>7221</v>
      </c>
      <c r="B4696" s="3">
        <v>45331</v>
      </c>
      <c r="C4696" t="s">
        <v>1166</v>
      </c>
      <c r="D4696" t="s">
        <v>3515</v>
      </c>
      <c r="E4696">
        <v>4</v>
      </c>
      <c r="F4696" t="s">
        <v>3526</v>
      </c>
      <c r="G4696" t="s">
        <v>3517</v>
      </c>
      <c r="H4696">
        <v>0.2</v>
      </c>
      <c r="I4696">
        <v>4.5</v>
      </c>
      <c r="J4696">
        <v>18</v>
      </c>
    </row>
    <row r="4697" spans="1:10" x14ac:dyDescent="0.25">
      <c r="A4697" t="s">
        <v>7222</v>
      </c>
      <c r="B4697" s="3">
        <v>44664</v>
      </c>
      <c r="C4697" t="s">
        <v>1455</v>
      </c>
      <c r="D4697" t="s">
        <v>3481</v>
      </c>
      <c r="E4697">
        <v>6</v>
      </c>
      <c r="F4697" t="s">
        <v>3525</v>
      </c>
      <c r="G4697" t="s">
        <v>3518</v>
      </c>
      <c r="H4697">
        <v>0.2</v>
      </c>
      <c r="I4697">
        <v>3.9</v>
      </c>
      <c r="J4697">
        <v>23.4</v>
      </c>
    </row>
    <row r="4698" spans="1:10" x14ac:dyDescent="0.25">
      <c r="A4698" t="s">
        <v>7223</v>
      </c>
      <c r="B4698" s="3">
        <v>45132</v>
      </c>
      <c r="C4698" t="s">
        <v>576</v>
      </c>
      <c r="D4698" t="s">
        <v>3490</v>
      </c>
      <c r="E4698">
        <v>5</v>
      </c>
      <c r="F4698" t="s">
        <v>3525</v>
      </c>
      <c r="G4698" t="s">
        <v>3519</v>
      </c>
      <c r="H4698">
        <v>0.2</v>
      </c>
      <c r="I4698">
        <v>4.4000000000000004</v>
      </c>
      <c r="J4698">
        <v>22</v>
      </c>
    </row>
    <row r="4699" spans="1:10" x14ac:dyDescent="0.25">
      <c r="A4699" t="s">
        <v>7224</v>
      </c>
      <c r="B4699" s="3">
        <v>45356</v>
      </c>
      <c r="C4699" t="s">
        <v>2587</v>
      </c>
      <c r="D4699" t="s">
        <v>3515</v>
      </c>
      <c r="E4699">
        <v>3</v>
      </c>
      <c r="F4699" t="s">
        <v>3526</v>
      </c>
      <c r="G4699" t="s">
        <v>3517</v>
      </c>
      <c r="H4699">
        <v>0.2</v>
      </c>
      <c r="I4699">
        <v>4.5</v>
      </c>
      <c r="J4699">
        <v>13.5</v>
      </c>
    </row>
    <row r="4700" spans="1:10" x14ac:dyDescent="0.25">
      <c r="A4700" t="s">
        <v>7225</v>
      </c>
      <c r="B4700" s="3">
        <v>44954</v>
      </c>
      <c r="C4700" t="s">
        <v>1833</v>
      </c>
      <c r="D4700" t="s">
        <v>3475</v>
      </c>
      <c r="E4700">
        <v>3</v>
      </c>
      <c r="F4700" t="s">
        <v>3526</v>
      </c>
      <c r="G4700" t="s">
        <v>3518</v>
      </c>
      <c r="H4700">
        <v>0.5</v>
      </c>
      <c r="I4700">
        <v>7.3</v>
      </c>
      <c r="J4700">
        <v>21.9</v>
      </c>
    </row>
    <row r="4701" spans="1:10" x14ac:dyDescent="0.25">
      <c r="A4701" t="s">
        <v>7226</v>
      </c>
      <c r="B4701" s="3">
        <v>44901</v>
      </c>
      <c r="C4701" t="s">
        <v>1863</v>
      </c>
      <c r="D4701" t="s">
        <v>3503</v>
      </c>
      <c r="E4701">
        <v>1</v>
      </c>
      <c r="F4701" t="s">
        <v>3524</v>
      </c>
      <c r="G4701" t="s">
        <v>3518</v>
      </c>
      <c r="H4701">
        <v>0.5</v>
      </c>
      <c r="I4701">
        <v>5.4</v>
      </c>
      <c r="J4701">
        <v>5.4</v>
      </c>
    </row>
    <row r="4702" spans="1:10" x14ac:dyDescent="0.25">
      <c r="A4702" t="s">
        <v>7227</v>
      </c>
      <c r="B4702" s="3">
        <v>45337</v>
      </c>
      <c r="C4702" t="s">
        <v>3013</v>
      </c>
      <c r="D4702" t="s">
        <v>3480</v>
      </c>
      <c r="E4702">
        <v>6</v>
      </c>
      <c r="F4702" t="s">
        <v>3524</v>
      </c>
      <c r="G4702" t="s">
        <v>3518</v>
      </c>
      <c r="H4702">
        <v>2.5</v>
      </c>
      <c r="I4702">
        <v>20.6</v>
      </c>
      <c r="J4702">
        <v>123.6</v>
      </c>
    </row>
    <row r="4703" spans="1:10" x14ac:dyDescent="0.25">
      <c r="A4703" t="s">
        <v>7228</v>
      </c>
      <c r="B4703" s="3">
        <v>45377</v>
      </c>
      <c r="C4703" t="s">
        <v>1097</v>
      </c>
      <c r="D4703" t="s">
        <v>3473</v>
      </c>
      <c r="E4703">
        <v>4</v>
      </c>
      <c r="F4703" t="s">
        <v>3524</v>
      </c>
      <c r="G4703" t="s">
        <v>3517</v>
      </c>
      <c r="H4703">
        <v>2.5</v>
      </c>
      <c r="I4703">
        <v>27.5</v>
      </c>
      <c r="J4703">
        <v>110</v>
      </c>
    </row>
    <row r="4704" spans="1:10" x14ac:dyDescent="0.25">
      <c r="A4704" t="s">
        <v>7229</v>
      </c>
      <c r="B4704" s="3">
        <v>45175</v>
      </c>
      <c r="C4704" t="s">
        <v>1381</v>
      </c>
      <c r="D4704" t="s">
        <v>3507</v>
      </c>
      <c r="E4704">
        <v>1</v>
      </c>
      <c r="F4704" t="s">
        <v>3526</v>
      </c>
      <c r="G4704" t="s">
        <v>3517</v>
      </c>
      <c r="H4704">
        <v>0.5</v>
      </c>
      <c r="I4704">
        <v>8.9</v>
      </c>
      <c r="J4704">
        <v>8.9</v>
      </c>
    </row>
    <row r="4705" spans="1:10" x14ac:dyDescent="0.25">
      <c r="A4705" t="s">
        <v>7230</v>
      </c>
      <c r="B4705" s="3">
        <v>45629</v>
      </c>
      <c r="C4705" t="s">
        <v>3208</v>
      </c>
      <c r="D4705" t="s">
        <v>3515</v>
      </c>
      <c r="E4705">
        <v>2</v>
      </c>
      <c r="F4705" t="s">
        <v>3526</v>
      </c>
      <c r="G4705" t="s">
        <v>3517</v>
      </c>
      <c r="H4705">
        <v>0.2</v>
      </c>
      <c r="I4705">
        <v>4.5</v>
      </c>
      <c r="J4705">
        <v>9</v>
      </c>
    </row>
    <row r="4706" spans="1:10" x14ac:dyDescent="0.25">
      <c r="A4706" t="s">
        <v>7231</v>
      </c>
      <c r="B4706" s="3">
        <v>45225</v>
      </c>
      <c r="C4706" t="s">
        <v>1911</v>
      </c>
      <c r="D4706" t="s">
        <v>3486</v>
      </c>
      <c r="E4706">
        <v>3</v>
      </c>
      <c r="F4706" t="s">
        <v>3523</v>
      </c>
      <c r="G4706" t="s">
        <v>3519</v>
      </c>
      <c r="H4706">
        <v>1</v>
      </c>
      <c r="I4706">
        <v>11.3</v>
      </c>
      <c r="J4706">
        <v>33.9</v>
      </c>
    </row>
    <row r="4707" spans="1:10" x14ac:dyDescent="0.25">
      <c r="A4707" t="s">
        <v>7232</v>
      </c>
      <c r="B4707" s="3">
        <v>43492</v>
      </c>
      <c r="C4707" t="s">
        <v>722</v>
      </c>
      <c r="D4707" t="s">
        <v>3480</v>
      </c>
      <c r="E4707">
        <v>2</v>
      </c>
      <c r="F4707" t="s">
        <v>3524</v>
      </c>
      <c r="G4707" t="s">
        <v>3518</v>
      </c>
      <c r="H4707">
        <v>2.5</v>
      </c>
      <c r="I4707">
        <v>20.6</v>
      </c>
      <c r="J4707">
        <v>41.2</v>
      </c>
    </row>
    <row r="4708" spans="1:10" x14ac:dyDescent="0.25">
      <c r="A4708" t="s">
        <v>7233</v>
      </c>
      <c r="B4708" s="3">
        <v>43532</v>
      </c>
      <c r="C4708" t="s">
        <v>2000</v>
      </c>
      <c r="D4708" t="s">
        <v>3514</v>
      </c>
      <c r="E4708">
        <v>1</v>
      </c>
      <c r="F4708" t="s">
        <v>3526</v>
      </c>
      <c r="G4708" t="s">
        <v>3518</v>
      </c>
      <c r="H4708">
        <v>1</v>
      </c>
      <c r="I4708">
        <v>12.2</v>
      </c>
      <c r="J4708">
        <v>12.2</v>
      </c>
    </row>
    <row r="4709" spans="1:10" x14ac:dyDescent="0.25">
      <c r="A4709" t="s">
        <v>7234</v>
      </c>
      <c r="B4709" s="3">
        <v>45596</v>
      </c>
      <c r="C4709" t="s">
        <v>1752</v>
      </c>
      <c r="D4709" t="s">
        <v>3472</v>
      </c>
      <c r="E4709">
        <v>4</v>
      </c>
      <c r="F4709" t="s">
        <v>3526</v>
      </c>
      <c r="G4709" t="s">
        <v>3519</v>
      </c>
      <c r="H4709">
        <v>1</v>
      </c>
      <c r="I4709">
        <v>13.8</v>
      </c>
      <c r="J4709">
        <v>55.2</v>
      </c>
    </row>
    <row r="4710" spans="1:10" x14ac:dyDescent="0.25">
      <c r="A4710" t="s">
        <v>7235</v>
      </c>
      <c r="B4710" s="3">
        <v>45102</v>
      </c>
      <c r="C4710" t="s">
        <v>869</v>
      </c>
      <c r="D4710" t="s">
        <v>3516</v>
      </c>
      <c r="E4710">
        <v>5</v>
      </c>
      <c r="F4710" t="s">
        <v>3526</v>
      </c>
      <c r="G4710" t="s">
        <v>3518</v>
      </c>
      <c r="H4710">
        <v>2.5</v>
      </c>
      <c r="I4710">
        <v>27.9</v>
      </c>
      <c r="J4710">
        <v>139.5</v>
      </c>
    </row>
    <row r="4711" spans="1:10" x14ac:dyDescent="0.25">
      <c r="A4711" t="s">
        <v>7236</v>
      </c>
      <c r="B4711" s="3">
        <v>44061</v>
      </c>
      <c r="C4711" t="s">
        <v>3372</v>
      </c>
      <c r="D4711" t="s">
        <v>3482</v>
      </c>
      <c r="E4711">
        <v>4</v>
      </c>
      <c r="F4711" t="s">
        <v>3524</v>
      </c>
      <c r="G4711" t="s">
        <v>3519</v>
      </c>
      <c r="H4711">
        <v>2.5</v>
      </c>
      <c r="I4711">
        <v>22.9</v>
      </c>
      <c r="J4711">
        <v>91.6</v>
      </c>
    </row>
    <row r="4712" spans="1:10" x14ac:dyDescent="0.25">
      <c r="A4712" t="s">
        <v>7237</v>
      </c>
      <c r="B4712" s="3">
        <v>45288</v>
      </c>
      <c r="C4712" t="s">
        <v>1211</v>
      </c>
      <c r="D4712" t="s">
        <v>3515</v>
      </c>
      <c r="E4712">
        <v>6</v>
      </c>
      <c r="F4712" t="s">
        <v>3526</v>
      </c>
      <c r="G4712" t="s">
        <v>3517</v>
      </c>
      <c r="H4712">
        <v>0.2</v>
      </c>
      <c r="I4712">
        <v>4.5</v>
      </c>
      <c r="J4712">
        <v>27</v>
      </c>
    </row>
    <row r="4713" spans="1:10" x14ac:dyDescent="0.25">
      <c r="A4713" t="s">
        <v>7238</v>
      </c>
      <c r="B4713" s="3">
        <v>44630</v>
      </c>
      <c r="C4713" t="s">
        <v>707</v>
      </c>
      <c r="D4713" t="s">
        <v>3495</v>
      </c>
      <c r="E4713">
        <v>3</v>
      </c>
      <c r="F4713" t="s">
        <v>3525</v>
      </c>
      <c r="G4713" t="s">
        <v>3517</v>
      </c>
      <c r="H4713">
        <v>2.5</v>
      </c>
      <c r="I4713">
        <v>36.5</v>
      </c>
      <c r="J4713">
        <v>109.5</v>
      </c>
    </row>
    <row r="4714" spans="1:10" x14ac:dyDescent="0.25">
      <c r="A4714" t="s">
        <v>7239</v>
      </c>
      <c r="B4714" s="3">
        <v>45009</v>
      </c>
      <c r="C4714" t="s">
        <v>3411</v>
      </c>
      <c r="D4714" t="s">
        <v>3479</v>
      </c>
      <c r="E4714">
        <v>5</v>
      </c>
      <c r="F4714" t="s">
        <v>3526</v>
      </c>
      <c r="G4714" t="s">
        <v>3517</v>
      </c>
      <c r="H4714">
        <v>2.5</v>
      </c>
      <c r="I4714">
        <v>34.200000000000003</v>
      </c>
      <c r="J4714">
        <v>171</v>
      </c>
    </row>
    <row r="4715" spans="1:10" x14ac:dyDescent="0.25">
      <c r="A4715" t="s">
        <v>7240</v>
      </c>
      <c r="B4715" s="3">
        <v>45654</v>
      </c>
      <c r="C4715" t="s">
        <v>2615</v>
      </c>
      <c r="D4715" t="s">
        <v>3510</v>
      </c>
      <c r="E4715">
        <v>4</v>
      </c>
      <c r="F4715" t="s">
        <v>3524</v>
      </c>
      <c r="G4715" t="s">
        <v>3517</v>
      </c>
      <c r="H4715">
        <v>1</v>
      </c>
      <c r="I4715">
        <v>12</v>
      </c>
      <c r="J4715">
        <v>48</v>
      </c>
    </row>
    <row r="4716" spans="1:10" x14ac:dyDescent="0.25">
      <c r="A4716" t="s">
        <v>7241</v>
      </c>
      <c r="B4716" s="3">
        <v>45003</v>
      </c>
      <c r="C4716" t="s">
        <v>3048</v>
      </c>
      <c r="D4716" t="s">
        <v>3492</v>
      </c>
      <c r="E4716">
        <v>1</v>
      </c>
      <c r="F4716" t="s">
        <v>3525</v>
      </c>
      <c r="G4716" t="s">
        <v>3517</v>
      </c>
      <c r="H4716">
        <v>0.5</v>
      </c>
      <c r="I4716">
        <v>9.5</v>
      </c>
      <c r="J4716">
        <v>9.5</v>
      </c>
    </row>
    <row r="4717" spans="1:10" x14ac:dyDescent="0.25">
      <c r="A4717" t="s">
        <v>7242</v>
      </c>
      <c r="B4717" s="3">
        <v>44835</v>
      </c>
      <c r="C4717" t="s">
        <v>1848</v>
      </c>
      <c r="D4717" t="s">
        <v>3505</v>
      </c>
      <c r="E4717">
        <v>5</v>
      </c>
      <c r="F4717" t="s">
        <v>3524</v>
      </c>
      <c r="G4717" t="s">
        <v>3519</v>
      </c>
      <c r="H4717">
        <v>0.2</v>
      </c>
      <c r="I4717">
        <v>3</v>
      </c>
      <c r="J4717">
        <v>15</v>
      </c>
    </row>
    <row r="4718" spans="1:10" x14ac:dyDescent="0.25">
      <c r="A4718" t="s">
        <v>7243</v>
      </c>
      <c r="B4718" s="3">
        <v>45639</v>
      </c>
      <c r="C4718" t="s">
        <v>1160</v>
      </c>
      <c r="D4718" t="s">
        <v>3513</v>
      </c>
      <c r="E4718">
        <v>5</v>
      </c>
      <c r="F4718" t="s">
        <v>3523</v>
      </c>
      <c r="G4718" t="s">
        <v>3517</v>
      </c>
      <c r="H4718">
        <v>2.5</v>
      </c>
      <c r="I4718">
        <v>29.8</v>
      </c>
      <c r="J4718">
        <v>149</v>
      </c>
    </row>
    <row r="4719" spans="1:10" x14ac:dyDescent="0.25">
      <c r="A4719" t="s">
        <v>7244</v>
      </c>
      <c r="B4719" s="3">
        <v>45364</v>
      </c>
      <c r="C4719" t="s">
        <v>1452</v>
      </c>
      <c r="D4719" t="s">
        <v>3508</v>
      </c>
      <c r="E4719">
        <v>3</v>
      </c>
      <c r="F4719" t="s">
        <v>3524</v>
      </c>
      <c r="G4719" t="s">
        <v>3518</v>
      </c>
      <c r="H4719">
        <v>1</v>
      </c>
      <c r="I4719">
        <v>9</v>
      </c>
      <c r="J4719">
        <v>27</v>
      </c>
    </row>
    <row r="4720" spans="1:10" x14ac:dyDescent="0.25">
      <c r="A4720" t="s">
        <v>7245</v>
      </c>
      <c r="B4720" s="3">
        <v>44251</v>
      </c>
      <c r="C4720" t="s">
        <v>2143</v>
      </c>
      <c r="D4720" t="s">
        <v>3513</v>
      </c>
      <c r="E4720">
        <v>3</v>
      </c>
      <c r="F4720" t="s">
        <v>3523</v>
      </c>
      <c r="G4720" t="s">
        <v>3517</v>
      </c>
      <c r="H4720">
        <v>2.5</v>
      </c>
      <c r="I4720">
        <v>29.8</v>
      </c>
      <c r="J4720">
        <v>89.4</v>
      </c>
    </row>
    <row r="4721" spans="1:10" x14ac:dyDescent="0.25">
      <c r="A4721" t="s">
        <v>7246</v>
      </c>
      <c r="B4721" s="3">
        <v>44571</v>
      </c>
      <c r="C4721" t="s">
        <v>3411</v>
      </c>
      <c r="D4721" t="s">
        <v>3510</v>
      </c>
      <c r="E4721">
        <v>1</v>
      </c>
      <c r="F4721" t="s">
        <v>3524</v>
      </c>
      <c r="G4721" t="s">
        <v>3517</v>
      </c>
      <c r="H4721">
        <v>1</v>
      </c>
      <c r="I4721">
        <v>12</v>
      </c>
      <c r="J4721">
        <v>12</v>
      </c>
    </row>
    <row r="4722" spans="1:10" x14ac:dyDescent="0.25">
      <c r="A4722" t="s">
        <v>7247</v>
      </c>
      <c r="B4722" s="3">
        <v>45331</v>
      </c>
      <c r="C4722" t="s">
        <v>3157</v>
      </c>
      <c r="D4722" t="s">
        <v>3513</v>
      </c>
      <c r="E4722">
        <v>3</v>
      </c>
      <c r="F4722" t="s">
        <v>3523</v>
      </c>
      <c r="G4722" t="s">
        <v>3517</v>
      </c>
      <c r="H4722">
        <v>2.5</v>
      </c>
      <c r="I4722">
        <v>29.8</v>
      </c>
      <c r="J4722">
        <v>89.4</v>
      </c>
    </row>
    <row r="4723" spans="1:10" x14ac:dyDescent="0.25">
      <c r="A4723" t="s">
        <v>7248</v>
      </c>
      <c r="B4723" s="3">
        <v>44641</v>
      </c>
      <c r="C4723" t="s">
        <v>2675</v>
      </c>
      <c r="D4723" t="s">
        <v>3503</v>
      </c>
      <c r="E4723">
        <v>1</v>
      </c>
      <c r="F4723" t="s">
        <v>3524</v>
      </c>
      <c r="G4723" t="s">
        <v>3518</v>
      </c>
      <c r="H4723">
        <v>0.5</v>
      </c>
      <c r="I4723">
        <v>5.4</v>
      </c>
      <c r="J4723">
        <v>5.4</v>
      </c>
    </row>
    <row r="4724" spans="1:10" x14ac:dyDescent="0.25">
      <c r="A4724" t="s">
        <v>7249</v>
      </c>
      <c r="B4724" s="3">
        <v>45005</v>
      </c>
      <c r="C4724" t="s">
        <v>2687</v>
      </c>
      <c r="D4724" t="s">
        <v>3505</v>
      </c>
      <c r="E4724">
        <v>2</v>
      </c>
      <c r="F4724" t="s">
        <v>3524</v>
      </c>
      <c r="G4724" t="s">
        <v>3519</v>
      </c>
      <c r="H4724">
        <v>0.2</v>
      </c>
      <c r="I4724">
        <v>3</v>
      </c>
      <c r="J4724">
        <v>6</v>
      </c>
    </row>
    <row r="4725" spans="1:10" x14ac:dyDescent="0.25">
      <c r="A4725" t="s">
        <v>7250</v>
      </c>
      <c r="B4725" s="3">
        <v>45587</v>
      </c>
      <c r="C4725" t="s">
        <v>2754</v>
      </c>
      <c r="D4725" t="s">
        <v>3502</v>
      </c>
      <c r="E4725">
        <v>5</v>
      </c>
      <c r="F4725" t="s">
        <v>3526</v>
      </c>
      <c r="G4725" t="s">
        <v>3517</v>
      </c>
      <c r="H4725">
        <v>1</v>
      </c>
      <c r="I4725">
        <v>14.9</v>
      </c>
      <c r="J4725">
        <v>74.5</v>
      </c>
    </row>
    <row r="4726" spans="1:10" x14ac:dyDescent="0.25">
      <c r="A4726" t="s">
        <v>7251</v>
      </c>
      <c r="B4726" s="3">
        <v>45634</v>
      </c>
      <c r="C4726" t="s">
        <v>3279</v>
      </c>
      <c r="D4726" t="s">
        <v>3498</v>
      </c>
      <c r="E4726">
        <v>5</v>
      </c>
      <c r="F4726" t="s">
        <v>3523</v>
      </c>
      <c r="G4726" t="s">
        <v>3517</v>
      </c>
      <c r="H4726">
        <v>0.2</v>
      </c>
      <c r="I4726">
        <v>3.9</v>
      </c>
      <c r="J4726">
        <v>19.5</v>
      </c>
    </row>
    <row r="4727" spans="1:10" x14ac:dyDescent="0.25">
      <c r="A4727" t="s">
        <v>7252</v>
      </c>
      <c r="B4727" s="3">
        <v>44864</v>
      </c>
      <c r="C4727" t="s">
        <v>670</v>
      </c>
      <c r="D4727" t="s">
        <v>3489</v>
      </c>
      <c r="E4727">
        <v>3</v>
      </c>
      <c r="F4727" t="s">
        <v>3523</v>
      </c>
      <c r="G4727" t="s">
        <v>3518</v>
      </c>
      <c r="H4727">
        <v>0.5</v>
      </c>
      <c r="I4727">
        <v>6</v>
      </c>
      <c r="J4727">
        <v>18</v>
      </c>
    </row>
    <row r="4728" spans="1:10" x14ac:dyDescent="0.25">
      <c r="A4728" t="s">
        <v>7253</v>
      </c>
      <c r="B4728" s="3">
        <v>45569</v>
      </c>
      <c r="C4728" t="s">
        <v>1585</v>
      </c>
      <c r="D4728" t="s">
        <v>3515</v>
      </c>
      <c r="E4728">
        <v>3</v>
      </c>
      <c r="F4728" t="s">
        <v>3526</v>
      </c>
      <c r="G4728" t="s">
        <v>3517</v>
      </c>
      <c r="H4728">
        <v>0.2</v>
      </c>
      <c r="I4728">
        <v>4.5</v>
      </c>
      <c r="J4728">
        <v>13.5</v>
      </c>
    </row>
    <row r="4729" spans="1:10" x14ac:dyDescent="0.25">
      <c r="A4729" t="s">
        <v>7254</v>
      </c>
      <c r="B4729" s="3">
        <v>45385</v>
      </c>
      <c r="C4729" t="s">
        <v>2263</v>
      </c>
      <c r="D4729" t="s">
        <v>3493</v>
      </c>
      <c r="E4729">
        <v>5</v>
      </c>
      <c r="F4729" t="s">
        <v>3525</v>
      </c>
      <c r="G4729" t="s">
        <v>3519</v>
      </c>
      <c r="H4729">
        <v>1</v>
      </c>
      <c r="I4729">
        <v>14.6</v>
      </c>
      <c r="J4729">
        <v>73</v>
      </c>
    </row>
    <row r="4730" spans="1:10" x14ac:dyDescent="0.25">
      <c r="A4730" t="s">
        <v>7255</v>
      </c>
      <c r="B4730" s="3">
        <v>44699</v>
      </c>
      <c r="C4730" t="s">
        <v>3030</v>
      </c>
      <c r="D4730" t="s">
        <v>3471</v>
      </c>
      <c r="E4730">
        <v>6</v>
      </c>
      <c r="F4730" t="s">
        <v>3523</v>
      </c>
      <c r="G4730" t="s">
        <v>3517</v>
      </c>
      <c r="H4730">
        <v>1</v>
      </c>
      <c r="I4730">
        <v>13</v>
      </c>
      <c r="J4730">
        <v>78</v>
      </c>
    </row>
    <row r="4731" spans="1:10" x14ac:dyDescent="0.25">
      <c r="A4731" t="s">
        <v>7256</v>
      </c>
      <c r="B4731" s="3">
        <v>45490</v>
      </c>
      <c r="C4731" t="s">
        <v>2696</v>
      </c>
      <c r="D4731" t="s">
        <v>3481</v>
      </c>
      <c r="E4731">
        <v>1</v>
      </c>
      <c r="F4731" t="s">
        <v>3525</v>
      </c>
      <c r="G4731" t="s">
        <v>3518</v>
      </c>
      <c r="H4731">
        <v>0.2</v>
      </c>
      <c r="I4731">
        <v>3.9</v>
      </c>
      <c r="J4731">
        <v>3.9</v>
      </c>
    </row>
    <row r="4732" spans="1:10" x14ac:dyDescent="0.25">
      <c r="A4732" t="s">
        <v>7257</v>
      </c>
      <c r="B4732" s="3">
        <v>45029</v>
      </c>
      <c r="C4732" t="s">
        <v>1217</v>
      </c>
      <c r="D4732" t="s">
        <v>3511</v>
      </c>
      <c r="E4732">
        <v>4</v>
      </c>
      <c r="F4732" t="s">
        <v>3523</v>
      </c>
      <c r="G4732" t="s">
        <v>3517</v>
      </c>
      <c r="H4732">
        <v>0.5</v>
      </c>
      <c r="I4732">
        <v>7.8</v>
      </c>
      <c r="J4732">
        <v>31.2</v>
      </c>
    </row>
    <row r="4733" spans="1:10" x14ac:dyDescent="0.25">
      <c r="A4733" t="s">
        <v>7258</v>
      </c>
      <c r="B4733" s="3">
        <v>45483</v>
      </c>
      <c r="C4733" t="s">
        <v>623</v>
      </c>
      <c r="D4733" t="s">
        <v>3493</v>
      </c>
      <c r="E4733">
        <v>3</v>
      </c>
      <c r="F4733" t="s">
        <v>3525</v>
      </c>
      <c r="G4733" t="s">
        <v>3519</v>
      </c>
      <c r="H4733">
        <v>1</v>
      </c>
      <c r="I4733">
        <v>14.6</v>
      </c>
      <c r="J4733">
        <v>43.8</v>
      </c>
    </row>
    <row r="4734" spans="1:10" x14ac:dyDescent="0.25">
      <c r="A4734" t="s">
        <v>7259</v>
      </c>
      <c r="B4734" s="3">
        <v>45228</v>
      </c>
      <c r="C4734" t="s">
        <v>2663</v>
      </c>
      <c r="D4734" t="s">
        <v>3479</v>
      </c>
      <c r="E4734">
        <v>4</v>
      </c>
      <c r="F4734" t="s">
        <v>3526</v>
      </c>
      <c r="G4734" t="s">
        <v>3517</v>
      </c>
      <c r="H4734">
        <v>2.5</v>
      </c>
      <c r="I4734">
        <v>34.200000000000003</v>
      </c>
      <c r="J4734">
        <v>136.80000000000001</v>
      </c>
    </row>
    <row r="4735" spans="1:10" x14ac:dyDescent="0.25">
      <c r="A4735" t="s">
        <v>7260</v>
      </c>
      <c r="B4735" s="3">
        <v>45168</v>
      </c>
      <c r="C4735" t="s">
        <v>2587</v>
      </c>
      <c r="D4735" t="s">
        <v>3502</v>
      </c>
      <c r="E4735">
        <v>5</v>
      </c>
      <c r="F4735" t="s">
        <v>3526</v>
      </c>
      <c r="G4735" t="s">
        <v>3517</v>
      </c>
      <c r="H4735">
        <v>1</v>
      </c>
      <c r="I4735">
        <v>14.9</v>
      </c>
      <c r="J4735">
        <v>74.5</v>
      </c>
    </row>
    <row r="4736" spans="1:10" x14ac:dyDescent="0.25">
      <c r="A4736" t="s">
        <v>7261</v>
      </c>
      <c r="B4736" s="3">
        <v>44856</v>
      </c>
      <c r="C4736" t="s">
        <v>1196</v>
      </c>
      <c r="D4736" t="s">
        <v>3475</v>
      </c>
      <c r="E4736">
        <v>2</v>
      </c>
      <c r="F4736" t="s">
        <v>3526</v>
      </c>
      <c r="G4736" t="s">
        <v>3518</v>
      </c>
      <c r="H4736">
        <v>0.5</v>
      </c>
      <c r="I4736">
        <v>7.3</v>
      </c>
      <c r="J4736">
        <v>14.6</v>
      </c>
    </row>
    <row r="4737" spans="1:10" x14ac:dyDescent="0.25">
      <c r="A4737" t="s">
        <v>7262</v>
      </c>
      <c r="B4737" s="3">
        <v>45216</v>
      </c>
      <c r="C4737" t="s">
        <v>860</v>
      </c>
      <c r="D4737" t="s">
        <v>3512</v>
      </c>
      <c r="E4737">
        <v>6</v>
      </c>
      <c r="F4737" t="s">
        <v>3525</v>
      </c>
      <c r="G4737" t="s">
        <v>3519</v>
      </c>
      <c r="H4737">
        <v>2.5</v>
      </c>
      <c r="I4737">
        <v>33.5</v>
      </c>
      <c r="J4737">
        <v>201</v>
      </c>
    </row>
    <row r="4738" spans="1:10" x14ac:dyDescent="0.25">
      <c r="A4738" t="s">
        <v>7263</v>
      </c>
      <c r="B4738" s="3">
        <v>44598</v>
      </c>
      <c r="C4738" t="s">
        <v>1663</v>
      </c>
      <c r="D4738" t="s">
        <v>3499</v>
      </c>
      <c r="E4738">
        <v>1</v>
      </c>
      <c r="F4738" t="s">
        <v>3523</v>
      </c>
      <c r="G4738" t="s">
        <v>3518</v>
      </c>
      <c r="H4738">
        <v>2.5</v>
      </c>
      <c r="I4738">
        <v>22.9</v>
      </c>
      <c r="J4738">
        <v>22.9</v>
      </c>
    </row>
    <row r="4739" spans="1:10" x14ac:dyDescent="0.25">
      <c r="A4739" t="s">
        <v>7264</v>
      </c>
      <c r="B4739" s="3">
        <v>43748</v>
      </c>
      <c r="C4739" t="s">
        <v>1360</v>
      </c>
      <c r="D4739" t="s">
        <v>3513</v>
      </c>
      <c r="E4739">
        <v>5</v>
      </c>
      <c r="F4739" t="s">
        <v>3523</v>
      </c>
      <c r="G4739" t="s">
        <v>3517</v>
      </c>
      <c r="H4739">
        <v>2.5</v>
      </c>
      <c r="I4739">
        <v>29.8</v>
      </c>
      <c r="J4739">
        <v>149</v>
      </c>
    </row>
    <row r="4740" spans="1:10" x14ac:dyDescent="0.25">
      <c r="A4740" t="s">
        <v>7265</v>
      </c>
      <c r="B4740" s="3">
        <v>43673</v>
      </c>
      <c r="C4740" t="s">
        <v>2453</v>
      </c>
      <c r="D4740" t="s">
        <v>3473</v>
      </c>
      <c r="E4740">
        <v>4</v>
      </c>
      <c r="F4740" t="s">
        <v>3524</v>
      </c>
      <c r="G4740" t="s">
        <v>3517</v>
      </c>
      <c r="H4740">
        <v>2.5</v>
      </c>
      <c r="I4740">
        <v>27.5</v>
      </c>
      <c r="J4740">
        <v>110</v>
      </c>
    </row>
    <row r="4741" spans="1:10" x14ac:dyDescent="0.25">
      <c r="A4741" t="s">
        <v>7266</v>
      </c>
      <c r="B4741" s="3">
        <v>44865</v>
      </c>
      <c r="C4741" t="s">
        <v>2816</v>
      </c>
      <c r="D4741" t="s">
        <v>3502</v>
      </c>
      <c r="E4741">
        <v>3</v>
      </c>
      <c r="F4741" t="s">
        <v>3526</v>
      </c>
      <c r="G4741" t="s">
        <v>3517</v>
      </c>
      <c r="H4741">
        <v>1</v>
      </c>
      <c r="I4741">
        <v>14.9</v>
      </c>
      <c r="J4741">
        <v>44.7</v>
      </c>
    </row>
    <row r="4742" spans="1:10" x14ac:dyDescent="0.25">
      <c r="A4742" t="s">
        <v>7267</v>
      </c>
      <c r="B4742" s="3">
        <v>45362</v>
      </c>
      <c r="C4742" t="s">
        <v>3027</v>
      </c>
      <c r="D4742" t="s">
        <v>3475</v>
      </c>
      <c r="E4742">
        <v>4</v>
      </c>
      <c r="F4742" t="s">
        <v>3526</v>
      </c>
      <c r="G4742" t="s">
        <v>3518</v>
      </c>
      <c r="H4742">
        <v>0.5</v>
      </c>
      <c r="I4742">
        <v>7.3</v>
      </c>
      <c r="J4742">
        <v>29.2</v>
      </c>
    </row>
    <row r="4743" spans="1:10" x14ac:dyDescent="0.25">
      <c r="A4743" t="s">
        <v>7268</v>
      </c>
      <c r="B4743" s="3">
        <v>43635</v>
      </c>
      <c r="C4743" t="s">
        <v>1634</v>
      </c>
      <c r="D4743" t="s">
        <v>3478</v>
      </c>
      <c r="E4743">
        <v>2</v>
      </c>
      <c r="F4743" t="s">
        <v>3523</v>
      </c>
      <c r="G4743" t="s">
        <v>3518</v>
      </c>
      <c r="H4743">
        <v>1</v>
      </c>
      <c r="I4743">
        <v>10</v>
      </c>
      <c r="J4743">
        <v>20</v>
      </c>
    </row>
    <row r="4744" spans="1:10" x14ac:dyDescent="0.25">
      <c r="A4744" t="s">
        <v>7269</v>
      </c>
      <c r="B4744" s="3">
        <v>45126</v>
      </c>
      <c r="C4744" t="s">
        <v>2074</v>
      </c>
      <c r="D4744" t="s">
        <v>3514</v>
      </c>
      <c r="E4744">
        <v>6</v>
      </c>
      <c r="F4744" t="s">
        <v>3526</v>
      </c>
      <c r="G4744" t="s">
        <v>3518</v>
      </c>
      <c r="H4744">
        <v>1</v>
      </c>
      <c r="I4744">
        <v>12.2</v>
      </c>
      <c r="J4744">
        <v>73.2</v>
      </c>
    </row>
    <row r="4745" spans="1:10" x14ac:dyDescent="0.25">
      <c r="A4745" t="s">
        <v>7270</v>
      </c>
      <c r="B4745" s="3">
        <v>43872</v>
      </c>
      <c r="C4745" t="s">
        <v>604</v>
      </c>
      <c r="D4745" t="s">
        <v>3515</v>
      </c>
      <c r="E4745">
        <v>1</v>
      </c>
      <c r="F4745" t="s">
        <v>3526</v>
      </c>
      <c r="G4745" t="s">
        <v>3517</v>
      </c>
      <c r="H4745">
        <v>0.2</v>
      </c>
      <c r="I4745">
        <v>4.5</v>
      </c>
      <c r="J4745">
        <v>4.5</v>
      </c>
    </row>
    <row r="4746" spans="1:10" x14ac:dyDescent="0.25">
      <c r="A4746" t="s">
        <v>7271</v>
      </c>
      <c r="B4746" s="3">
        <v>44775</v>
      </c>
      <c r="C4746" t="s">
        <v>3438</v>
      </c>
      <c r="D4746" t="s">
        <v>3477</v>
      </c>
      <c r="E4746">
        <v>2</v>
      </c>
      <c r="F4746" t="s">
        <v>3524</v>
      </c>
      <c r="G4746" t="s">
        <v>3519</v>
      </c>
      <c r="H4746">
        <v>0.5</v>
      </c>
      <c r="I4746">
        <v>6</v>
      </c>
      <c r="J4746">
        <v>12</v>
      </c>
    </row>
    <row r="4747" spans="1:10" x14ac:dyDescent="0.25">
      <c r="A4747" t="s">
        <v>7272</v>
      </c>
      <c r="B4747" s="3">
        <v>45196</v>
      </c>
      <c r="C4747" t="s">
        <v>688</v>
      </c>
      <c r="D4747" t="s">
        <v>3514</v>
      </c>
      <c r="E4747">
        <v>5</v>
      </c>
      <c r="F4747" t="s">
        <v>3526</v>
      </c>
      <c r="G4747" t="s">
        <v>3518</v>
      </c>
      <c r="H4747">
        <v>1</v>
      </c>
      <c r="I4747">
        <v>12.2</v>
      </c>
      <c r="J4747">
        <v>61</v>
      </c>
    </row>
    <row r="4748" spans="1:10" x14ac:dyDescent="0.25">
      <c r="A4748" t="s">
        <v>7273</v>
      </c>
      <c r="B4748" s="3">
        <v>44564</v>
      </c>
      <c r="C4748" t="s">
        <v>2542</v>
      </c>
      <c r="D4748" t="s">
        <v>3483</v>
      </c>
      <c r="E4748">
        <v>3</v>
      </c>
      <c r="F4748" t="s">
        <v>3523</v>
      </c>
      <c r="G4748" t="s">
        <v>3519</v>
      </c>
      <c r="H4748">
        <v>0.2</v>
      </c>
      <c r="I4748">
        <v>3.4</v>
      </c>
      <c r="J4748">
        <v>10.199999999999999</v>
      </c>
    </row>
    <row r="4749" spans="1:10" x14ac:dyDescent="0.25">
      <c r="A4749" t="s">
        <v>7274</v>
      </c>
      <c r="B4749" s="3">
        <v>45651</v>
      </c>
      <c r="C4749" t="s">
        <v>1582</v>
      </c>
      <c r="D4749" t="s">
        <v>3485</v>
      </c>
      <c r="E4749">
        <v>2</v>
      </c>
      <c r="F4749" t="s">
        <v>3523</v>
      </c>
      <c r="G4749" t="s">
        <v>3518</v>
      </c>
      <c r="H4749">
        <v>0.2</v>
      </c>
      <c r="I4749">
        <v>3</v>
      </c>
      <c r="J4749">
        <v>6</v>
      </c>
    </row>
    <row r="4750" spans="1:10" x14ac:dyDescent="0.25">
      <c r="A4750" t="s">
        <v>7275</v>
      </c>
      <c r="B4750" s="3">
        <v>45099</v>
      </c>
      <c r="C4750" t="s">
        <v>1485</v>
      </c>
      <c r="D4750" t="s">
        <v>3479</v>
      </c>
      <c r="E4750">
        <v>4</v>
      </c>
      <c r="F4750" t="s">
        <v>3526</v>
      </c>
      <c r="G4750" t="s">
        <v>3517</v>
      </c>
      <c r="H4750">
        <v>2.5</v>
      </c>
      <c r="I4750">
        <v>34.200000000000003</v>
      </c>
      <c r="J4750">
        <v>136.80000000000001</v>
      </c>
    </row>
    <row r="4751" spans="1:10" x14ac:dyDescent="0.25">
      <c r="A4751" t="s">
        <v>7276</v>
      </c>
      <c r="B4751" s="3">
        <v>43773</v>
      </c>
      <c r="C4751" t="s">
        <v>2378</v>
      </c>
      <c r="D4751" t="s">
        <v>3514</v>
      </c>
      <c r="E4751">
        <v>2</v>
      </c>
      <c r="F4751" t="s">
        <v>3526</v>
      </c>
      <c r="G4751" t="s">
        <v>3518</v>
      </c>
      <c r="H4751">
        <v>1</v>
      </c>
      <c r="I4751">
        <v>12.2</v>
      </c>
      <c r="J4751">
        <v>24.4</v>
      </c>
    </row>
    <row r="4752" spans="1:10" x14ac:dyDescent="0.25">
      <c r="A4752" t="s">
        <v>7277</v>
      </c>
      <c r="B4752" s="3">
        <v>44977</v>
      </c>
      <c r="C4752" t="s">
        <v>1809</v>
      </c>
      <c r="D4752" t="s">
        <v>3471</v>
      </c>
      <c r="E4752">
        <v>3</v>
      </c>
      <c r="F4752" t="s">
        <v>3523</v>
      </c>
      <c r="G4752" t="s">
        <v>3517</v>
      </c>
      <c r="H4752">
        <v>1</v>
      </c>
      <c r="I4752">
        <v>13</v>
      </c>
      <c r="J4752">
        <v>39</v>
      </c>
    </row>
    <row r="4753" spans="1:10" x14ac:dyDescent="0.25">
      <c r="A4753" t="s">
        <v>7278</v>
      </c>
      <c r="B4753" s="3">
        <v>45114</v>
      </c>
      <c r="C4753" t="s">
        <v>2435</v>
      </c>
      <c r="D4753" t="s">
        <v>3484</v>
      </c>
      <c r="E4753">
        <v>2</v>
      </c>
      <c r="F4753" t="s">
        <v>3526</v>
      </c>
      <c r="G4753" t="s">
        <v>3518</v>
      </c>
      <c r="H4753">
        <v>0.2</v>
      </c>
      <c r="I4753">
        <v>3.6</v>
      </c>
      <c r="J4753">
        <v>7.2</v>
      </c>
    </row>
    <row r="4754" spans="1:10" x14ac:dyDescent="0.25">
      <c r="A4754" t="s">
        <v>7279</v>
      </c>
      <c r="B4754" s="3">
        <v>45217</v>
      </c>
      <c r="C4754" t="s">
        <v>2080</v>
      </c>
      <c r="D4754" t="s">
        <v>3476</v>
      </c>
      <c r="E4754">
        <v>3</v>
      </c>
      <c r="F4754" t="s">
        <v>3525</v>
      </c>
      <c r="G4754" t="s">
        <v>3517</v>
      </c>
      <c r="H4754">
        <v>0.2</v>
      </c>
      <c r="I4754">
        <v>4.8</v>
      </c>
      <c r="J4754">
        <v>14.4</v>
      </c>
    </row>
    <row r="4755" spans="1:10" x14ac:dyDescent="0.25">
      <c r="A4755" t="s">
        <v>7280</v>
      </c>
      <c r="B4755" s="3">
        <v>45612</v>
      </c>
      <c r="C4755" t="s">
        <v>1809</v>
      </c>
      <c r="D4755" t="s">
        <v>3509</v>
      </c>
      <c r="E4755">
        <v>2</v>
      </c>
      <c r="F4755" t="s">
        <v>3524</v>
      </c>
      <c r="G4755" t="s">
        <v>3517</v>
      </c>
      <c r="H4755">
        <v>0.2</v>
      </c>
      <c r="I4755">
        <v>3.6</v>
      </c>
      <c r="J4755">
        <v>7.2</v>
      </c>
    </row>
    <row r="4756" spans="1:10" x14ac:dyDescent="0.25">
      <c r="A4756" t="s">
        <v>7281</v>
      </c>
      <c r="B4756" s="3">
        <v>45559</v>
      </c>
      <c r="C4756" t="s">
        <v>2822</v>
      </c>
      <c r="D4756" t="s">
        <v>3504</v>
      </c>
      <c r="E4756">
        <v>2</v>
      </c>
      <c r="F4756" t="s">
        <v>3524</v>
      </c>
      <c r="G4756" t="s">
        <v>3517</v>
      </c>
      <c r="H4756">
        <v>0.5</v>
      </c>
      <c r="I4756">
        <v>7.2</v>
      </c>
      <c r="J4756">
        <v>14.4</v>
      </c>
    </row>
    <row r="4757" spans="1:10" x14ac:dyDescent="0.25">
      <c r="A4757" t="s">
        <v>7282</v>
      </c>
      <c r="B4757" s="3">
        <v>45328</v>
      </c>
      <c r="C4757" t="s">
        <v>3414</v>
      </c>
      <c r="D4757" t="s">
        <v>3480</v>
      </c>
      <c r="E4757">
        <v>5</v>
      </c>
      <c r="F4757" t="s">
        <v>3524</v>
      </c>
      <c r="G4757" t="s">
        <v>3518</v>
      </c>
      <c r="H4757">
        <v>2.5</v>
      </c>
      <c r="I4757">
        <v>20.6</v>
      </c>
      <c r="J4757">
        <v>103</v>
      </c>
    </row>
    <row r="4758" spans="1:10" x14ac:dyDescent="0.25">
      <c r="A4758" t="s">
        <v>7283</v>
      </c>
      <c r="B4758" s="3">
        <v>43674</v>
      </c>
      <c r="C4758" t="s">
        <v>841</v>
      </c>
      <c r="D4758" t="s">
        <v>3513</v>
      </c>
      <c r="E4758">
        <v>6</v>
      </c>
      <c r="F4758" t="s">
        <v>3523</v>
      </c>
      <c r="G4758" t="s">
        <v>3517</v>
      </c>
      <c r="H4758">
        <v>2.5</v>
      </c>
      <c r="I4758">
        <v>29.8</v>
      </c>
      <c r="J4758">
        <v>178.8</v>
      </c>
    </row>
    <row r="4759" spans="1:10" x14ac:dyDescent="0.25">
      <c r="A4759" t="s">
        <v>7284</v>
      </c>
      <c r="B4759" s="3">
        <v>44547</v>
      </c>
      <c r="C4759" t="s">
        <v>1402</v>
      </c>
      <c r="D4759" t="s">
        <v>3512</v>
      </c>
      <c r="E4759">
        <v>2</v>
      </c>
      <c r="F4759" t="s">
        <v>3525</v>
      </c>
      <c r="G4759" t="s">
        <v>3519</v>
      </c>
      <c r="H4759">
        <v>2.5</v>
      </c>
      <c r="I4759">
        <v>33.5</v>
      </c>
      <c r="J4759">
        <v>67</v>
      </c>
    </row>
    <row r="4760" spans="1:10" x14ac:dyDescent="0.25">
      <c r="A4760" t="s">
        <v>7285</v>
      </c>
      <c r="B4760" s="3">
        <v>43890</v>
      </c>
      <c r="C4760" t="s">
        <v>1893</v>
      </c>
      <c r="D4760" t="s">
        <v>3479</v>
      </c>
      <c r="E4760">
        <v>5</v>
      </c>
      <c r="F4760" t="s">
        <v>3526</v>
      </c>
      <c r="G4760" t="s">
        <v>3517</v>
      </c>
      <c r="H4760">
        <v>2.5</v>
      </c>
      <c r="I4760">
        <v>34.200000000000003</v>
      </c>
      <c r="J4760">
        <v>171</v>
      </c>
    </row>
    <row r="4761" spans="1:10" x14ac:dyDescent="0.25">
      <c r="A4761" t="s">
        <v>7286</v>
      </c>
      <c r="B4761" s="3">
        <v>43869</v>
      </c>
      <c r="C4761" t="s">
        <v>2353</v>
      </c>
      <c r="D4761" t="s">
        <v>3498</v>
      </c>
      <c r="E4761">
        <v>6</v>
      </c>
      <c r="F4761" t="s">
        <v>3523</v>
      </c>
      <c r="G4761" t="s">
        <v>3517</v>
      </c>
      <c r="H4761">
        <v>0.2</v>
      </c>
      <c r="I4761">
        <v>3.9</v>
      </c>
      <c r="J4761">
        <v>23.4</v>
      </c>
    </row>
    <row r="4762" spans="1:10" x14ac:dyDescent="0.25">
      <c r="A4762" t="s">
        <v>7287</v>
      </c>
      <c r="B4762" s="3">
        <v>45082</v>
      </c>
      <c r="C4762" t="s">
        <v>2491</v>
      </c>
      <c r="D4762" t="s">
        <v>3478</v>
      </c>
      <c r="E4762">
        <v>3</v>
      </c>
      <c r="F4762" t="s">
        <v>3523</v>
      </c>
      <c r="G4762" t="s">
        <v>3518</v>
      </c>
      <c r="H4762">
        <v>1</v>
      </c>
      <c r="I4762">
        <v>10</v>
      </c>
      <c r="J4762">
        <v>30</v>
      </c>
    </row>
    <row r="4763" spans="1:10" x14ac:dyDescent="0.25">
      <c r="A4763" t="s">
        <v>7288</v>
      </c>
      <c r="B4763" s="3">
        <v>45525</v>
      </c>
      <c r="C4763" t="s">
        <v>538</v>
      </c>
      <c r="D4763" t="s">
        <v>3489</v>
      </c>
      <c r="E4763">
        <v>2</v>
      </c>
      <c r="F4763" t="s">
        <v>3523</v>
      </c>
      <c r="G4763" t="s">
        <v>3518</v>
      </c>
      <c r="H4763">
        <v>0.5</v>
      </c>
      <c r="I4763">
        <v>6</v>
      </c>
      <c r="J4763">
        <v>12</v>
      </c>
    </row>
    <row r="4764" spans="1:10" x14ac:dyDescent="0.25">
      <c r="A4764" t="s">
        <v>7289</v>
      </c>
      <c r="B4764" s="3">
        <v>44148</v>
      </c>
      <c r="C4764" t="s">
        <v>1464</v>
      </c>
      <c r="D4764" t="s">
        <v>3475</v>
      </c>
      <c r="E4764">
        <v>4</v>
      </c>
      <c r="F4764" t="s">
        <v>3526</v>
      </c>
      <c r="G4764" t="s">
        <v>3518</v>
      </c>
      <c r="H4764">
        <v>0.5</v>
      </c>
      <c r="I4764">
        <v>7.3</v>
      </c>
      <c r="J4764">
        <v>29.2</v>
      </c>
    </row>
    <row r="4765" spans="1:10" x14ac:dyDescent="0.25">
      <c r="A4765" t="s">
        <v>7290</v>
      </c>
      <c r="B4765" s="3">
        <v>44254</v>
      </c>
      <c r="C4765" t="s">
        <v>2021</v>
      </c>
      <c r="D4765" t="s">
        <v>3503</v>
      </c>
      <c r="E4765">
        <v>1</v>
      </c>
      <c r="F4765" t="s">
        <v>3524</v>
      </c>
      <c r="G4765" t="s">
        <v>3518</v>
      </c>
      <c r="H4765">
        <v>0.5</v>
      </c>
      <c r="I4765">
        <v>5.4</v>
      </c>
      <c r="J4765">
        <v>5.4</v>
      </c>
    </row>
    <row r="4766" spans="1:10" x14ac:dyDescent="0.25">
      <c r="A4766" t="s">
        <v>7291</v>
      </c>
      <c r="B4766" s="3">
        <v>45384</v>
      </c>
      <c r="C4766" t="s">
        <v>1166</v>
      </c>
      <c r="D4766" t="s">
        <v>3509</v>
      </c>
      <c r="E4766">
        <v>6</v>
      </c>
      <c r="F4766" t="s">
        <v>3524</v>
      </c>
      <c r="G4766" t="s">
        <v>3517</v>
      </c>
      <c r="H4766">
        <v>0.2</v>
      </c>
      <c r="I4766">
        <v>3.6</v>
      </c>
      <c r="J4766">
        <v>21.6</v>
      </c>
    </row>
    <row r="4767" spans="1:10" x14ac:dyDescent="0.25">
      <c r="A4767" t="s">
        <v>7292</v>
      </c>
      <c r="B4767" s="3">
        <v>44635</v>
      </c>
      <c r="C4767" t="s">
        <v>2494</v>
      </c>
      <c r="D4767" t="s">
        <v>3487</v>
      </c>
      <c r="E4767">
        <v>1</v>
      </c>
      <c r="F4767" t="s">
        <v>3526</v>
      </c>
      <c r="G4767" t="s">
        <v>3519</v>
      </c>
      <c r="H4767">
        <v>0.2</v>
      </c>
      <c r="I4767">
        <v>4.0999999999999996</v>
      </c>
      <c r="J4767">
        <v>4.0999999999999996</v>
      </c>
    </row>
    <row r="4768" spans="1:10" x14ac:dyDescent="0.25">
      <c r="A4768" t="s">
        <v>7293</v>
      </c>
      <c r="B4768" s="3">
        <v>45500</v>
      </c>
      <c r="C4768" t="s">
        <v>2536</v>
      </c>
      <c r="D4768" t="s">
        <v>3478</v>
      </c>
      <c r="E4768">
        <v>3</v>
      </c>
      <c r="F4768" t="s">
        <v>3523</v>
      </c>
      <c r="G4768" t="s">
        <v>3518</v>
      </c>
      <c r="H4768">
        <v>1</v>
      </c>
      <c r="I4768">
        <v>10</v>
      </c>
      <c r="J4768">
        <v>30</v>
      </c>
    </row>
    <row r="4769" spans="1:10" x14ac:dyDescent="0.25">
      <c r="A4769" t="s">
        <v>7294</v>
      </c>
      <c r="B4769" s="3">
        <v>43801</v>
      </c>
      <c r="C4769" t="s">
        <v>1588</v>
      </c>
      <c r="D4769" t="s">
        <v>3507</v>
      </c>
      <c r="E4769">
        <v>5</v>
      </c>
      <c r="F4769" t="s">
        <v>3526</v>
      </c>
      <c r="G4769" t="s">
        <v>3517</v>
      </c>
      <c r="H4769">
        <v>0.5</v>
      </c>
      <c r="I4769">
        <v>8.9</v>
      </c>
      <c r="J4769">
        <v>44.5</v>
      </c>
    </row>
    <row r="4770" spans="1:10" x14ac:dyDescent="0.25">
      <c r="A4770" t="s">
        <v>7295</v>
      </c>
      <c r="B4770" s="3">
        <v>44637</v>
      </c>
      <c r="C4770" t="s">
        <v>3396</v>
      </c>
      <c r="D4770" t="s">
        <v>3514</v>
      </c>
      <c r="E4770">
        <v>6</v>
      </c>
      <c r="F4770" t="s">
        <v>3526</v>
      </c>
      <c r="G4770" t="s">
        <v>3518</v>
      </c>
      <c r="H4770">
        <v>1</v>
      </c>
      <c r="I4770">
        <v>12.2</v>
      </c>
      <c r="J4770">
        <v>73.2</v>
      </c>
    </row>
    <row r="4771" spans="1:10" x14ac:dyDescent="0.25">
      <c r="A4771" t="s">
        <v>7296</v>
      </c>
      <c r="B4771" s="3">
        <v>45493</v>
      </c>
      <c r="C4771" t="s">
        <v>707</v>
      </c>
      <c r="D4771" t="s">
        <v>3511</v>
      </c>
      <c r="E4771">
        <v>2</v>
      </c>
      <c r="F4771" t="s">
        <v>3523</v>
      </c>
      <c r="G4771" t="s">
        <v>3517</v>
      </c>
      <c r="H4771">
        <v>0.5</v>
      </c>
      <c r="I4771">
        <v>7.8</v>
      </c>
      <c r="J4771">
        <v>15.6</v>
      </c>
    </row>
    <row r="4772" spans="1:10" x14ac:dyDescent="0.25">
      <c r="A4772" t="s">
        <v>7297</v>
      </c>
      <c r="B4772" s="3">
        <v>45393</v>
      </c>
      <c r="C4772" t="s">
        <v>2353</v>
      </c>
      <c r="D4772" t="s">
        <v>3504</v>
      </c>
      <c r="E4772">
        <v>1</v>
      </c>
      <c r="F4772" t="s">
        <v>3524</v>
      </c>
      <c r="G4772" t="s">
        <v>3517</v>
      </c>
      <c r="H4772">
        <v>0.5</v>
      </c>
      <c r="I4772">
        <v>7.2</v>
      </c>
      <c r="J4772">
        <v>7.2</v>
      </c>
    </row>
    <row r="4773" spans="1:10" x14ac:dyDescent="0.25">
      <c r="A4773" t="s">
        <v>7298</v>
      </c>
      <c r="B4773" s="3">
        <v>45343</v>
      </c>
      <c r="C4773" t="s">
        <v>1585</v>
      </c>
      <c r="D4773" t="s">
        <v>3507</v>
      </c>
      <c r="E4773">
        <v>1</v>
      </c>
      <c r="F4773" t="s">
        <v>3526</v>
      </c>
      <c r="G4773" t="s">
        <v>3517</v>
      </c>
      <c r="H4773">
        <v>0.5</v>
      </c>
      <c r="I4773">
        <v>8.9</v>
      </c>
      <c r="J4773">
        <v>8.9</v>
      </c>
    </row>
    <row r="4774" spans="1:10" x14ac:dyDescent="0.25">
      <c r="A4774" t="s">
        <v>7299</v>
      </c>
      <c r="B4774" s="3">
        <v>45018</v>
      </c>
      <c r="C4774" t="s">
        <v>1628</v>
      </c>
      <c r="D4774" t="s">
        <v>3513</v>
      </c>
      <c r="E4774">
        <v>3</v>
      </c>
      <c r="F4774" t="s">
        <v>3523</v>
      </c>
      <c r="G4774" t="s">
        <v>3517</v>
      </c>
      <c r="H4774">
        <v>2.5</v>
      </c>
      <c r="I4774">
        <v>29.8</v>
      </c>
      <c r="J4774">
        <v>89.4</v>
      </c>
    </row>
    <row r="4775" spans="1:10" x14ac:dyDescent="0.25">
      <c r="A4775" t="s">
        <v>7300</v>
      </c>
      <c r="B4775" s="3">
        <v>45613</v>
      </c>
      <c r="C4775" t="s">
        <v>1006</v>
      </c>
      <c r="D4775" t="s">
        <v>3487</v>
      </c>
      <c r="E4775">
        <v>3</v>
      </c>
      <c r="F4775" t="s">
        <v>3526</v>
      </c>
      <c r="G4775" t="s">
        <v>3519</v>
      </c>
      <c r="H4775">
        <v>0.2</v>
      </c>
      <c r="I4775">
        <v>4.0999999999999996</v>
      </c>
      <c r="J4775">
        <v>12.3</v>
      </c>
    </row>
    <row r="4776" spans="1:10" x14ac:dyDescent="0.25">
      <c r="A4776" t="s">
        <v>7301</v>
      </c>
      <c r="B4776" s="3">
        <v>45597</v>
      </c>
      <c r="C4776" t="s">
        <v>3060</v>
      </c>
      <c r="D4776" t="s">
        <v>3489</v>
      </c>
      <c r="E4776">
        <v>2</v>
      </c>
      <c r="F4776" t="s">
        <v>3523</v>
      </c>
      <c r="G4776" t="s">
        <v>3518</v>
      </c>
      <c r="H4776">
        <v>0.5</v>
      </c>
      <c r="I4776">
        <v>6</v>
      </c>
      <c r="J4776">
        <v>12</v>
      </c>
    </row>
    <row r="4777" spans="1:10" x14ac:dyDescent="0.25">
      <c r="A4777" t="s">
        <v>7302</v>
      </c>
      <c r="B4777" s="3">
        <v>44754</v>
      </c>
      <c r="C4777" t="s">
        <v>3101</v>
      </c>
      <c r="D4777" t="s">
        <v>3506</v>
      </c>
      <c r="E4777">
        <v>4</v>
      </c>
      <c r="F4777" t="s">
        <v>3523</v>
      </c>
      <c r="G4777" t="s">
        <v>3519</v>
      </c>
      <c r="H4777">
        <v>2.5</v>
      </c>
      <c r="I4777">
        <v>25.9</v>
      </c>
      <c r="J4777">
        <v>103.6</v>
      </c>
    </row>
    <row r="4778" spans="1:10" x14ac:dyDescent="0.25">
      <c r="A4778" t="s">
        <v>7303</v>
      </c>
      <c r="B4778" s="3">
        <v>44455</v>
      </c>
      <c r="C4778" t="s">
        <v>1094</v>
      </c>
      <c r="D4778" t="s">
        <v>3481</v>
      </c>
      <c r="E4778">
        <v>1</v>
      </c>
      <c r="F4778" t="s">
        <v>3525</v>
      </c>
      <c r="G4778" t="s">
        <v>3518</v>
      </c>
      <c r="H4778">
        <v>0.2</v>
      </c>
      <c r="I4778">
        <v>3.9</v>
      </c>
      <c r="J4778">
        <v>3.9</v>
      </c>
    </row>
    <row r="4779" spans="1:10" x14ac:dyDescent="0.25">
      <c r="A4779" t="s">
        <v>7304</v>
      </c>
      <c r="B4779" s="3">
        <v>43799</v>
      </c>
      <c r="C4779" t="s">
        <v>3264</v>
      </c>
      <c r="D4779" t="s">
        <v>3499</v>
      </c>
      <c r="E4779">
        <v>1</v>
      </c>
      <c r="F4779" t="s">
        <v>3523</v>
      </c>
      <c r="G4779" t="s">
        <v>3518</v>
      </c>
      <c r="H4779">
        <v>2.5</v>
      </c>
      <c r="I4779">
        <v>22.9</v>
      </c>
      <c r="J4779">
        <v>22.9</v>
      </c>
    </row>
    <row r="4780" spans="1:10" x14ac:dyDescent="0.25">
      <c r="A4780" t="s">
        <v>7305</v>
      </c>
      <c r="B4780" s="3">
        <v>44679</v>
      </c>
      <c r="C4780" t="s">
        <v>3458</v>
      </c>
      <c r="D4780" t="s">
        <v>3473</v>
      </c>
      <c r="E4780">
        <v>6</v>
      </c>
      <c r="F4780" t="s">
        <v>3524</v>
      </c>
      <c r="G4780" t="s">
        <v>3517</v>
      </c>
      <c r="H4780">
        <v>2.5</v>
      </c>
      <c r="I4780">
        <v>27.5</v>
      </c>
      <c r="J4780">
        <v>165</v>
      </c>
    </row>
    <row r="4781" spans="1:10" x14ac:dyDescent="0.25">
      <c r="A4781" t="s">
        <v>7306</v>
      </c>
      <c r="B4781" s="3">
        <v>45048</v>
      </c>
      <c r="C4781" t="s">
        <v>1278</v>
      </c>
      <c r="D4781" t="s">
        <v>3507</v>
      </c>
      <c r="E4781">
        <v>1</v>
      </c>
      <c r="F4781" t="s">
        <v>3526</v>
      </c>
      <c r="G4781" t="s">
        <v>3517</v>
      </c>
      <c r="H4781">
        <v>0.5</v>
      </c>
      <c r="I4781">
        <v>8.9</v>
      </c>
      <c r="J4781">
        <v>8.9</v>
      </c>
    </row>
    <row r="4782" spans="1:10" x14ac:dyDescent="0.25">
      <c r="A4782" t="s">
        <v>7307</v>
      </c>
      <c r="B4782" s="3">
        <v>44827</v>
      </c>
      <c r="C4782" t="s">
        <v>1782</v>
      </c>
      <c r="D4782" t="s">
        <v>3508</v>
      </c>
      <c r="E4782">
        <v>6</v>
      </c>
      <c r="F4782" t="s">
        <v>3524</v>
      </c>
      <c r="G4782" t="s">
        <v>3518</v>
      </c>
      <c r="H4782">
        <v>1</v>
      </c>
      <c r="I4782">
        <v>9</v>
      </c>
      <c r="J4782">
        <v>54</v>
      </c>
    </row>
    <row r="4783" spans="1:10" x14ac:dyDescent="0.25">
      <c r="A4783" t="s">
        <v>7308</v>
      </c>
      <c r="B4783" s="3">
        <v>45423</v>
      </c>
      <c r="C4783" t="s">
        <v>1214</v>
      </c>
      <c r="D4783" t="s">
        <v>3489</v>
      </c>
      <c r="E4783">
        <v>4</v>
      </c>
      <c r="F4783" t="s">
        <v>3523</v>
      </c>
      <c r="G4783" t="s">
        <v>3518</v>
      </c>
      <c r="H4783">
        <v>0.5</v>
      </c>
      <c r="I4783">
        <v>6</v>
      </c>
      <c r="J4783">
        <v>24</v>
      </c>
    </row>
    <row r="4784" spans="1:10" x14ac:dyDescent="0.25">
      <c r="A4784" t="s">
        <v>7309</v>
      </c>
      <c r="B4784" s="3">
        <v>44733</v>
      </c>
      <c r="C4784" t="s">
        <v>3273</v>
      </c>
      <c r="D4784" t="s">
        <v>3516</v>
      </c>
      <c r="E4784">
        <v>1</v>
      </c>
      <c r="F4784" t="s">
        <v>3526</v>
      </c>
      <c r="G4784" t="s">
        <v>3518</v>
      </c>
      <c r="H4784">
        <v>2.5</v>
      </c>
      <c r="I4784">
        <v>27.9</v>
      </c>
      <c r="J4784">
        <v>27.9</v>
      </c>
    </row>
    <row r="4785" spans="1:10" x14ac:dyDescent="0.25">
      <c r="A4785" t="s">
        <v>7310</v>
      </c>
      <c r="B4785" s="3">
        <v>45237</v>
      </c>
      <c r="C4785" t="s">
        <v>772</v>
      </c>
      <c r="D4785" t="s">
        <v>3479</v>
      </c>
      <c r="E4785">
        <v>2</v>
      </c>
      <c r="F4785" t="s">
        <v>3526</v>
      </c>
      <c r="G4785" t="s">
        <v>3517</v>
      </c>
      <c r="H4785">
        <v>2.5</v>
      </c>
      <c r="I4785">
        <v>34.200000000000003</v>
      </c>
      <c r="J4785">
        <v>68.400000000000006</v>
      </c>
    </row>
    <row r="4786" spans="1:10" x14ac:dyDescent="0.25">
      <c r="A4786" t="s">
        <v>7311</v>
      </c>
      <c r="B4786" s="3">
        <v>45493</v>
      </c>
      <c r="C4786" t="s">
        <v>1735</v>
      </c>
      <c r="D4786" t="s">
        <v>3482</v>
      </c>
      <c r="E4786">
        <v>6</v>
      </c>
      <c r="F4786" t="s">
        <v>3524</v>
      </c>
      <c r="G4786" t="s">
        <v>3519</v>
      </c>
      <c r="H4786">
        <v>2.5</v>
      </c>
      <c r="I4786">
        <v>22.9</v>
      </c>
      <c r="J4786">
        <v>137.4</v>
      </c>
    </row>
    <row r="4787" spans="1:10" x14ac:dyDescent="0.25">
      <c r="A4787" t="s">
        <v>7312</v>
      </c>
      <c r="B4787" s="3">
        <v>43630</v>
      </c>
      <c r="C4787" t="s">
        <v>2080</v>
      </c>
      <c r="D4787" t="s">
        <v>3498</v>
      </c>
      <c r="E4787">
        <v>5</v>
      </c>
      <c r="F4787" t="s">
        <v>3523</v>
      </c>
      <c r="G4787" t="s">
        <v>3517</v>
      </c>
      <c r="H4787">
        <v>0.2</v>
      </c>
      <c r="I4787">
        <v>3.9</v>
      </c>
      <c r="J4787">
        <v>19.5</v>
      </c>
    </row>
    <row r="4788" spans="1:10" x14ac:dyDescent="0.25">
      <c r="A4788" t="s">
        <v>7313</v>
      </c>
      <c r="B4788" s="3">
        <v>44535</v>
      </c>
      <c r="C4788" t="s">
        <v>1806</v>
      </c>
      <c r="D4788" t="s">
        <v>3485</v>
      </c>
      <c r="E4788">
        <v>3</v>
      </c>
      <c r="F4788" t="s">
        <v>3523</v>
      </c>
      <c r="G4788" t="s">
        <v>3518</v>
      </c>
      <c r="H4788">
        <v>0.2</v>
      </c>
      <c r="I4788">
        <v>3</v>
      </c>
      <c r="J4788">
        <v>9</v>
      </c>
    </row>
    <row r="4789" spans="1:10" x14ac:dyDescent="0.25">
      <c r="A4789" t="s">
        <v>7314</v>
      </c>
      <c r="B4789" s="3">
        <v>45566</v>
      </c>
      <c r="C4789" t="s">
        <v>3369</v>
      </c>
      <c r="D4789" t="s">
        <v>3509</v>
      </c>
      <c r="E4789">
        <v>5</v>
      </c>
      <c r="F4789" t="s">
        <v>3524</v>
      </c>
      <c r="G4789" t="s">
        <v>3517</v>
      </c>
      <c r="H4789">
        <v>0.2</v>
      </c>
      <c r="I4789">
        <v>3.6</v>
      </c>
      <c r="J4789">
        <v>18</v>
      </c>
    </row>
    <row r="4790" spans="1:10" x14ac:dyDescent="0.25">
      <c r="A4790" t="s">
        <v>7315</v>
      </c>
      <c r="B4790" s="3">
        <v>44694</v>
      </c>
      <c r="C4790" t="s">
        <v>1631</v>
      </c>
      <c r="D4790" t="s">
        <v>3496</v>
      </c>
      <c r="E4790">
        <v>2</v>
      </c>
      <c r="F4790" t="s">
        <v>3525</v>
      </c>
      <c r="G4790" t="s">
        <v>3518</v>
      </c>
      <c r="H4790">
        <v>2.5</v>
      </c>
      <c r="I4790">
        <v>29.8</v>
      </c>
      <c r="J4790">
        <v>59.6</v>
      </c>
    </row>
    <row r="4791" spans="1:10" x14ac:dyDescent="0.25">
      <c r="A4791" t="s">
        <v>7316</v>
      </c>
      <c r="B4791" s="3">
        <v>44173</v>
      </c>
      <c r="C4791" t="s">
        <v>1957</v>
      </c>
      <c r="D4791" t="s">
        <v>3505</v>
      </c>
      <c r="E4791">
        <v>6</v>
      </c>
      <c r="F4791" t="s">
        <v>3524</v>
      </c>
      <c r="G4791" t="s">
        <v>3519</v>
      </c>
      <c r="H4791">
        <v>0.2</v>
      </c>
      <c r="I4791">
        <v>3</v>
      </c>
      <c r="J4791">
        <v>18</v>
      </c>
    </row>
    <row r="4792" spans="1:10" x14ac:dyDescent="0.25">
      <c r="A4792" t="s">
        <v>7317</v>
      </c>
      <c r="B4792" s="3">
        <v>43874</v>
      </c>
      <c r="C4792" t="s">
        <v>1458</v>
      </c>
      <c r="D4792" t="s">
        <v>3487</v>
      </c>
      <c r="E4792">
        <v>2</v>
      </c>
      <c r="F4792" t="s">
        <v>3526</v>
      </c>
      <c r="G4792" t="s">
        <v>3519</v>
      </c>
      <c r="H4792">
        <v>0.2</v>
      </c>
      <c r="I4792">
        <v>4.0999999999999996</v>
      </c>
      <c r="J4792">
        <v>8.1999999999999993</v>
      </c>
    </row>
    <row r="4793" spans="1:10" x14ac:dyDescent="0.25">
      <c r="A4793" t="s">
        <v>7318</v>
      </c>
      <c r="B4793" s="3">
        <v>44899</v>
      </c>
      <c r="C4793" t="s">
        <v>2473</v>
      </c>
      <c r="D4793" t="s">
        <v>3469</v>
      </c>
      <c r="E4793">
        <v>2</v>
      </c>
      <c r="F4793" t="s">
        <v>3524</v>
      </c>
      <c r="G4793" t="s">
        <v>3519</v>
      </c>
      <c r="H4793">
        <v>1</v>
      </c>
      <c r="I4793">
        <v>10</v>
      </c>
      <c r="J4793">
        <v>20</v>
      </c>
    </row>
    <row r="4794" spans="1:10" x14ac:dyDescent="0.25">
      <c r="A4794" t="s">
        <v>7319</v>
      </c>
      <c r="B4794" s="3">
        <v>45212</v>
      </c>
      <c r="C4794" t="s">
        <v>2059</v>
      </c>
      <c r="D4794" t="s">
        <v>3474</v>
      </c>
      <c r="E4794">
        <v>3</v>
      </c>
      <c r="F4794" t="s">
        <v>3525</v>
      </c>
      <c r="G4794" t="s">
        <v>3518</v>
      </c>
      <c r="H4794">
        <v>1</v>
      </c>
      <c r="I4794">
        <v>13</v>
      </c>
      <c r="J4794">
        <v>39</v>
      </c>
    </row>
    <row r="4795" spans="1:10" x14ac:dyDescent="0.25">
      <c r="A4795" t="s">
        <v>7320</v>
      </c>
      <c r="B4795" s="3">
        <v>44586</v>
      </c>
      <c r="C4795" t="s">
        <v>1265</v>
      </c>
      <c r="D4795" t="s">
        <v>3496</v>
      </c>
      <c r="E4795">
        <v>6</v>
      </c>
      <c r="F4795" t="s">
        <v>3525</v>
      </c>
      <c r="G4795" t="s">
        <v>3518</v>
      </c>
      <c r="H4795">
        <v>2.5</v>
      </c>
      <c r="I4795">
        <v>29.8</v>
      </c>
      <c r="J4795">
        <v>178.8</v>
      </c>
    </row>
    <row r="4796" spans="1:10" x14ac:dyDescent="0.25">
      <c r="A4796" t="s">
        <v>7321</v>
      </c>
      <c r="B4796" s="3">
        <v>44388</v>
      </c>
      <c r="C4796" t="s">
        <v>1247</v>
      </c>
      <c r="D4796" t="s">
        <v>3491</v>
      </c>
      <c r="E4796">
        <v>3</v>
      </c>
      <c r="F4796" t="s">
        <v>3525</v>
      </c>
      <c r="G4796" t="s">
        <v>3519</v>
      </c>
      <c r="H4796">
        <v>0.5</v>
      </c>
      <c r="I4796">
        <v>8.6999999999999993</v>
      </c>
      <c r="J4796">
        <v>26.1</v>
      </c>
    </row>
    <row r="4797" spans="1:10" x14ac:dyDescent="0.25">
      <c r="A4797" t="s">
        <v>7322</v>
      </c>
      <c r="B4797" s="3">
        <v>44806</v>
      </c>
      <c r="C4797" t="s">
        <v>1556</v>
      </c>
      <c r="D4797" t="s">
        <v>3511</v>
      </c>
      <c r="E4797">
        <v>5</v>
      </c>
      <c r="F4797" t="s">
        <v>3523</v>
      </c>
      <c r="G4797" t="s">
        <v>3517</v>
      </c>
      <c r="H4797">
        <v>0.5</v>
      </c>
      <c r="I4797">
        <v>7.8</v>
      </c>
      <c r="J4797">
        <v>39</v>
      </c>
    </row>
    <row r="4798" spans="1:10" x14ac:dyDescent="0.25">
      <c r="A4798" t="s">
        <v>7323</v>
      </c>
      <c r="B4798" s="3">
        <v>43525</v>
      </c>
      <c r="C4798" t="s">
        <v>3435</v>
      </c>
      <c r="D4798" t="s">
        <v>3512</v>
      </c>
      <c r="E4798">
        <v>5</v>
      </c>
      <c r="F4798" t="s">
        <v>3525</v>
      </c>
      <c r="G4798" t="s">
        <v>3519</v>
      </c>
      <c r="H4798">
        <v>2.5</v>
      </c>
      <c r="I4798">
        <v>33.5</v>
      </c>
      <c r="J4798">
        <v>167.5</v>
      </c>
    </row>
    <row r="4799" spans="1:10" x14ac:dyDescent="0.25">
      <c r="A4799" t="s">
        <v>7324</v>
      </c>
      <c r="B4799" s="3">
        <v>45605</v>
      </c>
      <c r="C4799" t="s">
        <v>2021</v>
      </c>
      <c r="D4799" t="s">
        <v>3469</v>
      </c>
      <c r="E4799">
        <v>6</v>
      </c>
      <c r="F4799" t="s">
        <v>3524</v>
      </c>
      <c r="G4799" t="s">
        <v>3519</v>
      </c>
      <c r="H4799">
        <v>1</v>
      </c>
      <c r="I4799">
        <v>10</v>
      </c>
      <c r="J4799">
        <v>60</v>
      </c>
    </row>
    <row r="4800" spans="1:10" x14ac:dyDescent="0.25">
      <c r="A4800" t="s">
        <v>7325</v>
      </c>
      <c r="B4800" s="3">
        <v>44627</v>
      </c>
      <c r="C4800" t="s">
        <v>3039</v>
      </c>
      <c r="D4800" t="s">
        <v>3492</v>
      </c>
      <c r="E4800">
        <v>5</v>
      </c>
      <c r="F4800" t="s">
        <v>3525</v>
      </c>
      <c r="G4800" t="s">
        <v>3517</v>
      </c>
      <c r="H4800">
        <v>0.5</v>
      </c>
      <c r="I4800">
        <v>9.5</v>
      </c>
      <c r="J4800">
        <v>47.5</v>
      </c>
    </row>
    <row r="4801" spans="1:10" x14ac:dyDescent="0.25">
      <c r="A4801" t="s">
        <v>7326</v>
      </c>
      <c r="B4801" s="3">
        <v>44974</v>
      </c>
      <c r="C4801" t="s">
        <v>2618</v>
      </c>
      <c r="D4801" t="s">
        <v>3486</v>
      </c>
      <c r="E4801">
        <v>4</v>
      </c>
      <c r="F4801" t="s">
        <v>3523</v>
      </c>
      <c r="G4801" t="s">
        <v>3519</v>
      </c>
      <c r="H4801">
        <v>1</v>
      </c>
      <c r="I4801">
        <v>11.3</v>
      </c>
      <c r="J4801">
        <v>45.2</v>
      </c>
    </row>
    <row r="4802" spans="1:10" x14ac:dyDescent="0.25">
      <c r="A4802" t="s">
        <v>7327</v>
      </c>
      <c r="B4802" s="3">
        <v>44960</v>
      </c>
      <c r="C4802" t="s">
        <v>1250</v>
      </c>
      <c r="D4802" t="s">
        <v>3493</v>
      </c>
      <c r="E4802">
        <v>5</v>
      </c>
      <c r="F4802" t="s">
        <v>3525</v>
      </c>
      <c r="G4802" t="s">
        <v>3519</v>
      </c>
      <c r="H4802">
        <v>1</v>
      </c>
      <c r="I4802">
        <v>14.6</v>
      </c>
      <c r="J4802">
        <v>73</v>
      </c>
    </row>
    <row r="4803" spans="1:10" x14ac:dyDescent="0.25">
      <c r="A4803" t="s">
        <v>7328</v>
      </c>
      <c r="B4803" s="3">
        <v>45205</v>
      </c>
      <c r="C4803" t="s">
        <v>2453</v>
      </c>
      <c r="D4803" t="s">
        <v>3495</v>
      </c>
      <c r="E4803">
        <v>6</v>
      </c>
      <c r="F4803" t="s">
        <v>3525</v>
      </c>
      <c r="G4803" t="s">
        <v>3517</v>
      </c>
      <c r="H4803">
        <v>2.5</v>
      </c>
      <c r="I4803">
        <v>36.5</v>
      </c>
      <c r="J4803">
        <v>219</v>
      </c>
    </row>
    <row r="4804" spans="1:10" x14ac:dyDescent="0.25">
      <c r="A4804" t="s">
        <v>7329</v>
      </c>
      <c r="B4804" s="3">
        <v>43849</v>
      </c>
      <c r="C4804" t="s">
        <v>1982</v>
      </c>
      <c r="D4804" t="s">
        <v>3499</v>
      </c>
      <c r="E4804">
        <v>5</v>
      </c>
      <c r="F4804" t="s">
        <v>3523</v>
      </c>
      <c r="G4804" t="s">
        <v>3518</v>
      </c>
      <c r="H4804">
        <v>2.5</v>
      </c>
      <c r="I4804">
        <v>22.9</v>
      </c>
      <c r="J4804">
        <v>114.5</v>
      </c>
    </row>
    <row r="4805" spans="1:10" x14ac:dyDescent="0.25">
      <c r="A4805" t="s">
        <v>7330</v>
      </c>
      <c r="B4805" s="3">
        <v>44854</v>
      </c>
      <c r="C4805" t="s">
        <v>2227</v>
      </c>
      <c r="D4805" t="s">
        <v>3511</v>
      </c>
      <c r="E4805">
        <v>4</v>
      </c>
      <c r="F4805" t="s">
        <v>3523</v>
      </c>
      <c r="G4805" t="s">
        <v>3517</v>
      </c>
      <c r="H4805">
        <v>0.5</v>
      </c>
      <c r="I4805">
        <v>7.8</v>
      </c>
      <c r="J4805">
        <v>31.2</v>
      </c>
    </row>
    <row r="4806" spans="1:10" x14ac:dyDescent="0.25">
      <c r="A4806" t="s">
        <v>7331</v>
      </c>
      <c r="B4806" s="3">
        <v>44938</v>
      </c>
      <c r="C4806" t="s">
        <v>3030</v>
      </c>
      <c r="D4806" t="s">
        <v>3481</v>
      </c>
      <c r="E4806">
        <v>5</v>
      </c>
      <c r="F4806" t="s">
        <v>3525</v>
      </c>
      <c r="G4806" t="s">
        <v>3518</v>
      </c>
      <c r="H4806">
        <v>0.2</v>
      </c>
      <c r="I4806">
        <v>3.9</v>
      </c>
      <c r="J4806">
        <v>19.5</v>
      </c>
    </row>
    <row r="4807" spans="1:10" x14ac:dyDescent="0.25">
      <c r="A4807" t="s">
        <v>7332</v>
      </c>
      <c r="B4807" s="3">
        <v>45273</v>
      </c>
      <c r="C4807" t="s">
        <v>2633</v>
      </c>
      <c r="D4807" t="s">
        <v>3475</v>
      </c>
      <c r="E4807">
        <v>6</v>
      </c>
      <c r="F4807" t="s">
        <v>3526</v>
      </c>
      <c r="G4807" t="s">
        <v>3518</v>
      </c>
      <c r="H4807">
        <v>0.5</v>
      </c>
      <c r="I4807">
        <v>7.3</v>
      </c>
      <c r="J4807">
        <v>43.8</v>
      </c>
    </row>
    <row r="4808" spans="1:10" x14ac:dyDescent="0.25">
      <c r="A4808" t="s">
        <v>7333</v>
      </c>
      <c r="B4808" s="3">
        <v>44176</v>
      </c>
      <c r="C4808" t="s">
        <v>932</v>
      </c>
      <c r="D4808" t="s">
        <v>3495</v>
      </c>
      <c r="E4808">
        <v>1</v>
      </c>
      <c r="F4808" t="s">
        <v>3525</v>
      </c>
      <c r="G4808" t="s">
        <v>3517</v>
      </c>
      <c r="H4808">
        <v>2.5</v>
      </c>
      <c r="I4808">
        <v>36.5</v>
      </c>
      <c r="J4808">
        <v>36.5</v>
      </c>
    </row>
    <row r="4809" spans="1:10" x14ac:dyDescent="0.25">
      <c r="A4809" t="s">
        <v>7334</v>
      </c>
      <c r="B4809" s="3">
        <v>45310</v>
      </c>
      <c r="C4809" t="s">
        <v>1190</v>
      </c>
      <c r="D4809" t="s">
        <v>3482</v>
      </c>
      <c r="E4809">
        <v>5</v>
      </c>
      <c r="F4809" t="s">
        <v>3524</v>
      </c>
      <c r="G4809" t="s">
        <v>3519</v>
      </c>
      <c r="H4809">
        <v>2.5</v>
      </c>
      <c r="I4809">
        <v>22.9</v>
      </c>
      <c r="J4809">
        <v>114.5</v>
      </c>
    </row>
    <row r="4810" spans="1:10" x14ac:dyDescent="0.25">
      <c r="A4810" t="s">
        <v>7335</v>
      </c>
      <c r="B4810" s="3">
        <v>45311</v>
      </c>
      <c r="C4810" t="s">
        <v>2882</v>
      </c>
      <c r="D4810" t="s">
        <v>3497</v>
      </c>
      <c r="E4810">
        <v>6</v>
      </c>
      <c r="F4810" t="s">
        <v>3526</v>
      </c>
      <c r="G4810" t="s">
        <v>3519</v>
      </c>
      <c r="H4810">
        <v>2.5</v>
      </c>
      <c r="I4810">
        <v>31.6</v>
      </c>
      <c r="J4810">
        <v>189.6</v>
      </c>
    </row>
    <row r="4811" spans="1:10" x14ac:dyDescent="0.25">
      <c r="A4811" t="s">
        <v>7336</v>
      </c>
      <c r="B4811" s="3">
        <v>43505</v>
      </c>
      <c r="C4811" t="s">
        <v>2983</v>
      </c>
      <c r="D4811" t="s">
        <v>3489</v>
      </c>
      <c r="E4811">
        <v>3</v>
      </c>
      <c r="F4811" t="s">
        <v>3523</v>
      </c>
      <c r="G4811" t="s">
        <v>3518</v>
      </c>
      <c r="H4811">
        <v>0.5</v>
      </c>
      <c r="I4811">
        <v>6</v>
      </c>
      <c r="J4811">
        <v>18</v>
      </c>
    </row>
    <row r="4812" spans="1:10" x14ac:dyDescent="0.25">
      <c r="A4812" t="s">
        <v>7337</v>
      </c>
      <c r="B4812" s="3">
        <v>45150</v>
      </c>
      <c r="C4812" t="s">
        <v>3396</v>
      </c>
      <c r="D4812" t="s">
        <v>3477</v>
      </c>
      <c r="E4812">
        <v>3</v>
      </c>
      <c r="F4812" t="s">
        <v>3524</v>
      </c>
      <c r="G4812" t="s">
        <v>3519</v>
      </c>
      <c r="H4812">
        <v>0.5</v>
      </c>
      <c r="I4812">
        <v>6</v>
      </c>
      <c r="J4812">
        <v>18</v>
      </c>
    </row>
    <row r="4813" spans="1:10" x14ac:dyDescent="0.25">
      <c r="A4813" t="s">
        <v>7338</v>
      </c>
      <c r="B4813" s="3">
        <v>44739</v>
      </c>
      <c r="C4813" t="s">
        <v>3366</v>
      </c>
      <c r="D4813" t="s">
        <v>3489</v>
      </c>
      <c r="E4813">
        <v>6</v>
      </c>
      <c r="F4813" t="s">
        <v>3523</v>
      </c>
      <c r="G4813" t="s">
        <v>3518</v>
      </c>
      <c r="H4813">
        <v>0.5</v>
      </c>
      <c r="I4813">
        <v>6</v>
      </c>
      <c r="J4813">
        <v>36</v>
      </c>
    </row>
    <row r="4814" spans="1:10" x14ac:dyDescent="0.25">
      <c r="A4814" t="s">
        <v>7339</v>
      </c>
      <c r="B4814" s="3">
        <v>43710</v>
      </c>
      <c r="C4814" t="s">
        <v>3036</v>
      </c>
      <c r="D4814" t="s">
        <v>3503</v>
      </c>
      <c r="E4814">
        <v>3</v>
      </c>
      <c r="F4814" t="s">
        <v>3524</v>
      </c>
      <c r="G4814" t="s">
        <v>3518</v>
      </c>
      <c r="H4814">
        <v>0.5</v>
      </c>
      <c r="I4814">
        <v>5.4</v>
      </c>
      <c r="J4814">
        <v>16.2</v>
      </c>
    </row>
    <row r="4815" spans="1:10" x14ac:dyDescent="0.25">
      <c r="A4815" t="s">
        <v>7340</v>
      </c>
      <c r="B4815" s="3">
        <v>43953</v>
      </c>
      <c r="C4815" t="s">
        <v>796</v>
      </c>
      <c r="D4815" t="s">
        <v>3478</v>
      </c>
      <c r="E4815">
        <v>2</v>
      </c>
      <c r="F4815" t="s">
        <v>3523</v>
      </c>
      <c r="G4815" t="s">
        <v>3518</v>
      </c>
      <c r="H4815">
        <v>1</v>
      </c>
      <c r="I4815">
        <v>10</v>
      </c>
      <c r="J4815">
        <v>20</v>
      </c>
    </row>
    <row r="4816" spans="1:10" x14ac:dyDescent="0.25">
      <c r="A4816" t="s">
        <v>7341</v>
      </c>
      <c r="B4816" s="3">
        <v>45439</v>
      </c>
      <c r="C4816" t="s">
        <v>1631</v>
      </c>
      <c r="D4816" t="s">
        <v>3496</v>
      </c>
      <c r="E4816">
        <v>2</v>
      </c>
      <c r="F4816" t="s">
        <v>3525</v>
      </c>
      <c r="G4816" t="s">
        <v>3518</v>
      </c>
      <c r="H4816">
        <v>2.5</v>
      </c>
      <c r="I4816">
        <v>29.8</v>
      </c>
      <c r="J4816">
        <v>59.6</v>
      </c>
    </row>
    <row r="4817" spans="1:10" x14ac:dyDescent="0.25">
      <c r="A4817" t="s">
        <v>7342</v>
      </c>
      <c r="B4817" s="3">
        <v>45215</v>
      </c>
      <c r="C4817" t="s">
        <v>583</v>
      </c>
      <c r="D4817" t="s">
        <v>3472</v>
      </c>
      <c r="E4817">
        <v>5</v>
      </c>
      <c r="F4817" t="s">
        <v>3526</v>
      </c>
      <c r="G4817" t="s">
        <v>3519</v>
      </c>
      <c r="H4817">
        <v>1</v>
      </c>
      <c r="I4817">
        <v>13.8</v>
      </c>
      <c r="J4817">
        <v>69</v>
      </c>
    </row>
    <row r="4818" spans="1:10" x14ac:dyDescent="0.25">
      <c r="A4818" t="s">
        <v>7343</v>
      </c>
      <c r="B4818" s="3">
        <v>43733</v>
      </c>
      <c r="C4818" t="s">
        <v>2596</v>
      </c>
      <c r="D4818" t="s">
        <v>3505</v>
      </c>
      <c r="E4818">
        <v>6</v>
      </c>
      <c r="F4818" t="s">
        <v>3524</v>
      </c>
      <c r="G4818" t="s">
        <v>3519</v>
      </c>
      <c r="H4818">
        <v>0.2</v>
      </c>
      <c r="I4818">
        <v>3</v>
      </c>
      <c r="J4818">
        <v>18</v>
      </c>
    </row>
    <row r="4819" spans="1:10" x14ac:dyDescent="0.25">
      <c r="A4819" t="s">
        <v>7344</v>
      </c>
      <c r="B4819" s="3">
        <v>44481</v>
      </c>
      <c r="C4819" t="s">
        <v>2792</v>
      </c>
      <c r="D4819" t="s">
        <v>3497</v>
      </c>
      <c r="E4819">
        <v>2</v>
      </c>
      <c r="F4819" t="s">
        <v>3526</v>
      </c>
      <c r="G4819" t="s">
        <v>3519</v>
      </c>
      <c r="H4819">
        <v>2.5</v>
      </c>
      <c r="I4819">
        <v>31.6</v>
      </c>
      <c r="J4819">
        <v>63.2</v>
      </c>
    </row>
    <row r="4820" spans="1:10" x14ac:dyDescent="0.25">
      <c r="A4820" t="s">
        <v>7345</v>
      </c>
      <c r="B4820" s="3">
        <v>45545</v>
      </c>
      <c r="C4820" t="s">
        <v>1732</v>
      </c>
      <c r="D4820" t="s">
        <v>3488</v>
      </c>
      <c r="E4820">
        <v>3</v>
      </c>
      <c r="F4820" t="s">
        <v>3523</v>
      </c>
      <c r="G4820" t="s">
        <v>3519</v>
      </c>
      <c r="H4820">
        <v>0.5</v>
      </c>
      <c r="I4820">
        <v>6.8</v>
      </c>
      <c r="J4820">
        <v>20.399999999999999</v>
      </c>
    </row>
    <row r="4821" spans="1:10" x14ac:dyDescent="0.25">
      <c r="A4821" t="s">
        <v>7346</v>
      </c>
      <c r="B4821" s="3">
        <v>44890</v>
      </c>
      <c r="C4821" t="s">
        <v>1523</v>
      </c>
      <c r="D4821" t="s">
        <v>3472</v>
      </c>
      <c r="E4821">
        <v>1</v>
      </c>
      <c r="F4821" t="s">
        <v>3526</v>
      </c>
      <c r="G4821" t="s">
        <v>3519</v>
      </c>
      <c r="H4821">
        <v>1</v>
      </c>
      <c r="I4821">
        <v>13.8</v>
      </c>
      <c r="J4821">
        <v>13.8</v>
      </c>
    </row>
    <row r="4822" spans="1:10" x14ac:dyDescent="0.25">
      <c r="A4822" t="s">
        <v>7347</v>
      </c>
      <c r="B4822" s="3">
        <v>44652</v>
      </c>
      <c r="C4822" t="s">
        <v>1160</v>
      </c>
      <c r="D4822" t="s">
        <v>3510</v>
      </c>
      <c r="E4822">
        <v>6</v>
      </c>
      <c r="F4822" t="s">
        <v>3524</v>
      </c>
      <c r="G4822" t="s">
        <v>3517</v>
      </c>
      <c r="H4822">
        <v>1</v>
      </c>
      <c r="I4822">
        <v>12</v>
      </c>
      <c r="J4822">
        <v>72</v>
      </c>
    </row>
    <row r="4823" spans="1:10" x14ac:dyDescent="0.25">
      <c r="A4823" t="s">
        <v>7348</v>
      </c>
      <c r="B4823" s="3">
        <v>45012</v>
      </c>
      <c r="C4823" t="s">
        <v>3423</v>
      </c>
      <c r="D4823" t="s">
        <v>3485</v>
      </c>
      <c r="E4823">
        <v>2</v>
      </c>
      <c r="F4823" t="s">
        <v>3523</v>
      </c>
      <c r="G4823" t="s">
        <v>3518</v>
      </c>
      <c r="H4823">
        <v>0.2</v>
      </c>
      <c r="I4823">
        <v>3</v>
      </c>
      <c r="J4823">
        <v>6</v>
      </c>
    </row>
    <row r="4824" spans="1:10" x14ac:dyDescent="0.25">
      <c r="A4824" t="s">
        <v>7349</v>
      </c>
      <c r="B4824" s="3">
        <v>45430</v>
      </c>
      <c r="C4824" t="s">
        <v>2957</v>
      </c>
      <c r="D4824" t="s">
        <v>3471</v>
      </c>
      <c r="E4824">
        <v>6</v>
      </c>
      <c r="F4824" t="s">
        <v>3523</v>
      </c>
      <c r="G4824" t="s">
        <v>3517</v>
      </c>
      <c r="H4824">
        <v>1</v>
      </c>
      <c r="I4824">
        <v>13</v>
      </c>
      <c r="J4824">
        <v>78</v>
      </c>
    </row>
    <row r="4825" spans="1:10" x14ac:dyDescent="0.25">
      <c r="A4825" t="s">
        <v>7350</v>
      </c>
      <c r="B4825" s="3">
        <v>43474</v>
      </c>
      <c r="C4825" t="s">
        <v>2420</v>
      </c>
      <c r="D4825" t="s">
        <v>3471</v>
      </c>
      <c r="E4825">
        <v>2</v>
      </c>
      <c r="F4825" t="s">
        <v>3523</v>
      </c>
      <c r="G4825" t="s">
        <v>3517</v>
      </c>
      <c r="H4825">
        <v>1</v>
      </c>
      <c r="I4825">
        <v>13</v>
      </c>
      <c r="J4825">
        <v>26</v>
      </c>
    </row>
    <row r="4826" spans="1:10" x14ac:dyDescent="0.25">
      <c r="A4826" t="s">
        <v>7351</v>
      </c>
      <c r="B4826" s="3">
        <v>44204</v>
      </c>
      <c r="C4826" t="s">
        <v>1816</v>
      </c>
      <c r="D4826" t="s">
        <v>3472</v>
      </c>
      <c r="E4826">
        <v>5</v>
      </c>
      <c r="F4826" t="s">
        <v>3526</v>
      </c>
      <c r="G4826" t="s">
        <v>3519</v>
      </c>
      <c r="H4826">
        <v>1</v>
      </c>
      <c r="I4826">
        <v>13.8</v>
      </c>
      <c r="J4826">
        <v>69</v>
      </c>
    </row>
    <row r="4827" spans="1:10" x14ac:dyDescent="0.25">
      <c r="A4827" t="s">
        <v>7352</v>
      </c>
      <c r="B4827" s="3">
        <v>45081</v>
      </c>
      <c r="C4827" t="s">
        <v>661</v>
      </c>
      <c r="D4827" t="s">
        <v>3474</v>
      </c>
      <c r="E4827">
        <v>4</v>
      </c>
      <c r="F4827" t="s">
        <v>3525</v>
      </c>
      <c r="G4827" t="s">
        <v>3518</v>
      </c>
      <c r="H4827">
        <v>1</v>
      </c>
      <c r="I4827">
        <v>13</v>
      </c>
      <c r="J4827">
        <v>52</v>
      </c>
    </row>
    <row r="4828" spans="1:10" x14ac:dyDescent="0.25">
      <c r="A4828" t="s">
        <v>7353</v>
      </c>
      <c r="B4828" s="3">
        <v>45185</v>
      </c>
      <c r="C4828" t="s">
        <v>2654</v>
      </c>
      <c r="D4828" t="s">
        <v>3487</v>
      </c>
      <c r="E4828">
        <v>3</v>
      </c>
      <c r="F4828" t="s">
        <v>3526</v>
      </c>
      <c r="G4828" t="s">
        <v>3519</v>
      </c>
      <c r="H4828">
        <v>0.2</v>
      </c>
      <c r="I4828">
        <v>4.0999999999999996</v>
      </c>
      <c r="J4828">
        <v>12.3</v>
      </c>
    </row>
    <row r="4829" spans="1:10" x14ac:dyDescent="0.25">
      <c r="A4829" t="s">
        <v>7354</v>
      </c>
      <c r="B4829" s="3">
        <v>44978</v>
      </c>
      <c r="C4829" t="s">
        <v>2798</v>
      </c>
      <c r="D4829" t="s">
        <v>3476</v>
      </c>
      <c r="E4829">
        <v>2</v>
      </c>
      <c r="F4829" t="s">
        <v>3525</v>
      </c>
      <c r="G4829" t="s">
        <v>3517</v>
      </c>
      <c r="H4829">
        <v>0.2</v>
      </c>
      <c r="I4829">
        <v>4.8</v>
      </c>
      <c r="J4829">
        <v>9.6</v>
      </c>
    </row>
    <row r="4830" spans="1:10" x14ac:dyDescent="0.25">
      <c r="A4830" t="s">
        <v>7355</v>
      </c>
      <c r="B4830" s="3">
        <v>45514</v>
      </c>
      <c r="C4830" t="s">
        <v>915</v>
      </c>
      <c r="D4830" t="s">
        <v>3506</v>
      </c>
      <c r="E4830">
        <v>2</v>
      </c>
      <c r="F4830" t="s">
        <v>3523</v>
      </c>
      <c r="G4830" t="s">
        <v>3519</v>
      </c>
      <c r="H4830">
        <v>2.5</v>
      </c>
      <c r="I4830">
        <v>25.9</v>
      </c>
      <c r="J4830">
        <v>51.8</v>
      </c>
    </row>
    <row r="4831" spans="1:10" x14ac:dyDescent="0.25">
      <c r="A4831" t="s">
        <v>7356</v>
      </c>
      <c r="B4831" s="3">
        <v>44991</v>
      </c>
      <c r="C4831" t="s">
        <v>1884</v>
      </c>
      <c r="D4831" t="s">
        <v>3486</v>
      </c>
      <c r="E4831">
        <v>1</v>
      </c>
      <c r="F4831" t="s">
        <v>3523</v>
      </c>
      <c r="G4831" t="s">
        <v>3519</v>
      </c>
      <c r="H4831">
        <v>1</v>
      </c>
      <c r="I4831">
        <v>11.3</v>
      </c>
      <c r="J4831">
        <v>11.3</v>
      </c>
    </row>
    <row r="4832" spans="1:10" x14ac:dyDescent="0.25">
      <c r="A4832" t="s">
        <v>7357</v>
      </c>
      <c r="B4832" s="3">
        <v>45390</v>
      </c>
      <c r="C4832" t="s">
        <v>1779</v>
      </c>
      <c r="D4832" t="s">
        <v>3511</v>
      </c>
      <c r="E4832">
        <v>5</v>
      </c>
      <c r="F4832" t="s">
        <v>3523</v>
      </c>
      <c r="G4832" t="s">
        <v>3517</v>
      </c>
      <c r="H4832">
        <v>0.5</v>
      </c>
      <c r="I4832">
        <v>7.8</v>
      </c>
      <c r="J4832">
        <v>39</v>
      </c>
    </row>
    <row r="4833" spans="1:10" x14ac:dyDescent="0.25">
      <c r="A4833" t="s">
        <v>7358</v>
      </c>
      <c r="B4833" s="3">
        <v>43533</v>
      </c>
      <c r="C4833" t="s">
        <v>1732</v>
      </c>
      <c r="D4833" t="s">
        <v>3487</v>
      </c>
      <c r="E4833">
        <v>4</v>
      </c>
      <c r="F4833" t="s">
        <v>3526</v>
      </c>
      <c r="G4833" t="s">
        <v>3519</v>
      </c>
      <c r="H4833">
        <v>0.2</v>
      </c>
      <c r="I4833">
        <v>4.0999999999999996</v>
      </c>
      <c r="J4833">
        <v>16.399999999999999</v>
      </c>
    </row>
    <row r="4834" spans="1:10" x14ac:dyDescent="0.25">
      <c r="A4834" t="s">
        <v>7359</v>
      </c>
      <c r="B4834" s="3">
        <v>45261</v>
      </c>
      <c r="C4834" t="s">
        <v>1345</v>
      </c>
      <c r="D4834" t="s">
        <v>3512</v>
      </c>
      <c r="E4834">
        <v>6</v>
      </c>
      <c r="F4834" t="s">
        <v>3525</v>
      </c>
      <c r="G4834" t="s">
        <v>3519</v>
      </c>
      <c r="H4834">
        <v>2.5</v>
      </c>
      <c r="I4834">
        <v>33.5</v>
      </c>
      <c r="J4834">
        <v>201</v>
      </c>
    </row>
    <row r="4835" spans="1:10" x14ac:dyDescent="0.25">
      <c r="A4835" t="s">
        <v>7360</v>
      </c>
      <c r="B4835" s="3">
        <v>45044</v>
      </c>
      <c r="C4835" t="s">
        <v>2898</v>
      </c>
      <c r="D4835" t="s">
        <v>3488</v>
      </c>
      <c r="E4835">
        <v>1</v>
      </c>
      <c r="F4835" t="s">
        <v>3523</v>
      </c>
      <c r="G4835" t="s">
        <v>3519</v>
      </c>
      <c r="H4835">
        <v>0.5</v>
      </c>
      <c r="I4835">
        <v>6.8</v>
      </c>
      <c r="J4835">
        <v>6.8</v>
      </c>
    </row>
    <row r="4836" spans="1:10" x14ac:dyDescent="0.25">
      <c r="A4836" t="s">
        <v>7361</v>
      </c>
      <c r="B4836" s="3">
        <v>44626</v>
      </c>
      <c r="C4836" t="s">
        <v>1369</v>
      </c>
      <c r="D4836" t="s">
        <v>3478</v>
      </c>
      <c r="E4836">
        <v>3</v>
      </c>
      <c r="F4836" t="s">
        <v>3523</v>
      </c>
      <c r="G4836" t="s">
        <v>3518</v>
      </c>
      <c r="H4836">
        <v>1</v>
      </c>
      <c r="I4836">
        <v>10</v>
      </c>
      <c r="J4836">
        <v>30</v>
      </c>
    </row>
    <row r="4837" spans="1:10" x14ac:dyDescent="0.25">
      <c r="A4837" t="s">
        <v>7362</v>
      </c>
      <c r="B4837" s="3">
        <v>43662</v>
      </c>
      <c r="C4837" t="s">
        <v>1800</v>
      </c>
      <c r="D4837" t="s">
        <v>3498</v>
      </c>
      <c r="E4837">
        <v>4</v>
      </c>
      <c r="F4837" t="s">
        <v>3523</v>
      </c>
      <c r="G4837" t="s">
        <v>3517</v>
      </c>
      <c r="H4837">
        <v>0.2</v>
      </c>
      <c r="I4837">
        <v>3.9</v>
      </c>
      <c r="J4837">
        <v>15.6</v>
      </c>
    </row>
    <row r="4838" spans="1:10" x14ac:dyDescent="0.25">
      <c r="A4838" t="s">
        <v>7363</v>
      </c>
      <c r="B4838" s="3">
        <v>45481</v>
      </c>
      <c r="C4838" t="s">
        <v>2503</v>
      </c>
      <c r="D4838" t="s">
        <v>3477</v>
      </c>
      <c r="E4838">
        <v>6</v>
      </c>
      <c r="F4838" t="s">
        <v>3524</v>
      </c>
      <c r="G4838" t="s">
        <v>3519</v>
      </c>
      <c r="H4838">
        <v>0.5</v>
      </c>
      <c r="I4838">
        <v>6</v>
      </c>
      <c r="J4838">
        <v>36</v>
      </c>
    </row>
    <row r="4839" spans="1:10" x14ac:dyDescent="0.25">
      <c r="A4839" t="s">
        <v>7364</v>
      </c>
      <c r="B4839" s="3">
        <v>43715</v>
      </c>
      <c r="C4839" t="s">
        <v>2977</v>
      </c>
      <c r="D4839" t="s">
        <v>3494</v>
      </c>
      <c r="E4839">
        <v>3</v>
      </c>
      <c r="F4839" t="s">
        <v>3524</v>
      </c>
      <c r="G4839" t="s">
        <v>3518</v>
      </c>
      <c r="H4839">
        <v>0.2</v>
      </c>
      <c r="I4839">
        <v>2.7</v>
      </c>
      <c r="J4839">
        <v>8.1</v>
      </c>
    </row>
    <row r="4840" spans="1:10" x14ac:dyDescent="0.25">
      <c r="A4840" t="s">
        <v>7365</v>
      </c>
      <c r="B4840" s="3">
        <v>44666</v>
      </c>
      <c r="C4840" t="s">
        <v>1803</v>
      </c>
      <c r="D4840" t="s">
        <v>3487</v>
      </c>
      <c r="E4840">
        <v>4</v>
      </c>
      <c r="F4840" t="s">
        <v>3526</v>
      </c>
      <c r="G4840" t="s">
        <v>3519</v>
      </c>
      <c r="H4840">
        <v>0.2</v>
      </c>
      <c r="I4840">
        <v>4.0999999999999996</v>
      </c>
      <c r="J4840">
        <v>16.399999999999999</v>
      </c>
    </row>
    <row r="4841" spans="1:10" x14ac:dyDescent="0.25">
      <c r="A4841" t="s">
        <v>7366</v>
      </c>
      <c r="B4841" s="3">
        <v>44696</v>
      </c>
      <c r="C4841" t="s">
        <v>3264</v>
      </c>
      <c r="D4841" t="s">
        <v>3472</v>
      </c>
      <c r="E4841">
        <v>6</v>
      </c>
      <c r="F4841" t="s">
        <v>3526</v>
      </c>
      <c r="G4841" t="s">
        <v>3519</v>
      </c>
      <c r="H4841">
        <v>1</v>
      </c>
      <c r="I4841">
        <v>13.8</v>
      </c>
      <c r="J4841">
        <v>82.8</v>
      </c>
    </row>
    <row r="4842" spans="1:10" x14ac:dyDescent="0.25">
      <c r="A4842" t="s">
        <v>7367</v>
      </c>
      <c r="B4842" s="3">
        <v>44857</v>
      </c>
      <c r="C4842" t="s">
        <v>3330</v>
      </c>
      <c r="D4842" t="s">
        <v>3486</v>
      </c>
      <c r="E4842">
        <v>1</v>
      </c>
      <c r="F4842" t="s">
        <v>3523</v>
      </c>
      <c r="G4842" t="s">
        <v>3519</v>
      </c>
      <c r="H4842">
        <v>1</v>
      </c>
      <c r="I4842">
        <v>11.3</v>
      </c>
      <c r="J4842">
        <v>11.3</v>
      </c>
    </row>
    <row r="4843" spans="1:10" x14ac:dyDescent="0.25">
      <c r="A4843" t="s">
        <v>7368</v>
      </c>
      <c r="B4843" s="3">
        <v>45497</v>
      </c>
      <c r="C4843" t="s">
        <v>1115</v>
      </c>
      <c r="D4843" t="s">
        <v>3491</v>
      </c>
      <c r="E4843">
        <v>6</v>
      </c>
      <c r="F4843" t="s">
        <v>3525</v>
      </c>
      <c r="G4843" t="s">
        <v>3519</v>
      </c>
      <c r="H4843">
        <v>0.5</v>
      </c>
      <c r="I4843">
        <v>8.6999999999999993</v>
      </c>
      <c r="J4843">
        <v>52.2</v>
      </c>
    </row>
    <row r="4844" spans="1:10" x14ac:dyDescent="0.25">
      <c r="A4844" t="s">
        <v>7369</v>
      </c>
      <c r="B4844" s="3">
        <v>45246</v>
      </c>
      <c r="C4844" t="s">
        <v>1890</v>
      </c>
      <c r="D4844" t="s">
        <v>3483</v>
      </c>
      <c r="E4844">
        <v>4</v>
      </c>
      <c r="F4844" t="s">
        <v>3523</v>
      </c>
      <c r="G4844" t="s">
        <v>3519</v>
      </c>
      <c r="H4844">
        <v>0.2</v>
      </c>
      <c r="I4844">
        <v>3.4</v>
      </c>
      <c r="J4844">
        <v>13.6</v>
      </c>
    </row>
    <row r="4845" spans="1:10" x14ac:dyDescent="0.25">
      <c r="A4845" t="s">
        <v>7370</v>
      </c>
      <c r="B4845" s="3">
        <v>45212</v>
      </c>
      <c r="C4845" t="s">
        <v>1443</v>
      </c>
      <c r="D4845" t="s">
        <v>3492</v>
      </c>
      <c r="E4845">
        <v>5</v>
      </c>
      <c r="F4845" t="s">
        <v>3525</v>
      </c>
      <c r="G4845" t="s">
        <v>3517</v>
      </c>
      <c r="H4845">
        <v>0.5</v>
      </c>
      <c r="I4845">
        <v>9.5</v>
      </c>
      <c r="J4845">
        <v>47.5</v>
      </c>
    </row>
    <row r="4846" spans="1:10" x14ac:dyDescent="0.25">
      <c r="A4846" t="s">
        <v>7371</v>
      </c>
      <c r="B4846" s="3">
        <v>45001</v>
      </c>
      <c r="C4846" t="s">
        <v>3246</v>
      </c>
      <c r="D4846" t="s">
        <v>3483</v>
      </c>
      <c r="E4846">
        <v>5</v>
      </c>
      <c r="F4846" t="s">
        <v>3523</v>
      </c>
      <c r="G4846" t="s">
        <v>3519</v>
      </c>
      <c r="H4846">
        <v>0.2</v>
      </c>
      <c r="I4846">
        <v>3.4</v>
      </c>
      <c r="J4846">
        <v>17</v>
      </c>
    </row>
    <row r="4847" spans="1:10" x14ac:dyDescent="0.25">
      <c r="A4847" t="s">
        <v>7372</v>
      </c>
      <c r="B4847" s="3">
        <v>44915</v>
      </c>
      <c r="C4847" t="s">
        <v>2347</v>
      </c>
      <c r="D4847" t="s">
        <v>3492</v>
      </c>
      <c r="E4847">
        <v>5</v>
      </c>
      <c r="F4847" t="s">
        <v>3525</v>
      </c>
      <c r="G4847" t="s">
        <v>3517</v>
      </c>
      <c r="H4847">
        <v>0.5</v>
      </c>
      <c r="I4847">
        <v>9.5</v>
      </c>
      <c r="J4847">
        <v>47.5</v>
      </c>
    </row>
    <row r="4848" spans="1:10" x14ac:dyDescent="0.25">
      <c r="A4848" t="s">
        <v>7373</v>
      </c>
      <c r="B4848" s="3">
        <v>44698</v>
      </c>
      <c r="C4848" t="s">
        <v>799</v>
      </c>
      <c r="D4848" t="s">
        <v>3512</v>
      </c>
      <c r="E4848">
        <v>6</v>
      </c>
      <c r="F4848" t="s">
        <v>3525</v>
      </c>
      <c r="G4848" t="s">
        <v>3519</v>
      </c>
      <c r="H4848">
        <v>2.5</v>
      </c>
      <c r="I4848">
        <v>33.5</v>
      </c>
      <c r="J4848">
        <v>201</v>
      </c>
    </row>
    <row r="4849" spans="1:10" x14ac:dyDescent="0.25">
      <c r="A4849" t="s">
        <v>7374</v>
      </c>
      <c r="B4849" s="3">
        <v>45097</v>
      </c>
      <c r="C4849" t="s">
        <v>2036</v>
      </c>
      <c r="D4849" t="s">
        <v>3487</v>
      </c>
      <c r="E4849">
        <v>2</v>
      </c>
      <c r="F4849" t="s">
        <v>3526</v>
      </c>
      <c r="G4849" t="s">
        <v>3519</v>
      </c>
      <c r="H4849">
        <v>0.2</v>
      </c>
      <c r="I4849">
        <v>4.0999999999999996</v>
      </c>
      <c r="J4849">
        <v>8.1999999999999993</v>
      </c>
    </row>
    <row r="4850" spans="1:10" x14ac:dyDescent="0.25">
      <c r="A4850" t="s">
        <v>7375</v>
      </c>
      <c r="B4850" s="3">
        <v>44745</v>
      </c>
      <c r="C4850" t="s">
        <v>2128</v>
      </c>
      <c r="D4850" t="s">
        <v>3476</v>
      </c>
      <c r="E4850">
        <v>6</v>
      </c>
      <c r="F4850" t="s">
        <v>3525</v>
      </c>
      <c r="G4850" t="s">
        <v>3517</v>
      </c>
      <c r="H4850">
        <v>0.2</v>
      </c>
      <c r="I4850">
        <v>4.8</v>
      </c>
      <c r="J4850">
        <v>28.8</v>
      </c>
    </row>
    <row r="4851" spans="1:10" x14ac:dyDescent="0.25">
      <c r="A4851" t="s">
        <v>7376</v>
      </c>
      <c r="B4851" s="3">
        <v>45212</v>
      </c>
      <c r="C4851" t="s">
        <v>2723</v>
      </c>
      <c r="D4851" t="s">
        <v>3515</v>
      </c>
      <c r="E4851">
        <v>5</v>
      </c>
      <c r="F4851" t="s">
        <v>3526</v>
      </c>
      <c r="G4851" t="s">
        <v>3517</v>
      </c>
      <c r="H4851">
        <v>0.2</v>
      </c>
      <c r="I4851">
        <v>4.5</v>
      </c>
      <c r="J4851">
        <v>22.5</v>
      </c>
    </row>
    <row r="4852" spans="1:10" x14ac:dyDescent="0.25">
      <c r="A4852" t="s">
        <v>7377</v>
      </c>
      <c r="B4852" s="3">
        <v>44669</v>
      </c>
      <c r="C4852" t="s">
        <v>2727</v>
      </c>
      <c r="D4852" t="s">
        <v>3502</v>
      </c>
      <c r="E4852">
        <v>2</v>
      </c>
      <c r="F4852" t="s">
        <v>3526</v>
      </c>
      <c r="G4852" t="s">
        <v>3517</v>
      </c>
      <c r="H4852">
        <v>1</v>
      </c>
      <c r="I4852">
        <v>14.9</v>
      </c>
      <c r="J4852">
        <v>29.8</v>
      </c>
    </row>
    <row r="4853" spans="1:10" x14ac:dyDescent="0.25">
      <c r="A4853" t="s">
        <v>7378</v>
      </c>
      <c r="B4853" s="3">
        <v>44790</v>
      </c>
      <c r="C4853" t="s">
        <v>2494</v>
      </c>
      <c r="D4853" t="s">
        <v>3505</v>
      </c>
      <c r="E4853">
        <v>1</v>
      </c>
      <c r="F4853" t="s">
        <v>3524</v>
      </c>
      <c r="G4853" t="s">
        <v>3519</v>
      </c>
      <c r="H4853">
        <v>0.2</v>
      </c>
      <c r="I4853">
        <v>3</v>
      </c>
      <c r="J4853">
        <v>3</v>
      </c>
    </row>
    <row r="4854" spans="1:10" x14ac:dyDescent="0.25">
      <c r="A4854" t="s">
        <v>7379</v>
      </c>
      <c r="B4854" s="3">
        <v>45457</v>
      </c>
      <c r="C4854" t="s">
        <v>1000</v>
      </c>
      <c r="D4854" t="s">
        <v>3469</v>
      </c>
      <c r="E4854">
        <v>6</v>
      </c>
      <c r="F4854" t="s">
        <v>3524</v>
      </c>
      <c r="G4854" t="s">
        <v>3519</v>
      </c>
      <c r="H4854">
        <v>1</v>
      </c>
      <c r="I4854">
        <v>10</v>
      </c>
      <c r="J4854">
        <v>60</v>
      </c>
    </row>
    <row r="4855" spans="1:10" x14ac:dyDescent="0.25">
      <c r="A4855" t="s">
        <v>7380</v>
      </c>
      <c r="B4855" s="3">
        <v>45242</v>
      </c>
      <c r="C4855" t="s">
        <v>1743</v>
      </c>
      <c r="D4855" t="s">
        <v>3490</v>
      </c>
      <c r="E4855">
        <v>4</v>
      </c>
      <c r="F4855" t="s">
        <v>3525</v>
      </c>
      <c r="G4855" t="s">
        <v>3519</v>
      </c>
      <c r="H4855">
        <v>0.2</v>
      </c>
      <c r="I4855">
        <v>4.4000000000000004</v>
      </c>
      <c r="J4855">
        <v>17.600000000000001</v>
      </c>
    </row>
    <row r="4856" spans="1:10" x14ac:dyDescent="0.25">
      <c r="A4856" t="s">
        <v>7381</v>
      </c>
      <c r="B4856" s="3">
        <v>45034</v>
      </c>
      <c r="C4856" t="s">
        <v>2672</v>
      </c>
      <c r="D4856" t="s">
        <v>3476</v>
      </c>
      <c r="E4856">
        <v>3</v>
      </c>
      <c r="F4856" t="s">
        <v>3525</v>
      </c>
      <c r="G4856" t="s">
        <v>3517</v>
      </c>
      <c r="H4856">
        <v>0.2</v>
      </c>
      <c r="I4856">
        <v>4.8</v>
      </c>
      <c r="J4856">
        <v>14.4</v>
      </c>
    </row>
    <row r="4857" spans="1:10" x14ac:dyDescent="0.25">
      <c r="A4857" t="s">
        <v>7382</v>
      </c>
      <c r="B4857" s="3">
        <v>45501</v>
      </c>
      <c r="C4857" t="s">
        <v>2021</v>
      </c>
      <c r="D4857" t="s">
        <v>3487</v>
      </c>
      <c r="E4857">
        <v>2</v>
      </c>
      <c r="F4857" t="s">
        <v>3526</v>
      </c>
      <c r="G4857" t="s">
        <v>3519</v>
      </c>
      <c r="H4857">
        <v>0.2</v>
      </c>
      <c r="I4857">
        <v>4.0999999999999996</v>
      </c>
      <c r="J4857">
        <v>8.1999999999999993</v>
      </c>
    </row>
    <row r="4858" spans="1:10" x14ac:dyDescent="0.25">
      <c r="A4858" t="s">
        <v>7383</v>
      </c>
      <c r="B4858" s="3">
        <v>44679</v>
      </c>
      <c r="C4858" t="s">
        <v>1982</v>
      </c>
      <c r="D4858" t="s">
        <v>3510</v>
      </c>
      <c r="E4858">
        <v>1</v>
      </c>
      <c r="F4858" t="s">
        <v>3524</v>
      </c>
      <c r="G4858" t="s">
        <v>3517</v>
      </c>
      <c r="H4858">
        <v>1</v>
      </c>
      <c r="I4858">
        <v>12</v>
      </c>
      <c r="J4858">
        <v>12</v>
      </c>
    </row>
    <row r="4859" spans="1:10" x14ac:dyDescent="0.25">
      <c r="A4859" t="s">
        <v>7384</v>
      </c>
      <c r="B4859" s="3">
        <v>43857</v>
      </c>
      <c r="C4859" t="s">
        <v>2119</v>
      </c>
      <c r="D4859" t="s">
        <v>3489</v>
      </c>
      <c r="E4859">
        <v>4</v>
      </c>
      <c r="F4859" t="s">
        <v>3523</v>
      </c>
      <c r="G4859" t="s">
        <v>3518</v>
      </c>
      <c r="H4859">
        <v>0.5</v>
      </c>
      <c r="I4859">
        <v>6</v>
      </c>
      <c r="J4859">
        <v>24</v>
      </c>
    </row>
    <row r="4860" spans="1:10" x14ac:dyDescent="0.25">
      <c r="A4860" t="s">
        <v>7385</v>
      </c>
      <c r="B4860" s="3">
        <v>45427</v>
      </c>
      <c r="C4860" t="s">
        <v>947</v>
      </c>
      <c r="D4860" t="s">
        <v>3474</v>
      </c>
      <c r="E4860">
        <v>3</v>
      </c>
      <c r="F4860" t="s">
        <v>3525</v>
      </c>
      <c r="G4860" t="s">
        <v>3518</v>
      </c>
      <c r="H4860">
        <v>1</v>
      </c>
      <c r="I4860">
        <v>13</v>
      </c>
      <c r="J4860">
        <v>39</v>
      </c>
    </row>
    <row r="4861" spans="1:10" x14ac:dyDescent="0.25">
      <c r="A4861" t="s">
        <v>7386</v>
      </c>
      <c r="B4861" s="3">
        <v>44844</v>
      </c>
      <c r="C4861" t="s">
        <v>1485</v>
      </c>
      <c r="D4861" t="s">
        <v>3474</v>
      </c>
      <c r="E4861">
        <v>3</v>
      </c>
      <c r="F4861" t="s">
        <v>3525</v>
      </c>
      <c r="G4861" t="s">
        <v>3518</v>
      </c>
      <c r="H4861">
        <v>1</v>
      </c>
      <c r="I4861">
        <v>13</v>
      </c>
      <c r="J4861">
        <v>39</v>
      </c>
    </row>
    <row r="4862" spans="1:10" x14ac:dyDescent="0.25">
      <c r="A4862" t="s">
        <v>7387</v>
      </c>
      <c r="B4862" s="3">
        <v>44807</v>
      </c>
      <c r="C4862" t="s">
        <v>1309</v>
      </c>
      <c r="D4862" t="s">
        <v>3490</v>
      </c>
      <c r="E4862">
        <v>5</v>
      </c>
      <c r="F4862" t="s">
        <v>3525</v>
      </c>
      <c r="G4862" t="s">
        <v>3519</v>
      </c>
      <c r="H4862">
        <v>0.2</v>
      </c>
      <c r="I4862">
        <v>4.4000000000000004</v>
      </c>
      <c r="J4862">
        <v>22</v>
      </c>
    </row>
    <row r="4863" spans="1:10" x14ac:dyDescent="0.25">
      <c r="A4863" t="s">
        <v>7388</v>
      </c>
      <c r="B4863" s="3">
        <v>44955</v>
      </c>
      <c r="C4863" t="s">
        <v>2168</v>
      </c>
      <c r="D4863" t="s">
        <v>3475</v>
      </c>
      <c r="E4863">
        <v>2</v>
      </c>
      <c r="F4863" t="s">
        <v>3526</v>
      </c>
      <c r="G4863" t="s">
        <v>3518</v>
      </c>
      <c r="H4863">
        <v>0.5</v>
      </c>
      <c r="I4863">
        <v>7.3</v>
      </c>
      <c r="J4863">
        <v>14.6</v>
      </c>
    </row>
    <row r="4864" spans="1:10" x14ac:dyDescent="0.25">
      <c r="A4864" t="s">
        <v>7389</v>
      </c>
      <c r="B4864" s="3">
        <v>44676</v>
      </c>
      <c r="C4864" t="s">
        <v>2009</v>
      </c>
      <c r="D4864" t="s">
        <v>3511</v>
      </c>
      <c r="E4864">
        <v>3</v>
      </c>
      <c r="F4864" t="s">
        <v>3523</v>
      </c>
      <c r="G4864" t="s">
        <v>3517</v>
      </c>
      <c r="H4864">
        <v>0.5</v>
      </c>
      <c r="I4864">
        <v>7.8</v>
      </c>
      <c r="J4864">
        <v>23.4</v>
      </c>
    </row>
    <row r="4865" spans="1:10" x14ac:dyDescent="0.25">
      <c r="A4865" t="s">
        <v>7390</v>
      </c>
      <c r="B4865" s="3">
        <v>44891</v>
      </c>
      <c r="C4865" t="s">
        <v>2945</v>
      </c>
      <c r="D4865" t="s">
        <v>3478</v>
      </c>
      <c r="E4865">
        <v>3</v>
      </c>
      <c r="F4865" t="s">
        <v>3523</v>
      </c>
      <c r="G4865" t="s">
        <v>3518</v>
      </c>
      <c r="H4865">
        <v>1</v>
      </c>
      <c r="I4865">
        <v>10</v>
      </c>
      <c r="J4865">
        <v>30</v>
      </c>
    </row>
    <row r="4866" spans="1:10" x14ac:dyDescent="0.25">
      <c r="A4866" t="s">
        <v>7391</v>
      </c>
      <c r="B4866" s="3">
        <v>45471</v>
      </c>
      <c r="C4866" t="s">
        <v>3214</v>
      </c>
      <c r="D4866" t="s">
        <v>3497</v>
      </c>
      <c r="E4866">
        <v>1</v>
      </c>
      <c r="F4866" t="s">
        <v>3526</v>
      </c>
      <c r="G4866" t="s">
        <v>3519</v>
      </c>
      <c r="H4866">
        <v>2.5</v>
      </c>
      <c r="I4866">
        <v>31.6</v>
      </c>
      <c r="J4866">
        <v>31.6</v>
      </c>
    </row>
    <row r="4867" spans="1:10" x14ac:dyDescent="0.25">
      <c r="A4867" t="s">
        <v>7392</v>
      </c>
      <c r="B4867" s="3">
        <v>44496</v>
      </c>
      <c r="C4867" t="s">
        <v>1100</v>
      </c>
      <c r="D4867" t="s">
        <v>3504</v>
      </c>
      <c r="E4867">
        <v>1</v>
      </c>
      <c r="F4867" t="s">
        <v>3524</v>
      </c>
      <c r="G4867" t="s">
        <v>3517</v>
      </c>
      <c r="H4867">
        <v>0.5</v>
      </c>
      <c r="I4867">
        <v>7.2</v>
      </c>
      <c r="J4867">
        <v>7.2</v>
      </c>
    </row>
    <row r="4868" spans="1:10" x14ac:dyDescent="0.25">
      <c r="A4868" t="s">
        <v>7393</v>
      </c>
      <c r="B4868" s="3">
        <v>45373</v>
      </c>
      <c r="C4868" t="s">
        <v>3369</v>
      </c>
      <c r="D4868" t="s">
        <v>3471</v>
      </c>
      <c r="E4868">
        <v>1</v>
      </c>
      <c r="F4868" t="s">
        <v>3523</v>
      </c>
      <c r="G4868" t="s">
        <v>3517</v>
      </c>
      <c r="H4868">
        <v>1</v>
      </c>
      <c r="I4868">
        <v>13</v>
      </c>
      <c r="J4868">
        <v>13</v>
      </c>
    </row>
    <row r="4869" spans="1:10" x14ac:dyDescent="0.25">
      <c r="A4869" t="s">
        <v>7394</v>
      </c>
      <c r="B4869" s="3">
        <v>43817</v>
      </c>
      <c r="C4869" t="s">
        <v>2816</v>
      </c>
      <c r="D4869" t="s">
        <v>3476</v>
      </c>
      <c r="E4869">
        <v>3</v>
      </c>
      <c r="F4869" t="s">
        <v>3525</v>
      </c>
      <c r="G4869" t="s">
        <v>3517</v>
      </c>
      <c r="H4869">
        <v>0.2</v>
      </c>
      <c r="I4869">
        <v>4.8</v>
      </c>
      <c r="J4869">
        <v>14.4</v>
      </c>
    </row>
    <row r="4870" spans="1:10" x14ac:dyDescent="0.25">
      <c r="A4870" t="s">
        <v>7395</v>
      </c>
      <c r="B4870" s="3">
        <v>45036</v>
      </c>
      <c r="C4870" t="s">
        <v>2980</v>
      </c>
      <c r="D4870" t="s">
        <v>3489</v>
      </c>
      <c r="E4870">
        <v>3</v>
      </c>
      <c r="F4870" t="s">
        <v>3523</v>
      </c>
      <c r="G4870" t="s">
        <v>3518</v>
      </c>
      <c r="H4870">
        <v>0.5</v>
      </c>
      <c r="I4870">
        <v>6</v>
      </c>
      <c r="J4870">
        <v>18</v>
      </c>
    </row>
    <row r="4871" spans="1:10" x14ac:dyDescent="0.25">
      <c r="A4871" t="s">
        <v>7396</v>
      </c>
      <c r="B4871" s="3">
        <v>44739</v>
      </c>
      <c r="C4871" t="s">
        <v>1372</v>
      </c>
      <c r="D4871" t="s">
        <v>3496</v>
      </c>
      <c r="E4871">
        <v>5</v>
      </c>
      <c r="F4871" t="s">
        <v>3525</v>
      </c>
      <c r="G4871" t="s">
        <v>3518</v>
      </c>
      <c r="H4871">
        <v>2.5</v>
      </c>
      <c r="I4871">
        <v>29.8</v>
      </c>
      <c r="J4871">
        <v>149</v>
      </c>
    </row>
    <row r="4872" spans="1:10" x14ac:dyDescent="0.25">
      <c r="A4872" t="s">
        <v>7397</v>
      </c>
      <c r="B4872" s="3">
        <v>45083</v>
      </c>
      <c r="C4872" t="s">
        <v>1550</v>
      </c>
      <c r="D4872" t="s">
        <v>3502</v>
      </c>
      <c r="E4872">
        <v>2</v>
      </c>
      <c r="F4872" t="s">
        <v>3526</v>
      </c>
      <c r="G4872" t="s">
        <v>3517</v>
      </c>
      <c r="H4872">
        <v>1</v>
      </c>
      <c r="I4872">
        <v>14.9</v>
      </c>
      <c r="J4872">
        <v>29.8</v>
      </c>
    </row>
    <row r="4873" spans="1:10" x14ac:dyDescent="0.25">
      <c r="A4873" t="s">
        <v>7398</v>
      </c>
      <c r="B4873" s="3">
        <v>44378</v>
      </c>
      <c r="C4873" t="s">
        <v>2992</v>
      </c>
      <c r="D4873" t="s">
        <v>3500</v>
      </c>
      <c r="E4873">
        <v>6</v>
      </c>
      <c r="F4873" t="s">
        <v>3525</v>
      </c>
      <c r="G4873" t="s">
        <v>3518</v>
      </c>
      <c r="H4873">
        <v>0.5</v>
      </c>
      <c r="I4873">
        <v>7.8</v>
      </c>
      <c r="J4873">
        <v>46.8</v>
      </c>
    </row>
    <row r="4874" spans="1:10" x14ac:dyDescent="0.25">
      <c r="A4874" t="s">
        <v>7399</v>
      </c>
      <c r="B4874" s="3">
        <v>44323</v>
      </c>
      <c r="C4874" t="s">
        <v>2426</v>
      </c>
      <c r="D4874" t="s">
        <v>3499</v>
      </c>
      <c r="E4874">
        <v>2</v>
      </c>
      <c r="F4874" t="s">
        <v>3523</v>
      </c>
      <c r="G4874" t="s">
        <v>3518</v>
      </c>
      <c r="H4874">
        <v>2.5</v>
      </c>
      <c r="I4874">
        <v>22.9</v>
      </c>
      <c r="J4874">
        <v>45.8</v>
      </c>
    </row>
    <row r="4875" spans="1:10" x14ac:dyDescent="0.25">
      <c r="A4875" t="s">
        <v>7400</v>
      </c>
      <c r="B4875" s="3">
        <v>45245</v>
      </c>
      <c r="C4875" t="s">
        <v>1794</v>
      </c>
      <c r="D4875" t="s">
        <v>3484</v>
      </c>
      <c r="E4875">
        <v>4</v>
      </c>
      <c r="F4875" t="s">
        <v>3526</v>
      </c>
      <c r="G4875" t="s">
        <v>3518</v>
      </c>
      <c r="H4875">
        <v>0.2</v>
      </c>
      <c r="I4875">
        <v>3.6</v>
      </c>
      <c r="J4875">
        <v>14.4</v>
      </c>
    </row>
    <row r="4876" spans="1:10" x14ac:dyDescent="0.25">
      <c r="A4876" t="s">
        <v>7401</v>
      </c>
      <c r="B4876" s="3">
        <v>43983</v>
      </c>
      <c r="C4876" t="s">
        <v>2378</v>
      </c>
      <c r="D4876" t="s">
        <v>3488</v>
      </c>
      <c r="E4876">
        <v>1</v>
      </c>
      <c r="F4876" t="s">
        <v>3523</v>
      </c>
      <c r="G4876" t="s">
        <v>3519</v>
      </c>
      <c r="H4876">
        <v>0.5</v>
      </c>
      <c r="I4876">
        <v>6.8</v>
      </c>
      <c r="J4876">
        <v>6.8</v>
      </c>
    </row>
    <row r="4877" spans="1:10" x14ac:dyDescent="0.25">
      <c r="A4877" t="s">
        <v>7402</v>
      </c>
      <c r="B4877" s="3">
        <v>45043</v>
      </c>
      <c r="C4877" t="s">
        <v>3095</v>
      </c>
      <c r="D4877" t="s">
        <v>3512</v>
      </c>
      <c r="E4877">
        <v>6</v>
      </c>
      <c r="F4877" t="s">
        <v>3525</v>
      </c>
      <c r="G4877" t="s">
        <v>3519</v>
      </c>
      <c r="H4877">
        <v>2.5</v>
      </c>
      <c r="I4877">
        <v>33.5</v>
      </c>
      <c r="J4877">
        <v>201</v>
      </c>
    </row>
    <row r="4878" spans="1:10" x14ac:dyDescent="0.25">
      <c r="A4878" t="s">
        <v>7403</v>
      </c>
      <c r="B4878" s="3">
        <v>45596</v>
      </c>
      <c r="C4878" t="s">
        <v>1038</v>
      </c>
      <c r="D4878" t="s">
        <v>3499</v>
      </c>
      <c r="E4878">
        <v>6</v>
      </c>
      <c r="F4878" t="s">
        <v>3523</v>
      </c>
      <c r="G4878" t="s">
        <v>3518</v>
      </c>
      <c r="H4878">
        <v>2.5</v>
      </c>
      <c r="I4878">
        <v>22.9</v>
      </c>
      <c r="J4878">
        <v>137.4</v>
      </c>
    </row>
    <row r="4879" spans="1:10" x14ac:dyDescent="0.25">
      <c r="A4879" t="s">
        <v>7404</v>
      </c>
      <c r="B4879" s="3">
        <v>43850</v>
      </c>
      <c r="C4879" t="s">
        <v>787</v>
      </c>
      <c r="D4879" t="s">
        <v>3480</v>
      </c>
      <c r="E4879">
        <v>3</v>
      </c>
      <c r="F4879" t="s">
        <v>3524</v>
      </c>
      <c r="G4879" t="s">
        <v>3518</v>
      </c>
      <c r="H4879">
        <v>2.5</v>
      </c>
      <c r="I4879">
        <v>20.6</v>
      </c>
      <c r="J4879">
        <v>61.8</v>
      </c>
    </row>
    <row r="4880" spans="1:10" x14ac:dyDescent="0.25">
      <c r="A4880" t="s">
        <v>7405</v>
      </c>
      <c r="B4880" s="3">
        <v>44941</v>
      </c>
      <c r="C4880" t="s">
        <v>1705</v>
      </c>
      <c r="D4880" t="s">
        <v>3472</v>
      </c>
      <c r="E4880">
        <v>1</v>
      </c>
      <c r="F4880" t="s">
        <v>3526</v>
      </c>
      <c r="G4880" t="s">
        <v>3519</v>
      </c>
      <c r="H4880">
        <v>1</v>
      </c>
      <c r="I4880">
        <v>13.8</v>
      </c>
      <c r="J4880">
        <v>13.8</v>
      </c>
    </row>
    <row r="4881" spans="1:10" x14ac:dyDescent="0.25">
      <c r="A4881" t="s">
        <v>7406</v>
      </c>
      <c r="B4881" s="3">
        <v>44996</v>
      </c>
      <c r="C4881" t="s">
        <v>2320</v>
      </c>
      <c r="D4881" t="s">
        <v>3477</v>
      </c>
      <c r="E4881">
        <v>4</v>
      </c>
      <c r="F4881" t="s">
        <v>3524</v>
      </c>
      <c r="G4881" t="s">
        <v>3519</v>
      </c>
      <c r="H4881">
        <v>0.5</v>
      </c>
      <c r="I4881">
        <v>6</v>
      </c>
      <c r="J4881">
        <v>24</v>
      </c>
    </row>
    <row r="4882" spans="1:10" x14ac:dyDescent="0.25">
      <c r="A4882" t="s">
        <v>7407</v>
      </c>
      <c r="B4882" s="3">
        <v>44706</v>
      </c>
      <c r="C4882" t="s">
        <v>1354</v>
      </c>
      <c r="D4882" t="s">
        <v>3488</v>
      </c>
      <c r="E4882">
        <v>3</v>
      </c>
      <c r="F4882" t="s">
        <v>3523</v>
      </c>
      <c r="G4882" t="s">
        <v>3519</v>
      </c>
      <c r="H4882">
        <v>0.5</v>
      </c>
      <c r="I4882">
        <v>6.8</v>
      </c>
      <c r="J4882">
        <v>20.399999999999999</v>
      </c>
    </row>
    <row r="4883" spans="1:10" x14ac:dyDescent="0.25">
      <c r="A4883" t="s">
        <v>7408</v>
      </c>
      <c r="B4883" s="3">
        <v>44744</v>
      </c>
      <c r="C4883" t="s">
        <v>3452</v>
      </c>
      <c r="D4883" t="s">
        <v>3476</v>
      </c>
      <c r="E4883">
        <v>6</v>
      </c>
      <c r="F4883" t="s">
        <v>3525</v>
      </c>
      <c r="G4883" t="s">
        <v>3517</v>
      </c>
      <c r="H4883">
        <v>0.2</v>
      </c>
      <c r="I4883">
        <v>4.8</v>
      </c>
      <c r="J4883">
        <v>28.8</v>
      </c>
    </row>
    <row r="4884" spans="1:10" x14ac:dyDescent="0.25">
      <c r="A4884" t="s">
        <v>7409</v>
      </c>
      <c r="B4884" s="3">
        <v>44699</v>
      </c>
      <c r="C4884" t="s">
        <v>2021</v>
      </c>
      <c r="D4884" t="s">
        <v>3476</v>
      </c>
      <c r="E4884">
        <v>2</v>
      </c>
      <c r="F4884" t="s">
        <v>3525</v>
      </c>
      <c r="G4884" t="s">
        <v>3517</v>
      </c>
      <c r="H4884">
        <v>0.2</v>
      </c>
      <c r="I4884">
        <v>4.8</v>
      </c>
      <c r="J4884">
        <v>9.6</v>
      </c>
    </row>
    <row r="4885" spans="1:10" x14ac:dyDescent="0.25">
      <c r="A4885" t="s">
        <v>7410</v>
      </c>
      <c r="B4885" s="3">
        <v>44980</v>
      </c>
      <c r="C4885" t="s">
        <v>3211</v>
      </c>
      <c r="D4885" t="s">
        <v>3475</v>
      </c>
      <c r="E4885">
        <v>6</v>
      </c>
      <c r="F4885" t="s">
        <v>3526</v>
      </c>
      <c r="G4885" t="s">
        <v>3518</v>
      </c>
      <c r="H4885">
        <v>0.5</v>
      </c>
      <c r="I4885">
        <v>7.3</v>
      </c>
      <c r="J4885">
        <v>43.8</v>
      </c>
    </row>
    <row r="4886" spans="1:10" x14ac:dyDescent="0.25">
      <c r="A4886" t="s">
        <v>7411</v>
      </c>
      <c r="B4886" s="3">
        <v>45600</v>
      </c>
      <c r="C4886" t="s">
        <v>1354</v>
      </c>
      <c r="D4886" t="s">
        <v>3481</v>
      </c>
      <c r="E4886">
        <v>2</v>
      </c>
      <c r="F4886" t="s">
        <v>3525</v>
      </c>
      <c r="G4886" t="s">
        <v>3518</v>
      </c>
      <c r="H4886">
        <v>0.2</v>
      </c>
      <c r="I4886">
        <v>3.9</v>
      </c>
      <c r="J4886">
        <v>7.8</v>
      </c>
    </row>
    <row r="4887" spans="1:10" x14ac:dyDescent="0.25">
      <c r="A4887" t="s">
        <v>7412</v>
      </c>
      <c r="B4887" s="3">
        <v>45349</v>
      </c>
      <c r="C4887" t="s">
        <v>623</v>
      </c>
      <c r="D4887" t="s">
        <v>3510</v>
      </c>
      <c r="E4887">
        <v>3</v>
      </c>
      <c r="F4887" t="s">
        <v>3524</v>
      </c>
      <c r="G4887" t="s">
        <v>3517</v>
      </c>
      <c r="H4887">
        <v>1</v>
      </c>
      <c r="I4887">
        <v>12</v>
      </c>
      <c r="J4887">
        <v>36</v>
      </c>
    </row>
    <row r="4888" spans="1:10" x14ac:dyDescent="0.25">
      <c r="A4888" t="s">
        <v>7413</v>
      </c>
      <c r="B4888" s="3">
        <v>44800</v>
      </c>
      <c r="C4888" t="s">
        <v>2435</v>
      </c>
      <c r="D4888" t="s">
        <v>3515</v>
      </c>
      <c r="E4888">
        <v>5</v>
      </c>
      <c r="F4888" t="s">
        <v>3526</v>
      </c>
      <c r="G4888" t="s">
        <v>3517</v>
      </c>
      <c r="H4888">
        <v>0.2</v>
      </c>
      <c r="I4888">
        <v>4.5</v>
      </c>
      <c r="J4888">
        <v>22.5</v>
      </c>
    </row>
    <row r="4889" spans="1:10" x14ac:dyDescent="0.25">
      <c r="A4889" t="s">
        <v>7414</v>
      </c>
      <c r="B4889" s="3">
        <v>45407</v>
      </c>
      <c r="C4889" t="s">
        <v>2186</v>
      </c>
      <c r="D4889" t="s">
        <v>3486</v>
      </c>
      <c r="E4889">
        <v>2</v>
      </c>
      <c r="F4889" t="s">
        <v>3523</v>
      </c>
      <c r="G4889" t="s">
        <v>3519</v>
      </c>
      <c r="H4889">
        <v>1</v>
      </c>
      <c r="I4889">
        <v>11.3</v>
      </c>
      <c r="J4889">
        <v>22.6</v>
      </c>
    </row>
    <row r="4890" spans="1:10" x14ac:dyDescent="0.25">
      <c r="A4890" t="s">
        <v>7415</v>
      </c>
      <c r="B4890" s="3">
        <v>44527</v>
      </c>
      <c r="C4890" t="s">
        <v>811</v>
      </c>
      <c r="D4890" t="s">
        <v>3476</v>
      </c>
      <c r="E4890">
        <v>5</v>
      </c>
      <c r="F4890" t="s">
        <v>3525</v>
      </c>
      <c r="G4890" t="s">
        <v>3517</v>
      </c>
      <c r="H4890">
        <v>0.2</v>
      </c>
      <c r="I4890">
        <v>4.8</v>
      </c>
      <c r="J4890">
        <v>24</v>
      </c>
    </row>
    <row r="4891" spans="1:10" x14ac:dyDescent="0.25">
      <c r="A4891" t="s">
        <v>7416</v>
      </c>
      <c r="B4891" s="3">
        <v>43563</v>
      </c>
      <c r="C4891" t="s">
        <v>2296</v>
      </c>
      <c r="D4891" t="s">
        <v>3502</v>
      </c>
      <c r="E4891">
        <v>3</v>
      </c>
      <c r="F4891" t="s">
        <v>3526</v>
      </c>
      <c r="G4891" t="s">
        <v>3517</v>
      </c>
      <c r="H4891">
        <v>1</v>
      </c>
      <c r="I4891">
        <v>14.9</v>
      </c>
      <c r="J4891">
        <v>44.7</v>
      </c>
    </row>
    <row r="4892" spans="1:10" x14ac:dyDescent="0.25">
      <c r="A4892" t="s">
        <v>7417</v>
      </c>
      <c r="B4892" s="3">
        <v>45107</v>
      </c>
      <c r="C4892" t="s">
        <v>1723</v>
      </c>
      <c r="D4892" t="s">
        <v>3490</v>
      </c>
      <c r="E4892">
        <v>1</v>
      </c>
      <c r="F4892" t="s">
        <v>3525</v>
      </c>
      <c r="G4892" t="s">
        <v>3519</v>
      </c>
      <c r="H4892">
        <v>0.2</v>
      </c>
      <c r="I4892">
        <v>4.4000000000000004</v>
      </c>
      <c r="J4892">
        <v>4.4000000000000004</v>
      </c>
    </row>
    <row r="4893" spans="1:10" x14ac:dyDescent="0.25">
      <c r="A4893" t="s">
        <v>7418</v>
      </c>
      <c r="B4893" s="3">
        <v>43826</v>
      </c>
      <c r="C4893" t="s">
        <v>502</v>
      </c>
      <c r="D4893" t="s">
        <v>3499</v>
      </c>
      <c r="E4893">
        <v>5</v>
      </c>
      <c r="F4893" t="s">
        <v>3523</v>
      </c>
      <c r="G4893" t="s">
        <v>3518</v>
      </c>
      <c r="H4893">
        <v>2.5</v>
      </c>
      <c r="I4893">
        <v>22.9</v>
      </c>
      <c r="J4893">
        <v>114.5</v>
      </c>
    </row>
    <row r="4894" spans="1:10" x14ac:dyDescent="0.25">
      <c r="A4894" t="s">
        <v>7419</v>
      </c>
      <c r="B4894" s="3">
        <v>45375</v>
      </c>
      <c r="C4894" t="s">
        <v>2462</v>
      </c>
      <c r="D4894" t="s">
        <v>3482</v>
      </c>
      <c r="E4894">
        <v>4</v>
      </c>
      <c r="F4894" t="s">
        <v>3524</v>
      </c>
      <c r="G4894" t="s">
        <v>3519</v>
      </c>
      <c r="H4894">
        <v>2.5</v>
      </c>
      <c r="I4894">
        <v>22.9</v>
      </c>
      <c r="J4894">
        <v>91.6</v>
      </c>
    </row>
    <row r="4895" spans="1:10" x14ac:dyDescent="0.25">
      <c r="A4895" t="s">
        <v>7420</v>
      </c>
      <c r="B4895" s="3">
        <v>44676</v>
      </c>
      <c r="C4895" t="s">
        <v>921</v>
      </c>
      <c r="D4895" t="s">
        <v>3515</v>
      </c>
      <c r="E4895">
        <v>3</v>
      </c>
      <c r="F4895" t="s">
        <v>3526</v>
      </c>
      <c r="G4895" t="s">
        <v>3517</v>
      </c>
      <c r="H4895">
        <v>0.2</v>
      </c>
      <c r="I4895">
        <v>4.5</v>
      </c>
      <c r="J4895">
        <v>13.5</v>
      </c>
    </row>
    <row r="4896" spans="1:10" x14ac:dyDescent="0.25">
      <c r="A4896" t="s">
        <v>7421</v>
      </c>
      <c r="B4896" s="3">
        <v>44519</v>
      </c>
      <c r="C4896" t="s">
        <v>1752</v>
      </c>
      <c r="D4896" t="s">
        <v>3493</v>
      </c>
      <c r="E4896">
        <v>3</v>
      </c>
      <c r="F4896" t="s">
        <v>3525</v>
      </c>
      <c r="G4896" t="s">
        <v>3519</v>
      </c>
      <c r="H4896">
        <v>1</v>
      </c>
      <c r="I4896">
        <v>14.6</v>
      </c>
      <c r="J4896">
        <v>43.8</v>
      </c>
    </row>
    <row r="4897" spans="1:10" x14ac:dyDescent="0.25">
      <c r="A4897" t="s">
        <v>7422</v>
      </c>
      <c r="B4897" s="3">
        <v>44821</v>
      </c>
      <c r="C4897" t="s">
        <v>1842</v>
      </c>
      <c r="D4897" t="s">
        <v>3476</v>
      </c>
      <c r="E4897">
        <v>5</v>
      </c>
      <c r="F4897" t="s">
        <v>3525</v>
      </c>
      <c r="G4897" t="s">
        <v>3517</v>
      </c>
      <c r="H4897">
        <v>0.2</v>
      </c>
      <c r="I4897">
        <v>4.8</v>
      </c>
      <c r="J4897">
        <v>24</v>
      </c>
    </row>
    <row r="4898" spans="1:10" x14ac:dyDescent="0.25">
      <c r="A4898" t="s">
        <v>7423</v>
      </c>
      <c r="B4898" s="3">
        <v>45141</v>
      </c>
      <c r="C4898" t="s">
        <v>1296</v>
      </c>
      <c r="D4898" t="s">
        <v>3484</v>
      </c>
      <c r="E4898">
        <v>6</v>
      </c>
      <c r="F4898" t="s">
        <v>3526</v>
      </c>
      <c r="G4898" t="s">
        <v>3518</v>
      </c>
      <c r="H4898">
        <v>0.2</v>
      </c>
      <c r="I4898">
        <v>3.6</v>
      </c>
      <c r="J4898">
        <v>21.6</v>
      </c>
    </row>
    <row r="4899" spans="1:10" x14ac:dyDescent="0.25">
      <c r="A4899" t="s">
        <v>7424</v>
      </c>
      <c r="B4899" s="3">
        <v>44795</v>
      </c>
      <c r="C4899" t="s">
        <v>1860</v>
      </c>
      <c r="D4899" t="s">
        <v>3469</v>
      </c>
      <c r="E4899">
        <v>1</v>
      </c>
      <c r="F4899" t="s">
        <v>3524</v>
      </c>
      <c r="G4899" t="s">
        <v>3519</v>
      </c>
      <c r="H4899">
        <v>1</v>
      </c>
      <c r="I4899">
        <v>10</v>
      </c>
      <c r="J4899">
        <v>10</v>
      </c>
    </row>
    <row r="4900" spans="1:10" x14ac:dyDescent="0.25">
      <c r="A4900" t="s">
        <v>7425</v>
      </c>
      <c r="B4900" s="3">
        <v>45110</v>
      </c>
      <c r="C4900" t="s">
        <v>3234</v>
      </c>
      <c r="D4900" t="s">
        <v>3494</v>
      </c>
      <c r="E4900">
        <v>6</v>
      </c>
      <c r="F4900" t="s">
        <v>3524</v>
      </c>
      <c r="G4900" t="s">
        <v>3518</v>
      </c>
      <c r="H4900">
        <v>0.2</v>
      </c>
      <c r="I4900">
        <v>2.7</v>
      </c>
      <c r="J4900">
        <v>16.2</v>
      </c>
    </row>
    <row r="4901" spans="1:10" x14ac:dyDescent="0.25">
      <c r="A4901" t="s">
        <v>7426</v>
      </c>
      <c r="B4901" s="3">
        <v>44906</v>
      </c>
      <c r="C4901" t="s">
        <v>745</v>
      </c>
      <c r="D4901" t="s">
        <v>3486</v>
      </c>
      <c r="E4901">
        <v>4</v>
      </c>
      <c r="F4901" t="s">
        <v>3523</v>
      </c>
      <c r="G4901" t="s">
        <v>3519</v>
      </c>
      <c r="H4901">
        <v>1</v>
      </c>
      <c r="I4901">
        <v>11.3</v>
      </c>
      <c r="J4901">
        <v>45.2</v>
      </c>
    </row>
    <row r="4902" spans="1:10" x14ac:dyDescent="0.25">
      <c r="A4902" t="s">
        <v>7427</v>
      </c>
      <c r="B4902" s="3">
        <v>44955</v>
      </c>
      <c r="C4902" t="s">
        <v>1825</v>
      </c>
      <c r="D4902" t="s">
        <v>3504</v>
      </c>
      <c r="E4902">
        <v>6</v>
      </c>
      <c r="F4902" t="s">
        <v>3524</v>
      </c>
      <c r="G4902" t="s">
        <v>3517</v>
      </c>
      <c r="H4902">
        <v>0.5</v>
      </c>
      <c r="I4902">
        <v>7.2</v>
      </c>
      <c r="J4902">
        <v>43.2</v>
      </c>
    </row>
    <row r="4903" spans="1:10" x14ac:dyDescent="0.25">
      <c r="A4903" t="s">
        <v>7428</v>
      </c>
      <c r="B4903" s="3">
        <v>44278</v>
      </c>
      <c r="C4903" t="s">
        <v>2503</v>
      </c>
      <c r="D4903" t="s">
        <v>3504</v>
      </c>
      <c r="E4903">
        <v>4</v>
      </c>
      <c r="F4903" t="s">
        <v>3524</v>
      </c>
      <c r="G4903" t="s">
        <v>3517</v>
      </c>
      <c r="H4903">
        <v>0.5</v>
      </c>
      <c r="I4903">
        <v>7.2</v>
      </c>
      <c r="J4903">
        <v>28.8</v>
      </c>
    </row>
    <row r="4904" spans="1:10" x14ac:dyDescent="0.25">
      <c r="A4904" t="s">
        <v>7429</v>
      </c>
      <c r="B4904" s="3">
        <v>45492</v>
      </c>
      <c r="C4904" t="s">
        <v>1622</v>
      </c>
      <c r="D4904" t="s">
        <v>3481</v>
      </c>
      <c r="E4904">
        <v>3</v>
      </c>
      <c r="F4904" t="s">
        <v>3525</v>
      </c>
      <c r="G4904" t="s">
        <v>3518</v>
      </c>
      <c r="H4904">
        <v>0.2</v>
      </c>
      <c r="I4904">
        <v>3.9</v>
      </c>
      <c r="J4904">
        <v>11.7</v>
      </c>
    </row>
    <row r="4905" spans="1:10" x14ac:dyDescent="0.25">
      <c r="A4905" t="s">
        <v>7430</v>
      </c>
      <c r="B4905" s="3">
        <v>44921</v>
      </c>
      <c r="C4905" t="s">
        <v>1896</v>
      </c>
      <c r="D4905" t="s">
        <v>3475</v>
      </c>
      <c r="E4905">
        <v>6</v>
      </c>
      <c r="F4905" t="s">
        <v>3526</v>
      </c>
      <c r="G4905" t="s">
        <v>3518</v>
      </c>
      <c r="H4905">
        <v>0.5</v>
      </c>
      <c r="I4905">
        <v>7.3</v>
      </c>
      <c r="J4905">
        <v>43.8</v>
      </c>
    </row>
    <row r="4906" spans="1:10" x14ac:dyDescent="0.25">
      <c r="A4906" t="s">
        <v>7431</v>
      </c>
      <c r="B4906" s="3">
        <v>45524</v>
      </c>
      <c r="C4906" t="s">
        <v>1056</v>
      </c>
      <c r="D4906" t="s">
        <v>3485</v>
      </c>
      <c r="E4906">
        <v>3</v>
      </c>
      <c r="F4906" t="s">
        <v>3523</v>
      </c>
      <c r="G4906" t="s">
        <v>3518</v>
      </c>
      <c r="H4906">
        <v>0.2</v>
      </c>
      <c r="I4906">
        <v>3</v>
      </c>
      <c r="J4906">
        <v>9</v>
      </c>
    </row>
    <row r="4907" spans="1:10" x14ac:dyDescent="0.25">
      <c r="A4907" t="s">
        <v>7432</v>
      </c>
      <c r="B4907" s="3">
        <v>43499</v>
      </c>
      <c r="C4907" t="s">
        <v>2476</v>
      </c>
      <c r="D4907" t="s">
        <v>3471</v>
      </c>
      <c r="E4907">
        <v>3</v>
      </c>
      <c r="F4907" t="s">
        <v>3523</v>
      </c>
      <c r="G4907" t="s">
        <v>3517</v>
      </c>
      <c r="H4907">
        <v>1</v>
      </c>
      <c r="I4907">
        <v>13</v>
      </c>
      <c r="J4907">
        <v>39</v>
      </c>
    </row>
    <row r="4908" spans="1:10" x14ac:dyDescent="0.25">
      <c r="A4908" t="s">
        <v>7433</v>
      </c>
      <c r="B4908" s="3">
        <v>43996</v>
      </c>
      <c r="C4908" t="s">
        <v>3054</v>
      </c>
      <c r="D4908" t="s">
        <v>3486</v>
      </c>
      <c r="E4908">
        <v>6</v>
      </c>
      <c r="F4908" t="s">
        <v>3523</v>
      </c>
      <c r="G4908" t="s">
        <v>3519</v>
      </c>
      <c r="H4908">
        <v>1</v>
      </c>
      <c r="I4908">
        <v>11.3</v>
      </c>
      <c r="J4908">
        <v>67.8</v>
      </c>
    </row>
    <row r="4909" spans="1:10" x14ac:dyDescent="0.25">
      <c r="A4909" t="s">
        <v>7434</v>
      </c>
      <c r="B4909" s="3">
        <v>43512</v>
      </c>
      <c r="C4909" t="s">
        <v>2287</v>
      </c>
      <c r="D4909" t="s">
        <v>3481</v>
      </c>
      <c r="E4909">
        <v>4</v>
      </c>
      <c r="F4909" t="s">
        <v>3525</v>
      </c>
      <c r="G4909" t="s">
        <v>3518</v>
      </c>
      <c r="H4909">
        <v>0.2</v>
      </c>
      <c r="I4909">
        <v>3.9</v>
      </c>
      <c r="J4909">
        <v>15.6</v>
      </c>
    </row>
    <row r="4910" spans="1:10" x14ac:dyDescent="0.25">
      <c r="A4910" t="s">
        <v>7435</v>
      </c>
      <c r="B4910" s="3">
        <v>44671</v>
      </c>
      <c r="C4910" t="s">
        <v>2518</v>
      </c>
      <c r="D4910" t="s">
        <v>3486</v>
      </c>
      <c r="E4910">
        <v>2</v>
      </c>
      <c r="F4910" t="s">
        <v>3523</v>
      </c>
      <c r="G4910" t="s">
        <v>3519</v>
      </c>
      <c r="H4910">
        <v>1</v>
      </c>
      <c r="I4910">
        <v>11.3</v>
      </c>
      <c r="J4910">
        <v>22.6</v>
      </c>
    </row>
    <row r="4911" spans="1:10" x14ac:dyDescent="0.25">
      <c r="A4911" t="s">
        <v>7436</v>
      </c>
      <c r="B4911" s="3">
        <v>45077</v>
      </c>
      <c r="C4911" t="s">
        <v>1047</v>
      </c>
      <c r="D4911" t="s">
        <v>3503</v>
      </c>
      <c r="E4911">
        <v>5</v>
      </c>
      <c r="F4911" t="s">
        <v>3524</v>
      </c>
      <c r="G4911" t="s">
        <v>3518</v>
      </c>
      <c r="H4911">
        <v>0.5</v>
      </c>
      <c r="I4911">
        <v>5.4</v>
      </c>
      <c r="J4911">
        <v>27</v>
      </c>
    </row>
    <row r="4912" spans="1:10" x14ac:dyDescent="0.25">
      <c r="A4912" t="s">
        <v>7437</v>
      </c>
      <c r="B4912" s="3">
        <v>45578</v>
      </c>
      <c r="C4912" t="s">
        <v>2239</v>
      </c>
      <c r="D4912" t="s">
        <v>3514</v>
      </c>
      <c r="E4912">
        <v>3</v>
      </c>
      <c r="F4912" t="s">
        <v>3526</v>
      </c>
      <c r="G4912" t="s">
        <v>3518</v>
      </c>
      <c r="H4912">
        <v>1</v>
      </c>
      <c r="I4912">
        <v>12.2</v>
      </c>
      <c r="J4912">
        <v>36.6</v>
      </c>
    </row>
    <row r="4913" spans="1:10" x14ac:dyDescent="0.25">
      <c r="A4913" t="s">
        <v>7438</v>
      </c>
      <c r="B4913" s="3">
        <v>43809</v>
      </c>
      <c r="C4913" t="s">
        <v>2218</v>
      </c>
      <c r="D4913" t="s">
        <v>3481</v>
      </c>
      <c r="E4913">
        <v>6</v>
      </c>
      <c r="F4913" t="s">
        <v>3525</v>
      </c>
      <c r="G4913" t="s">
        <v>3518</v>
      </c>
      <c r="H4913">
        <v>0.2</v>
      </c>
      <c r="I4913">
        <v>3.9</v>
      </c>
      <c r="J4913">
        <v>23.4</v>
      </c>
    </row>
    <row r="4914" spans="1:10" x14ac:dyDescent="0.25">
      <c r="A4914" t="s">
        <v>7439</v>
      </c>
      <c r="B4914" s="3">
        <v>45574</v>
      </c>
      <c r="C4914" t="s">
        <v>1631</v>
      </c>
      <c r="D4914" t="s">
        <v>3512</v>
      </c>
      <c r="E4914">
        <v>2</v>
      </c>
      <c r="F4914" t="s">
        <v>3525</v>
      </c>
      <c r="G4914" t="s">
        <v>3519</v>
      </c>
      <c r="H4914">
        <v>2.5</v>
      </c>
      <c r="I4914">
        <v>33.5</v>
      </c>
      <c r="J4914">
        <v>67</v>
      </c>
    </row>
    <row r="4915" spans="1:10" x14ac:dyDescent="0.25">
      <c r="A4915" t="s">
        <v>7440</v>
      </c>
      <c r="B4915" s="3">
        <v>45577</v>
      </c>
      <c r="C4915" t="s">
        <v>2666</v>
      </c>
      <c r="D4915" t="s">
        <v>3494</v>
      </c>
      <c r="E4915">
        <v>6</v>
      </c>
      <c r="F4915" t="s">
        <v>3524</v>
      </c>
      <c r="G4915" t="s">
        <v>3518</v>
      </c>
      <c r="H4915">
        <v>0.2</v>
      </c>
      <c r="I4915">
        <v>2.7</v>
      </c>
      <c r="J4915">
        <v>16.2</v>
      </c>
    </row>
    <row r="4916" spans="1:10" x14ac:dyDescent="0.25">
      <c r="A4916" t="s">
        <v>7441</v>
      </c>
      <c r="B4916" s="3">
        <v>43874</v>
      </c>
      <c r="C4916" t="s">
        <v>841</v>
      </c>
      <c r="D4916" t="s">
        <v>3502</v>
      </c>
      <c r="E4916">
        <v>5</v>
      </c>
      <c r="F4916" t="s">
        <v>3526</v>
      </c>
      <c r="G4916" t="s">
        <v>3517</v>
      </c>
      <c r="H4916">
        <v>1</v>
      </c>
      <c r="I4916">
        <v>14.9</v>
      </c>
      <c r="J4916">
        <v>74.5</v>
      </c>
    </row>
    <row r="4917" spans="1:10" x14ac:dyDescent="0.25">
      <c r="A4917" t="s">
        <v>7442</v>
      </c>
      <c r="B4917" s="3">
        <v>45017</v>
      </c>
      <c r="C4917" t="s">
        <v>1979</v>
      </c>
      <c r="D4917" t="s">
        <v>3476</v>
      </c>
      <c r="E4917">
        <v>2</v>
      </c>
      <c r="F4917" t="s">
        <v>3525</v>
      </c>
      <c r="G4917" t="s">
        <v>3517</v>
      </c>
      <c r="H4917">
        <v>0.2</v>
      </c>
      <c r="I4917">
        <v>4.8</v>
      </c>
      <c r="J4917">
        <v>9.6</v>
      </c>
    </row>
    <row r="4918" spans="1:10" x14ac:dyDescent="0.25">
      <c r="A4918" t="s">
        <v>7443</v>
      </c>
      <c r="B4918" s="3">
        <v>44029</v>
      </c>
      <c r="C4918" t="s">
        <v>2441</v>
      </c>
      <c r="D4918" t="s">
        <v>3495</v>
      </c>
      <c r="E4918">
        <v>3</v>
      </c>
      <c r="F4918" t="s">
        <v>3525</v>
      </c>
      <c r="G4918" t="s">
        <v>3517</v>
      </c>
      <c r="H4918">
        <v>2.5</v>
      </c>
      <c r="I4918">
        <v>36.5</v>
      </c>
      <c r="J4918">
        <v>109.5</v>
      </c>
    </row>
    <row r="4919" spans="1:10" x14ac:dyDescent="0.25">
      <c r="A4919" t="s">
        <v>7444</v>
      </c>
      <c r="B4919" s="3">
        <v>44769</v>
      </c>
      <c r="C4919" t="s">
        <v>817</v>
      </c>
      <c r="D4919" t="s">
        <v>3474</v>
      </c>
      <c r="E4919">
        <v>6</v>
      </c>
      <c r="F4919" t="s">
        <v>3525</v>
      </c>
      <c r="G4919" t="s">
        <v>3518</v>
      </c>
      <c r="H4919">
        <v>1</v>
      </c>
      <c r="I4919">
        <v>13</v>
      </c>
      <c r="J4919">
        <v>78</v>
      </c>
    </row>
    <row r="4920" spans="1:10" x14ac:dyDescent="0.25">
      <c r="A4920" t="s">
        <v>7445</v>
      </c>
      <c r="B4920" s="3">
        <v>45643</v>
      </c>
      <c r="C4920" t="s">
        <v>2615</v>
      </c>
      <c r="D4920" t="s">
        <v>3485</v>
      </c>
      <c r="E4920">
        <v>5</v>
      </c>
      <c r="F4920" t="s">
        <v>3523</v>
      </c>
      <c r="G4920" t="s">
        <v>3518</v>
      </c>
      <c r="H4920">
        <v>0.2</v>
      </c>
      <c r="I4920">
        <v>3</v>
      </c>
      <c r="J4920">
        <v>15</v>
      </c>
    </row>
    <row r="4921" spans="1:10" x14ac:dyDescent="0.25">
      <c r="A4921" t="s">
        <v>7446</v>
      </c>
      <c r="B4921" s="3">
        <v>44917</v>
      </c>
      <c r="C4921" t="s">
        <v>1875</v>
      </c>
      <c r="D4921" t="s">
        <v>3495</v>
      </c>
      <c r="E4921">
        <v>3</v>
      </c>
      <c r="F4921" t="s">
        <v>3525</v>
      </c>
      <c r="G4921" t="s">
        <v>3517</v>
      </c>
      <c r="H4921">
        <v>2.5</v>
      </c>
      <c r="I4921">
        <v>36.5</v>
      </c>
      <c r="J4921">
        <v>109.5</v>
      </c>
    </row>
    <row r="4922" spans="1:10" x14ac:dyDescent="0.25">
      <c r="A4922" t="s">
        <v>7447</v>
      </c>
      <c r="B4922" s="3">
        <v>45108</v>
      </c>
      <c r="C4922" t="s">
        <v>2957</v>
      </c>
      <c r="D4922" t="s">
        <v>3490</v>
      </c>
      <c r="E4922">
        <v>5</v>
      </c>
      <c r="F4922" t="s">
        <v>3525</v>
      </c>
      <c r="G4922" t="s">
        <v>3519</v>
      </c>
      <c r="H4922">
        <v>0.2</v>
      </c>
      <c r="I4922">
        <v>4.4000000000000004</v>
      </c>
      <c r="J4922">
        <v>22</v>
      </c>
    </row>
    <row r="4923" spans="1:10" x14ac:dyDescent="0.25">
      <c r="A4923" t="s">
        <v>7448</v>
      </c>
      <c r="B4923" s="3">
        <v>45656</v>
      </c>
      <c r="C4923" t="s">
        <v>971</v>
      </c>
      <c r="D4923" t="s">
        <v>3509</v>
      </c>
      <c r="E4923">
        <v>1</v>
      </c>
      <c r="F4923" t="s">
        <v>3524</v>
      </c>
      <c r="G4923" t="s">
        <v>3517</v>
      </c>
      <c r="H4923">
        <v>0.2</v>
      </c>
      <c r="I4923">
        <v>3.6</v>
      </c>
      <c r="J4923">
        <v>3.6</v>
      </c>
    </row>
    <row r="4924" spans="1:10" x14ac:dyDescent="0.25">
      <c r="A4924" t="s">
        <v>7449</v>
      </c>
      <c r="B4924" s="3">
        <v>45448</v>
      </c>
      <c r="C4924" t="s">
        <v>1819</v>
      </c>
      <c r="D4924" t="s">
        <v>3492</v>
      </c>
      <c r="E4924">
        <v>4</v>
      </c>
      <c r="F4924" t="s">
        <v>3525</v>
      </c>
      <c r="G4924" t="s">
        <v>3517</v>
      </c>
      <c r="H4924">
        <v>0.5</v>
      </c>
      <c r="I4924">
        <v>9.5</v>
      </c>
      <c r="J4924">
        <v>38</v>
      </c>
    </row>
    <row r="4925" spans="1:10" x14ac:dyDescent="0.25">
      <c r="A4925" t="s">
        <v>7450</v>
      </c>
      <c r="B4925" s="3">
        <v>44954</v>
      </c>
      <c r="C4925" t="s">
        <v>3154</v>
      </c>
      <c r="D4925" t="s">
        <v>3487</v>
      </c>
      <c r="E4925">
        <v>2</v>
      </c>
      <c r="F4925" t="s">
        <v>3526</v>
      </c>
      <c r="G4925" t="s">
        <v>3519</v>
      </c>
      <c r="H4925">
        <v>0.2</v>
      </c>
      <c r="I4925">
        <v>4.0999999999999996</v>
      </c>
      <c r="J4925">
        <v>8.1999999999999993</v>
      </c>
    </row>
    <row r="4926" spans="1:10" x14ac:dyDescent="0.25">
      <c r="A4926" t="s">
        <v>7451</v>
      </c>
      <c r="B4926" s="3">
        <v>45304</v>
      </c>
      <c r="C4926" t="s">
        <v>1564</v>
      </c>
      <c r="D4926" t="s">
        <v>3500</v>
      </c>
      <c r="E4926">
        <v>3</v>
      </c>
      <c r="F4926" t="s">
        <v>3525</v>
      </c>
      <c r="G4926" t="s">
        <v>3518</v>
      </c>
      <c r="H4926">
        <v>0.5</v>
      </c>
      <c r="I4926">
        <v>7.8</v>
      </c>
      <c r="J4926">
        <v>23.4</v>
      </c>
    </row>
    <row r="4927" spans="1:10" x14ac:dyDescent="0.25">
      <c r="A4927" t="s">
        <v>7452</v>
      </c>
      <c r="B4927" s="3">
        <v>45453</v>
      </c>
      <c r="C4927" t="s">
        <v>838</v>
      </c>
      <c r="D4927" t="s">
        <v>3501</v>
      </c>
      <c r="E4927">
        <v>3</v>
      </c>
      <c r="F4927" t="s">
        <v>3525</v>
      </c>
      <c r="G4927" t="s">
        <v>3517</v>
      </c>
      <c r="H4927">
        <v>1</v>
      </c>
      <c r="I4927">
        <v>15.9</v>
      </c>
      <c r="J4927">
        <v>47.7</v>
      </c>
    </row>
    <row r="4928" spans="1:10" x14ac:dyDescent="0.25">
      <c r="A4928" t="s">
        <v>7453</v>
      </c>
      <c r="B4928" s="3">
        <v>45597</v>
      </c>
      <c r="C4928" t="s">
        <v>1896</v>
      </c>
      <c r="D4928" t="s">
        <v>3474</v>
      </c>
      <c r="E4928">
        <v>3</v>
      </c>
      <c r="F4928" t="s">
        <v>3525</v>
      </c>
      <c r="G4928" t="s">
        <v>3518</v>
      </c>
      <c r="H4928">
        <v>1</v>
      </c>
      <c r="I4928">
        <v>13</v>
      </c>
      <c r="J4928">
        <v>39</v>
      </c>
    </row>
    <row r="4929" spans="1:10" x14ac:dyDescent="0.25">
      <c r="A4929" t="s">
        <v>7454</v>
      </c>
      <c r="B4929" s="3">
        <v>43633</v>
      </c>
      <c r="C4929" t="s">
        <v>3101</v>
      </c>
      <c r="D4929" t="s">
        <v>3511</v>
      </c>
      <c r="E4929">
        <v>6</v>
      </c>
      <c r="F4929" t="s">
        <v>3523</v>
      </c>
      <c r="G4929" t="s">
        <v>3517</v>
      </c>
      <c r="H4929">
        <v>0.5</v>
      </c>
      <c r="I4929">
        <v>7.8</v>
      </c>
      <c r="J4929">
        <v>46.8</v>
      </c>
    </row>
    <row r="4930" spans="1:10" x14ac:dyDescent="0.25">
      <c r="A4930" t="s">
        <v>7455</v>
      </c>
      <c r="B4930" s="3">
        <v>44920</v>
      </c>
      <c r="C4930" t="s">
        <v>802</v>
      </c>
      <c r="D4930" t="s">
        <v>3483</v>
      </c>
      <c r="E4930">
        <v>4</v>
      </c>
      <c r="F4930" t="s">
        <v>3523</v>
      </c>
      <c r="G4930" t="s">
        <v>3519</v>
      </c>
      <c r="H4930">
        <v>0.2</v>
      </c>
      <c r="I4930">
        <v>3.4</v>
      </c>
      <c r="J4930">
        <v>13.6</v>
      </c>
    </row>
    <row r="4931" spans="1:10" x14ac:dyDescent="0.25">
      <c r="A4931" t="s">
        <v>7456</v>
      </c>
      <c r="B4931" s="3">
        <v>44980</v>
      </c>
      <c r="C4931" t="s">
        <v>1851</v>
      </c>
      <c r="D4931" t="s">
        <v>3475</v>
      </c>
      <c r="E4931">
        <v>1</v>
      </c>
      <c r="F4931" t="s">
        <v>3526</v>
      </c>
      <c r="G4931" t="s">
        <v>3518</v>
      </c>
      <c r="H4931">
        <v>0.5</v>
      </c>
      <c r="I4931">
        <v>7.3</v>
      </c>
      <c r="J4931">
        <v>7.3</v>
      </c>
    </row>
    <row r="4932" spans="1:10" x14ac:dyDescent="0.25">
      <c r="A4932" t="s">
        <v>7457</v>
      </c>
      <c r="B4932" s="3">
        <v>45374</v>
      </c>
      <c r="C4932" t="s">
        <v>1100</v>
      </c>
      <c r="D4932" t="s">
        <v>3508</v>
      </c>
      <c r="E4932">
        <v>6</v>
      </c>
      <c r="F4932" t="s">
        <v>3524</v>
      </c>
      <c r="G4932" t="s">
        <v>3518</v>
      </c>
      <c r="H4932">
        <v>1</v>
      </c>
      <c r="I4932">
        <v>9</v>
      </c>
      <c r="J4932">
        <v>54</v>
      </c>
    </row>
    <row r="4933" spans="1:10" x14ac:dyDescent="0.25">
      <c r="A4933" t="s">
        <v>7458</v>
      </c>
      <c r="B4933" s="3">
        <v>45062</v>
      </c>
      <c r="C4933" t="s">
        <v>646</v>
      </c>
      <c r="D4933" t="s">
        <v>3509</v>
      </c>
      <c r="E4933">
        <v>6</v>
      </c>
      <c r="F4933" t="s">
        <v>3524</v>
      </c>
      <c r="G4933" t="s">
        <v>3517</v>
      </c>
      <c r="H4933">
        <v>0.2</v>
      </c>
      <c r="I4933">
        <v>3.6</v>
      </c>
      <c r="J4933">
        <v>21.6</v>
      </c>
    </row>
    <row r="4934" spans="1:10" x14ac:dyDescent="0.25">
      <c r="A4934" t="s">
        <v>7459</v>
      </c>
      <c r="B4934" s="3">
        <v>45123</v>
      </c>
      <c r="C4934" t="s">
        <v>1062</v>
      </c>
      <c r="D4934" t="s">
        <v>3507</v>
      </c>
      <c r="E4934">
        <v>6</v>
      </c>
      <c r="F4934" t="s">
        <v>3526</v>
      </c>
      <c r="G4934" t="s">
        <v>3517</v>
      </c>
      <c r="H4934">
        <v>0.5</v>
      </c>
      <c r="I4934">
        <v>8.9</v>
      </c>
      <c r="J4934">
        <v>53.4</v>
      </c>
    </row>
    <row r="4935" spans="1:10" x14ac:dyDescent="0.25">
      <c r="A4935" t="s">
        <v>7460</v>
      </c>
      <c r="B4935" s="3">
        <v>45450</v>
      </c>
      <c r="C4935" t="s">
        <v>3217</v>
      </c>
      <c r="D4935" t="s">
        <v>3515</v>
      </c>
      <c r="E4935">
        <v>5</v>
      </c>
      <c r="F4935" t="s">
        <v>3526</v>
      </c>
      <c r="G4935" t="s">
        <v>3517</v>
      </c>
      <c r="H4935">
        <v>0.2</v>
      </c>
      <c r="I4935">
        <v>4.5</v>
      </c>
      <c r="J4935">
        <v>22.5</v>
      </c>
    </row>
    <row r="4936" spans="1:10" x14ac:dyDescent="0.25">
      <c r="A4936" t="s">
        <v>7461</v>
      </c>
      <c r="B4936" s="3">
        <v>45129</v>
      </c>
      <c r="C4936" t="s">
        <v>1009</v>
      </c>
      <c r="D4936" t="s">
        <v>3504</v>
      </c>
      <c r="E4936">
        <v>6</v>
      </c>
      <c r="F4936" t="s">
        <v>3524</v>
      </c>
      <c r="G4936" t="s">
        <v>3517</v>
      </c>
      <c r="H4936">
        <v>0.5</v>
      </c>
      <c r="I4936">
        <v>7.2</v>
      </c>
      <c r="J4936">
        <v>43.2</v>
      </c>
    </row>
    <row r="4937" spans="1:10" x14ac:dyDescent="0.25">
      <c r="A4937" t="s">
        <v>7462</v>
      </c>
      <c r="B4937" s="3">
        <v>44620</v>
      </c>
      <c r="C4937" t="s">
        <v>1881</v>
      </c>
      <c r="D4937" t="s">
        <v>3497</v>
      </c>
      <c r="E4937">
        <v>3</v>
      </c>
      <c r="F4937" t="s">
        <v>3526</v>
      </c>
      <c r="G4937" t="s">
        <v>3519</v>
      </c>
      <c r="H4937">
        <v>2.5</v>
      </c>
      <c r="I4937">
        <v>31.6</v>
      </c>
      <c r="J4937">
        <v>94.8</v>
      </c>
    </row>
    <row r="4938" spans="1:10" x14ac:dyDescent="0.25">
      <c r="A4938" t="s">
        <v>7463</v>
      </c>
      <c r="B4938" s="3">
        <v>44336</v>
      </c>
      <c r="C4938" t="s">
        <v>1372</v>
      </c>
      <c r="D4938" t="s">
        <v>3486</v>
      </c>
      <c r="E4938">
        <v>3</v>
      </c>
      <c r="F4938" t="s">
        <v>3523</v>
      </c>
      <c r="G4938" t="s">
        <v>3519</v>
      </c>
      <c r="H4938">
        <v>1</v>
      </c>
      <c r="I4938">
        <v>11.3</v>
      </c>
      <c r="J4938">
        <v>33.9</v>
      </c>
    </row>
    <row r="4939" spans="1:10" x14ac:dyDescent="0.25">
      <c r="A4939" t="s">
        <v>7464</v>
      </c>
      <c r="B4939" s="3">
        <v>45565</v>
      </c>
      <c r="C4939" t="s">
        <v>1085</v>
      </c>
      <c r="D4939" t="s">
        <v>3502</v>
      </c>
      <c r="E4939">
        <v>4</v>
      </c>
      <c r="F4939" t="s">
        <v>3526</v>
      </c>
      <c r="G4939" t="s">
        <v>3517</v>
      </c>
      <c r="H4939">
        <v>1</v>
      </c>
      <c r="I4939">
        <v>14.9</v>
      </c>
      <c r="J4939">
        <v>59.6</v>
      </c>
    </row>
    <row r="4940" spans="1:10" x14ac:dyDescent="0.25">
      <c r="A4940" t="s">
        <v>7465</v>
      </c>
      <c r="B4940" s="3">
        <v>45321</v>
      </c>
      <c r="C4940" t="s">
        <v>1041</v>
      </c>
      <c r="D4940" t="s">
        <v>3496</v>
      </c>
      <c r="E4940">
        <v>2</v>
      </c>
      <c r="F4940" t="s">
        <v>3525</v>
      </c>
      <c r="G4940" t="s">
        <v>3518</v>
      </c>
      <c r="H4940">
        <v>2.5</v>
      </c>
      <c r="I4940">
        <v>29.8</v>
      </c>
      <c r="J4940">
        <v>59.6</v>
      </c>
    </row>
    <row r="4941" spans="1:10" x14ac:dyDescent="0.25">
      <c r="A4941" t="s">
        <v>7466</v>
      </c>
      <c r="B4941" s="3">
        <v>44873</v>
      </c>
      <c r="C4941" t="s">
        <v>2834</v>
      </c>
      <c r="D4941" t="s">
        <v>3511</v>
      </c>
      <c r="E4941">
        <v>3</v>
      </c>
      <c r="F4941" t="s">
        <v>3523</v>
      </c>
      <c r="G4941" t="s">
        <v>3517</v>
      </c>
      <c r="H4941">
        <v>0.5</v>
      </c>
      <c r="I4941">
        <v>7.8</v>
      </c>
      <c r="J4941">
        <v>23.4</v>
      </c>
    </row>
    <row r="4942" spans="1:10" x14ac:dyDescent="0.25">
      <c r="A4942" t="s">
        <v>7467</v>
      </c>
      <c r="B4942" s="3">
        <v>45032</v>
      </c>
      <c r="C4942" t="s">
        <v>673</v>
      </c>
      <c r="D4942" t="s">
        <v>3514</v>
      </c>
      <c r="E4942">
        <v>4</v>
      </c>
      <c r="F4942" t="s">
        <v>3526</v>
      </c>
      <c r="G4942" t="s">
        <v>3518</v>
      </c>
      <c r="H4942">
        <v>1</v>
      </c>
      <c r="I4942">
        <v>12.2</v>
      </c>
      <c r="J4942">
        <v>48.8</v>
      </c>
    </row>
    <row r="4943" spans="1:10" x14ac:dyDescent="0.25">
      <c r="A4943" t="s">
        <v>7468</v>
      </c>
      <c r="B4943" s="3">
        <v>44606</v>
      </c>
      <c r="C4943" t="s">
        <v>2599</v>
      </c>
      <c r="D4943" t="s">
        <v>3505</v>
      </c>
      <c r="E4943">
        <v>5</v>
      </c>
      <c r="F4943" t="s">
        <v>3524</v>
      </c>
      <c r="G4943" t="s">
        <v>3519</v>
      </c>
      <c r="H4943">
        <v>0.2</v>
      </c>
      <c r="I4943">
        <v>3</v>
      </c>
      <c r="J4943">
        <v>15</v>
      </c>
    </row>
    <row r="4944" spans="1:10" x14ac:dyDescent="0.25">
      <c r="A4944" t="s">
        <v>7469</v>
      </c>
      <c r="B4944" s="3">
        <v>45010</v>
      </c>
      <c r="C4944" t="s">
        <v>1414</v>
      </c>
      <c r="D4944" t="s">
        <v>3506</v>
      </c>
      <c r="E4944">
        <v>5</v>
      </c>
      <c r="F4944" t="s">
        <v>3523</v>
      </c>
      <c r="G4944" t="s">
        <v>3519</v>
      </c>
      <c r="H4944">
        <v>2.5</v>
      </c>
      <c r="I4944">
        <v>25.9</v>
      </c>
      <c r="J4944">
        <v>129.5</v>
      </c>
    </row>
    <row r="4945" spans="1:10" x14ac:dyDescent="0.25">
      <c r="A4945" t="s">
        <v>7470</v>
      </c>
      <c r="B4945" s="3">
        <v>43601</v>
      </c>
      <c r="C4945" t="s">
        <v>1330</v>
      </c>
      <c r="D4945" t="s">
        <v>3512</v>
      </c>
      <c r="E4945">
        <v>5</v>
      </c>
      <c r="F4945" t="s">
        <v>3525</v>
      </c>
      <c r="G4945" t="s">
        <v>3519</v>
      </c>
      <c r="H4945">
        <v>2.5</v>
      </c>
      <c r="I4945">
        <v>33.5</v>
      </c>
      <c r="J4945">
        <v>167.5</v>
      </c>
    </row>
    <row r="4946" spans="1:10" x14ac:dyDescent="0.25">
      <c r="A4946" t="s">
        <v>7471</v>
      </c>
      <c r="B4946" s="3">
        <v>45245</v>
      </c>
      <c r="C4946" t="s">
        <v>2654</v>
      </c>
      <c r="D4946" t="s">
        <v>3510</v>
      </c>
      <c r="E4946">
        <v>5</v>
      </c>
      <c r="F4946" t="s">
        <v>3524</v>
      </c>
      <c r="G4946" t="s">
        <v>3517</v>
      </c>
      <c r="H4946">
        <v>1</v>
      </c>
      <c r="I4946">
        <v>12</v>
      </c>
      <c r="J4946">
        <v>60</v>
      </c>
    </row>
    <row r="4947" spans="1:10" x14ac:dyDescent="0.25">
      <c r="A4947" t="s">
        <v>7472</v>
      </c>
      <c r="B4947" s="3">
        <v>45304</v>
      </c>
      <c r="C4947" t="s">
        <v>2708</v>
      </c>
      <c r="D4947" t="s">
        <v>3495</v>
      </c>
      <c r="E4947">
        <v>5</v>
      </c>
      <c r="F4947" t="s">
        <v>3525</v>
      </c>
      <c r="G4947" t="s">
        <v>3517</v>
      </c>
      <c r="H4947">
        <v>2.5</v>
      </c>
      <c r="I4947">
        <v>36.5</v>
      </c>
      <c r="J4947">
        <v>182.5</v>
      </c>
    </row>
    <row r="4948" spans="1:10" x14ac:dyDescent="0.25">
      <c r="A4948" t="s">
        <v>7473</v>
      </c>
      <c r="B4948" s="3">
        <v>45243</v>
      </c>
      <c r="C4948" t="s">
        <v>2299</v>
      </c>
      <c r="D4948" t="s">
        <v>3504</v>
      </c>
      <c r="E4948">
        <v>3</v>
      </c>
      <c r="F4948" t="s">
        <v>3524</v>
      </c>
      <c r="G4948" t="s">
        <v>3517</v>
      </c>
      <c r="H4948">
        <v>0.5</v>
      </c>
      <c r="I4948">
        <v>7.2</v>
      </c>
      <c r="J4948">
        <v>21.6</v>
      </c>
    </row>
    <row r="4949" spans="1:10" x14ac:dyDescent="0.25">
      <c r="A4949" t="s">
        <v>7474</v>
      </c>
      <c r="B4949" s="3">
        <v>45359</v>
      </c>
      <c r="C4949" t="s">
        <v>737</v>
      </c>
      <c r="D4949" t="s">
        <v>3498</v>
      </c>
      <c r="E4949">
        <v>5</v>
      </c>
      <c r="F4949" t="s">
        <v>3523</v>
      </c>
      <c r="G4949" t="s">
        <v>3517</v>
      </c>
      <c r="H4949">
        <v>0.2</v>
      </c>
      <c r="I4949">
        <v>3.9</v>
      </c>
      <c r="J4949">
        <v>19.5</v>
      </c>
    </row>
    <row r="4950" spans="1:10" x14ac:dyDescent="0.25">
      <c r="A4950" t="s">
        <v>7475</v>
      </c>
      <c r="B4950" s="3">
        <v>44601</v>
      </c>
      <c r="C4950" t="s">
        <v>1384</v>
      </c>
      <c r="D4950" t="s">
        <v>3493</v>
      </c>
      <c r="E4950">
        <v>6</v>
      </c>
      <c r="F4950" t="s">
        <v>3525</v>
      </c>
      <c r="G4950" t="s">
        <v>3519</v>
      </c>
      <c r="H4950">
        <v>1</v>
      </c>
      <c r="I4950">
        <v>14.6</v>
      </c>
      <c r="J4950">
        <v>87.6</v>
      </c>
    </row>
    <row r="4951" spans="1:10" x14ac:dyDescent="0.25">
      <c r="A4951" t="s">
        <v>7476</v>
      </c>
      <c r="B4951" s="3">
        <v>45255</v>
      </c>
      <c r="C4951" t="s">
        <v>1235</v>
      </c>
      <c r="D4951" t="s">
        <v>3489</v>
      </c>
      <c r="E4951">
        <v>4</v>
      </c>
      <c r="F4951" t="s">
        <v>3523</v>
      </c>
      <c r="G4951" t="s">
        <v>3518</v>
      </c>
      <c r="H4951">
        <v>0.5</v>
      </c>
      <c r="I4951">
        <v>6</v>
      </c>
      <c r="J4951">
        <v>24</v>
      </c>
    </row>
    <row r="4952" spans="1:10" x14ac:dyDescent="0.25">
      <c r="A4952" t="s">
        <v>7477</v>
      </c>
      <c r="B4952" s="3">
        <v>45442</v>
      </c>
      <c r="C4952" t="s">
        <v>1884</v>
      </c>
      <c r="D4952" t="s">
        <v>3500</v>
      </c>
      <c r="E4952">
        <v>3</v>
      </c>
      <c r="F4952" t="s">
        <v>3525</v>
      </c>
      <c r="G4952" t="s">
        <v>3518</v>
      </c>
      <c r="H4952">
        <v>0.5</v>
      </c>
      <c r="I4952">
        <v>7.8</v>
      </c>
      <c r="J4952">
        <v>23.4</v>
      </c>
    </row>
    <row r="4953" spans="1:10" x14ac:dyDescent="0.25">
      <c r="A4953" t="s">
        <v>7478</v>
      </c>
      <c r="B4953" s="3">
        <v>45393</v>
      </c>
      <c r="C4953" t="s">
        <v>1669</v>
      </c>
      <c r="D4953" t="s">
        <v>3505</v>
      </c>
      <c r="E4953">
        <v>5</v>
      </c>
      <c r="F4953" t="s">
        <v>3524</v>
      </c>
      <c r="G4953" t="s">
        <v>3519</v>
      </c>
      <c r="H4953">
        <v>0.2</v>
      </c>
      <c r="I4953">
        <v>3</v>
      </c>
      <c r="J4953">
        <v>15</v>
      </c>
    </row>
    <row r="4954" spans="1:10" x14ac:dyDescent="0.25">
      <c r="A4954" t="s">
        <v>7479</v>
      </c>
      <c r="B4954" s="3">
        <v>45238</v>
      </c>
      <c r="C4954" t="s">
        <v>2942</v>
      </c>
      <c r="D4954" t="s">
        <v>3477</v>
      </c>
      <c r="E4954">
        <v>4</v>
      </c>
      <c r="F4954" t="s">
        <v>3524</v>
      </c>
      <c r="G4954" t="s">
        <v>3519</v>
      </c>
      <c r="H4954">
        <v>0.5</v>
      </c>
      <c r="I4954">
        <v>6</v>
      </c>
      <c r="J4954">
        <v>24</v>
      </c>
    </row>
    <row r="4955" spans="1:10" x14ac:dyDescent="0.25">
      <c r="A4955" t="s">
        <v>7480</v>
      </c>
      <c r="B4955" s="3">
        <v>44749</v>
      </c>
      <c r="C4955" t="s">
        <v>1387</v>
      </c>
      <c r="D4955" t="s">
        <v>3485</v>
      </c>
      <c r="E4955">
        <v>3</v>
      </c>
      <c r="F4955" t="s">
        <v>3523</v>
      </c>
      <c r="G4955" t="s">
        <v>3518</v>
      </c>
      <c r="H4955">
        <v>0.2</v>
      </c>
      <c r="I4955">
        <v>3</v>
      </c>
      <c r="J4955">
        <v>9</v>
      </c>
    </row>
    <row r="4956" spans="1:10" x14ac:dyDescent="0.25">
      <c r="A4956" t="s">
        <v>7481</v>
      </c>
      <c r="B4956" s="3">
        <v>44538</v>
      </c>
      <c r="C4956" t="s">
        <v>1607</v>
      </c>
      <c r="D4956" t="s">
        <v>3503</v>
      </c>
      <c r="E4956">
        <v>1</v>
      </c>
      <c r="F4956" t="s">
        <v>3524</v>
      </c>
      <c r="G4956" t="s">
        <v>3518</v>
      </c>
      <c r="H4956">
        <v>0.5</v>
      </c>
      <c r="I4956">
        <v>5.4</v>
      </c>
      <c r="J4956">
        <v>5.4</v>
      </c>
    </row>
    <row r="4957" spans="1:10" x14ac:dyDescent="0.25">
      <c r="A4957" t="s">
        <v>7482</v>
      </c>
      <c r="B4957" s="3">
        <v>45538</v>
      </c>
      <c r="C4957" t="s">
        <v>2904</v>
      </c>
      <c r="D4957" t="s">
        <v>3504</v>
      </c>
      <c r="E4957">
        <v>4</v>
      </c>
      <c r="F4957" t="s">
        <v>3524</v>
      </c>
      <c r="G4957" t="s">
        <v>3517</v>
      </c>
      <c r="H4957">
        <v>0.5</v>
      </c>
      <c r="I4957">
        <v>7.2</v>
      </c>
      <c r="J4957">
        <v>28.8</v>
      </c>
    </row>
    <row r="4958" spans="1:10" x14ac:dyDescent="0.25">
      <c r="A4958" t="s">
        <v>7483</v>
      </c>
      <c r="B4958" s="3">
        <v>44074</v>
      </c>
      <c r="C4958" t="s">
        <v>1936</v>
      </c>
      <c r="D4958" t="s">
        <v>3503</v>
      </c>
      <c r="E4958">
        <v>3</v>
      </c>
      <c r="F4958" t="s">
        <v>3524</v>
      </c>
      <c r="G4958" t="s">
        <v>3518</v>
      </c>
      <c r="H4958">
        <v>0.5</v>
      </c>
      <c r="I4958">
        <v>5.4</v>
      </c>
      <c r="J4958">
        <v>16.2</v>
      </c>
    </row>
    <row r="4959" spans="1:10" x14ac:dyDescent="0.25">
      <c r="A4959" t="s">
        <v>7484</v>
      </c>
      <c r="B4959" s="3">
        <v>44723</v>
      </c>
      <c r="C4959" t="s">
        <v>2491</v>
      </c>
      <c r="D4959" t="s">
        <v>3491</v>
      </c>
      <c r="E4959">
        <v>3</v>
      </c>
      <c r="F4959" t="s">
        <v>3525</v>
      </c>
      <c r="G4959" t="s">
        <v>3519</v>
      </c>
      <c r="H4959">
        <v>0.5</v>
      </c>
      <c r="I4959">
        <v>8.6999999999999993</v>
      </c>
      <c r="J4959">
        <v>26.1</v>
      </c>
    </row>
    <row r="4960" spans="1:10" x14ac:dyDescent="0.25">
      <c r="A4960" t="s">
        <v>7485</v>
      </c>
      <c r="B4960" s="3">
        <v>45536</v>
      </c>
      <c r="C4960" t="s">
        <v>3306</v>
      </c>
      <c r="D4960" t="s">
        <v>3485</v>
      </c>
      <c r="E4960">
        <v>6</v>
      </c>
      <c r="F4960" t="s">
        <v>3523</v>
      </c>
      <c r="G4960" t="s">
        <v>3518</v>
      </c>
      <c r="H4960">
        <v>0.2</v>
      </c>
      <c r="I4960">
        <v>3</v>
      </c>
      <c r="J4960">
        <v>18</v>
      </c>
    </row>
    <row r="4961" spans="1:10" x14ac:dyDescent="0.25">
      <c r="A4961" t="s">
        <v>7486</v>
      </c>
      <c r="B4961" s="3">
        <v>45376</v>
      </c>
      <c r="C4961" t="s">
        <v>3426</v>
      </c>
      <c r="D4961" t="s">
        <v>3487</v>
      </c>
      <c r="E4961">
        <v>3</v>
      </c>
      <c r="F4961" t="s">
        <v>3526</v>
      </c>
      <c r="G4961" t="s">
        <v>3519</v>
      </c>
      <c r="H4961">
        <v>0.2</v>
      </c>
      <c r="I4961">
        <v>4.0999999999999996</v>
      </c>
      <c r="J4961">
        <v>12.3</v>
      </c>
    </row>
    <row r="4962" spans="1:10" x14ac:dyDescent="0.25">
      <c r="A4962" t="s">
        <v>7487</v>
      </c>
      <c r="B4962" s="3">
        <v>44945</v>
      </c>
      <c r="C4962" t="s">
        <v>1271</v>
      </c>
      <c r="D4962" t="s">
        <v>3472</v>
      </c>
      <c r="E4962">
        <v>1</v>
      </c>
      <c r="F4962" t="s">
        <v>3526</v>
      </c>
      <c r="G4962" t="s">
        <v>3519</v>
      </c>
      <c r="H4962">
        <v>1</v>
      </c>
      <c r="I4962">
        <v>13.8</v>
      </c>
      <c r="J4962">
        <v>13.8</v>
      </c>
    </row>
    <row r="4963" spans="1:10" x14ac:dyDescent="0.25">
      <c r="A4963" t="s">
        <v>7488</v>
      </c>
      <c r="B4963" s="3">
        <v>44715</v>
      </c>
      <c r="C4963" t="s">
        <v>1125</v>
      </c>
      <c r="D4963" t="s">
        <v>3507</v>
      </c>
      <c r="E4963">
        <v>1</v>
      </c>
      <c r="F4963" t="s">
        <v>3526</v>
      </c>
      <c r="G4963" t="s">
        <v>3517</v>
      </c>
      <c r="H4963">
        <v>0.5</v>
      </c>
      <c r="I4963">
        <v>8.9</v>
      </c>
      <c r="J4963">
        <v>8.9</v>
      </c>
    </row>
    <row r="4964" spans="1:10" x14ac:dyDescent="0.25">
      <c r="A4964" t="s">
        <v>7489</v>
      </c>
      <c r="B4964" s="3">
        <v>45079</v>
      </c>
      <c r="C4964" t="s">
        <v>3127</v>
      </c>
      <c r="D4964" t="s">
        <v>3475</v>
      </c>
      <c r="E4964">
        <v>6</v>
      </c>
      <c r="F4964" t="s">
        <v>3526</v>
      </c>
      <c r="G4964" t="s">
        <v>3518</v>
      </c>
      <c r="H4964">
        <v>0.5</v>
      </c>
      <c r="I4964">
        <v>7.3</v>
      </c>
      <c r="J4964">
        <v>43.8</v>
      </c>
    </row>
    <row r="4965" spans="1:10" x14ac:dyDescent="0.25">
      <c r="A4965" t="s">
        <v>7490</v>
      </c>
      <c r="B4965" s="3">
        <v>44752</v>
      </c>
      <c r="C4965" t="s">
        <v>3446</v>
      </c>
      <c r="D4965" t="s">
        <v>3484</v>
      </c>
      <c r="E4965">
        <v>2</v>
      </c>
      <c r="F4965" t="s">
        <v>3526</v>
      </c>
      <c r="G4965" t="s">
        <v>3518</v>
      </c>
      <c r="H4965">
        <v>0.2</v>
      </c>
      <c r="I4965">
        <v>3.6</v>
      </c>
      <c r="J4965">
        <v>7.2</v>
      </c>
    </row>
    <row r="4966" spans="1:10" x14ac:dyDescent="0.25">
      <c r="A4966" t="s">
        <v>7491</v>
      </c>
      <c r="B4966" s="3">
        <v>44209</v>
      </c>
      <c r="C4966" t="s">
        <v>1908</v>
      </c>
      <c r="D4966" t="s">
        <v>3487</v>
      </c>
      <c r="E4966">
        <v>6</v>
      </c>
      <c r="F4966" t="s">
        <v>3526</v>
      </c>
      <c r="G4966" t="s">
        <v>3519</v>
      </c>
      <c r="H4966">
        <v>0.2</v>
      </c>
      <c r="I4966">
        <v>4.0999999999999996</v>
      </c>
      <c r="J4966">
        <v>24.6</v>
      </c>
    </row>
    <row r="4967" spans="1:10" x14ac:dyDescent="0.25">
      <c r="A4967" t="s">
        <v>7492</v>
      </c>
      <c r="B4967" s="3">
        <v>45157</v>
      </c>
      <c r="C4967" t="s">
        <v>2155</v>
      </c>
      <c r="D4967" t="s">
        <v>3473</v>
      </c>
      <c r="E4967">
        <v>4</v>
      </c>
      <c r="F4967" t="s">
        <v>3524</v>
      </c>
      <c r="G4967" t="s">
        <v>3517</v>
      </c>
      <c r="H4967">
        <v>2.5</v>
      </c>
      <c r="I4967">
        <v>27.5</v>
      </c>
      <c r="J4967">
        <v>110</v>
      </c>
    </row>
    <row r="4968" spans="1:10" x14ac:dyDescent="0.25">
      <c r="A4968" t="s">
        <v>7493</v>
      </c>
      <c r="B4968" s="3">
        <v>44755</v>
      </c>
      <c r="C4968" t="s">
        <v>716</v>
      </c>
      <c r="D4968" t="s">
        <v>3514</v>
      </c>
      <c r="E4968">
        <v>4</v>
      </c>
      <c r="F4968" t="s">
        <v>3526</v>
      </c>
      <c r="G4968" t="s">
        <v>3518</v>
      </c>
      <c r="H4968">
        <v>1</v>
      </c>
      <c r="I4968">
        <v>12.2</v>
      </c>
      <c r="J4968">
        <v>48.8</v>
      </c>
    </row>
    <row r="4969" spans="1:10" x14ac:dyDescent="0.25">
      <c r="A4969" t="s">
        <v>7494</v>
      </c>
      <c r="B4969" s="3">
        <v>43953</v>
      </c>
      <c r="C4969" t="s">
        <v>3279</v>
      </c>
      <c r="D4969" t="s">
        <v>3471</v>
      </c>
      <c r="E4969">
        <v>1</v>
      </c>
      <c r="F4969" t="s">
        <v>3523</v>
      </c>
      <c r="G4969" t="s">
        <v>3517</v>
      </c>
      <c r="H4969">
        <v>1</v>
      </c>
      <c r="I4969">
        <v>13</v>
      </c>
      <c r="J4969">
        <v>13</v>
      </c>
    </row>
    <row r="4970" spans="1:10" x14ac:dyDescent="0.25">
      <c r="A4970" t="s">
        <v>7495</v>
      </c>
      <c r="B4970" s="3">
        <v>45551</v>
      </c>
      <c r="C4970" t="s">
        <v>1071</v>
      </c>
      <c r="D4970" t="s">
        <v>3473</v>
      </c>
      <c r="E4970">
        <v>6</v>
      </c>
      <c r="F4970" t="s">
        <v>3524</v>
      </c>
      <c r="G4970" t="s">
        <v>3517</v>
      </c>
      <c r="H4970">
        <v>2.5</v>
      </c>
      <c r="I4970">
        <v>27.5</v>
      </c>
      <c r="J4970">
        <v>165</v>
      </c>
    </row>
    <row r="4971" spans="1:10" x14ac:dyDescent="0.25">
      <c r="A4971" t="s">
        <v>7496</v>
      </c>
      <c r="B4971" s="3">
        <v>45570</v>
      </c>
      <c r="C4971" t="s">
        <v>1432</v>
      </c>
      <c r="D4971" t="s">
        <v>3507</v>
      </c>
      <c r="E4971">
        <v>2</v>
      </c>
      <c r="F4971" t="s">
        <v>3526</v>
      </c>
      <c r="G4971" t="s">
        <v>3517</v>
      </c>
      <c r="H4971">
        <v>0.5</v>
      </c>
      <c r="I4971">
        <v>8.9</v>
      </c>
      <c r="J4971">
        <v>17.8</v>
      </c>
    </row>
    <row r="4972" spans="1:10" x14ac:dyDescent="0.25">
      <c r="A4972" t="s">
        <v>7497</v>
      </c>
      <c r="B4972" s="3">
        <v>44474</v>
      </c>
      <c r="C4972" t="s">
        <v>1181</v>
      </c>
      <c r="D4972" t="s">
        <v>3486</v>
      </c>
      <c r="E4972">
        <v>6</v>
      </c>
      <c r="F4972" t="s">
        <v>3523</v>
      </c>
      <c r="G4972" t="s">
        <v>3519</v>
      </c>
      <c r="H4972">
        <v>1</v>
      </c>
      <c r="I4972">
        <v>11.3</v>
      </c>
      <c r="J4972">
        <v>67.8</v>
      </c>
    </row>
    <row r="4973" spans="1:10" x14ac:dyDescent="0.25">
      <c r="A4973" t="s">
        <v>7498</v>
      </c>
      <c r="B4973" s="3">
        <v>45336</v>
      </c>
      <c r="C4973" t="s">
        <v>2763</v>
      </c>
      <c r="D4973" t="s">
        <v>3506</v>
      </c>
      <c r="E4973">
        <v>6</v>
      </c>
      <c r="F4973" t="s">
        <v>3523</v>
      </c>
      <c r="G4973" t="s">
        <v>3519</v>
      </c>
      <c r="H4973">
        <v>2.5</v>
      </c>
      <c r="I4973">
        <v>25.9</v>
      </c>
      <c r="J4973">
        <v>155.4</v>
      </c>
    </row>
    <row r="4974" spans="1:10" x14ac:dyDescent="0.25">
      <c r="A4974" t="s">
        <v>7499</v>
      </c>
      <c r="B4974" s="3">
        <v>45646</v>
      </c>
      <c r="C4974" t="s">
        <v>1746</v>
      </c>
      <c r="D4974" t="s">
        <v>3508</v>
      </c>
      <c r="E4974">
        <v>2</v>
      </c>
      <c r="F4974" t="s">
        <v>3524</v>
      </c>
      <c r="G4974" t="s">
        <v>3518</v>
      </c>
      <c r="H4974">
        <v>1</v>
      </c>
      <c r="I4974">
        <v>9</v>
      </c>
      <c r="J4974">
        <v>18</v>
      </c>
    </row>
    <row r="4975" spans="1:10" x14ac:dyDescent="0.25">
      <c r="A4975" t="s">
        <v>7500</v>
      </c>
      <c r="B4975" s="3">
        <v>44711</v>
      </c>
      <c r="C4975" t="s">
        <v>1399</v>
      </c>
      <c r="D4975" t="s">
        <v>3479</v>
      </c>
      <c r="E4975">
        <v>4</v>
      </c>
      <c r="F4975" t="s">
        <v>3526</v>
      </c>
      <c r="G4975" t="s">
        <v>3517</v>
      </c>
      <c r="H4975">
        <v>2.5</v>
      </c>
      <c r="I4975">
        <v>34.200000000000003</v>
      </c>
      <c r="J4975">
        <v>136.80000000000001</v>
      </c>
    </row>
    <row r="4976" spans="1:10" x14ac:dyDescent="0.25">
      <c r="A4976" t="s">
        <v>7501</v>
      </c>
      <c r="B4976" s="3">
        <v>44633</v>
      </c>
      <c r="C4976" t="s">
        <v>1390</v>
      </c>
      <c r="D4976" t="s">
        <v>3503</v>
      </c>
      <c r="E4976">
        <v>2</v>
      </c>
      <c r="F4976" t="s">
        <v>3524</v>
      </c>
      <c r="G4976" t="s">
        <v>3518</v>
      </c>
      <c r="H4976">
        <v>0.5</v>
      </c>
      <c r="I4976">
        <v>5.4</v>
      </c>
      <c r="J4976">
        <v>10.8</v>
      </c>
    </row>
    <row r="4977" spans="1:10" x14ac:dyDescent="0.25">
      <c r="A4977" t="s">
        <v>7502</v>
      </c>
      <c r="B4977" s="3">
        <v>45046</v>
      </c>
      <c r="C4977" t="s">
        <v>716</v>
      </c>
      <c r="D4977" t="s">
        <v>3514</v>
      </c>
      <c r="E4977">
        <v>1</v>
      </c>
      <c r="F4977" t="s">
        <v>3526</v>
      </c>
      <c r="G4977" t="s">
        <v>3518</v>
      </c>
      <c r="H4977">
        <v>1</v>
      </c>
      <c r="I4977">
        <v>12.2</v>
      </c>
      <c r="J4977">
        <v>12.2</v>
      </c>
    </row>
    <row r="4978" spans="1:10" x14ac:dyDescent="0.25">
      <c r="A4978" t="s">
        <v>7503</v>
      </c>
      <c r="B4978" s="3">
        <v>45132</v>
      </c>
      <c r="C4978" t="s">
        <v>2003</v>
      </c>
      <c r="D4978" t="s">
        <v>3496</v>
      </c>
      <c r="E4978">
        <v>2</v>
      </c>
      <c r="F4978" t="s">
        <v>3525</v>
      </c>
      <c r="G4978" t="s">
        <v>3518</v>
      </c>
      <c r="H4978">
        <v>2.5</v>
      </c>
      <c r="I4978">
        <v>29.8</v>
      </c>
      <c r="J4978">
        <v>59.6</v>
      </c>
    </row>
    <row r="4979" spans="1:10" x14ac:dyDescent="0.25">
      <c r="A4979" t="s">
        <v>7504</v>
      </c>
      <c r="B4979" s="3">
        <v>44541</v>
      </c>
      <c r="C4979" t="s">
        <v>3279</v>
      </c>
      <c r="D4979" t="s">
        <v>3479</v>
      </c>
      <c r="E4979">
        <v>6</v>
      </c>
      <c r="F4979" t="s">
        <v>3526</v>
      </c>
      <c r="G4979" t="s">
        <v>3517</v>
      </c>
      <c r="H4979">
        <v>2.5</v>
      </c>
      <c r="I4979">
        <v>34.200000000000003</v>
      </c>
      <c r="J4979">
        <v>205.2</v>
      </c>
    </row>
    <row r="4980" spans="1:10" x14ac:dyDescent="0.25">
      <c r="A4980" t="s">
        <v>7505</v>
      </c>
      <c r="B4980" s="3">
        <v>43885</v>
      </c>
      <c r="C4980" t="s">
        <v>1816</v>
      </c>
      <c r="D4980" t="s">
        <v>3515</v>
      </c>
      <c r="E4980">
        <v>5</v>
      </c>
      <c r="F4980" t="s">
        <v>3526</v>
      </c>
      <c r="G4980" t="s">
        <v>3517</v>
      </c>
      <c r="H4980">
        <v>0.2</v>
      </c>
      <c r="I4980">
        <v>4.5</v>
      </c>
      <c r="J4980">
        <v>22.5</v>
      </c>
    </row>
    <row r="4981" spans="1:10" x14ac:dyDescent="0.25">
      <c r="A4981" t="s">
        <v>7506</v>
      </c>
      <c r="B4981" s="3">
        <v>44131</v>
      </c>
      <c r="C4981" t="s">
        <v>778</v>
      </c>
      <c r="D4981" t="s">
        <v>3499</v>
      </c>
      <c r="E4981">
        <v>3</v>
      </c>
      <c r="F4981" t="s">
        <v>3523</v>
      </c>
      <c r="G4981" t="s">
        <v>3518</v>
      </c>
      <c r="H4981">
        <v>2.5</v>
      </c>
      <c r="I4981">
        <v>22.9</v>
      </c>
      <c r="J4981">
        <v>68.7</v>
      </c>
    </row>
    <row r="4982" spans="1:10" x14ac:dyDescent="0.25">
      <c r="A4982" t="s">
        <v>7507</v>
      </c>
      <c r="B4982" s="3">
        <v>44782</v>
      </c>
      <c r="C4982" t="s">
        <v>893</v>
      </c>
      <c r="D4982" t="s">
        <v>3494</v>
      </c>
      <c r="E4982">
        <v>2</v>
      </c>
      <c r="F4982" t="s">
        <v>3524</v>
      </c>
      <c r="G4982" t="s">
        <v>3518</v>
      </c>
      <c r="H4982">
        <v>0.2</v>
      </c>
      <c r="I4982">
        <v>2.7</v>
      </c>
      <c r="J4982">
        <v>5.4</v>
      </c>
    </row>
    <row r="4983" spans="1:10" x14ac:dyDescent="0.25">
      <c r="A4983" t="s">
        <v>7508</v>
      </c>
      <c r="B4983" s="3">
        <v>45467</v>
      </c>
      <c r="C4983" t="s">
        <v>2569</v>
      </c>
      <c r="D4983" t="s">
        <v>3474</v>
      </c>
      <c r="E4983">
        <v>6</v>
      </c>
      <c r="F4983" t="s">
        <v>3525</v>
      </c>
      <c r="G4983" t="s">
        <v>3518</v>
      </c>
      <c r="H4983">
        <v>1</v>
      </c>
      <c r="I4983">
        <v>13</v>
      </c>
      <c r="J4983">
        <v>78</v>
      </c>
    </row>
    <row r="4984" spans="1:10" x14ac:dyDescent="0.25">
      <c r="A4984" t="s">
        <v>7509</v>
      </c>
      <c r="B4984" s="3">
        <v>44583</v>
      </c>
      <c r="C4984" t="s">
        <v>1994</v>
      </c>
      <c r="D4984" t="s">
        <v>3495</v>
      </c>
      <c r="E4984">
        <v>6</v>
      </c>
      <c r="F4984" t="s">
        <v>3525</v>
      </c>
      <c r="G4984" t="s">
        <v>3517</v>
      </c>
      <c r="H4984">
        <v>2.5</v>
      </c>
      <c r="I4984">
        <v>36.5</v>
      </c>
      <c r="J4984">
        <v>219</v>
      </c>
    </row>
    <row r="4985" spans="1:10" x14ac:dyDescent="0.25">
      <c r="A4985" t="s">
        <v>7510</v>
      </c>
      <c r="B4985" s="3">
        <v>44604</v>
      </c>
      <c r="C4985" t="s">
        <v>2140</v>
      </c>
      <c r="D4985" t="s">
        <v>3498</v>
      </c>
      <c r="E4985">
        <v>2</v>
      </c>
      <c r="F4985" t="s">
        <v>3523</v>
      </c>
      <c r="G4985" t="s">
        <v>3517</v>
      </c>
      <c r="H4985">
        <v>0.2</v>
      </c>
      <c r="I4985">
        <v>3.9</v>
      </c>
      <c r="J4985">
        <v>7.8</v>
      </c>
    </row>
    <row r="4986" spans="1:10" x14ac:dyDescent="0.25">
      <c r="A4986" t="s">
        <v>7511</v>
      </c>
      <c r="B4986" s="3">
        <v>43871</v>
      </c>
      <c r="C4986" t="s">
        <v>2995</v>
      </c>
      <c r="D4986" t="s">
        <v>3476</v>
      </c>
      <c r="E4986">
        <v>5</v>
      </c>
      <c r="F4986" t="s">
        <v>3525</v>
      </c>
      <c r="G4986" t="s">
        <v>3517</v>
      </c>
      <c r="H4986">
        <v>0.2</v>
      </c>
      <c r="I4986">
        <v>4.8</v>
      </c>
      <c r="J4986">
        <v>24</v>
      </c>
    </row>
    <row r="4987" spans="1:10" x14ac:dyDescent="0.25">
      <c r="A4987" t="s">
        <v>7512</v>
      </c>
      <c r="B4987" s="3">
        <v>45012</v>
      </c>
      <c r="C4987" t="s">
        <v>1687</v>
      </c>
      <c r="D4987" t="s">
        <v>3480</v>
      </c>
      <c r="E4987">
        <v>3</v>
      </c>
      <c r="F4987" t="s">
        <v>3524</v>
      </c>
      <c r="G4987" t="s">
        <v>3518</v>
      </c>
      <c r="H4987">
        <v>2.5</v>
      </c>
      <c r="I4987">
        <v>20.6</v>
      </c>
      <c r="J4987">
        <v>61.8</v>
      </c>
    </row>
    <row r="4988" spans="1:10" x14ac:dyDescent="0.25">
      <c r="A4988" t="s">
        <v>7513</v>
      </c>
      <c r="B4988" s="3">
        <v>44874</v>
      </c>
      <c r="C4988" t="s">
        <v>2012</v>
      </c>
      <c r="D4988" t="s">
        <v>3515</v>
      </c>
      <c r="E4988">
        <v>1</v>
      </c>
      <c r="F4988" t="s">
        <v>3526</v>
      </c>
      <c r="G4988" t="s">
        <v>3517</v>
      </c>
      <c r="H4988">
        <v>0.2</v>
      </c>
      <c r="I4988">
        <v>4.5</v>
      </c>
      <c r="J4988">
        <v>4.5</v>
      </c>
    </row>
    <row r="4989" spans="1:10" x14ac:dyDescent="0.25">
      <c r="A4989" t="s">
        <v>7514</v>
      </c>
      <c r="B4989" s="3">
        <v>45403</v>
      </c>
      <c r="C4989" t="s">
        <v>1767</v>
      </c>
      <c r="D4989" t="s">
        <v>3490</v>
      </c>
      <c r="E4989">
        <v>3</v>
      </c>
      <c r="F4989" t="s">
        <v>3525</v>
      </c>
      <c r="G4989" t="s">
        <v>3519</v>
      </c>
      <c r="H4989">
        <v>0.2</v>
      </c>
      <c r="I4989">
        <v>4.4000000000000004</v>
      </c>
      <c r="J4989">
        <v>13.2</v>
      </c>
    </row>
    <row r="4990" spans="1:10" x14ac:dyDescent="0.25">
      <c r="A4990" t="s">
        <v>7515</v>
      </c>
      <c r="B4990" s="3">
        <v>45528</v>
      </c>
      <c r="C4990" t="s">
        <v>3036</v>
      </c>
      <c r="D4990" t="s">
        <v>3472</v>
      </c>
      <c r="E4990">
        <v>5</v>
      </c>
      <c r="F4990" t="s">
        <v>3526</v>
      </c>
      <c r="G4990" t="s">
        <v>3519</v>
      </c>
      <c r="H4990">
        <v>1</v>
      </c>
      <c r="I4990">
        <v>13.8</v>
      </c>
      <c r="J4990">
        <v>69</v>
      </c>
    </row>
    <row r="4991" spans="1:10" x14ac:dyDescent="0.25">
      <c r="A4991" t="s">
        <v>7516</v>
      </c>
      <c r="B4991" s="3">
        <v>45584</v>
      </c>
      <c r="C4991" t="s">
        <v>1969</v>
      </c>
      <c r="D4991" t="s">
        <v>3476</v>
      </c>
      <c r="E4991">
        <v>6</v>
      </c>
      <c r="F4991" t="s">
        <v>3525</v>
      </c>
      <c r="G4991" t="s">
        <v>3517</v>
      </c>
      <c r="H4991">
        <v>0.2</v>
      </c>
      <c r="I4991">
        <v>4.8</v>
      </c>
      <c r="J4991">
        <v>28.8</v>
      </c>
    </row>
    <row r="4992" spans="1:10" x14ac:dyDescent="0.25">
      <c r="A4992" t="s">
        <v>7517</v>
      </c>
      <c r="B4992" s="3">
        <v>43721</v>
      </c>
      <c r="C4992" t="s">
        <v>2942</v>
      </c>
      <c r="D4992" t="s">
        <v>3503</v>
      </c>
      <c r="E4992">
        <v>3</v>
      </c>
      <c r="F4992" t="s">
        <v>3524</v>
      </c>
      <c r="G4992" t="s">
        <v>3518</v>
      </c>
      <c r="H4992">
        <v>0.5</v>
      </c>
      <c r="I4992">
        <v>5.4</v>
      </c>
      <c r="J4992">
        <v>16.2</v>
      </c>
    </row>
    <row r="4993" spans="1:10" x14ac:dyDescent="0.25">
      <c r="A4993" t="s">
        <v>7518</v>
      </c>
      <c r="B4993" s="3">
        <v>43797</v>
      </c>
      <c r="C4993" t="s">
        <v>1945</v>
      </c>
      <c r="D4993" t="s">
        <v>3514</v>
      </c>
      <c r="E4993">
        <v>6</v>
      </c>
      <c r="F4993" t="s">
        <v>3526</v>
      </c>
      <c r="G4993" t="s">
        <v>3518</v>
      </c>
      <c r="H4993">
        <v>1</v>
      </c>
      <c r="I4993">
        <v>12.2</v>
      </c>
      <c r="J4993">
        <v>73.2</v>
      </c>
    </row>
    <row r="4994" spans="1:10" x14ac:dyDescent="0.25">
      <c r="A4994" t="s">
        <v>7519</v>
      </c>
      <c r="B4994" s="3">
        <v>45374</v>
      </c>
      <c r="C4994" t="s">
        <v>3142</v>
      </c>
      <c r="D4994" t="s">
        <v>3515</v>
      </c>
      <c r="E4994">
        <v>2</v>
      </c>
      <c r="F4994" t="s">
        <v>3526</v>
      </c>
      <c r="G4994" t="s">
        <v>3517</v>
      </c>
      <c r="H4994">
        <v>0.2</v>
      </c>
      <c r="I4994">
        <v>4.5</v>
      </c>
      <c r="J4994">
        <v>9</v>
      </c>
    </row>
    <row r="4995" spans="1:10" x14ac:dyDescent="0.25">
      <c r="A4995" t="s">
        <v>7520</v>
      </c>
      <c r="B4995" s="3">
        <v>45562</v>
      </c>
      <c r="C4995" t="s">
        <v>3187</v>
      </c>
      <c r="D4995" t="s">
        <v>3504</v>
      </c>
      <c r="E4995">
        <v>4</v>
      </c>
      <c r="F4995" t="s">
        <v>3524</v>
      </c>
      <c r="G4995" t="s">
        <v>3517</v>
      </c>
      <c r="H4995">
        <v>0.5</v>
      </c>
      <c r="I4995">
        <v>7.2</v>
      </c>
      <c r="J4995">
        <v>28.8</v>
      </c>
    </row>
    <row r="4996" spans="1:10" x14ac:dyDescent="0.25">
      <c r="A4996" t="s">
        <v>7521</v>
      </c>
      <c r="B4996" s="3">
        <v>44831</v>
      </c>
      <c r="C4996" t="s">
        <v>1930</v>
      </c>
      <c r="D4996" t="s">
        <v>3469</v>
      </c>
      <c r="E4996">
        <v>1</v>
      </c>
      <c r="F4996" t="s">
        <v>3524</v>
      </c>
      <c r="G4996" t="s">
        <v>3519</v>
      </c>
      <c r="H4996">
        <v>1</v>
      </c>
      <c r="I4996">
        <v>10</v>
      </c>
      <c r="J4996">
        <v>10</v>
      </c>
    </row>
    <row r="4997" spans="1:10" x14ac:dyDescent="0.25">
      <c r="A4997" t="s">
        <v>7522</v>
      </c>
      <c r="B4997" s="3">
        <v>45517</v>
      </c>
      <c r="C4997" t="s">
        <v>1309</v>
      </c>
      <c r="D4997" t="s">
        <v>3491</v>
      </c>
      <c r="E4997">
        <v>4</v>
      </c>
      <c r="F4997" t="s">
        <v>3525</v>
      </c>
      <c r="G4997" t="s">
        <v>3519</v>
      </c>
      <c r="H4997">
        <v>0.5</v>
      </c>
      <c r="I4997">
        <v>8.6999999999999993</v>
      </c>
      <c r="J4997">
        <v>34.799999999999997</v>
      </c>
    </row>
    <row r="4998" spans="1:10" x14ac:dyDescent="0.25">
      <c r="A4998" t="s">
        <v>7523</v>
      </c>
      <c r="B4998" s="3">
        <v>45103</v>
      </c>
      <c r="C4998" t="s">
        <v>1893</v>
      </c>
      <c r="D4998" t="s">
        <v>3486</v>
      </c>
      <c r="E4998">
        <v>4</v>
      </c>
      <c r="F4998" t="s">
        <v>3523</v>
      </c>
      <c r="G4998" t="s">
        <v>3519</v>
      </c>
      <c r="H4998">
        <v>1</v>
      </c>
      <c r="I4998">
        <v>11.3</v>
      </c>
      <c r="J4998">
        <v>45.2</v>
      </c>
    </row>
    <row r="4999" spans="1:10" x14ac:dyDescent="0.25">
      <c r="A4999" t="s">
        <v>7524</v>
      </c>
      <c r="B4999" s="3">
        <v>45093</v>
      </c>
      <c r="C4999" t="s">
        <v>1009</v>
      </c>
      <c r="D4999" t="s">
        <v>3496</v>
      </c>
      <c r="E4999">
        <v>3</v>
      </c>
      <c r="F4999" t="s">
        <v>3525</v>
      </c>
      <c r="G4999" t="s">
        <v>3518</v>
      </c>
      <c r="H4999">
        <v>2.5</v>
      </c>
      <c r="I4999">
        <v>29.8</v>
      </c>
      <c r="J4999">
        <v>89.4</v>
      </c>
    </row>
    <row r="5000" spans="1:10" x14ac:dyDescent="0.25">
      <c r="A5000" t="s">
        <v>7525</v>
      </c>
      <c r="B5000" s="3">
        <v>44017</v>
      </c>
      <c r="C5000" t="s">
        <v>1514</v>
      </c>
      <c r="D5000" t="s">
        <v>3476</v>
      </c>
      <c r="E5000">
        <v>5</v>
      </c>
      <c r="F5000" t="s">
        <v>3525</v>
      </c>
      <c r="G5000" t="s">
        <v>3517</v>
      </c>
      <c r="H5000">
        <v>0.2</v>
      </c>
      <c r="I5000">
        <v>4.8</v>
      </c>
      <c r="J5000">
        <v>24</v>
      </c>
    </row>
    <row r="5001" spans="1:10" x14ac:dyDescent="0.25">
      <c r="A5001" t="s">
        <v>7526</v>
      </c>
      <c r="B5001" s="3">
        <v>45495</v>
      </c>
      <c r="C5001" t="s">
        <v>2125</v>
      </c>
      <c r="D5001" t="s">
        <v>3500</v>
      </c>
      <c r="E5001">
        <v>6</v>
      </c>
      <c r="F5001" t="s">
        <v>3525</v>
      </c>
      <c r="G5001" t="s">
        <v>3518</v>
      </c>
      <c r="H5001">
        <v>0.5</v>
      </c>
      <c r="I5001">
        <v>7.8</v>
      </c>
      <c r="J5001">
        <v>46.8</v>
      </c>
    </row>
    <row r="5002" spans="1:10" x14ac:dyDescent="0.25">
      <c r="A5002" t="s">
        <v>7527</v>
      </c>
      <c r="B5002" s="3">
        <v>44521</v>
      </c>
      <c r="C5002" t="s">
        <v>2299</v>
      </c>
      <c r="D5002" t="s">
        <v>3512</v>
      </c>
      <c r="E5002">
        <v>6</v>
      </c>
      <c r="F5002" t="s">
        <v>3525</v>
      </c>
      <c r="G5002" t="s">
        <v>3519</v>
      </c>
      <c r="H5002">
        <v>2.5</v>
      </c>
      <c r="I5002">
        <v>33.5</v>
      </c>
      <c r="J5002">
        <v>201</v>
      </c>
    </row>
    <row r="5003" spans="1:10" x14ac:dyDescent="0.25">
      <c r="A5003" t="s">
        <v>7528</v>
      </c>
      <c r="B5003" s="3">
        <v>44516</v>
      </c>
      <c r="C5003" t="s">
        <v>1250</v>
      </c>
      <c r="D5003" t="s">
        <v>3491</v>
      </c>
      <c r="E5003">
        <v>2</v>
      </c>
      <c r="F5003" t="s">
        <v>3525</v>
      </c>
      <c r="G5003" t="s">
        <v>3519</v>
      </c>
      <c r="H5003">
        <v>0.5</v>
      </c>
      <c r="I5003">
        <v>8.6999999999999993</v>
      </c>
      <c r="J5003">
        <v>17.399999999999999</v>
      </c>
    </row>
    <row r="5004" spans="1:10" x14ac:dyDescent="0.25">
      <c r="A5004" t="s">
        <v>7529</v>
      </c>
      <c r="B5004" s="3">
        <v>44739</v>
      </c>
      <c r="C5004" t="s">
        <v>1839</v>
      </c>
      <c r="D5004" t="s">
        <v>3485</v>
      </c>
      <c r="E5004">
        <v>3</v>
      </c>
      <c r="F5004" t="s">
        <v>3523</v>
      </c>
      <c r="G5004" t="s">
        <v>3518</v>
      </c>
      <c r="H5004">
        <v>0.2</v>
      </c>
      <c r="I5004">
        <v>3</v>
      </c>
      <c r="J5004">
        <v>9</v>
      </c>
    </row>
    <row r="5005" spans="1:10" x14ac:dyDescent="0.25">
      <c r="A5005" t="s">
        <v>7530</v>
      </c>
      <c r="B5005" s="3">
        <v>45550</v>
      </c>
      <c r="C5005" t="s">
        <v>1979</v>
      </c>
      <c r="D5005" t="s">
        <v>3491</v>
      </c>
      <c r="E5005">
        <v>5</v>
      </c>
      <c r="F5005" t="s">
        <v>3525</v>
      </c>
      <c r="G5005" t="s">
        <v>3519</v>
      </c>
      <c r="H5005">
        <v>0.5</v>
      </c>
      <c r="I5005">
        <v>8.6999999999999993</v>
      </c>
      <c r="J5005">
        <v>43.5</v>
      </c>
    </row>
    <row r="5006" spans="1:10" x14ac:dyDescent="0.25">
      <c r="A5006" t="s">
        <v>7531</v>
      </c>
      <c r="B5006" s="3">
        <v>44932</v>
      </c>
      <c r="C5006" t="s">
        <v>1357</v>
      </c>
      <c r="D5006" t="s">
        <v>3487</v>
      </c>
      <c r="E5006">
        <v>1</v>
      </c>
      <c r="F5006" t="s">
        <v>3526</v>
      </c>
      <c r="G5006" t="s">
        <v>3519</v>
      </c>
      <c r="H5006">
        <v>0.2</v>
      </c>
      <c r="I5006">
        <v>4.0999999999999996</v>
      </c>
      <c r="J5006">
        <v>4.0999999999999996</v>
      </c>
    </row>
    <row r="5007" spans="1:10" x14ac:dyDescent="0.25">
      <c r="A5007" t="s">
        <v>7532</v>
      </c>
      <c r="B5007" s="3">
        <v>45612</v>
      </c>
      <c r="C5007" t="s">
        <v>1755</v>
      </c>
      <c r="D5007" t="s">
        <v>3483</v>
      </c>
      <c r="E5007">
        <v>2</v>
      </c>
      <c r="F5007" t="s">
        <v>3523</v>
      </c>
      <c r="G5007" t="s">
        <v>3519</v>
      </c>
      <c r="H5007">
        <v>0.2</v>
      </c>
      <c r="I5007">
        <v>3.4</v>
      </c>
      <c r="J5007">
        <v>6.8</v>
      </c>
    </row>
    <row r="5008" spans="1:10" x14ac:dyDescent="0.25">
      <c r="A5008" t="s">
        <v>7533</v>
      </c>
      <c r="B5008" s="3">
        <v>43703</v>
      </c>
      <c r="C5008" t="s">
        <v>2992</v>
      </c>
      <c r="D5008" t="s">
        <v>3470</v>
      </c>
      <c r="E5008">
        <v>2</v>
      </c>
      <c r="F5008" t="s">
        <v>3526</v>
      </c>
      <c r="G5008" t="s">
        <v>3519</v>
      </c>
      <c r="H5008">
        <v>0.5</v>
      </c>
      <c r="I5008">
        <v>8.3000000000000007</v>
      </c>
      <c r="J5008">
        <v>16.600000000000001</v>
      </c>
    </row>
    <row r="5009" spans="1:10" x14ac:dyDescent="0.25">
      <c r="A5009" t="s">
        <v>7534</v>
      </c>
      <c r="B5009" s="3">
        <v>45596</v>
      </c>
      <c r="C5009" t="s">
        <v>1303</v>
      </c>
      <c r="D5009" t="s">
        <v>3497</v>
      </c>
      <c r="E5009">
        <v>5</v>
      </c>
      <c r="F5009" t="s">
        <v>3526</v>
      </c>
      <c r="G5009" t="s">
        <v>3519</v>
      </c>
      <c r="H5009">
        <v>2.5</v>
      </c>
      <c r="I5009">
        <v>31.6</v>
      </c>
      <c r="J5009">
        <v>158</v>
      </c>
    </row>
    <row r="5010" spans="1:10" x14ac:dyDescent="0.25">
      <c r="A5010" t="s">
        <v>7535</v>
      </c>
      <c r="B5010" s="3">
        <v>45613</v>
      </c>
      <c r="C5010" t="s">
        <v>2512</v>
      </c>
      <c r="D5010" t="s">
        <v>3515</v>
      </c>
      <c r="E5010">
        <v>6</v>
      </c>
      <c r="F5010" t="s">
        <v>3526</v>
      </c>
      <c r="G5010" t="s">
        <v>3517</v>
      </c>
      <c r="H5010">
        <v>0.2</v>
      </c>
      <c r="I5010">
        <v>4.5</v>
      </c>
      <c r="J5010">
        <v>27</v>
      </c>
    </row>
    <row r="5011" spans="1:10" x14ac:dyDescent="0.25">
      <c r="A5011" t="s">
        <v>7536</v>
      </c>
      <c r="B5011" s="3">
        <v>45099</v>
      </c>
      <c r="C5011" t="s">
        <v>2708</v>
      </c>
      <c r="D5011" t="s">
        <v>3488</v>
      </c>
      <c r="E5011">
        <v>1</v>
      </c>
      <c r="F5011" t="s">
        <v>3523</v>
      </c>
      <c r="G5011" t="s">
        <v>3519</v>
      </c>
      <c r="H5011">
        <v>0.5</v>
      </c>
      <c r="I5011">
        <v>6.8</v>
      </c>
      <c r="J5011">
        <v>6.8</v>
      </c>
    </row>
    <row r="5012" spans="1:10" x14ac:dyDescent="0.25">
      <c r="A5012" t="s">
        <v>7537</v>
      </c>
      <c r="B5012" s="3">
        <v>44687</v>
      </c>
      <c r="C5012" t="s">
        <v>2381</v>
      </c>
      <c r="D5012" t="s">
        <v>3506</v>
      </c>
      <c r="E5012">
        <v>6</v>
      </c>
      <c r="F5012" t="s">
        <v>3523</v>
      </c>
      <c r="G5012" t="s">
        <v>3519</v>
      </c>
      <c r="H5012">
        <v>2.5</v>
      </c>
      <c r="I5012">
        <v>25.9</v>
      </c>
      <c r="J5012">
        <v>155.4</v>
      </c>
    </row>
    <row r="5013" spans="1:10" x14ac:dyDescent="0.25">
      <c r="A5013" t="s">
        <v>7538</v>
      </c>
      <c r="B5013" s="3">
        <v>45611</v>
      </c>
      <c r="C5013" t="s">
        <v>3148</v>
      </c>
      <c r="D5013" t="s">
        <v>3514</v>
      </c>
      <c r="E5013">
        <v>4</v>
      </c>
      <c r="F5013" t="s">
        <v>3526</v>
      </c>
      <c r="G5013" t="s">
        <v>3518</v>
      </c>
      <c r="H5013">
        <v>1</v>
      </c>
      <c r="I5013">
        <v>12.2</v>
      </c>
      <c r="J5013">
        <v>48.8</v>
      </c>
    </row>
    <row r="5014" spans="1:10" x14ac:dyDescent="0.25">
      <c r="A5014" t="s">
        <v>7539</v>
      </c>
      <c r="B5014" s="3">
        <v>44622</v>
      </c>
      <c r="C5014" t="s">
        <v>790</v>
      </c>
      <c r="D5014" t="s">
        <v>3496</v>
      </c>
      <c r="E5014">
        <v>2</v>
      </c>
      <c r="F5014" t="s">
        <v>3525</v>
      </c>
      <c r="G5014" t="s">
        <v>3518</v>
      </c>
      <c r="H5014">
        <v>2.5</v>
      </c>
      <c r="I5014">
        <v>29.8</v>
      </c>
      <c r="J5014">
        <v>59.6</v>
      </c>
    </row>
    <row r="5015" spans="1:10" x14ac:dyDescent="0.25">
      <c r="A5015" t="s">
        <v>7540</v>
      </c>
      <c r="B5015" s="3">
        <v>44631</v>
      </c>
      <c r="C5015" t="s">
        <v>2125</v>
      </c>
      <c r="D5015" t="s">
        <v>3484</v>
      </c>
      <c r="E5015">
        <v>3</v>
      </c>
      <c r="F5015" t="s">
        <v>3526</v>
      </c>
      <c r="G5015" t="s">
        <v>3518</v>
      </c>
      <c r="H5015">
        <v>0.2</v>
      </c>
      <c r="I5015">
        <v>3.6</v>
      </c>
      <c r="J5015">
        <v>10.8</v>
      </c>
    </row>
    <row r="5016" spans="1:10" x14ac:dyDescent="0.25">
      <c r="A5016" t="s">
        <v>7541</v>
      </c>
      <c r="B5016" s="3">
        <v>44496</v>
      </c>
      <c r="C5016" t="s">
        <v>1930</v>
      </c>
      <c r="D5016" t="s">
        <v>3474</v>
      </c>
      <c r="E5016">
        <v>5</v>
      </c>
      <c r="F5016" t="s">
        <v>3525</v>
      </c>
      <c r="G5016" t="s">
        <v>3518</v>
      </c>
      <c r="H5016">
        <v>1</v>
      </c>
      <c r="I5016">
        <v>13</v>
      </c>
      <c r="J5016">
        <v>65</v>
      </c>
    </row>
    <row r="5017" spans="1:10" x14ac:dyDescent="0.25">
      <c r="A5017" t="s">
        <v>7542</v>
      </c>
      <c r="B5017" s="3">
        <v>44858</v>
      </c>
      <c r="C5017" t="s">
        <v>893</v>
      </c>
      <c r="D5017" t="s">
        <v>3503</v>
      </c>
      <c r="E5017">
        <v>4</v>
      </c>
      <c r="F5017" t="s">
        <v>3524</v>
      </c>
      <c r="G5017" t="s">
        <v>3518</v>
      </c>
      <c r="H5017">
        <v>0.5</v>
      </c>
      <c r="I5017">
        <v>5.4</v>
      </c>
      <c r="J5017">
        <v>21.6</v>
      </c>
    </row>
    <row r="5018" spans="1:10" x14ac:dyDescent="0.25">
      <c r="A5018" t="s">
        <v>7543</v>
      </c>
      <c r="B5018" s="3">
        <v>45084</v>
      </c>
      <c r="C5018" t="s">
        <v>679</v>
      </c>
      <c r="D5018" t="s">
        <v>3512</v>
      </c>
      <c r="E5018">
        <v>2</v>
      </c>
      <c r="F5018" t="s">
        <v>3525</v>
      </c>
      <c r="G5018" t="s">
        <v>3519</v>
      </c>
      <c r="H5018">
        <v>2.5</v>
      </c>
      <c r="I5018">
        <v>33.5</v>
      </c>
      <c r="J5018">
        <v>67</v>
      </c>
    </row>
    <row r="5019" spans="1:10" x14ac:dyDescent="0.25">
      <c r="A5019" t="s">
        <v>7544</v>
      </c>
      <c r="B5019" s="3">
        <v>45022</v>
      </c>
      <c r="C5019" t="s">
        <v>811</v>
      </c>
      <c r="D5019" t="s">
        <v>3502</v>
      </c>
      <c r="E5019">
        <v>5</v>
      </c>
      <c r="F5019" t="s">
        <v>3526</v>
      </c>
      <c r="G5019" t="s">
        <v>3517</v>
      </c>
      <c r="H5019">
        <v>1</v>
      </c>
      <c r="I5019">
        <v>14.9</v>
      </c>
      <c r="J5019">
        <v>74.5</v>
      </c>
    </row>
    <row r="5020" spans="1:10" x14ac:dyDescent="0.25">
      <c r="A5020" t="s">
        <v>7545</v>
      </c>
      <c r="B5020" s="3">
        <v>44786</v>
      </c>
      <c r="C5020" t="s">
        <v>3016</v>
      </c>
      <c r="D5020" t="s">
        <v>3486</v>
      </c>
      <c r="E5020">
        <v>1</v>
      </c>
      <c r="F5020" t="s">
        <v>3523</v>
      </c>
      <c r="G5020" t="s">
        <v>3519</v>
      </c>
      <c r="H5020">
        <v>1</v>
      </c>
      <c r="I5020">
        <v>11.3</v>
      </c>
      <c r="J5020">
        <v>11.3</v>
      </c>
    </row>
    <row r="5021" spans="1:10" x14ac:dyDescent="0.25">
      <c r="A5021" t="s">
        <v>7546</v>
      </c>
      <c r="B5021" s="3">
        <v>45007</v>
      </c>
      <c r="C5021" t="s">
        <v>1446</v>
      </c>
      <c r="D5021" t="s">
        <v>3493</v>
      </c>
      <c r="E5021">
        <v>4</v>
      </c>
      <c r="F5021" t="s">
        <v>3525</v>
      </c>
      <c r="G5021" t="s">
        <v>3519</v>
      </c>
      <c r="H5021">
        <v>1</v>
      </c>
      <c r="I5021">
        <v>14.6</v>
      </c>
      <c r="J5021">
        <v>58.4</v>
      </c>
    </row>
    <row r="5022" spans="1:10" x14ac:dyDescent="0.25">
      <c r="A5022" t="s">
        <v>7547</v>
      </c>
      <c r="B5022" s="3">
        <v>45163</v>
      </c>
      <c r="C5022" t="s">
        <v>1758</v>
      </c>
      <c r="D5022" t="s">
        <v>3513</v>
      </c>
      <c r="E5022">
        <v>5</v>
      </c>
      <c r="F5022" t="s">
        <v>3523</v>
      </c>
      <c r="G5022" t="s">
        <v>3517</v>
      </c>
      <c r="H5022">
        <v>2.5</v>
      </c>
      <c r="I5022">
        <v>29.8</v>
      </c>
      <c r="J5022">
        <v>149</v>
      </c>
    </row>
    <row r="5023" spans="1:10" x14ac:dyDescent="0.25">
      <c r="A5023" t="s">
        <v>7548</v>
      </c>
      <c r="B5023" s="3">
        <v>45197</v>
      </c>
      <c r="C5023" t="s">
        <v>1800</v>
      </c>
      <c r="D5023" t="s">
        <v>3508</v>
      </c>
      <c r="E5023">
        <v>6</v>
      </c>
      <c r="F5023" t="s">
        <v>3524</v>
      </c>
      <c r="G5023" t="s">
        <v>3518</v>
      </c>
      <c r="H5023">
        <v>1</v>
      </c>
      <c r="I5023">
        <v>9</v>
      </c>
      <c r="J5023">
        <v>54</v>
      </c>
    </row>
    <row r="5024" spans="1:10" x14ac:dyDescent="0.25">
      <c r="A5024" t="s">
        <v>7549</v>
      </c>
      <c r="B5024" s="3">
        <v>44546</v>
      </c>
      <c r="C5024" t="s">
        <v>3399</v>
      </c>
      <c r="D5024" t="s">
        <v>3512</v>
      </c>
      <c r="E5024">
        <v>5</v>
      </c>
      <c r="F5024" t="s">
        <v>3525</v>
      </c>
      <c r="G5024" t="s">
        <v>3519</v>
      </c>
      <c r="H5024">
        <v>2.5</v>
      </c>
      <c r="I5024">
        <v>33.5</v>
      </c>
      <c r="J5024">
        <v>167.5</v>
      </c>
    </row>
    <row r="5025" spans="1:10" x14ac:dyDescent="0.25">
      <c r="A5025" t="s">
        <v>7550</v>
      </c>
      <c r="B5025" s="3">
        <v>45042</v>
      </c>
      <c r="C5025" t="s">
        <v>841</v>
      </c>
      <c r="D5025" t="s">
        <v>3504</v>
      </c>
      <c r="E5025">
        <v>1</v>
      </c>
      <c r="F5025" t="s">
        <v>3524</v>
      </c>
      <c r="G5025" t="s">
        <v>3517</v>
      </c>
      <c r="H5025">
        <v>0.5</v>
      </c>
      <c r="I5025">
        <v>7.2</v>
      </c>
      <c r="J5025">
        <v>7.2</v>
      </c>
    </row>
    <row r="5026" spans="1:10" x14ac:dyDescent="0.25">
      <c r="A5026" t="s">
        <v>7551</v>
      </c>
      <c r="B5026" s="3">
        <v>44971</v>
      </c>
      <c r="C5026" t="s">
        <v>1696</v>
      </c>
      <c r="D5026" t="s">
        <v>3501</v>
      </c>
      <c r="E5026">
        <v>3</v>
      </c>
      <c r="F5026" t="s">
        <v>3525</v>
      </c>
      <c r="G5026" t="s">
        <v>3517</v>
      </c>
      <c r="H5026">
        <v>1</v>
      </c>
      <c r="I5026">
        <v>15.9</v>
      </c>
      <c r="J5026">
        <v>47.7</v>
      </c>
    </row>
    <row r="5027" spans="1:10" x14ac:dyDescent="0.25">
      <c r="A5027" t="s">
        <v>7552</v>
      </c>
      <c r="B5027" s="3">
        <v>45368</v>
      </c>
      <c r="C5027" t="s">
        <v>552</v>
      </c>
      <c r="D5027" t="s">
        <v>3515</v>
      </c>
      <c r="E5027">
        <v>5</v>
      </c>
      <c r="F5027" t="s">
        <v>3526</v>
      </c>
      <c r="G5027" t="s">
        <v>3517</v>
      </c>
      <c r="H5027">
        <v>0.2</v>
      </c>
      <c r="I5027">
        <v>4.5</v>
      </c>
      <c r="J5027">
        <v>22.5</v>
      </c>
    </row>
    <row r="5028" spans="1:10" x14ac:dyDescent="0.25">
      <c r="A5028" t="s">
        <v>7553</v>
      </c>
      <c r="B5028" s="3">
        <v>45417</v>
      </c>
      <c r="C5028" t="s">
        <v>2852</v>
      </c>
      <c r="D5028" t="s">
        <v>3498</v>
      </c>
      <c r="E5028">
        <v>5</v>
      </c>
      <c r="F5028" t="s">
        <v>3523</v>
      </c>
      <c r="G5028" t="s">
        <v>3517</v>
      </c>
      <c r="H5028">
        <v>0.2</v>
      </c>
      <c r="I5028">
        <v>3.9</v>
      </c>
      <c r="J5028">
        <v>19.5</v>
      </c>
    </row>
    <row r="5029" spans="1:10" x14ac:dyDescent="0.25">
      <c r="A5029" t="s">
        <v>7554</v>
      </c>
      <c r="B5029" s="3">
        <v>43473</v>
      </c>
      <c r="C5029" t="s">
        <v>3372</v>
      </c>
      <c r="D5029" t="s">
        <v>3488</v>
      </c>
      <c r="E5029">
        <v>3</v>
      </c>
      <c r="F5029" t="s">
        <v>3523</v>
      </c>
      <c r="G5029" t="s">
        <v>3519</v>
      </c>
      <c r="H5029">
        <v>0.5</v>
      </c>
      <c r="I5029">
        <v>6.8</v>
      </c>
      <c r="J5029">
        <v>20.399999999999999</v>
      </c>
    </row>
    <row r="5030" spans="1:10" x14ac:dyDescent="0.25">
      <c r="A5030" t="s">
        <v>7555</v>
      </c>
      <c r="B5030" s="3">
        <v>44713</v>
      </c>
      <c r="C5030" t="s">
        <v>2989</v>
      </c>
      <c r="D5030" t="s">
        <v>3494</v>
      </c>
      <c r="E5030">
        <v>5</v>
      </c>
      <c r="F5030" t="s">
        <v>3524</v>
      </c>
      <c r="G5030" t="s">
        <v>3518</v>
      </c>
      <c r="H5030">
        <v>0.2</v>
      </c>
      <c r="I5030">
        <v>2.7</v>
      </c>
      <c r="J5030">
        <v>13.5</v>
      </c>
    </row>
    <row r="5031" spans="1:10" x14ac:dyDescent="0.25">
      <c r="A5031" t="s">
        <v>7556</v>
      </c>
      <c r="B5031" s="3">
        <v>44881</v>
      </c>
      <c r="C5031" t="s">
        <v>1169</v>
      </c>
      <c r="D5031" t="s">
        <v>3505</v>
      </c>
      <c r="E5031">
        <v>2</v>
      </c>
      <c r="F5031" t="s">
        <v>3524</v>
      </c>
      <c r="G5031" t="s">
        <v>3519</v>
      </c>
      <c r="H5031">
        <v>0.2</v>
      </c>
      <c r="I5031">
        <v>3</v>
      </c>
      <c r="J5031">
        <v>6</v>
      </c>
    </row>
    <row r="5032" spans="1:10" x14ac:dyDescent="0.25">
      <c r="A5032" t="s">
        <v>7557</v>
      </c>
      <c r="B5032" s="3">
        <v>44942</v>
      </c>
      <c r="C5032" t="s">
        <v>2308</v>
      </c>
      <c r="D5032" t="s">
        <v>3497</v>
      </c>
      <c r="E5032">
        <v>6</v>
      </c>
      <c r="F5032" t="s">
        <v>3526</v>
      </c>
      <c r="G5032" t="s">
        <v>3519</v>
      </c>
      <c r="H5032">
        <v>2.5</v>
      </c>
      <c r="I5032">
        <v>31.6</v>
      </c>
      <c r="J5032">
        <v>189.6</v>
      </c>
    </row>
    <row r="5033" spans="1:10" x14ac:dyDescent="0.25">
      <c r="A5033" t="s">
        <v>7558</v>
      </c>
      <c r="B5033" s="3">
        <v>43558</v>
      </c>
      <c r="C5033" t="s">
        <v>817</v>
      </c>
      <c r="D5033" t="s">
        <v>3502</v>
      </c>
      <c r="E5033">
        <v>6</v>
      </c>
      <c r="F5033" t="s">
        <v>3526</v>
      </c>
      <c r="G5033" t="s">
        <v>3517</v>
      </c>
      <c r="H5033">
        <v>1</v>
      </c>
      <c r="I5033">
        <v>14.9</v>
      </c>
      <c r="J5033">
        <v>89.4</v>
      </c>
    </row>
    <row r="5034" spans="1:10" x14ac:dyDescent="0.25">
      <c r="A5034" t="s">
        <v>7559</v>
      </c>
      <c r="B5034" s="3">
        <v>45443</v>
      </c>
      <c r="C5034" t="s">
        <v>1402</v>
      </c>
      <c r="D5034" t="s">
        <v>3483</v>
      </c>
      <c r="E5034">
        <v>4</v>
      </c>
      <c r="F5034" t="s">
        <v>3523</v>
      </c>
      <c r="G5034" t="s">
        <v>3519</v>
      </c>
      <c r="H5034">
        <v>0.2</v>
      </c>
      <c r="I5034">
        <v>3.4</v>
      </c>
      <c r="J5034">
        <v>13.6</v>
      </c>
    </row>
    <row r="5035" spans="1:10" x14ac:dyDescent="0.25">
      <c r="A5035" t="s">
        <v>7560</v>
      </c>
      <c r="B5035" s="3">
        <v>44644</v>
      </c>
      <c r="C5035" t="s">
        <v>2459</v>
      </c>
      <c r="D5035" t="s">
        <v>3505</v>
      </c>
      <c r="E5035">
        <v>5</v>
      </c>
      <c r="F5035" t="s">
        <v>3524</v>
      </c>
      <c r="G5035" t="s">
        <v>3519</v>
      </c>
      <c r="H5035">
        <v>0.2</v>
      </c>
      <c r="I5035">
        <v>3</v>
      </c>
      <c r="J5035">
        <v>15</v>
      </c>
    </row>
    <row r="5036" spans="1:10" x14ac:dyDescent="0.25">
      <c r="A5036" t="s">
        <v>7561</v>
      </c>
      <c r="B5036" s="3">
        <v>44662</v>
      </c>
      <c r="C5036" t="s">
        <v>737</v>
      </c>
      <c r="D5036" t="s">
        <v>3483</v>
      </c>
      <c r="E5036">
        <v>5</v>
      </c>
      <c r="F5036" t="s">
        <v>3523</v>
      </c>
      <c r="G5036" t="s">
        <v>3519</v>
      </c>
      <c r="H5036">
        <v>0.2</v>
      </c>
      <c r="I5036">
        <v>3.4</v>
      </c>
      <c r="J5036">
        <v>17</v>
      </c>
    </row>
    <row r="5037" spans="1:10" x14ac:dyDescent="0.25">
      <c r="A5037" t="s">
        <v>7562</v>
      </c>
      <c r="B5037" s="3">
        <v>44734</v>
      </c>
      <c r="C5037" t="s">
        <v>3237</v>
      </c>
      <c r="D5037" t="s">
        <v>3504</v>
      </c>
      <c r="E5037">
        <v>6</v>
      </c>
      <c r="F5037" t="s">
        <v>3524</v>
      </c>
      <c r="G5037" t="s">
        <v>3517</v>
      </c>
      <c r="H5037">
        <v>0.5</v>
      </c>
      <c r="I5037">
        <v>7.2</v>
      </c>
      <c r="J5037">
        <v>43.2</v>
      </c>
    </row>
    <row r="5038" spans="1:10" x14ac:dyDescent="0.25">
      <c r="A5038" t="s">
        <v>7563</v>
      </c>
      <c r="B5038" s="3">
        <v>43924</v>
      </c>
      <c r="C5038" t="s">
        <v>3030</v>
      </c>
      <c r="D5038" t="s">
        <v>3492</v>
      </c>
      <c r="E5038">
        <v>2</v>
      </c>
      <c r="F5038" t="s">
        <v>3525</v>
      </c>
      <c r="G5038" t="s">
        <v>3517</v>
      </c>
      <c r="H5038">
        <v>0.5</v>
      </c>
      <c r="I5038">
        <v>9.5</v>
      </c>
      <c r="J5038">
        <v>19</v>
      </c>
    </row>
    <row r="5039" spans="1:10" x14ac:dyDescent="0.25">
      <c r="A5039" t="s">
        <v>7564</v>
      </c>
      <c r="B5039" s="3">
        <v>45617</v>
      </c>
      <c r="C5039" t="s">
        <v>2772</v>
      </c>
      <c r="D5039" t="s">
        <v>3480</v>
      </c>
      <c r="E5039">
        <v>6</v>
      </c>
      <c r="F5039" t="s">
        <v>3524</v>
      </c>
      <c r="G5039" t="s">
        <v>3518</v>
      </c>
      <c r="H5039">
        <v>2.5</v>
      </c>
      <c r="I5039">
        <v>20.6</v>
      </c>
      <c r="J5039">
        <v>123.6</v>
      </c>
    </row>
    <row r="5040" spans="1:10" x14ac:dyDescent="0.25">
      <c r="A5040" t="s">
        <v>7565</v>
      </c>
      <c r="B5040" s="3">
        <v>44611</v>
      </c>
      <c r="C5040" t="s">
        <v>2834</v>
      </c>
      <c r="D5040" t="s">
        <v>3484</v>
      </c>
      <c r="E5040">
        <v>4</v>
      </c>
      <c r="F5040" t="s">
        <v>3526</v>
      </c>
      <c r="G5040" t="s">
        <v>3518</v>
      </c>
      <c r="H5040">
        <v>0.2</v>
      </c>
      <c r="I5040">
        <v>3.6</v>
      </c>
      <c r="J5040">
        <v>14.4</v>
      </c>
    </row>
    <row r="5041" spans="1:10" x14ac:dyDescent="0.25">
      <c r="A5041" t="s">
        <v>7566</v>
      </c>
      <c r="B5041" s="3">
        <v>44988</v>
      </c>
      <c r="C5041" t="s">
        <v>3414</v>
      </c>
      <c r="D5041" t="s">
        <v>3503</v>
      </c>
      <c r="E5041">
        <v>5</v>
      </c>
      <c r="F5041" t="s">
        <v>3524</v>
      </c>
      <c r="G5041" t="s">
        <v>3518</v>
      </c>
      <c r="H5041">
        <v>0.5</v>
      </c>
      <c r="I5041">
        <v>5.4</v>
      </c>
      <c r="J5041">
        <v>27</v>
      </c>
    </row>
    <row r="5042" spans="1:10" x14ac:dyDescent="0.25">
      <c r="A5042" t="s">
        <v>7567</v>
      </c>
      <c r="B5042" s="3">
        <v>45305</v>
      </c>
      <c r="C5042" t="s">
        <v>1594</v>
      </c>
      <c r="D5042" t="s">
        <v>3476</v>
      </c>
      <c r="E5042">
        <v>6</v>
      </c>
      <c r="F5042" t="s">
        <v>3525</v>
      </c>
      <c r="G5042" t="s">
        <v>3517</v>
      </c>
      <c r="H5042">
        <v>0.2</v>
      </c>
      <c r="I5042">
        <v>4.8</v>
      </c>
      <c r="J5042">
        <v>28.8</v>
      </c>
    </row>
    <row r="5043" spans="1:10" x14ac:dyDescent="0.25">
      <c r="A5043" t="s">
        <v>7568</v>
      </c>
      <c r="B5043" s="3">
        <v>45309</v>
      </c>
      <c r="C5043" t="s">
        <v>1214</v>
      </c>
      <c r="D5043" t="s">
        <v>3496</v>
      </c>
      <c r="E5043">
        <v>1</v>
      </c>
      <c r="F5043" t="s">
        <v>3525</v>
      </c>
      <c r="G5043" t="s">
        <v>3518</v>
      </c>
      <c r="H5043">
        <v>2.5</v>
      </c>
      <c r="I5043">
        <v>29.8</v>
      </c>
      <c r="J5043">
        <v>29.8</v>
      </c>
    </row>
    <row r="5044" spans="1:10" x14ac:dyDescent="0.25">
      <c r="A5044" t="s">
        <v>7569</v>
      </c>
      <c r="B5044" s="3">
        <v>44980</v>
      </c>
      <c r="C5044" t="s">
        <v>649</v>
      </c>
      <c r="D5044" t="s">
        <v>3480</v>
      </c>
      <c r="E5044">
        <v>2</v>
      </c>
      <c r="F5044" t="s">
        <v>3524</v>
      </c>
      <c r="G5044" t="s">
        <v>3518</v>
      </c>
      <c r="H5044">
        <v>2.5</v>
      </c>
      <c r="I5044">
        <v>20.6</v>
      </c>
      <c r="J5044">
        <v>41.2</v>
      </c>
    </row>
    <row r="5045" spans="1:10" x14ac:dyDescent="0.25">
      <c r="A5045" t="s">
        <v>7570</v>
      </c>
      <c r="B5045" s="3">
        <v>45182</v>
      </c>
      <c r="C5045" t="s">
        <v>1842</v>
      </c>
      <c r="D5045" t="s">
        <v>3497</v>
      </c>
      <c r="E5045">
        <v>4</v>
      </c>
      <c r="F5045" t="s">
        <v>3526</v>
      </c>
      <c r="G5045" t="s">
        <v>3519</v>
      </c>
      <c r="H5045">
        <v>2.5</v>
      </c>
      <c r="I5045">
        <v>31.6</v>
      </c>
      <c r="J5045">
        <v>126.4</v>
      </c>
    </row>
    <row r="5046" spans="1:10" x14ac:dyDescent="0.25">
      <c r="A5046" t="s">
        <v>7571</v>
      </c>
      <c r="B5046" s="3">
        <v>44906</v>
      </c>
      <c r="C5046" t="s">
        <v>722</v>
      </c>
      <c r="D5046" t="s">
        <v>3472</v>
      </c>
      <c r="E5046">
        <v>3</v>
      </c>
      <c r="F5046" t="s">
        <v>3526</v>
      </c>
      <c r="G5046" t="s">
        <v>3519</v>
      </c>
      <c r="H5046">
        <v>1</v>
      </c>
      <c r="I5046">
        <v>13.8</v>
      </c>
      <c r="J5046">
        <v>41.4</v>
      </c>
    </row>
    <row r="5047" spans="1:10" x14ac:dyDescent="0.25">
      <c r="A5047" t="s">
        <v>7572</v>
      </c>
      <c r="B5047" s="3">
        <v>45053</v>
      </c>
      <c r="C5047" t="s">
        <v>2840</v>
      </c>
      <c r="D5047" t="s">
        <v>3513</v>
      </c>
      <c r="E5047">
        <v>3</v>
      </c>
      <c r="F5047" t="s">
        <v>3523</v>
      </c>
      <c r="G5047" t="s">
        <v>3517</v>
      </c>
      <c r="H5047">
        <v>2.5</v>
      </c>
      <c r="I5047">
        <v>29.8</v>
      </c>
      <c r="J5047">
        <v>89.4</v>
      </c>
    </row>
    <row r="5048" spans="1:10" x14ac:dyDescent="0.25">
      <c r="A5048" t="s">
        <v>7573</v>
      </c>
      <c r="B5048" s="3">
        <v>45481</v>
      </c>
      <c r="C5048" t="s">
        <v>1193</v>
      </c>
      <c r="D5048" t="s">
        <v>3474</v>
      </c>
      <c r="E5048">
        <v>3</v>
      </c>
      <c r="F5048" t="s">
        <v>3525</v>
      </c>
      <c r="G5048" t="s">
        <v>3518</v>
      </c>
      <c r="H5048">
        <v>1</v>
      </c>
      <c r="I5048">
        <v>13</v>
      </c>
      <c r="J5048">
        <v>39</v>
      </c>
    </row>
    <row r="5049" spans="1:10" x14ac:dyDescent="0.25">
      <c r="A5049" t="s">
        <v>7574</v>
      </c>
      <c r="B5049" s="3">
        <v>45085</v>
      </c>
      <c r="C5049" t="s">
        <v>2000</v>
      </c>
      <c r="D5049" t="s">
        <v>3497</v>
      </c>
      <c r="E5049">
        <v>3</v>
      </c>
      <c r="F5049" t="s">
        <v>3526</v>
      </c>
      <c r="G5049" t="s">
        <v>3519</v>
      </c>
      <c r="H5049">
        <v>2.5</v>
      </c>
      <c r="I5049">
        <v>31.6</v>
      </c>
      <c r="J5049">
        <v>94.8</v>
      </c>
    </row>
    <row r="5050" spans="1:10" x14ac:dyDescent="0.25">
      <c r="A5050" t="s">
        <v>7575</v>
      </c>
      <c r="B5050" s="3">
        <v>44897</v>
      </c>
      <c r="C5050" t="s">
        <v>962</v>
      </c>
      <c r="D5050" t="s">
        <v>3509</v>
      </c>
      <c r="E5050">
        <v>6</v>
      </c>
      <c r="F5050" t="s">
        <v>3524</v>
      </c>
      <c r="G5050" t="s">
        <v>3517</v>
      </c>
      <c r="H5050">
        <v>0.2</v>
      </c>
      <c r="I5050">
        <v>3.6</v>
      </c>
      <c r="J5050">
        <v>21.6</v>
      </c>
    </row>
    <row r="5051" spans="1:10" x14ac:dyDescent="0.25">
      <c r="A5051" t="s">
        <v>7576</v>
      </c>
      <c r="B5051" s="3">
        <v>45140</v>
      </c>
      <c r="C5051" t="s">
        <v>2024</v>
      </c>
      <c r="D5051" t="s">
        <v>3491</v>
      </c>
      <c r="E5051">
        <v>6</v>
      </c>
      <c r="F5051" t="s">
        <v>3525</v>
      </c>
      <c r="G5051" t="s">
        <v>3519</v>
      </c>
      <c r="H5051">
        <v>0.5</v>
      </c>
      <c r="I5051">
        <v>8.6999999999999993</v>
      </c>
      <c r="J5051">
        <v>52.2</v>
      </c>
    </row>
    <row r="5052" spans="1:10" x14ac:dyDescent="0.25">
      <c r="A5052" t="s">
        <v>7577</v>
      </c>
      <c r="B5052" s="3">
        <v>44984</v>
      </c>
      <c r="C5052" t="s">
        <v>604</v>
      </c>
      <c r="D5052" t="s">
        <v>3490</v>
      </c>
      <c r="E5052">
        <v>5</v>
      </c>
      <c r="F5052" t="s">
        <v>3525</v>
      </c>
      <c r="G5052" t="s">
        <v>3519</v>
      </c>
      <c r="H5052">
        <v>0.2</v>
      </c>
      <c r="I5052">
        <v>4.4000000000000004</v>
      </c>
      <c r="J5052">
        <v>22</v>
      </c>
    </row>
    <row r="5053" spans="1:10" x14ac:dyDescent="0.25">
      <c r="A5053" t="s">
        <v>7578</v>
      </c>
      <c r="B5053" s="3">
        <v>45586</v>
      </c>
      <c r="C5053" t="s">
        <v>1890</v>
      </c>
      <c r="D5053" t="s">
        <v>3475</v>
      </c>
      <c r="E5053">
        <v>4</v>
      </c>
      <c r="F5053" t="s">
        <v>3526</v>
      </c>
      <c r="G5053" t="s">
        <v>3518</v>
      </c>
      <c r="H5053">
        <v>0.5</v>
      </c>
      <c r="I5053">
        <v>7.3</v>
      </c>
      <c r="J5053">
        <v>29.2</v>
      </c>
    </row>
    <row r="5054" spans="1:10" x14ac:dyDescent="0.25">
      <c r="A5054" t="s">
        <v>7579</v>
      </c>
      <c r="B5054" s="3">
        <v>45475</v>
      </c>
      <c r="C5054" t="s">
        <v>2305</v>
      </c>
      <c r="D5054" t="s">
        <v>3482</v>
      </c>
      <c r="E5054">
        <v>3</v>
      </c>
      <c r="F5054" t="s">
        <v>3524</v>
      </c>
      <c r="G5054" t="s">
        <v>3519</v>
      </c>
      <c r="H5054">
        <v>2.5</v>
      </c>
      <c r="I5054">
        <v>22.9</v>
      </c>
      <c r="J5054">
        <v>68.7</v>
      </c>
    </row>
    <row r="5055" spans="1:10" x14ac:dyDescent="0.25">
      <c r="A5055" t="s">
        <v>7580</v>
      </c>
      <c r="B5055" s="3">
        <v>45119</v>
      </c>
      <c r="C5055" t="s">
        <v>3411</v>
      </c>
      <c r="D5055" t="s">
        <v>3476</v>
      </c>
      <c r="E5055">
        <v>3</v>
      </c>
      <c r="F5055" t="s">
        <v>3525</v>
      </c>
      <c r="G5055" t="s">
        <v>3517</v>
      </c>
      <c r="H5055">
        <v>0.2</v>
      </c>
      <c r="I5055">
        <v>4.8</v>
      </c>
      <c r="J5055">
        <v>14.4</v>
      </c>
    </row>
    <row r="5056" spans="1:10" x14ac:dyDescent="0.25">
      <c r="A5056" t="s">
        <v>7581</v>
      </c>
      <c r="B5056" s="3">
        <v>44810</v>
      </c>
      <c r="C5056" t="s">
        <v>661</v>
      </c>
      <c r="D5056" t="s">
        <v>3469</v>
      </c>
      <c r="E5056">
        <v>5</v>
      </c>
      <c r="F5056" t="s">
        <v>3524</v>
      </c>
      <c r="G5056" t="s">
        <v>3519</v>
      </c>
      <c r="H5056">
        <v>1</v>
      </c>
      <c r="I5056">
        <v>10</v>
      </c>
      <c r="J5056">
        <v>50</v>
      </c>
    </row>
    <row r="5057" spans="1:10" x14ac:dyDescent="0.25">
      <c r="A5057" t="s">
        <v>7582</v>
      </c>
      <c r="B5057" s="3">
        <v>45104</v>
      </c>
      <c r="C5057" t="s">
        <v>1570</v>
      </c>
      <c r="D5057" t="s">
        <v>3483</v>
      </c>
      <c r="E5057">
        <v>2</v>
      </c>
      <c r="F5057" t="s">
        <v>3523</v>
      </c>
      <c r="G5057" t="s">
        <v>3519</v>
      </c>
      <c r="H5057">
        <v>0.2</v>
      </c>
      <c r="I5057">
        <v>3.4</v>
      </c>
      <c r="J5057">
        <v>6.8</v>
      </c>
    </row>
    <row r="5058" spans="1:10" x14ac:dyDescent="0.25">
      <c r="A5058" t="s">
        <v>7583</v>
      </c>
      <c r="B5058" s="3">
        <v>45237</v>
      </c>
      <c r="C5058" t="s">
        <v>896</v>
      </c>
      <c r="D5058" t="s">
        <v>3489</v>
      </c>
      <c r="E5058">
        <v>1</v>
      </c>
      <c r="F5058" t="s">
        <v>3523</v>
      </c>
      <c r="G5058" t="s">
        <v>3518</v>
      </c>
      <c r="H5058">
        <v>0.5</v>
      </c>
      <c r="I5058">
        <v>6</v>
      </c>
      <c r="J5058">
        <v>6</v>
      </c>
    </row>
    <row r="5059" spans="1:10" x14ac:dyDescent="0.25">
      <c r="A5059" t="s">
        <v>7584</v>
      </c>
      <c r="B5059" s="3">
        <v>45637</v>
      </c>
      <c r="C5059" t="s">
        <v>790</v>
      </c>
      <c r="D5059" t="s">
        <v>3491</v>
      </c>
      <c r="E5059">
        <v>3</v>
      </c>
      <c r="F5059" t="s">
        <v>3525</v>
      </c>
      <c r="G5059" t="s">
        <v>3519</v>
      </c>
      <c r="H5059">
        <v>0.5</v>
      </c>
      <c r="I5059">
        <v>8.6999999999999993</v>
      </c>
      <c r="J5059">
        <v>26.1</v>
      </c>
    </row>
    <row r="5060" spans="1:10" x14ac:dyDescent="0.25">
      <c r="A5060" t="s">
        <v>7585</v>
      </c>
      <c r="B5060" s="3">
        <v>45081</v>
      </c>
      <c r="C5060" t="s">
        <v>1018</v>
      </c>
      <c r="D5060" t="s">
        <v>3498</v>
      </c>
      <c r="E5060">
        <v>5</v>
      </c>
      <c r="F5060" t="s">
        <v>3523</v>
      </c>
      <c r="G5060" t="s">
        <v>3517</v>
      </c>
      <c r="H5060">
        <v>0.2</v>
      </c>
      <c r="I5060">
        <v>3.9</v>
      </c>
      <c r="J5060">
        <v>19.5</v>
      </c>
    </row>
    <row r="5061" spans="1:10" x14ac:dyDescent="0.25">
      <c r="A5061" t="s">
        <v>7586</v>
      </c>
      <c r="B5061" s="3">
        <v>45119</v>
      </c>
      <c r="C5061" t="s">
        <v>2080</v>
      </c>
      <c r="D5061" t="s">
        <v>3483</v>
      </c>
      <c r="E5061">
        <v>3</v>
      </c>
      <c r="F5061" t="s">
        <v>3523</v>
      </c>
      <c r="G5061" t="s">
        <v>3519</v>
      </c>
      <c r="H5061">
        <v>0.2</v>
      </c>
      <c r="I5061">
        <v>3.4</v>
      </c>
      <c r="J5061">
        <v>10.199999999999999</v>
      </c>
    </row>
    <row r="5062" spans="1:10" x14ac:dyDescent="0.25">
      <c r="A5062" t="s">
        <v>7587</v>
      </c>
      <c r="B5062" s="3">
        <v>45229</v>
      </c>
      <c r="C5062" t="s">
        <v>2960</v>
      </c>
      <c r="D5062" t="s">
        <v>3495</v>
      </c>
      <c r="E5062">
        <v>1</v>
      </c>
      <c r="F5062" t="s">
        <v>3525</v>
      </c>
      <c r="G5062" t="s">
        <v>3517</v>
      </c>
      <c r="H5062">
        <v>2.5</v>
      </c>
      <c r="I5062">
        <v>36.5</v>
      </c>
      <c r="J5062">
        <v>36.5</v>
      </c>
    </row>
    <row r="5063" spans="1:10" x14ac:dyDescent="0.25">
      <c r="A5063" t="s">
        <v>7588</v>
      </c>
      <c r="B5063" s="3">
        <v>44843</v>
      </c>
      <c r="C5063" t="s">
        <v>2885</v>
      </c>
      <c r="D5063" t="s">
        <v>3504</v>
      </c>
      <c r="E5063">
        <v>6</v>
      </c>
      <c r="F5063" t="s">
        <v>3524</v>
      </c>
      <c r="G5063" t="s">
        <v>3517</v>
      </c>
      <c r="H5063">
        <v>0.5</v>
      </c>
      <c r="I5063">
        <v>7.2</v>
      </c>
      <c r="J5063">
        <v>43.2</v>
      </c>
    </row>
    <row r="5064" spans="1:10" x14ac:dyDescent="0.25">
      <c r="A5064" t="s">
        <v>7589</v>
      </c>
      <c r="B5064" s="3">
        <v>45454</v>
      </c>
      <c r="C5064" t="s">
        <v>890</v>
      </c>
      <c r="D5064" t="s">
        <v>3507</v>
      </c>
      <c r="E5064">
        <v>3</v>
      </c>
      <c r="F5064" t="s">
        <v>3526</v>
      </c>
      <c r="G5064" t="s">
        <v>3517</v>
      </c>
      <c r="H5064">
        <v>0.5</v>
      </c>
      <c r="I5064">
        <v>8.9</v>
      </c>
      <c r="J5064">
        <v>26.7</v>
      </c>
    </row>
    <row r="5065" spans="1:10" x14ac:dyDescent="0.25">
      <c r="A5065" t="s">
        <v>7590</v>
      </c>
      <c r="B5065" s="3">
        <v>45578</v>
      </c>
      <c r="C5065" t="s">
        <v>2861</v>
      </c>
      <c r="D5065" t="s">
        <v>3510</v>
      </c>
      <c r="E5065">
        <v>3</v>
      </c>
      <c r="F5065" t="s">
        <v>3524</v>
      </c>
      <c r="G5065" t="s">
        <v>3517</v>
      </c>
      <c r="H5065">
        <v>1</v>
      </c>
      <c r="I5065">
        <v>12</v>
      </c>
      <c r="J5065">
        <v>36</v>
      </c>
    </row>
    <row r="5066" spans="1:10" x14ac:dyDescent="0.25">
      <c r="A5066" t="s">
        <v>7591</v>
      </c>
      <c r="B5066" s="3">
        <v>45656</v>
      </c>
      <c r="C5066" t="s">
        <v>1366</v>
      </c>
      <c r="D5066" t="s">
        <v>3496</v>
      </c>
      <c r="E5066">
        <v>2</v>
      </c>
      <c r="F5066" t="s">
        <v>3525</v>
      </c>
      <c r="G5066" t="s">
        <v>3518</v>
      </c>
      <c r="H5066">
        <v>2.5</v>
      </c>
      <c r="I5066">
        <v>29.8</v>
      </c>
      <c r="J5066">
        <v>59.6</v>
      </c>
    </row>
    <row r="5067" spans="1:10" x14ac:dyDescent="0.25">
      <c r="A5067" t="s">
        <v>7592</v>
      </c>
      <c r="B5067" s="3">
        <v>43671</v>
      </c>
      <c r="C5067" t="s">
        <v>1293</v>
      </c>
      <c r="D5067" t="s">
        <v>3510</v>
      </c>
      <c r="E5067">
        <v>4</v>
      </c>
      <c r="F5067" t="s">
        <v>3524</v>
      </c>
      <c r="G5067" t="s">
        <v>3517</v>
      </c>
      <c r="H5067">
        <v>1</v>
      </c>
      <c r="I5067">
        <v>12</v>
      </c>
      <c r="J5067">
        <v>48</v>
      </c>
    </row>
    <row r="5068" spans="1:10" x14ac:dyDescent="0.25">
      <c r="A5068" t="s">
        <v>7593</v>
      </c>
      <c r="B5068" s="3">
        <v>44802</v>
      </c>
      <c r="C5068" t="s">
        <v>3303</v>
      </c>
      <c r="D5068" t="s">
        <v>3512</v>
      </c>
      <c r="E5068">
        <v>4</v>
      </c>
      <c r="F5068" t="s">
        <v>3525</v>
      </c>
      <c r="G5068" t="s">
        <v>3519</v>
      </c>
      <c r="H5068">
        <v>2.5</v>
      </c>
      <c r="I5068">
        <v>33.5</v>
      </c>
      <c r="J5068">
        <v>134</v>
      </c>
    </row>
    <row r="5069" spans="1:10" x14ac:dyDescent="0.25">
      <c r="A5069" t="s">
        <v>7594</v>
      </c>
      <c r="B5069" s="3">
        <v>44886</v>
      </c>
      <c r="C5069" t="s">
        <v>487</v>
      </c>
      <c r="D5069" t="s">
        <v>3476</v>
      </c>
      <c r="E5069">
        <v>3</v>
      </c>
      <c r="F5069" t="s">
        <v>3525</v>
      </c>
      <c r="G5069" t="s">
        <v>3517</v>
      </c>
      <c r="H5069">
        <v>0.2</v>
      </c>
      <c r="I5069">
        <v>4.8</v>
      </c>
      <c r="J5069">
        <v>14.4</v>
      </c>
    </row>
    <row r="5070" spans="1:10" x14ac:dyDescent="0.25">
      <c r="A5070" t="s">
        <v>7595</v>
      </c>
      <c r="B5070" s="3">
        <v>45156</v>
      </c>
      <c r="C5070" t="s">
        <v>3417</v>
      </c>
      <c r="D5070" t="s">
        <v>3500</v>
      </c>
      <c r="E5070">
        <v>2</v>
      </c>
      <c r="F5070" t="s">
        <v>3525</v>
      </c>
      <c r="G5070" t="s">
        <v>3518</v>
      </c>
      <c r="H5070">
        <v>0.5</v>
      </c>
      <c r="I5070">
        <v>7.8</v>
      </c>
      <c r="J5070">
        <v>15.6</v>
      </c>
    </row>
    <row r="5071" spans="1:10" x14ac:dyDescent="0.25">
      <c r="A5071" t="s">
        <v>7596</v>
      </c>
      <c r="B5071" s="3">
        <v>44743</v>
      </c>
      <c r="C5071" t="s">
        <v>866</v>
      </c>
      <c r="D5071" t="s">
        <v>3505</v>
      </c>
      <c r="E5071">
        <v>2</v>
      </c>
      <c r="F5071" t="s">
        <v>3524</v>
      </c>
      <c r="G5071" t="s">
        <v>3519</v>
      </c>
      <c r="H5071">
        <v>0.2</v>
      </c>
      <c r="I5071">
        <v>3</v>
      </c>
      <c r="J5071">
        <v>6</v>
      </c>
    </row>
    <row r="5072" spans="1:10" x14ac:dyDescent="0.25">
      <c r="A5072" t="s">
        <v>7597</v>
      </c>
      <c r="B5072" s="3">
        <v>44115</v>
      </c>
      <c r="C5072" t="s">
        <v>997</v>
      </c>
      <c r="D5072" t="s">
        <v>3500</v>
      </c>
      <c r="E5072">
        <v>3</v>
      </c>
      <c r="F5072" t="s">
        <v>3525</v>
      </c>
      <c r="G5072" t="s">
        <v>3518</v>
      </c>
      <c r="H5072">
        <v>0.5</v>
      </c>
      <c r="I5072">
        <v>7.8</v>
      </c>
      <c r="J5072">
        <v>23.4</v>
      </c>
    </row>
    <row r="5073" spans="1:10" x14ac:dyDescent="0.25">
      <c r="A5073" t="s">
        <v>7598</v>
      </c>
      <c r="B5073" s="3">
        <v>45095</v>
      </c>
      <c r="C5073" t="s">
        <v>2207</v>
      </c>
      <c r="D5073" t="s">
        <v>3473</v>
      </c>
      <c r="E5073">
        <v>2</v>
      </c>
      <c r="F5073" t="s">
        <v>3524</v>
      </c>
      <c r="G5073" t="s">
        <v>3517</v>
      </c>
      <c r="H5073">
        <v>2.5</v>
      </c>
      <c r="I5073">
        <v>27.5</v>
      </c>
      <c r="J5073">
        <v>55</v>
      </c>
    </row>
    <row r="5074" spans="1:10" x14ac:dyDescent="0.25">
      <c r="A5074" t="s">
        <v>7599</v>
      </c>
      <c r="B5074" s="3">
        <v>45457</v>
      </c>
      <c r="C5074" t="s">
        <v>3375</v>
      </c>
      <c r="D5074" t="s">
        <v>3473</v>
      </c>
      <c r="E5074">
        <v>4</v>
      </c>
      <c r="F5074" t="s">
        <v>3524</v>
      </c>
      <c r="G5074" t="s">
        <v>3517</v>
      </c>
      <c r="H5074">
        <v>2.5</v>
      </c>
      <c r="I5074">
        <v>27.5</v>
      </c>
      <c r="J5074">
        <v>110</v>
      </c>
    </row>
    <row r="5075" spans="1:10" x14ac:dyDescent="0.25">
      <c r="A5075" t="s">
        <v>7600</v>
      </c>
      <c r="B5075" s="3">
        <v>45493</v>
      </c>
      <c r="C5075" t="s">
        <v>1567</v>
      </c>
      <c r="D5075" t="s">
        <v>3497</v>
      </c>
      <c r="E5075">
        <v>5</v>
      </c>
      <c r="F5075" t="s">
        <v>3526</v>
      </c>
      <c r="G5075" t="s">
        <v>3519</v>
      </c>
      <c r="H5075">
        <v>2.5</v>
      </c>
      <c r="I5075">
        <v>31.6</v>
      </c>
      <c r="J5075">
        <v>158</v>
      </c>
    </row>
    <row r="5076" spans="1:10" x14ac:dyDescent="0.25">
      <c r="A5076" t="s">
        <v>7601</v>
      </c>
      <c r="B5076" s="3">
        <v>43793</v>
      </c>
      <c r="C5076" t="s">
        <v>1511</v>
      </c>
      <c r="D5076" t="s">
        <v>3487</v>
      </c>
      <c r="E5076">
        <v>4</v>
      </c>
      <c r="F5076" t="s">
        <v>3526</v>
      </c>
      <c r="G5076" t="s">
        <v>3519</v>
      </c>
      <c r="H5076">
        <v>0.2</v>
      </c>
      <c r="I5076">
        <v>4.0999999999999996</v>
      </c>
      <c r="J5076">
        <v>16.399999999999999</v>
      </c>
    </row>
    <row r="5077" spans="1:10" x14ac:dyDescent="0.25">
      <c r="A5077" t="s">
        <v>7602</v>
      </c>
      <c r="B5077" s="3">
        <v>45418</v>
      </c>
      <c r="C5077" t="s">
        <v>1523</v>
      </c>
      <c r="D5077" t="s">
        <v>3512</v>
      </c>
      <c r="E5077">
        <v>2</v>
      </c>
      <c r="F5077" t="s">
        <v>3525</v>
      </c>
      <c r="G5077" t="s">
        <v>3519</v>
      </c>
      <c r="H5077">
        <v>2.5</v>
      </c>
      <c r="I5077">
        <v>33.5</v>
      </c>
      <c r="J5077">
        <v>67</v>
      </c>
    </row>
    <row r="5078" spans="1:10" x14ac:dyDescent="0.25">
      <c r="A5078" t="s">
        <v>7603</v>
      </c>
      <c r="B5078" s="3">
        <v>44688</v>
      </c>
      <c r="C5078" t="s">
        <v>2101</v>
      </c>
      <c r="D5078" t="s">
        <v>3477</v>
      </c>
      <c r="E5078">
        <v>5</v>
      </c>
      <c r="F5078" t="s">
        <v>3524</v>
      </c>
      <c r="G5078" t="s">
        <v>3519</v>
      </c>
      <c r="H5078">
        <v>0.5</v>
      </c>
      <c r="I5078">
        <v>6</v>
      </c>
      <c r="J5078">
        <v>30</v>
      </c>
    </row>
    <row r="5079" spans="1:10" x14ac:dyDescent="0.25">
      <c r="A5079" t="s">
        <v>7604</v>
      </c>
      <c r="B5079" s="3">
        <v>45407</v>
      </c>
      <c r="C5079" t="s">
        <v>2062</v>
      </c>
      <c r="D5079" t="s">
        <v>3482</v>
      </c>
      <c r="E5079">
        <v>3</v>
      </c>
      <c r="F5079" t="s">
        <v>3524</v>
      </c>
      <c r="G5079" t="s">
        <v>3519</v>
      </c>
      <c r="H5079">
        <v>2.5</v>
      </c>
      <c r="I5079">
        <v>22.9</v>
      </c>
      <c r="J5079">
        <v>68.7</v>
      </c>
    </row>
    <row r="5080" spans="1:10" x14ac:dyDescent="0.25">
      <c r="A5080" t="s">
        <v>7605</v>
      </c>
      <c r="B5080" s="3">
        <v>44789</v>
      </c>
      <c r="C5080" t="s">
        <v>1933</v>
      </c>
      <c r="D5080" t="s">
        <v>3478</v>
      </c>
      <c r="E5080">
        <v>3</v>
      </c>
      <c r="F5080" t="s">
        <v>3523</v>
      </c>
      <c r="G5080" t="s">
        <v>3518</v>
      </c>
      <c r="H5080">
        <v>1</v>
      </c>
      <c r="I5080">
        <v>10</v>
      </c>
      <c r="J5080">
        <v>30</v>
      </c>
    </row>
    <row r="5081" spans="1:10" x14ac:dyDescent="0.25">
      <c r="A5081" t="s">
        <v>7606</v>
      </c>
      <c r="B5081" s="3">
        <v>45243</v>
      </c>
      <c r="C5081" t="s">
        <v>1399</v>
      </c>
      <c r="D5081" t="s">
        <v>3474</v>
      </c>
      <c r="E5081">
        <v>5</v>
      </c>
      <c r="F5081" t="s">
        <v>3525</v>
      </c>
      <c r="G5081" t="s">
        <v>3518</v>
      </c>
      <c r="H5081">
        <v>1</v>
      </c>
      <c r="I5081">
        <v>13</v>
      </c>
      <c r="J5081">
        <v>65</v>
      </c>
    </row>
    <row r="5082" spans="1:10" x14ac:dyDescent="0.25">
      <c r="A5082" t="s">
        <v>7607</v>
      </c>
      <c r="B5082" s="3">
        <v>43534</v>
      </c>
      <c r="C5082" t="s">
        <v>1345</v>
      </c>
      <c r="D5082" t="s">
        <v>3474</v>
      </c>
      <c r="E5082">
        <v>3</v>
      </c>
      <c r="F5082" t="s">
        <v>3525</v>
      </c>
      <c r="G5082" t="s">
        <v>3518</v>
      </c>
      <c r="H5082">
        <v>1</v>
      </c>
      <c r="I5082">
        <v>13</v>
      </c>
      <c r="J5082">
        <v>39</v>
      </c>
    </row>
    <row r="5083" spans="1:10" x14ac:dyDescent="0.25">
      <c r="A5083" t="s">
        <v>7608</v>
      </c>
      <c r="B5083" s="3">
        <v>44888</v>
      </c>
      <c r="C5083" t="s">
        <v>3255</v>
      </c>
      <c r="D5083" t="s">
        <v>3484</v>
      </c>
      <c r="E5083">
        <v>6</v>
      </c>
      <c r="F5083" t="s">
        <v>3526</v>
      </c>
      <c r="G5083" t="s">
        <v>3518</v>
      </c>
      <c r="H5083">
        <v>0.2</v>
      </c>
      <c r="I5083">
        <v>3.6</v>
      </c>
      <c r="J5083">
        <v>21.6</v>
      </c>
    </row>
    <row r="5084" spans="1:10" x14ac:dyDescent="0.25">
      <c r="A5084" t="s">
        <v>7609</v>
      </c>
      <c r="B5084" s="3">
        <v>45373</v>
      </c>
      <c r="C5084" t="s">
        <v>1137</v>
      </c>
      <c r="D5084" t="s">
        <v>3473</v>
      </c>
      <c r="E5084">
        <v>4</v>
      </c>
      <c r="F5084" t="s">
        <v>3524</v>
      </c>
      <c r="G5084" t="s">
        <v>3517</v>
      </c>
      <c r="H5084">
        <v>2.5</v>
      </c>
      <c r="I5084">
        <v>27.5</v>
      </c>
      <c r="J5084">
        <v>110</v>
      </c>
    </row>
    <row r="5085" spans="1:10" x14ac:dyDescent="0.25">
      <c r="A5085" t="s">
        <v>7610</v>
      </c>
      <c r="B5085" s="3">
        <v>44959</v>
      </c>
      <c r="C5085" t="s">
        <v>3234</v>
      </c>
      <c r="D5085" t="s">
        <v>3499</v>
      </c>
      <c r="E5085">
        <v>4</v>
      </c>
      <c r="F5085" t="s">
        <v>3523</v>
      </c>
      <c r="G5085" t="s">
        <v>3518</v>
      </c>
      <c r="H5085">
        <v>2.5</v>
      </c>
      <c r="I5085">
        <v>22.9</v>
      </c>
      <c r="J5085">
        <v>91.6</v>
      </c>
    </row>
    <row r="5086" spans="1:10" x14ac:dyDescent="0.25">
      <c r="A5086" t="s">
        <v>7611</v>
      </c>
      <c r="B5086" s="3">
        <v>44845</v>
      </c>
      <c r="C5086" t="s">
        <v>710</v>
      </c>
      <c r="D5086" t="s">
        <v>3497</v>
      </c>
      <c r="E5086">
        <v>1</v>
      </c>
      <c r="F5086" t="s">
        <v>3526</v>
      </c>
      <c r="G5086" t="s">
        <v>3519</v>
      </c>
      <c r="H5086">
        <v>2.5</v>
      </c>
      <c r="I5086">
        <v>31.6</v>
      </c>
      <c r="J5086">
        <v>31.6</v>
      </c>
    </row>
    <row r="5087" spans="1:10" x14ac:dyDescent="0.25">
      <c r="A5087" t="s">
        <v>7612</v>
      </c>
      <c r="B5087" s="3">
        <v>45132</v>
      </c>
      <c r="C5087" t="s">
        <v>772</v>
      </c>
      <c r="D5087" t="s">
        <v>3471</v>
      </c>
      <c r="E5087">
        <v>4</v>
      </c>
      <c r="F5087" t="s">
        <v>3523</v>
      </c>
      <c r="G5087" t="s">
        <v>3517</v>
      </c>
      <c r="H5087">
        <v>1</v>
      </c>
      <c r="I5087">
        <v>13</v>
      </c>
      <c r="J5087">
        <v>52</v>
      </c>
    </row>
    <row r="5088" spans="1:10" x14ac:dyDescent="0.25">
      <c r="A5088" t="s">
        <v>7613</v>
      </c>
      <c r="B5088" s="3">
        <v>44341</v>
      </c>
      <c r="C5088" t="s">
        <v>1520</v>
      </c>
      <c r="D5088" t="s">
        <v>3516</v>
      </c>
      <c r="E5088">
        <v>5</v>
      </c>
      <c r="F5088" t="s">
        <v>3526</v>
      </c>
      <c r="G5088" t="s">
        <v>3518</v>
      </c>
      <c r="H5088">
        <v>2.5</v>
      </c>
      <c r="I5088">
        <v>27.9</v>
      </c>
      <c r="J5088">
        <v>139.5</v>
      </c>
    </row>
    <row r="5089" spans="1:10" x14ac:dyDescent="0.25">
      <c r="A5089" t="s">
        <v>7614</v>
      </c>
      <c r="B5089" s="3">
        <v>45085</v>
      </c>
      <c r="C5089" t="s">
        <v>1461</v>
      </c>
      <c r="D5089" t="s">
        <v>3490</v>
      </c>
      <c r="E5089">
        <v>5</v>
      </c>
      <c r="F5089" t="s">
        <v>3525</v>
      </c>
      <c r="G5089" t="s">
        <v>3519</v>
      </c>
      <c r="H5089">
        <v>0.2</v>
      </c>
      <c r="I5089">
        <v>4.4000000000000004</v>
      </c>
      <c r="J5089">
        <v>22</v>
      </c>
    </row>
    <row r="5090" spans="1:10" x14ac:dyDescent="0.25">
      <c r="A5090" t="s">
        <v>7615</v>
      </c>
      <c r="B5090" s="3">
        <v>44704</v>
      </c>
      <c r="C5090" t="s">
        <v>3019</v>
      </c>
      <c r="D5090" t="s">
        <v>3471</v>
      </c>
      <c r="E5090">
        <v>6</v>
      </c>
      <c r="F5090" t="s">
        <v>3523</v>
      </c>
      <c r="G5090" t="s">
        <v>3517</v>
      </c>
      <c r="H5090">
        <v>1</v>
      </c>
      <c r="I5090">
        <v>13</v>
      </c>
      <c r="J5090">
        <v>78</v>
      </c>
    </row>
    <row r="5091" spans="1:10" x14ac:dyDescent="0.25">
      <c r="A5091" t="s">
        <v>7616</v>
      </c>
      <c r="B5091" s="3">
        <v>44904</v>
      </c>
      <c r="C5091" t="s">
        <v>716</v>
      </c>
      <c r="D5091" t="s">
        <v>3508</v>
      </c>
      <c r="E5091">
        <v>1</v>
      </c>
      <c r="F5091" t="s">
        <v>3524</v>
      </c>
      <c r="G5091" t="s">
        <v>3518</v>
      </c>
      <c r="H5091">
        <v>1</v>
      </c>
      <c r="I5091">
        <v>9</v>
      </c>
      <c r="J5091">
        <v>9</v>
      </c>
    </row>
    <row r="5092" spans="1:10" x14ac:dyDescent="0.25">
      <c r="A5092" t="s">
        <v>7617</v>
      </c>
      <c r="B5092" s="3">
        <v>43569</v>
      </c>
      <c r="C5092" t="s">
        <v>3205</v>
      </c>
      <c r="D5092" t="s">
        <v>3514</v>
      </c>
      <c r="E5092">
        <v>2</v>
      </c>
      <c r="F5092" t="s">
        <v>3526</v>
      </c>
      <c r="G5092" t="s">
        <v>3518</v>
      </c>
      <c r="H5092">
        <v>1</v>
      </c>
      <c r="I5092">
        <v>12.2</v>
      </c>
      <c r="J5092">
        <v>24.4</v>
      </c>
    </row>
    <row r="5093" spans="1:10" x14ac:dyDescent="0.25">
      <c r="A5093" t="s">
        <v>7618</v>
      </c>
      <c r="B5093" s="3">
        <v>44639</v>
      </c>
      <c r="C5093" t="s">
        <v>2077</v>
      </c>
      <c r="D5093" t="s">
        <v>3492</v>
      </c>
      <c r="E5093">
        <v>4</v>
      </c>
      <c r="F5093" t="s">
        <v>3525</v>
      </c>
      <c r="G5093" t="s">
        <v>3517</v>
      </c>
      <c r="H5093">
        <v>0.5</v>
      </c>
      <c r="I5093">
        <v>9.5</v>
      </c>
      <c r="J5093">
        <v>38</v>
      </c>
    </row>
    <row r="5094" spans="1:10" x14ac:dyDescent="0.25">
      <c r="A5094" t="s">
        <v>7619</v>
      </c>
      <c r="B5094" s="3">
        <v>45062</v>
      </c>
      <c r="C5094" t="s">
        <v>971</v>
      </c>
      <c r="D5094" t="s">
        <v>3470</v>
      </c>
      <c r="E5094">
        <v>2</v>
      </c>
      <c r="F5094" t="s">
        <v>3526</v>
      </c>
      <c r="G5094" t="s">
        <v>3519</v>
      </c>
      <c r="H5094">
        <v>0.5</v>
      </c>
      <c r="I5094">
        <v>8.3000000000000007</v>
      </c>
      <c r="J5094">
        <v>16.600000000000001</v>
      </c>
    </row>
    <row r="5095" spans="1:10" x14ac:dyDescent="0.25">
      <c r="A5095" t="s">
        <v>7620</v>
      </c>
      <c r="B5095" s="3">
        <v>45083</v>
      </c>
      <c r="C5095" t="s">
        <v>3449</v>
      </c>
      <c r="D5095" t="s">
        <v>3510</v>
      </c>
      <c r="E5095">
        <v>1</v>
      </c>
      <c r="F5095" t="s">
        <v>3524</v>
      </c>
      <c r="G5095" t="s">
        <v>3517</v>
      </c>
      <c r="H5095">
        <v>1</v>
      </c>
      <c r="I5095">
        <v>12</v>
      </c>
      <c r="J5095">
        <v>12</v>
      </c>
    </row>
    <row r="5096" spans="1:10" x14ac:dyDescent="0.25">
      <c r="A5096" t="s">
        <v>7621</v>
      </c>
      <c r="B5096" s="3">
        <v>43815</v>
      </c>
      <c r="C5096" t="s">
        <v>1208</v>
      </c>
      <c r="D5096" t="s">
        <v>3475</v>
      </c>
      <c r="E5096">
        <v>2</v>
      </c>
      <c r="F5096" t="s">
        <v>3526</v>
      </c>
      <c r="G5096" t="s">
        <v>3518</v>
      </c>
      <c r="H5096">
        <v>0.5</v>
      </c>
      <c r="I5096">
        <v>7.3</v>
      </c>
      <c r="J5096">
        <v>14.6</v>
      </c>
    </row>
    <row r="5097" spans="1:10" x14ac:dyDescent="0.25">
      <c r="A5097" t="s">
        <v>7622</v>
      </c>
      <c r="B5097" s="3">
        <v>45580</v>
      </c>
      <c r="C5097" t="s">
        <v>2636</v>
      </c>
      <c r="D5097" t="s">
        <v>3470</v>
      </c>
      <c r="E5097">
        <v>1</v>
      </c>
      <c r="F5097" t="s">
        <v>3526</v>
      </c>
      <c r="G5097" t="s">
        <v>3519</v>
      </c>
      <c r="H5097">
        <v>0.5</v>
      </c>
      <c r="I5097">
        <v>8.3000000000000007</v>
      </c>
      <c r="J5097">
        <v>8.3000000000000007</v>
      </c>
    </row>
    <row r="5098" spans="1:10" x14ac:dyDescent="0.25">
      <c r="A5098" t="s">
        <v>7623</v>
      </c>
      <c r="B5098" s="3">
        <v>45318</v>
      </c>
      <c r="C5098" t="s">
        <v>1253</v>
      </c>
      <c r="D5098" t="s">
        <v>3469</v>
      </c>
      <c r="E5098">
        <v>4</v>
      </c>
      <c r="F5098" t="s">
        <v>3524</v>
      </c>
      <c r="G5098" t="s">
        <v>3519</v>
      </c>
      <c r="H5098">
        <v>1</v>
      </c>
      <c r="I5098">
        <v>10</v>
      </c>
      <c r="J5098">
        <v>40</v>
      </c>
    </row>
    <row r="5099" spans="1:10" x14ac:dyDescent="0.25">
      <c r="A5099" t="s">
        <v>7624</v>
      </c>
      <c r="B5099" s="3">
        <v>45514</v>
      </c>
      <c r="C5099" t="s">
        <v>1296</v>
      </c>
      <c r="D5099" t="s">
        <v>3506</v>
      </c>
      <c r="E5099">
        <v>3</v>
      </c>
      <c r="F5099" t="s">
        <v>3523</v>
      </c>
      <c r="G5099" t="s">
        <v>3519</v>
      </c>
      <c r="H5099">
        <v>2.5</v>
      </c>
      <c r="I5099">
        <v>25.9</v>
      </c>
      <c r="J5099">
        <v>77.7</v>
      </c>
    </row>
    <row r="5100" spans="1:10" x14ac:dyDescent="0.25">
      <c r="A5100" t="s">
        <v>7625</v>
      </c>
      <c r="B5100" s="3">
        <v>45247</v>
      </c>
      <c r="C5100" t="s">
        <v>2113</v>
      </c>
      <c r="D5100" t="s">
        <v>3509</v>
      </c>
      <c r="E5100">
        <v>4</v>
      </c>
      <c r="F5100" t="s">
        <v>3524</v>
      </c>
      <c r="G5100" t="s">
        <v>3517</v>
      </c>
      <c r="H5100">
        <v>0.2</v>
      </c>
      <c r="I5100">
        <v>3.6</v>
      </c>
      <c r="J5100">
        <v>14.4</v>
      </c>
    </row>
    <row r="5101" spans="1:10" x14ac:dyDescent="0.25">
      <c r="A5101" t="s">
        <v>7626</v>
      </c>
      <c r="B5101" s="3">
        <v>43972</v>
      </c>
      <c r="C5101" t="s">
        <v>1857</v>
      </c>
      <c r="D5101" t="s">
        <v>3469</v>
      </c>
      <c r="E5101">
        <v>2</v>
      </c>
      <c r="F5101" t="s">
        <v>3524</v>
      </c>
      <c r="G5101" t="s">
        <v>3519</v>
      </c>
      <c r="H5101">
        <v>1</v>
      </c>
      <c r="I5101">
        <v>10</v>
      </c>
      <c r="J5101">
        <v>20</v>
      </c>
    </row>
    <row r="5102" spans="1:10" x14ac:dyDescent="0.25">
      <c r="A5102" t="s">
        <v>7627</v>
      </c>
      <c r="B5102" s="3">
        <v>44660</v>
      </c>
      <c r="C5102" t="s">
        <v>1278</v>
      </c>
      <c r="D5102" t="s">
        <v>3494</v>
      </c>
      <c r="E5102">
        <v>2</v>
      </c>
      <c r="F5102" t="s">
        <v>3524</v>
      </c>
      <c r="G5102" t="s">
        <v>3518</v>
      </c>
      <c r="H5102">
        <v>0.2</v>
      </c>
      <c r="I5102">
        <v>2.7</v>
      </c>
      <c r="J5102">
        <v>5.4</v>
      </c>
    </row>
    <row r="5103" spans="1:10" x14ac:dyDescent="0.25">
      <c r="A5103" t="s">
        <v>7628</v>
      </c>
      <c r="B5103" s="3">
        <v>44928</v>
      </c>
      <c r="C5103" t="s">
        <v>754</v>
      </c>
      <c r="D5103" t="s">
        <v>3512</v>
      </c>
      <c r="E5103">
        <v>3</v>
      </c>
      <c r="F5103" t="s">
        <v>3525</v>
      </c>
      <c r="G5103" t="s">
        <v>3519</v>
      </c>
      <c r="H5103">
        <v>2.5</v>
      </c>
      <c r="I5103">
        <v>33.5</v>
      </c>
      <c r="J5103">
        <v>100.5</v>
      </c>
    </row>
    <row r="5104" spans="1:10" x14ac:dyDescent="0.25">
      <c r="A5104" t="s">
        <v>7629</v>
      </c>
      <c r="B5104" s="3">
        <v>44674</v>
      </c>
      <c r="C5104" t="s">
        <v>1672</v>
      </c>
      <c r="D5104" t="s">
        <v>3469</v>
      </c>
      <c r="E5104">
        <v>2</v>
      </c>
      <c r="F5104" t="s">
        <v>3524</v>
      </c>
      <c r="G5104" t="s">
        <v>3519</v>
      </c>
      <c r="H5104">
        <v>1</v>
      </c>
      <c r="I5104">
        <v>10</v>
      </c>
      <c r="J5104">
        <v>20</v>
      </c>
    </row>
    <row r="5105" spans="1:10" x14ac:dyDescent="0.25">
      <c r="A5105" t="s">
        <v>7630</v>
      </c>
      <c r="B5105" s="3">
        <v>44967</v>
      </c>
      <c r="C5105" t="s">
        <v>3243</v>
      </c>
      <c r="D5105" t="s">
        <v>3507</v>
      </c>
      <c r="E5105">
        <v>2</v>
      </c>
      <c r="F5105" t="s">
        <v>3526</v>
      </c>
      <c r="G5105" t="s">
        <v>3517</v>
      </c>
      <c r="H5105">
        <v>0.5</v>
      </c>
      <c r="I5105">
        <v>8.9</v>
      </c>
      <c r="J5105">
        <v>17.8</v>
      </c>
    </row>
    <row r="5106" spans="1:10" x14ac:dyDescent="0.25">
      <c r="A5106" t="s">
        <v>7631</v>
      </c>
      <c r="B5106" s="3">
        <v>44696</v>
      </c>
      <c r="C5106" t="s">
        <v>935</v>
      </c>
      <c r="D5106" t="s">
        <v>3514</v>
      </c>
      <c r="E5106">
        <v>2</v>
      </c>
      <c r="F5106" t="s">
        <v>3526</v>
      </c>
      <c r="G5106" t="s">
        <v>3518</v>
      </c>
      <c r="H5106">
        <v>1</v>
      </c>
      <c r="I5106">
        <v>12.2</v>
      </c>
      <c r="J5106">
        <v>24.4</v>
      </c>
    </row>
    <row r="5107" spans="1:10" x14ac:dyDescent="0.25">
      <c r="A5107" t="s">
        <v>7632</v>
      </c>
      <c r="B5107" s="3">
        <v>45284</v>
      </c>
      <c r="C5107" t="s">
        <v>679</v>
      </c>
      <c r="D5107" t="s">
        <v>3492</v>
      </c>
      <c r="E5107">
        <v>2</v>
      </c>
      <c r="F5107" t="s">
        <v>3525</v>
      </c>
      <c r="G5107" t="s">
        <v>3517</v>
      </c>
      <c r="H5107">
        <v>0.5</v>
      </c>
      <c r="I5107">
        <v>9.5</v>
      </c>
      <c r="J5107">
        <v>19</v>
      </c>
    </row>
    <row r="5108" spans="1:10" x14ac:dyDescent="0.25">
      <c r="A5108" t="s">
        <v>7633</v>
      </c>
      <c r="B5108" s="3">
        <v>44033</v>
      </c>
      <c r="C5108" t="s">
        <v>932</v>
      </c>
      <c r="D5108" t="s">
        <v>3484</v>
      </c>
      <c r="E5108">
        <v>3</v>
      </c>
      <c r="F5108" t="s">
        <v>3526</v>
      </c>
      <c r="G5108" t="s">
        <v>3518</v>
      </c>
      <c r="H5108">
        <v>0.2</v>
      </c>
      <c r="I5108">
        <v>3.6</v>
      </c>
      <c r="J5108">
        <v>10.8</v>
      </c>
    </row>
    <row r="5109" spans="1:10" x14ac:dyDescent="0.25">
      <c r="A5109" t="s">
        <v>7634</v>
      </c>
      <c r="B5109" s="3">
        <v>45065</v>
      </c>
      <c r="C5109" t="s">
        <v>2420</v>
      </c>
      <c r="D5109" t="s">
        <v>3489</v>
      </c>
      <c r="E5109">
        <v>1</v>
      </c>
      <c r="F5109" t="s">
        <v>3523</v>
      </c>
      <c r="G5109" t="s">
        <v>3518</v>
      </c>
      <c r="H5109">
        <v>0.5</v>
      </c>
      <c r="I5109">
        <v>6</v>
      </c>
      <c r="J5109">
        <v>6</v>
      </c>
    </row>
    <row r="5110" spans="1:10" x14ac:dyDescent="0.25">
      <c r="A5110" t="s">
        <v>7635</v>
      </c>
      <c r="B5110" s="3">
        <v>43938</v>
      </c>
      <c r="C5110" t="s">
        <v>1743</v>
      </c>
      <c r="D5110" t="s">
        <v>3469</v>
      </c>
      <c r="E5110">
        <v>4</v>
      </c>
      <c r="F5110" t="s">
        <v>3524</v>
      </c>
      <c r="G5110" t="s">
        <v>3519</v>
      </c>
      <c r="H5110">
        <v>1</v>
      </c>
      <c r="I5110">
        <v>10</v>
      </c>
      <c r="J5110">
        <v>40</v>
      </c>
    </row>
    <row r="5111" spans="1:10" x14ac:dyDescent="0.25">
      <c r="A5111" t="s">
        <v>7636</v>
      </c>
      <c r="B5111" s="3">
        <v>45626</v>
      </c>
      <c r="C5111" t="s">
        <v>2388</v>
      </c>
      <c r="D5111" t="s">
        <v>3480</v>
      </c>
      <c r="E5111">
        <v>3</v>
      </c>
      <c r="F5111" t="s">
        <v>3524</v>
      </c>
      <c r="G5111" t="s">
        <v>3518</v>
      </c>
      <c r="H5111">
        <v>2.5</v>
      </c>
      <c r="I5111">
        <v>20.6</v>
      </c>
      <c r="J5111">
        <v>61.8</v>
      </c>
    </row>
    <row r="5112" spans="1:10" x14ac:dyDescent="0.25">
      <c r="A5112" t="s">
        <v>7637</v>
      </c>
      <c r="B5112" s="3">
        <v>43801</v>
      </c>
      <c r="C5112" t="s">
        <v>808</v>
      </c>
      <c r="D5112" t="s">
        <v>3501</v>
      </c>
      <c r="E5112">
        <v>3</v>
      </c>
      <c r="F5112" t="s">
        <v>3525</v>
      </c>
      <c r="G5112" t="s">
        <v>3517</v>
      </c>
      <c r="H5112">
        <v>1</v>
      </c>
      <c r="I5112">
        <v>15.9</v>
      </c>
      <c r="J5112">
        <v>47.7</v>
      </c>
    </row>
    <row r="5113" spans="1:10" x14ac:dyDescent="0.25">
      <c r="A5113" t="s">
        <v>7638</v>
      </c>
      <c r="B5113" s="3">
        <v>45311</v>
      </c>
      <c r="C5113" t="s">
        <v>2745</v>
      </c>
      <c r="D5113" t="s">
        <v>3469</v>
      </c>
      <c r="E5113">
        <v>6</v>
      </c>
      <c r="F5113" t="s">
        <v>3524</v>
      </c>
      <c r="G5113" t="s">
        <v>3519</v>
      </c>
      <c r="H5113">
        <v>1</v>
      </c>
      <c r="I5113">
        <v>10</v>
      </c>
      <c r="J5113">
        <v>60</v>
      </c>
    </row>
    <row r="5114" spans="1:10" x14ac:dyDescent="0.25">
      <c r="A5114" t="s">
        <v>7639</v>
      </c>
      <c r="B5114" s="3">
        <v>45517</v>
      </c>
      <c r="C5114" t="s">
        <v>1553</v>
      </c>
      <c r="D5114" t="s">
        <v>3484</v>
      </c>
      <c r="E5114">
        <v>6</v>
      </c>
      <c r="F5114" t="s">
        <v>3526</v>
      </c>
      <c r="G5114" t="s">
        <v>3518</v>
      </c>
      <c r="H5114">
        <v>0.2</v>
      </c>
      <c r="I5114">
        <v>3.6</v>
      </c>
      <c r="J5114">
        <v>21.6</v>
      </c>
    </row>
    <row r="5115" spans="1:10" x14ac:dyDescent="0.25">
      <c r="A5115" t="s">
        <v>7640</v>
      </c>
      <c r="B5115" s="3">
        <v>44770</v>
      </c>
      <c r="C5115" t="s">
        <v>2533</v>
      </c>
      <c r="D5115" t="s">
        <v>3492</v>
      </c>
      <c r="E5115">
        <v>6</v>
      </c>
      <c r="F5115" t="s">
        <v>3525</v>
      </c>
      <c r="G5115" t="s">
        <v>3517</v>
      </c>
      <c r="H5115">
        <v>0.5</v>
      </c>
      <c r="I5115">
        <v>9.5</v>
      </c>
      <c r="J5115">
        <v>57</v>
      </c>
    </row>
    <row r="5116" spans="1:10" x14ac:dyDescent="0.25">
      <c r="A5116" t="s">
        <v>7641</v>
      </c>
      <c r="B5116" s="3">
        <v>43498</v>
      </c>
      <c r="C5116" t="s">
        <v>1573</v>
      </c>
      <c r="D5116" t="s">
        <v>3498</v>
      </c>
      <c r="E5116">
        <v>2</v>
      </c>
      <c r="F5116" t="s">
        <v>3523</v>
      </c>
      <c r="G5116" t="s">
        <v>3517</v>
      </c>
      <c r="H5116">
        <v>0.2</v>
      </c>
      <c r="I5116">
        <v>3.9</v>
      </c>
      <c r="J5116">
        <v>7.8</v>
      </c>
    </row>
    <row r="5117" spans="1:10" x14ac:dyDescent="0.25">
      <c r="A5117" t="s">
        <v>7642</v>
      </c>
      <c r="B5117" s="3">
        <v>44910</v>
      </c>
      <c r="C5117" t="s">
        <v>1610</v>
      </c>
      <c r="D5117" t="s">
        <v>3494</v>
      </c>
      <c r="E5117">
        <v>2</v>
      </c>
      <c r="F5117" t="s">
        <v>3524</v>
      </c>
      <c r="G5117" t="s">
        <v>3518</v>
      </c>
      <c r="H5117">
        <v>0.2</v>
      </c>
      <c r="I5117">
        <v>2.7</v>
      </c>
      <c r="J5117">
        <v>5.4</v>
      </c>
    </row>
    <row r="5118" spans="1:10" x14ac:dyDescent="0.25">
      <c r="A5118" t="s">
        <v>7643</v>
      </c>
      <c r="B5118" s="3">
        <v>45000</v>
      </c>
      <c r="C5118" t="s">
        <v>1640</v>
      </c>
      <c r="D5118" t="s">
        <v>3496</v>
      </c>
      <c r="E5118">
        <v>3</v>
      </c>
      <c r="F5118" t="s">
        <v>3525</v>
      </c>
      <c r="G5118" t="s">
        <v>3518</v>
      </c>
      <c r="H5118">
        <v>2.5</v>
      </c>
      <c r="I5118">
        <v>29.8</v>
      </c>
      <c r="J5118">
        <v>89.4</v>
      </c>
    </row>
    <row r="5119" spans="1:10" x14ac:dyDescent="0.25">
      <c r="A5119" t="s">
        <v>7644</v>
      </c>
      <c r="B5119" s="3">
        <v>45140</v>
      </c>
      <c r="C5119" t="s">
        <v>2189</v>
      </c>
      <c r="D5119" t="s">
        <v>3491</v>
      </c>
      <c r="E5119">
        <v>3</v>
      </c>
      <c r="F5119" t="s">
        <v>3525</v>
      </c>
      <c r="G5119" t="s">
        <v>3519</v>
      </c>
      <c r="H5119">
        <v>0.5</v>
      </c>
      <c r="I5119">
        <v>8.6999999999999993</v>
      </c>
      <c r="J5119">
        <v>26.1</v>
      </c>
    </row>
    <row r="5120" spans="1:10" x14ac:dyDescent="0.25">
      <c r="A5120" t="s">
        <v>7645</v>
      </c>
      <c r="B5120" s="3">
        <v>44972</v>
      </c>
      <c r="C5120" t="s">
        <v>601</v>
      </c>
      <c r="D5120" t="s">
        <v>3475</v>
      </c>
      <c r="E5120">
        <v>2</v>
      </c>
      <c r="F5120" t="s">
        <v>3526</v>
      </c>
      <c r="G5120" t="s">
        <v>3518</v>
      </c>
      <c r="H5120">
        <v>0.5</v>
      </c>
      <c r="I5120">
        <v>7.3</v>
      </c>
      <c r="J5120">
        <v>14.6</v>
      </c>
    </row>
    <row r="5121" spans="1:10" x14ac:dyDescent="0.25">
      <c r="A5121" t="s">
        <v>7646</v>
      </c>
      <c r="B5121" s="3">
        <v>44404</v>
      </c>
      <c r="C5121" t="s">
        <v>997</v>
      </c>
      <c r="D5121" t="s">
        <v>3480</v>
      </c>
      <c r="E5121">
        <v>4</v>
      </c>
      <c r="F5121" t="s">
        <v>3524</v>
      </c>
      <c r="G5121" t="s">
        <v>3518</v>
      </c>
      <c r="H5121">
        <v>2.5</v>
      </c>
      <c r="I5121">
        <v>20.6</v>
      </c>
      <c r="J5121">
        <v>82.4</v>
      </c>
    </row>
    <row r="5122" spans="1:10" x14ac:dyDescent="0.25">
      <c r="A5122" t="s">
        <v>7647</v>
      </c>
      <c r="B5122" s="3">
        <v>44004</v>
      </c>
      <c r="C5122" t="s">
        <v>1018</v>
      </c>
      <c r="D5122" t="s">
        <v>3498</v>
      </c>
      <c r="E5122">
        <v>1</v>
      </c>
      <c r="F5122" t="s">
        <v>3523</v>
      </c>
      <c r="G5122" t="s">
        <v>3517</v>
      </c>
      <c r="H5122">
        <v>0.2</v>
      </c>
      <c r="I5122">
        <v>3.9</v>
      </c>
      <c r="J5122">
        <v>3.9</v>
      </c>
    </row>
    <row r="5123" spans="1:10" x14ac:dyDescent="0.25">
      <c r="A5123" t="s">
        <v>7648</v>
      </c>
      <c r="B5123" s="3">
        <v>43553</v>
      </c>
      <c r="C5123" t="s">
        <v>2702</v>
      </c>
      <c r="D5123" t="s">
        <v>3497</v>
      </c>
      <c r="E5123">
        <v>2</v>
      </c>
      <c r="F5123" t="s">
        <v>3526</v>
      </c>
      <c r="G5123" t="s">
        <v>3519</v>
      </c>
      <c r="H5123">
        <v>2.5</v>
      </c>
      <c r="I5123">
        <v>31.6</v>
      </c>
      <c r="J5123">
        <v>63.2</v>
      </c>
    </row>
    <row r="5124" spans="1:10" x14ac:dyDescent="0.25">
      <c r="A5124" t="s">
        <v>7649</v>
      </c>
      <c r="B5124" s="3">
        <v>45087</v>
      </c>
      <c r="C5124" t="s">
        <v>3004</v>
      </c>
      <c r="D5124" t="s">
        <v>3482</v>
      </c>
      <c r="E5124">
        <v>2</v>
      </c>
      <c r="F5124" t="s">
        <v>3524</v>
      </c>
      <c r="G5124" t="s">
        <v>3519</v>
      </c>
      <c r="H5124">
        <v>2.5</v>
      </c>
      <c r="I5124">
        <v>22.9</v>
      </c>
      <c r="J5124">
        <v>45.8</v>
      </c>
    </row>
    <row r="5125" spans="1:10" x14ac:dyDescent="0.25">
      <c r="A5125" t="s">
        <v>7650</v>
      </c>
      <c r="B5125" s="3">
        <v>45228</v>
      </c>
      <c r="C5125" t="s">
        <v>3270</v>
      </c>
      <c r="D5125" t="s">
        <v>3483</v>
      </c>
      <c r="E5125">
        <v>4</v>
      </c>
      <c r="F5125" t="s">
        <v>3523</v>
      </c>
      <c r="G5125" t="s">
        <v>3519</v>
      </c>
      <c r="H5125">
        <v>0.2</v>
      </c>
      <c r="I5125">
        <v>3.4</v>
      </c>
      <c r="J5125">
        <v>13.6</v>
      </c>
    </row>
    <row r="5126" spans="1:10" x14ac:dyDescent="0.25">
      <c r="A5126" t="s">
        <v>7651</v>
      </c>
      <c r="B5126" s="3">
        <v>44790</v>
      </c>
      <c r="C5126" t="s">
        <v>1520</v>
      </c>
      <c r="D5126" t="s">
        <v>3499</v>
      </c>
      <c r="E5126">
        <v>5</v>
      </c>
      <c r="F5126" t="s">
        <v>3523</v>
      </c>
      <c r="G5126" t="s">
        <v>3518</v>
      </c>
      <c r="H5126">
        <v>2.5</v>
      </c>
      <c r="I5126">
        <v>22.9</v>
      </c>
      <c r="J5126">
        <v>114.5</v>
      </c>
    </row>
    <row r="5127" spans="1:10" x14ac:dyDescent="0.25">
      <c r="A5127" t="s">
        <v>7652</v>
      </c>
      <c r="B5127" s="3">
        <v>44845</v>
      </c>
      <c r="C5127" t="s">
        <v>751</v>
      </c>
      <c r="D5127" t="s">
        <v>3493</v>
      </c>
      <c r="E5127">
        <v>6</v>
      </c>
      <c r="F5127" t="s">
        <v>3525</v>
      </c>
      <c r="G5127" t="s">
        <v>3519</v>
      </c>
      <c r="H5127">
        <v>1</v>
      </c>
      <c r="I5127">
        <v>14.6</v>
      </c>
      <c r="J5127">
        <v>87.6</v>
      </c>
    </row>
    <row r="5128" spans="1:10" x14ac:dyDescent="0.25">
      <c r="A5128" t="s">
        <v>7653</v>
      </c>
      <c r="B5128" s="3">
        <v>45080</v>
      </c>
      <c r="C5128" t="s">
        <v>2128</v>
      </c>
      <c r="D5128" t="s">
        <v>3513</v>
      </c>
      <c r="E5128">
        <v>6</v>
      </c>
      <c r="F5128" t="s">
        <v>3523</v>
      </c>
      <c r="G5128" t="s">
        <v>3517</v>
      </c>
      <c r="H5128">
        <v>2.5</v>
      </c>
      <c r="I5128">
        <v>29.8</v>
      </c>
      <c r="J5128">
        <v>178.8</v>
      </c>
    </row>
    <row r="5129" spans="1:10" x14ac:dyDescent="0.25">
      <c r="A5129" t="s">
        <v>7654</v>
      </c>
      <c r="B5129" s="3">
        <v>44968</v>
      </c>
      <c r="C5129" t="s">
        <v>1473</v>
      </c>
      <c r="D5129" t="s">
        <v>3494</v>
      </c>
      <c r="E5129">
        <v>1</v>
      </c>
      <c r="F5129" t="s">
        <v>3524</v>
      </c>
      <c r="G5129" t="s">
        <v>3518</v>
      </c>
      <c r="H5129">
        <v>0.2</v>
      </c>
      <c r="I5129">
        <v>2.7</v>
      </c>
      <c r="J5129">
        <v>2.7</v>
      </c>
    </row>
    <row r="5130" spans="1:10" x14ac:dyDescent="0.25">
      <c r="A5130" t="s">
        <v>7655</v>
      </c>
      <c r="B5130" s="3">
        <v>45539</v>
      </c>
      <c r="C5130" t="s">
        <v>598</v>
      </c>
      <c r="D5130" t="s">
        <v>3515</v>
      </c>
      <c r="E5130">
        <v>2</v>
      </c>
      <c r="F5130" t="s">
        <v>3526</v>
      </c>
      <c r="G5130" t="s">
        <v>3517</v>
      </c>
      <c r="H5130">
        <v>0.2</v>
      </c>
      <c r="I5130">
        <v>4.5</v>
      </c>
      <c r="J5130">
        <v>9</v>
      </c>
    </row>
    <row r="5131" spans="1:10" x14ac:dyDescent="0.25">
      <c r="A5131" t="s">
        <v>7656</v>
      </c>
      <c r="B5131" s="3">
        <v>44264</v>
      </c>
      <c r="C5131" t="s">
        <v>793</v>
      </c>
      <c r="D5131" t="s">
        <v>3509</v>
      </c>
      <c r="E5131">
        <v>1</v>
      </c>
      <c r="F5131" t="s">
        <v>3524</v>
      </c>
      <c r="G5131" t="s">
        <v>3517</v>
      </c>
      <c r="H5131">
        <v>0.2</v>
      </c>
      <c r="I5131">
        <v>3.6</v>
      </c>
      <c r="J5131">
        <v>3.6</v>
      </c>
    </row>
    <row r="5132" spans="1:10" x14ac:dyDescent="0.25">
      <c r="A5132" t="s">
        <v>7657</v>
      </c>
      <c r="B5132" s="3">
        <v>45422</v>
      </c>
      <c r="C5132" t="s">
        <v>3181</v>
      </c>
      <c r="D5132" t="s">
        <v>3507</v>
      </c>
      <c r="E5132">
        <v>1</v>
      </c>
      <c r="F5132" t="s">
        <v>3526</v>
      </c>
      <c r="G5132" t="s">
        <v>3517</v>
      </c>
      <c r="H5132">
        <v>0.5</v>
      </c>
      <c r="I5132">
        <v>8.9</v>
      </c>
      <c r="J5132">
        <v>8.9</v>
      </c>
    </row>
    <row r="5133" spans="1:10" x14ac:dyDescent="0.25">
      <c r="A5133" t="s">
        <v>7658</v>
      </c>
      <c r="B5133" s="3">
        <v>45544</v>
      </c>
      <c r="C5133" t="s">
        <v>3078</v>
      </c>
      <c r="D5133" t="s">
        <v>3514</v>
      </c>
      <c r="E5133">
        <v>4</v>
      </c>
      <c r="F5133" t="s">
        <v>3526</v>
      </c>
      <c r="G5133" t="s">
        <v>3518</v>
      </c>
      <c r="H5133">
        <v>1</v>
      </c>
      <c r="I5133">
        <v>12.2</v>
      </c>
      <c r="J5133">
        <v>48.8</v>
      </c>
    </row>
    <row r="5134" spans="1:10" x14ac:dyDescent="0.25">
      <c r="A5134" t="s">
        <v>7659</v>
      </c>
      <c r="B5134" s="3">
        <v>45053</v>
      </c>
      <c r="C5134" t="s">
        <v>2539</v>
      </c>
      <c r="D5134" t="s">
        <v>3471</v>
      </c>
      <c r="E5134">
        <v>1</v>
      </c>
      <c r="F5134" t="s">
        <v>3523</v>
      </c>
      <c r="G5134" t="s">
        <v>3517</v>
      </c>
      <c r="H5134">
        <v>1</v>
      </c>
      <c r="I5134">
        <v>13</v>
      </c>
      <c r="J5134">
        <v>13</v>
      </c>
    </row>
    <row r="5135" spans="1:10" x14ac:dyDescent="0.25">
      <c r="A5135" t="s">
        <v>7660</v>
      </c>
      <c r="B5135" s="3">
        <v>45299</v>
      </c>
      <c r="C5135" t="s">
        <v>2195</v>
      </c>
      <c r="D5135" t="s">
        <v>3495</v>
      </c>
      <c r="E5135">
        <v>6</v>
      </c>
      <c r="F5135" t="s">
        <v>3525</v>
      </c>
      <c r="G5135" t="s">
        <v>3517</v>
      </c>
      <c r="H5135">
        <v>2.5</v>
      </c>
      <c r="I5135">
        <v>36.5</v>
      </c>
      <c r="J5135">
        <v>219</v>
      </c>
    </row>
    <row r="5136" spans="1:10" x14ac:dyDescent="0.25">
      <c r="A5136" t="s">
        <v>7661</v>
      </c>
      <c r="B5136" s="3">
        <v>45511</v>
      </c>
      <c r="C5136" t="s">
        <v>2672</v>
      </c>
      <c r="D5136" t="s">
        <v>3483</v>
      </c>
      <c r="E5136">
        <v>3</v>
      </c>
      <c r="F5136" t="s">
        <v>3523</v>
      </c>
      <c r="G5136" t="s">
        <v>3519</v>
      </c>
      <c r="H5136">
        <v>0.2</v>
      </c>
      <c r="I5136">
        <v>3.4</v>
      </c>
      <c r="J5136">
        <v>10.199999999999999</v>
      </c>
    </row>
    <row r="5137" spans="1:10" x14ac:dyDescent="0.25">
      <c r="A5137" t="s">
        <v>7662</v>
      </c>
      <c r="B5137" s="3">
        <v>44941</v>
      </c>
      <c r="C5137" t="s">
        <v>520</v>
      </c>
      <c r="D5137" t="s">
        <v>3484</v>
      </c>
      <c r="E5137">
        <v>6</v>
      </c>
      <c r="F5137" t="s">
        <v>3526</v>
      </c>
      <c r="G5137" t="s">
        <v>3518</v>
      </c>
      <c r="H5137">
        <v>0.2</v>
      </c>
      <c r="I5137">
        <v>3.6</v>
      </c>
      <c r="J5137">
        <v>21.6</v>
      </c>
    </row>
    <row r="5138" spans="1:10" x14ac:dyDescent="0.25">
      <c r="A5138" t="s">
        <v>7663</v>
      </c>
      <c r="B5138" s="3">
        <v>45020</v>
      </c>
      <c r="C5138" t="s">
        <v>2027</v>
      </c>
      <c r="D5138" t="s">
        <v>3504</v>
      </c>
      <c r="E5138">
        <v>3</v>
      </c>
      <c r="F5138" t="s">
        <v>3524</v>
      </c>
      <c r="G5138" t="s">
        <v>3517</v>
      </c>
      <c r="H5138">
        <v>0.5</v>
      </c>
      <c r="I5138">
        <v>7.2</v>
      </c>
      <c r="J5138">
        <v>21.6</v>
      </c>
    </row>
    <row r="5139" spans="1:10" x14ac:dyDescent="0.25">
      <c r="A5139" t="s">
        <v>7664</v>
      </c>
      <c r="B5139" s="3">
        <v>45131</v>
      </c>
      <c r="C5139" t="s">
        <v>2233</v>
      </c>
      <c r="D5139" t="s">
        <v>3474</v>
      </c>
      <c r="E5139">
        <v>3</v>
      </c>
      <c r="F5139" t="s">
        <v>3525</v>
      </c>
      <c r="G5139" t="s">
        <v>3518</v>
      </c>
      <c r="H5139">
        <v>1</v>
      </c>
      <c r="I5139">
        <v>13</v>
      </c>
      <c r="J5139">
        <v>39</v>
      </c>
    </row>
    <row r="5140" spans="1:10" x14ac:dyDescent="0.25">
      <c r="A5140" t="s">
        <v>7665</v>
      </c>
      <c r="B5140" s="3">
        <v>44892</v>
      </c>
      <c r="C5140" t="s">
        <v>716</v>
      </c>
      <c r="D5140" t="s">
        <v>3512</v>
      </c>
      <c r="E5140">
        <v>5</v>
      </c>
      <c r="F5140" t="s">
        <v>3525</v>
      </c>
      <c r="G5140" t="s">
        <v>3519</v>
      </c>
      <c r="H5140">
        <v>2.5</v>
      </c>
      <c r="I5140">
        <v>33.5</v>
      </c>
      <c r="J5140">
        <v>167.5</v>
      </c>
    </row>
    <row r="5141" spans="1:10" x14ac:dyDescent="0.25">
      <c r="A5141" t="s">
        <v>7666</v>
      </c>
      <c r="B5141" s="3">
        <v>43901</v>
      </c>
      <c r="C5141" t="s">
        <v>2898</v>
      </c>
      <c r="D5141" t="s">
        <v>3495</v>
      </c>
      <c r="E5141">
        <v>1</v>
      </c>
      <c r="F5141" t="s">
        <v>3525</v>
      </c>
      <c r="G5141" t="s">
        <v>3517</v>
      </c>
      <c r="H5141">
        <v>2.5</v>
      </c>
      <c r="I5141">
        <v>36.5</v>
      </c>
      <c r="J5141">
        <v>36.5</v>
      </c>
    </row>
    <row r="5142" spans="1:10" x14ac:dyDescent="0.25">
      <c r="A5142" t="s">
        <v>7667</v>
      </c>
      <c r="B5142" s="3">
        <v>44897</v>
      </c>
      <c r="C5142" t="s">
        <v>2639</v>
      </c>
      <c r="D5142" t="s">
        <v>3509</v>
      </c>
      <c r="E5142">
        <v>5</v>
      </c>
      <c r="F5142" t="s">
        <v>3524</v>
      </c>
      <c r="G5142" t="s">
        <v>3517</v>
      </c>
      <c r="H5142">
        <v>0.2</v>
      </c>
      <c r="I5142">
        <v>3.6</v>
      </c>
      <c r="J5142">
        <v>18</v>
      </c>
    </row>
    <row r="5143" spans="1:10" x14ac:dyDescent="0.25">
      <c r="A5143" t="s">
        <v>7668</v>
      </c>
      <c r="B5143" s="3">
        <v>45445</v>
      </c>
      <c r="C5143" t="s">
        <v>1187</v>
      </c>
      <c r="D5143" t="s">
        <v>3492</v>
      </c>
      <c r="E5143">
        <v>2</v>
      </c>
      <c r="F5143" t="s">
        <v>3525</v>
      </c>
      <c r="G5143" t="s">
        <v>3517</v>
      </c>
      <c r="H5143">
        <v>0.5</v>
      </c>
      <c r="I5143">
        <v>9.5</v>
      </c>
      <c r="J5143">
        <v>19</v>
      </c>
    </row>
    <row r="5144" spans="1:10" x14ac:dyDescent="0.25">
      <c r="A5144" t="s">
        <v>7669</v>
      </c>
      <c r="B5144" s="3">
        <v>45021</v>
      </c>
      <c r="C5144" t="s">
        <v>2204</v>
      </c>
      <c r="D5144" t="s">
        <v>3483</v>
      </c>
      <c r="E5144">
        <v>3</v>
      </c>
      <c r="F5144" t="s">
        <v>3523</v>
      </c>
      <c r="G5144" t="s">
        <v>3519</v>
      </c>
      <c r="H5144">
        <v>0.2</v>
      </c>
      <c r="I5144">
        <v>3.4</v>
      </c>
      <c r="J5144">
        <v>10.199999999999999</v>
      </c>
    </row>
    <row r="5145" spans="1:10" x14ac:dyDescent="0.25">
      <c r="A5145" t="s">
        <v>7670</v>
      </c>
      <c r="B5145" s="3">
        <v>45391</v>
      </c>
      <c r="C5145" t="s">
        <v>1121</v>
      </c>
      <c r="D5145" t="s">
        <v>3508</v>
      </c>
      <c r="E5145">
        <v>4</v>
      </c>
      <c r="F5145" t="s">
        <v>3524</v>
      </c>
      <c r="G5145" t="s">
        <v>3518</v>
      </c>
      <c r="H5145">
        <v>1</v>
      </c>
      <c r="I5145">
        <v>9</v>
      </c>
      <c r="J5145">
        <v>36</v>
      </c>
    </row>
    <row r="5146" spans="1:10" x14ac:dyDescent="0.25">
      <c r="A5146" t="s">
        <v>7671</v>
      </c>
      <c r="B5146" s="3">
        <v>44817</v>
      </c>
      <c r="C5146" t="s">
        <v>2441</v>
      </c>
      <c r="D5146" t="s">
        <v>3470</v>
      </c>
      <c r="E5146">
        <v>6</v>
      </c>
      <c r="F5146" t="s">
        <v>3526</v>
      </c>
      <c r="G5146" t="s">
        <v>3519</v>
      </c>
      <c r="H5146">
        <v>0.5</v>
      </c>
      <c r="I5146">
        <v>8.3000000000000007</v>
      </c>
      <c r="J5146">
        <v>49.8</v>
      </c>
    </row>
    <row r="5147" spans="1:10" x14ac:dyDescent="0.25">
      <c r="A5147" t="s">
        <v>7672</v>
      </c>
      <c r="B5147" s="3">
        <v>44201</v>
      </c>
      <c r="C5147" t="s">
        <v>3199</v>
      </c>
      <c r="D5147" t="s">
        <v>3500</v>
      </c>
      <c r="E5147">
        <v>1</v>
      </c>
      <c r="F5147" t="s">
        <v>3525</v>
      </c>
      <c r="G5147" t="s">
        <v>3518</v>
      </c>
      <c r="H5147">
        <v>0.5</v>
      </c>
      <c r="I5147">
        <v>7.8</v>
      </c>
      <c r="J5147">
        <v>7.8</v>
      </c>
    </row>
    <row r="5148" spans="1:10" x14ac:dyDescent="0.25">
      <c r="A5148" t="s">
        <v>7673</v>
      </c>
      <c r="B5148" s="3">
        <v>44240</v>
      </c>
      <c r="C5148" t="s">
        <v>1848</v>
      </c>
      <c r="D5148" t="s">
        <v>3500</v>
      </c>
      <c r="E5148">
        <v>6</v>
      </c>
      <c r="F5148" t="s">
        <v>3525</v>
      </c>
      <c r="G5148" t="s">
        <v>3518</v>
      </c>
      <c r="H5148">
        <v>0.5</v>
      </c>
      <c r="I5148">
        <v>7.8</v>
      </c>
      <c r="J5148">
        <v>46.8</v>
      </c>
    </row>
    <row r="5149" spans="1:10" x14ac:dyDescent="0.25">
      <c r="A5149" t="s">
        <v>7674</v>
      </c>
      <c r="B5149" s="3">
        <v>45602</v>
      </c>
      <c r="C5149" t="s">
        <v>2338</v>
      </c>
      <c r="D5149" t="s">
        <v>3498</v>
      </c>
      <c r="E5149">
        <v>5</v>
      </c>
      <c r="F5149" t="s">
        <v>3523</v>
      </c>
      <c r="G5149" t="s">
        <v>3517</v>
      </c>
      <c r="H5149">
        <v>0.2</v>
      </c>
      <c r="I5149">
        <v>3.9</v>
      </c>
      <c r="J5149">
        <v>19.5</v>
      </c>
    </row>
    <row r="5150" spans="1:10" x14ac:dyDescent="0.25">
      <c r="A5150" t="s">
        <v>7675</v>
      </c>
      <c r="B5150" s="3">
        <v>45119</v>
      </c>
      <c r="C5150" t="s">
        <v>1550</v>
      </c>
      <c r="D5150" t="s">
        <v>3516</v>
      </c>
      <c r="E5150">
        <v>5</v>
      </c>
      <c r="F5150" t="s">
        <v>3526</v>
      </c>
      <c r="G5150" t="s">
        <v>3518</v>
      </c>
      <c r="H5150">
        <v>2.5</v>
      </c>
      <c r="I5150">
        <v>27.9</v>
      </c>
      <c r="J5150">
        <v>139.5</v>
      </c>
    </row>
    <row r="5151" spans="1:10" x14ac:dyDescent="0.25">
      <c r="A5151" t="s">
        <v>7676</v>
      </c>
      <c r="B5151" s="3">
        <v>45502</v>
      </c>
      <c r="C5151" t="s">
        <v>896</v>
      </c>
      <c r="D5151" t="s">
        <v>3490</v>
      </c>
      <c r="E5151">
        <v>5</v>
      </c>
      <c r="F5151" t="s">
        <v>3525</v>
      </c>
      <c r="G5151" t="s">
        <v>3519</v>
      </c>
      <c r="H5151">
        <v>0.2</v>
      </c>
      <c r="I5151">
        <v>4.4000000000000004</v>
      </c>
      <c r="J5151">
        <v>22</v>
      </c>
    </row>
    <row r="5152" spans="1:10" x14ac:dyDescent="0.25">
      <c r="A5152" t="s">
        <v>7677</v>
      </c>
      <c r="B5152" s="3">
        <v>44897</v>
      </c>
      <c r="C5152" t="s">
        <v>1142</v>
      </c>
      <c r="D5152" t="s">
        <v>3490</v>
      </c>
      <c r="E5152">
        <v>4</v>
      </c>
      <c r="F5152" t="s">
        <v>3525</v>
      </c>
      <c r="G5152" t="s">
        <v>3519</v>
      </c>
      <c r="H5152">
        <v>0.2</v>
      </c>
      <c r="I5152">
        <v>4.4000000000000004</v>
      </c>
      <c r="J5152">
        <v>17.600000000000001</v>
      </c>
    </row>
    <row r="5153" spans="1:10" x14ac:dyDescent="0.25">
      <c r="A5153" t="s">
        <v>7678</v>
      </c>
      <c r="B5153" s="3">
        <v>44611</v>
      </c>
      <c r="C5153" t="s">
        <v>2924</v>
      </c>
      <c r="D5153" t="s">
        <v>3507</v>
      </c>
      <c r="E5153">
        <v>4</v>
      </c>
      <c r="F5153" t="s">
        <v>3526</v>
      </c>
      <c r="G5153" t="s">
        <v>3517</v>
      </c>
      <c r="H5153">
        <v>0.5</v>
      </c>
      <c r="I5153">
        <v>8.9</v>
      </c>
      <c r="J5153">
        <v>35.6</v>
      </c>
    </row>
    <row r="5154" spans="1:10" x14ac:dyDescent="0.25">
      <c r="A5154" t="s">
        <v>7679</v>
      </c>
      <c r="B5154" s="3">
        <v>44643</v>
      </c>
      <c r="C5154" t="s">
        <v>1833</v>
      </c>
      <c r="D5154" t="s">
        <v>3494</v>
      </c>
      <c r="E5154">
        <v>3</v>
      </c>
      <c r="F5154" t="s">
        <v>3524</v>
      </c>
      <c r="G5154" t="s">
        <v>3518</v>
      </c>
      <c r="H5154">
        <v>0.2</v>
      </c>
      <c r="I5154">
        <v>2.7</v>
      </c>
      <c r="J5154">
        <v>8.1</v>
      </c>
    </row>
    <row r="5155" spans="1:10" x14ac:dyDescent="0.25">
      <c r="A5155" t="s">
        <v>7680</v>
      </c>
      <c r="B5155" s="3">
        <v>45166</v>
      </c>
      <c r="C5155" t="s">
        <v>3106</v>
      </c>
      <c r="D5155" t="s">
        <v>3516</v>
      </c>
      <c r="E5155">
        <v>2</v>
      </c>
      <c r="F5155" t="s">
        <v>3526</v>
      </c>
      <c r="G5155" t="s">
        <v>3518</v>
      </c>
      <c r="H5155">
        <v>2.5</v>
      </c>
      <c r="I5155">
        <v>27.9</v>
      </c>
      <c r="J5155">
        <v>55.8</v>
      </c>
    </row>
    <row r="5156" spans="1:10" x14ac:dyDescent="0.25">
      <c r="A5156" t="s">
        <v>7681</v>
      </c>
      <c r="B5156" s="3">
        <v>45388</v>
      </c>
      <c r="C5156" t="s">
        <v>3423</v>
      </c>
      <c r="D5156" t="s">
        <v>3516</v>
      </c>
      <c r="E5156">
        <v>6</v>
      </c>
      <c r="F5156" t="s">
        <v>3526</v>
      </c>
      <c r="G5156" t="s">
        <v>3518</v>
      </c>
      <c r="H5156">
        <v>2.5</v>
      </c>
      <c r="I5156">
        <v>27.9</v>
      </c>
      <c r="J5156">
        <v>167.4</v>
      </c>
    </row>
    <row r="5157" spans="1:10" x14ac:dyDescent="0.25">
      <c r="A5157" t="s">
        <v>7682</v>
      </c>
      <c r="B5157" s="3">
        <v>44639</v>
      </c>
      <c r="C5157" t="s">
        <v>3163</v>
      </c>
      <c r="D5157" t="s">
        <v>3470</v>
      </c>
      <c r="E5157">
        <v>3</v>
      </c>
      <c r="F5157" t="s">
        <v>3526</v>
      </c>
      <c r="G5157" t="s">
        <v>3519</v>
      </c>
      <c r="H5157">
        <v>0.5</v>
      </c>
      <c r="I5157">
        <v>8.3000000000000007</v>
      </c>
      <c r="J5157">
        <v>24.9</v>
      </c>
    </row>
    <row r="5158" spans="1:10" x14ac:dyDescent="0.25">
      <c r="A5158" t="s">
        <v>7683</v>
      </c>
      <c r="B5158" s="3">
        <v>43874</v>
      </c>
      <c r="C5158" t="s">
        <v>2524</v>
      </c>
      <c r="D5158" t="s">
        <v>3489</v>
      </c>
      <c r="E5158">
        <v>3</v>
      </c>
      <c r="F5158" t="s">
        <v>3523</v>
      </c>
      <c r="G5158" t="s">
        <v>3518</v>
      </c>
      <c r="H5158">
        <v>0.5</v>
      </c>
      <c r="I5158">
        <v>6</v>
      </c>
      <c r="J5158">
        <v>18</v>
      </c>
    </row>
    <row r="5159" spans="1:10" x14ac:dyDescent="0.25">
      <c r="A5159" t="s">
        <v>7684</v>
      </c>
      <c r="B5159" s="3">
        <v>44728</v>
      </c>
      <c r="C5159" t="s">
        <v>2864</v>
      </c>
      <c r="D5159" t="s">
        <v>3490</v>
      </c>
      <c r="E5159">
        <v>4</v>
      </c>
      <c r="F5159" t="s">
        <v>3525</v>
      </c>
      <c r="G5159" t="s">
        <v>3519</v>
      </c>
      <c r="H5159">
        <v>0.2</v>
      </c>
      <c r="I5159">
        <v>4.4000000000000004</v>
      </c>
      <c r="J5159">
        <v>17.600000000000001</v>
      </c>
    </row>
    <row r="5160" spans="1:10" x14ac:dyDescent="0.25">
      <c r="A5160" t="s">
        <v>7685</v>
      </c>
      <c r="B5160" s="3">
        <v>45601</v>
      </c>
      <c r="C5160" t="s">
        <v>1836</v>
      </c>
      <c r="D5160" t="s">
        <v>3514</v>
      </c>
      <c r="E5160">
        <v>5</v>
      </c>
      <c r="F5160" t="s">
        <v>3526</v>
      </c>
      <c r="G5160" t="s">
        <v>3518</v>
      </c>
      <c r="H5160">
        <v>1</v>
      </c>
      <c r="I5160">
        <v>12.2</v>
      </c>
      <c r="J5160">
        <v>61</v>
      </c>
    </row>
    <row r="5161" spans="1:10" x14ac:dyDescent="0.25">
      <c r="A5161" t="s">
        <v>7686</v>
      </c>
      <c r="B5161" s="3">
        <v>44902</v>
      </c>
      <c r="C5161" t="s">
        <v>1032</v>
      </c>
      <c r="D5161" t="s">
        <v>3487</v>
      </c>
      <c r="E5161">
        <v>1</v>
      </c>
      <c r="F5161" t="s">
        <v>3526</v>
      </c>
      <c r="G5161" t="s">
        <v>3519</v>
      </c>
      <c r="H5161">
        <v>0.2</v>
      </c>
      <c r="I5161">
        <v>4.0999999999999996</v>
      </c>
      <c r="J5161">
        <v>4.0999999999999996</v>
      </c>
    </row>
    <row r="5162" spans="1:10" x14ac:dyDescent="0.25">
      <c r="A5162" t="s">
        <v>7687</v>
      </c>
      <c r="B5162" s="3">
        <v>45559</v>
      </c>
      <c r="C5162" t="s">
        <v>805</v>
      </c>
      <c r="D5162" t="s">
        <v>3505</v>
      </c>
      <c r="E5162">
        <v>2</v>
      </c>
      <c r="F5162" t="s">
        <v>3524</v>
      </c>
      <c r="G5162" t="s">
        <v>3519</v>
      </c>
      <c r="H5162">
        <v>0.2</v>
      </c>
      <c r="I5162">
        <v>3</v>
      </c>
      <c r="J5162">
        <v>6</v>
      </c>
    </row>
    <row r="5163" spans="1:10" x14ac:dyDescent="0.25">
      <c r="A5163" t="s">
        <v>7688</v>
      </c>
      <c r="B5163" s="3">
        <v>44113</v>
      </c>
      <c r="C5163" t="s">
        <v>838</v>
      </c>
      <c r="D5163" t="s">
        <v>3512</v>
      </c>
      <c r="E5163">
        <v>6</v>
      </c>
      <c r="F5163" t="s">
        <v>3525</v>
      </c>
      <c r="G5163" t="s">
        <v>3519</v>
      </c>
      <c r="H5163">
        <v>2.5</v>
      </c>
      <c r="I5163">
        <v>33.5</v>
      </c>
      <c r="J5163">
        <v>201</v>
      </c>
    </row>
    <row r="5164" spans="1:10" x14ac:dyDescent="0.25">
      <c r="A5164" t="s">
        <v>7689</v>
      </c>
      <c r="B5164" s="3">
        <v>45561</v>
      </c>
      <c r="C5164" t="s">
        <v>3211</v>
      </c>
      <c r="D5164" t="s">
        <v>3494</v>
      </c>
      <c r="E5164">
        <v>5</v>
      </c>
      <c r="F5164" t="s">
        <v>3524</v>
      </c>
      <c r="G5164" t="s">
        <v>3518</v>
      </c>
      <c r="H5164">
        <v>0.2</v>
      </c>
      <c r="I5164">
        <v>2.7</v>
      </c>
      <c r="J5164">
        <v>13.5</v>
      </c>
    </row>
    <row r="5165" spans="1:10" x14ac:dyDescent="0.25">
      <c r="A5165" t="s">
        <v>7690</v>
      </c>
      <c r="B5165" s="3">
        <v>45382</v>
      </c>
      <c r="C5165" t="s">
        <v>2545</v>
      </c>
      <c r="D5165" t="s">
        <v>3498</v>
      </c>
      <c r="E5165">
        <v>2</v>
      </c>
      <c r="F5165" t="s">
        <v>3523</v>
      </c>
      <c r="G5165" t="s">
        <v>3517</v>
      </c>
      <c r="H5165">
        <v>0.2</v>
      </c>
      <c r="I5165">
        <v>3.9</v>
      </c>
      <c r="J5165">
        <v>7.8</v>
      </c>
    </row>
    <row r="5166" spans="1:10" x14ac:dyDescent="0.25">
      <c r="A5166" t="s">
        <v>7691</v>
      </c>
      <c r="B5166" s="3">
        <v>44338</v>
      </c>
      <c r="C5166" t="s">
        <v>1634</v>
      </c>
      <c r="D5166" t="s">
        <v>3476</v>
      </c>
      <c r="E5166">
        <v>6</v>
      </c>
      <c r="F5166" t="s">
        <v>3525</v>
      </c>
      <c r="G5166" t="s">
        <v>3517</v>
      </c>
      <c r="H5166">
        <v>0.2</v>
      </c>
      <c r="I5166">
        <v>4.8</v>
      </c>
      <c r="J5166">
        <v>28.8</v>
      </c>
    </row>
    <row r="5167" spans="1:10" x14ac:dyDescent="0.25">
      <c r="A5167" t="s">
        <v>7692</v>
      </c>
      <c r="B5167" s="3">
        <v>45103</v>
      </c>
      <c r="C5167" t="s">
        <v>2302</v>
      </c>
      <c r="D5167" t="s">
        <v>3508</v>
      </c>
      <c r="E5167">
        <v>1</v>
      </c>
      <c r="F5167" t="s">
        <v>3524</v>
      </c>
      <c r="G5167" t="s">
        <v>3518</v>
      </c>
      <c r="H5167">
        <v>1</v>
      </c>
      <c r="I5167">
        <v>9</v>
      </c>
      <c r="J5167">
        <v>9</v>
      </c>
    </row>
    <row r="5168" spans="1:10" x14ac:dyDescent="0.25">
      <c r="A5168" t="s">
        <v>7693</v>
      </c>
      <c r="B5168" s="3">
        <v>45385</v>
      </c>
      <c r="C5168" t="s">
        <v>2260</v>
      </c>
      <c r="D5168" t="s">
        <v>3495</v>
      </c>
      <c r="E5168">
        <v>5</v>
      </c>
      <c r="F5168" t="s">
        <v>3525</v>
      </c>
      <c r="G5168" t="s">
        <v>3517</v>
      </c>
      <c r="H5168">
        <v>2.5</v>
      </c>
      <c r="I5168">
        <v>36.5</v>
      </c>
      <c r="J5168">
        <v>182.5</v>
      </c>
    </row>
    <row r="5169" spans="1:10" x14ac:dyDescent="0.25">
      <c r="A5169" t="s">
        <v>7694</v>
      </c>
      <c r="B5169" s="3">
        <v>44013</v>
      </c>
      <c r="C5169" t="s">
        <v>1390</v>
      </c>
      <c r="D5169" t="s">
        <v>3469</v>
      </c>
      <c r="E5169">
        <v>3</v>
      </c>
      <c r="F5169" t="s">
        <v>3524</v>
      </c>
      <c r="G5169" t="s">
        <v>3519</v>
      </c>
      <c r="H5169">
        <v>1</v>
      </c>
      <c r="I5169">
        <v>10</v>
      </c>
      <c r="J5169">
        <v>30</v>
      </c>
    </row>
    <row r="5170" spans="1:10" x14ac:dyDescent="0.25">
      <c r="A5170" t="s">
        <v>7695</v>
      </c>
      <c r="B5170" s="3">
        <v>45190</v>
      </c>
      <c r="C5170" t="s">
        <v>1755</v>
      </c>
      <c r="D5170" t="s">
        <v>3507</v>
      </c>
      <c r="E5170">
        <v>4</v>
      </c>
      <c r="F5170" t="s">
        <v>3526</v>
      </c>
      <c r="G5170" t="s">
        <v>3517</v>
      </c>
      <c r="H5170">
        <v>0.5</v>
      </c>
      <c r="I5170">
        <v>8.9</v>
      </c>
      <c r="J5170">
        <v>35.6</v>
      </c>
    </row>
    <row r="5171" spans="1:10" x14ac:dyDescent="0.25">
      <c r="A5171" t="s">
        <v>7696</v>
      </c>
      <c r="B5171" s="3">
        <v>45540</v>
      </c>
      <c r="C5171" t="s">
        <v>2095</v>
      </c>
      <c r="D5171" t="s">
        <v>3472</v>
      </c>
      <c r="E5171">
        <v>4</v>
      </c>
      <c r="F5171" t="s">
        <v>3526</v>
      </c>
      <c r="G5171" t="s">
        <v>3519</v>
      </c>
      <c r="H5171">
        <v>1</v>
      </c>
      <c r="I5171">
        <v>13.8</v>
      </c>
      <c r="J5171">
        <v>55.2</v>
      </c>
    </row>
    <row r="5172" spans="1:10" x14ac:dyDescent="0.25">
      <c r="A5172" t="s">
        <v>7697</v>
      </c>
      <c r="B5172" s="3">
        <v>45652</v>
      </c>
      <c r="C5172" t="s">
        <v>646</v>
      </c>
      <c r="D5172" t="s">
        <v>3507</v>
      </c>
      <c r="E5172">
        <v>6</v>
      </c>
      <c r="F5172" t="s">
        <v>3526</v>
      </c>
      <c r="G5172" t="s">
        <v>3517</v>
      </c>
      <c r="H5172">
        <v>0.5</v>
      </c>
      <c r="I5172">
        <v>8.9</v>
      </c>
      <c r="J5172">
        <v>53.4</v>
      </c>
    </row>
    <row r="5173" spans="1:10" x14ac:dyDescent="0.25">
      <c r="A5173" t="s">
        <v>7698</v>
      </c>
      <c r="B5173" s="3">
        <v>44846</v>
      </c>
      <c r="C5173" t="s">
        <v>2645</v>
      </c>
      <c r="D5173" t="s">
        <v>3498</v>
      </c>
      <c r="E5173">
        <v>3</v>
      </c>
      <c r="F5173" t="s">
        <v>3523</v>
      </c>
      <c r="G5173" t="s">
        <v>3517</v>
      </c>
      <c r="H5173">
        <v>0.2</v>
      </c>
      <c r="I5173">
        <v>3.9</v>
      </c>
      <c r="J5173">
        <v>11.7</v>
      </c>
    </row>
    <row r="5174" spans="1:10" x14ac:dyDescent="0.25">
      <c r="A5174" t="s">
        <v>7699</v>
      </c>
      <c r="B5174" s="3">
        <v>45459</v>
      </c>
      <c r="C5174" t="s">
        <v>3220</v>
      </c>
      <c r="D5174" t="s">
        <v>3478</v>
      </c>
      <c r="E5174">
        <v>3</v>
      </c>
      <c r="F5174" t="s">
        <v>3523</v>
      </c>
      <c r="G5174" t="s">
        <v>3518</v>
      </c>
      <c r="H5174">
        <v>1</v>
      </c>
      <c r="I5174">
        <v>10</v>
      </c>
      <c r="J5174">
        <v>30</v>
      </c>
    </row>
    <row r="5175" spans="1:10" x14ac:dyDescent="0.25">
      <c r="A5175" t="s">
        <v>7700</v>
      </c>
      <c r="B5175" s="3">
        <v>45272</v>
      </c>
      <c r="C5175" t="s">
        <v>1896</v>
      </c>
      <c r="D5175" t="s">
        <v>3480</v>
      </c>
      <c r="E5175">
        <v>5</v>
      </c>
      <c r="F5175" t="s">
        <v>3524</v>
      </c>
      <c r="G5175" t="s">
        <v>3518</v>
      </c>
      <c r="H5175">
        <v>2.5</v>
      </c>
      <c r="I5175">
        <v>20.6</v>
      </c>
      <c r="J5175">
        <v>103</v>
      </c>
    </row>
    <row r="5176" spans="1:10" x14ac:dyDescent="0.25">
      <c r="A5176" t="s">
        <v>7701</v>
      </c>
      <c r="B5176" s="3">
        <v>44613</v>
      </c>
      <c r="C5176" t="s">
        <v>3287</v>
      </c>
      <c r="D5176" t="s">
        <v>3480</v>
      </c>
      <c r="E5176">
        <v>3</v>
      </c>
      <c r="F5176" t="s">
        <v>3524</v>
      </c>
      <c r="G5176" t="s">
        <v>3518</v>
      </c>
      <c r="H5176">
        <v>2.5</v>
      </c>
      <c r="I5176">
        <v>20.6</v>
      </c>
      <c r="J5176">
        <v>61.8</v>
      </c>
    </row>
    <row r="5177" spans="1:10" x14ac:dyDescent="0.25">
      <c r="A5177" t="s">
        <v>7702</v>
      </c>
      <c r="B5177" s="3">
        <v>44573</v>
      </c>
      <c r="C5177" t="s">
        <v>1088</v>
      </c>
      <c r="D5177" t="s">
        <v>3478</v>
      </c>
      <c r="E5177">
        <v>3</v>
      </c>
      <c r="F5177" t="s">
        <v>3523</v>
      </c>
      <c r="G5177" t="s">
        <v>3518</v>
      </c>
      <c r="H5177">
        <v>1</v>
      </c>
      <c r="I5177">
        <v>10</v>
      </c>
      <c r="J5177">
        <v>30</v>
      </c>
    </row>
    <row r="5178" spans="1:10" x14ac:dyDescent="0.25">
      <c r="A5178" t="s">
        <v>7703</v>
      </c>
      <c r="B5178" s="3">
        <v>45236</v>
      </c>
      <c r="C5178" t="s">
        <v>760</v>
      </c>
      <c r="D5178" t="s">
        <v>3514</v>
      </c>
      <c r="E5178">
        <v>4</v>
      </c>
      <c r="F5178" t="s">
        <v>3526</v>
      </c>
      <c r="G5178" t="s">
        <v>3518</v>
      </c>
      <c r="H5178">
        <v>1</v>
      </c>
      <c r="I5178">
        <v>12.2</v>
      </c>
      <c r="J5178">
        <v>48.8</v>
      </c>
    </row>
    <row r="5179" spans="1:10" x14ac:dyDescent="0.25">
      <c r="A5179" t="s">
        <v>7704</v>
      </c>
      <c r="B5179" s="3">
        <v>44768</v>
      </c>
      <c r="C5179" t="s">
        <v>641</v>
      </c>
      <c r="D5179" t="s">
        <v>3516</v>
      </c>
      <c r="E5179">
        <v>6</v>
      </c>
      <c r="F5179" t="s">
        <v>3526</v>
      </c>
      <c r="G5179" t="s">
        <v>3518</v>
      </c>
      <c r="H5179">
        <v>2.5</v>
      </c>
      <c r="I5179">
        <v>27.9</v>
      </c>
      <c r="J5179">
        <v>167.4</v>
      </c>
    </row>
    <row r="5180" spans="1:10" x14ac:dyDescent="0.25">
      <c r="A5180" t="s">
        <v>7705</v>
      </c>
      <c r="B5180" s="3">
        <v>45044</v>
      </c>
      <c r="C5180" t="s">
        <v>1646</v>
      </c>
      <c r="D5180" t="s">
        <v>3497</v>
      </c>
      <c r="E5180">
        <v>2</v>
      </c>
      <c r="F5180" t="s">
        <v>3526</v>
      </c>
      <c r="G5180" t="s">
        <v>3519</v>
      </c>
      <c r="H5180">
        <v>2.5</v>
      </c>
      <c r="I5180">
        <v>31.6</v>
      </c>
      <c r="J5180">
        <v>63.2</v>
      </c>
    </row>
    <row r="5181" spans="1:10" x14ac:dyDescent="0.25">
      <c r="A5181" t="s">
        <v>7706</v>
      </c>
      <c r="B5181" s="3">
        <v>45065</v>
      </c>
      <c r="C5181" t="s">
        <v>2989</v>
      </c>
      <c r="D5181" t="s">
        <v>3511</v>
      </c>
      <c r="E5181">
        <v>4</v>
      </c>
      <c r="F5181" t="s">
        <v>3523</v>
      </c>
      <c r="G5181" t="s">
        <v>3517</v>
      </c>
      <c r="H5181">
        <v>0.5</v>
      </c>
      <c r="I5181">
        <v>7.8</v>
      </c>
      <c r="J5181">
        <v>31.2</v>
      </c>
    </row>
    <row r="5182" spans="1:10" x14ac:dyDescent="0.25">
      <c r="A5182" t="s">
        <v>7707</v>
      </c>
      <c r="B5182" s="3">
        <v>45395</v>
      </c>
      <c r="C5182" t="s">
        <v>2772</v>
      </c>
      <c r="D5182" t="s">
        <v>3478</v>
      </c>
      <c r="E5182">
        <v>6</v>
      </c>
      <c r="F5182" t="s">
        <v>3523</v>
      </c>
      <c r="G5182" t="s">
        <v>3518</v>
      </c>
      <c r="H5182">
        <v>1</v>
      </c>
      <c r="I5182">
        <v>10</v>
      </c>
      <c r="J5182">
        <v>60</v>
      </c>
    </row>
    <row r="5183" spans="1:10" x14ac:dyDescent="0.25">
      <c r="A5183" t="s">
        <v>7708</v>
      </c>
      <c r="B5183" s="3">
        <v>45027</v>
      </c>
      <c r="C5183" t="s">
        <v>1485</v>
      </c>
      <c r="D5183" t="s">
        <v>3481</v>
      </c>
      <c r="E5183">
        <v>5</v>
      </c>
      <c r="F5183" t="s">
        <v>3525</v>
      </c>
      <c r="G5183" t="s">
        <v>3518</v>
      </c>
      <c r="H5183">
        <v>0.2</v>
      </c>
      <c r="I5183">
        <v>3.9</v>
      </c>
      <c r="J5183">
        <v>19.5</v>
      </c>
    </row>
    <row r="5184" spans="1:10" x14ac:dyDescent="0.25">
      <c r="A5184" t="s">
        <v>7709</v>
      </c>
      <c r="B5184" s="3">
        <v>45615</v>
      </c>
      <c r="C5184" t="s">
        <v>869</v>
      </c>
      <c r="D5184" t="s">
        <v>3504</v>
      </c>
      <c r="E5184">
        <v>4</v>
      </c>
      <c r="F5184" t="s">
        <v>3524</v>
      </c>
      <c r="G5184" t="s">
        <v>3517</v>
      </c>
      <c r="H5184">
        <v>0.5</v>
      </c>
      <c r="I5184">
        <v>7.2</v>
      </c>
      <c r="J5184">
        <v>28.8</v>
      </c>
    </row>
    <row r="5185" spans="1:10" x14ac:dyDescent="0.25">
      <c r="A5185" t="s">
        <v>7710</v>
      </c>
      <c r="B5185" s="3">
        <v>44885</v>
      </c>
      <c r="C5185" t="s">
        <v>902</v>
      </c>
      <c r="D5185" t="s">
        <v>3490</v>
      </c>
      <c r="E5185">
        <v>1</v>
      </c>
      <c r="F5185" t="s">
        <v>3525</v>
      </c>
      <c r="G5185" t="s">
        <v>3519</v>
      </c>
      <c r="H5185">
        <v>0.2</v>
      </c>
      <c r="I5185">
        <v>4.4000000000000004</v>
      </c>
      <c r="J5185">
        <v>4.4000000000000004</v>
      </c>
    </row>
    <row r="5186" spans="1:10" x14ac:dyDescent="0.25">
      <c r="A5186" t="s">
        <v>7711</v>
      </c>
      <c r="B5186" s="3">
        <v>45521</v>
      </c>
      <c r="C5186" t="s">
        <v>1488</v>
      </c>
      <c r="D5186" t="s">
        <v>3478</v>
      </c>
      <c r="E5186">
        <v>3</v>
      </c>
      <c r="F5186" t="s">
        <v>3523</v>
      </c>
      <c r="G5186" t="s">
        <v>3518</v>
      </c>
      <c r="H5186">
        <v>1</v>
      </c>
      <c r="I5186">
        <v>10</v>
      </c>
      <c r="J5186">
        <v>30</v>
      </c>
    </row>
    <row r="5187" spans="1:10" x14ac:dyDescent="0.25">
      <c r="A5187" t="s">
        <v>7712</v>
      </c>
      <c r="B5187" s="3">
        <v>45012</v>
      </c>
      <c r="C5187" t="s">
        <v>1476</v>
      </c>
      <c r="D5187" t="s">
        <v>3481</v>
      </c>
      <c r="E5187">
        <v>4</v>
      </c>
      <c r="F5187" t="s">
        <v>3525</v>
      </c>
      <c r="G5187" t="s">
        <v>3518</v>
      </c>
      <c r="H5187">
        <v>0.2</v>
      </c>
      <c r="I5187">
        <v>3.9</v>
      </c>
      <c r="J5187">
        <v>15.6</v>
      </c>
    </row>
    <row r="5188" spans="1:10" x14ac:dyDescent="0.25">
      <c r="A5188" t="s">
        <v>7713</v>
      </c>
      <c r="B5188" s="3">
        <v>45050</v>
      </c>
      <c r="C5188" t="s">
        <v>1863</v>
      </c>
      <c r="D5188" t="s">
        <v>3505</v>
      </c>
      <c r="E5188">
        <v>3</v>
      </c>
      <c r="F5188" t="s">
        <v>3524</v>
      </c>
      <c r="G5188" t="s">
        <v>3519</v>
      </c>
      <c r="H5188">
        <v>0.2</v>
      </c>
      <c r="I5188">
        <v>3</v>
      </c>
      <c r="J5188">
        <v>9</v>
      </c>
    </row>
    <row r="5189" spans="1:10" x14ac:dyDescent="0.25">
      <c r="A5189" t="s">
        <v>7714</v>
      </c>
      <c r="B5189" s="3">
        <v>43627</v>
      </c>
      <c r="C5189" t="s">
        <v>2512</v>
      </c>
      <c r="D5189" t="s">
        <v>3503</v>
      </c>
      <c r="E5189">
        <v>4</v>
      </c>
      <c r="F5189" t="s">
        <v>3524</v>
      </c>
      <c r="G5189" t="s">
        <v>3518</v>
      </c>
      <c r="H5189">
        <v>0.5</v>
      </c>
      <c r="I5189">
        <v>5.4</v>
      </c>
      <c r="J5189">
        <v>21.6</v>
      </c>
    </row>
    <row r="5190" spans="1:10" x14ac:dyDescent="0.25">
      <c r="A5190" t="s">
        <v>7715</v>
      </c>
      <c r="B5190" s="3">
        <v>44680</v>
      </c>
      <c r="C5190" t="s">
        <v>1238</v>
      </c>
      <c r="D5190" t="s">
        <v>3484</v>
      </c>
      <c r="E5190">
        <v>3</v>
      </c>
      <c r="F5190" t="s">
        <v>3526</v>
      </c>
      <c r="G5190" t="s">
        <v>3518</v>
      </c>
      <c r="H5190">
        <v>0.2</v>
      </c>
      <c r="I5190">
        <v>3.6</v>
      </c>
      <c r="J5190">
        <v>10.8</v>
      </c>
    </row>
    <row r="5191" spans="1:10" x14ac:dyDescent="0.25">
      <c r="A5191" t="s">
        <v>7716</v>
      </c>
      <c r="B5191" s="3">
        <v>45328</v>
      </c>
      <c r="C5191" t="s">
        <v>1594</v>
      </c>
      <c r="D5191" t="s">
        <v>3510</v>
      </c>
      <c r="E5191">
        <v>2</v>
      </c>
      <c r="F5191" t="s">
        <v>3524</v>
      </c>
      <c r="G5191" t="s">
        <v>3517</v>
      </c>
      <c r="H5191">
        <v>1</v>
      </c>
      <c r="I5191">
        <v>12</v>
      </c>
      <c r="J5191">
        <v>24</v>
      </c>
    </row>
    <row r="5192" spans="1:10" x14ac:dyDescent="0.25">
      <c r="A5192" t="s">
        <v>7717</v>
      </c>
      <c r="B5192" s="3">
        <v>44581</v>
      </c>
      <c r="C5192" t="s">
        <v>3375</v>
      </c>
      <c r="D5192" t="s">
        <v>3500</v>
      </c>
      <c r="E5192">
        <v>6</v>
      </c>
      <c r="F5192" t="s">
        <v>3525</v>
      </c>
      <c r="G5192" t="s">
        <v>3518</v>
      </c>
      <c r="H5192">
        <v>0.5</v>
      </c>
      <c r="I5192">
        <v>7.8</v>
      </c>
      <c r="J5192">
        <v>46.8</v>
      </c>
    </row>
    <row r="5193" spans="1:10" x14ac:dyDescent="0.25">
      <c r="A5193" t="s">
        <v>7718</v>
      </c>
      <c r="B5193" s="3">
        <v>44749</v>
      </c>
      <c r="C5193" t="s">
        <v>2308</v>
      </c>
      <c r="D5193" t="s">
        <v>3512</v>
      </c>
      <c r="E5193">
        <v>6</v>
      </c>
      <c r="F5193" t="s">
        <v>3525</v>
      </c>
      <c r="G5193" t="s">
        <v>3519</v>
      </c>
      <c r="H5193">
        <v>2.5</v>
      </c>
      <c r="I5193">
        <v>33.5</v>
      </c>
      <c r="J5193">
        <v>201</v>
      </c>
    </row>
    <row r="5194" spans="1:10" x14ac:dyDescent="0.25">
      <c r="A5194" t="s">
        <v>7719</v>
      </c>
      <c r="B5194" s="3">
        <v>45221</v>
      </c>
      <c r="C5194" t="s">
        <v>1963</v>
      </c>
      <c r="D5194" t="s">
        <v>3512</v>
      </c>
      <c r="E5194">
        <v>1</v>
      </c>
      <c r="F5194" t="s">
        <v>3525</v>
      </c>
      <c r="G5194" t="s">
        <v>3519</v>
      </c>
      <c r="H5194">
        <v>2.5</v>
      </c>
      <c r="I5194">
        <v>33.5</v>
      </c>
      <c r="J5194">
        <v>33.5</v>
      </c>
    </row>
    <row r="5195" spans="1:10" x14ac:dyDescent="0.25">
      <c r="A5195" t="s">
        <v>7720</v>
      </c>
      <c r="B5195" s="3">
        <v>44754</v>
      </c>
      <c r="C5195" t="s">
        <v>2705</v>
      </c>
      <c r="D5195" t="s">
        <v>3509</v>
      </c>
      <c r="E5195">
        <v>3</v>
      </c>
      <c r="F5195" t="s">
        <v>3524</v>
      </c>
      <c r="G5195" t="s">
        <v>3517</v>
      </c>
      <c r="H5195">
        <v>0.2</v>
      </c>
      <c r="I5195">
        <v>3.6</v>
      </c>
      <c r="J5195">
        <v>10.8</v>
      </c>
    </row>
    <row r="5196" spans="1:10" x14ac:dyDescent="0.25">
      <c r="A5196" t="s">
        <v>7721</v>
      </c>
      <c r="B5196" s="3">
        <v>45152</v>
      </c>
      <c r="C5196" t="s">
        <v>926</v>
      </c>
      <c r="D5196" t="s">
        <v>3472</v>
      </c>
      <c r="E5196">
        <v>5</v>
      </c>
      <c r="F5196" t="s">
        <v>3526</v>
      </c>
      <c r="G5196" t="s">
        <v>3519</v>
      </c>
      <c r="H5196">
        <v>1</v>
      </c>
      <c r="I5196">
        <v>13.8</v>
      </c>
      <c r="J5196">
        <v>69</v>
      </c>
    </row>
    <row r="5197" spans="1:10" x14ac:dyDescent="0.25">
      <c r="A5197" t="s">
        <v>7722</v>
      </c>
      <c r="B5197" s="3">
        <v>44865</v>
      </c>
      <c r="C5197" t="s">
        <v>2948</v>
      </c>
      <c r="D5197" t="s">
        <v>3471</v>
      </c>
      <c r="E5197">
        <v>6</v>
      </c>
      <c r="F5197" t="s">
        <v>3523</v>
      </c>
      <c r="G5197" t="s">
        <v>3517</v>
      </c>
      <c r="H5197">
        <v>1</v>
      </c>
      <c r="I5197">
        <v>13</v>
      </c>
      <c r="J5197">
        <v>78</v>
      </c>
    </row>
    <row r="5198" spans="1:10" x14ac:dyDescent="0.25">
      <c r="A5198" t="s">
        <v>7723</v>
      </c>
      <c r="B5198" s="3">
        <v>45494</v>
      </c>
      <c r="C5198" t="s">
        <v>2018</v>
      </c>
      <c r="D5198" t="s">
        <v>3510</v>
      </c>
      <c r="E5198">
        <v>1</v>
      </c>
      <c r="F5198" t="s">
        <v>3524</v>
      </c>
      <c r="G5198" t="s">
        <v>3517</v>
      </c>
      <c r="H5198">
        <v>1</v>
      </c>
      <c r="I5198">
        <v>12</v>
      </c>
      <c r="J5198">
        <v>12</v>
      </c>
    </row>
    <row r="5199" spans="1:10" x14ac:dyDescent="0.25">
      <c r="A5199" t="s">
        <v>7724</v>
      </c>
      <c r="B5199" s="3">
        <v>45647</v>
      </c>
      <c r="C5199" t="s">
        <v>1979</v>
      </c>
      <c r="D5199" t="s">
        <v>3497</v>
      </c>
      <c r="E5199">
        <v>1</v>
      </c>
      <c r="F5199" t="s">
        <v>3526</v>
      </c>
      <c r="G5199" t="s">
        <v>3519</v>
      </c>
      <c r="H5199">
        <v>2.5</v>
      </c>
      <c r="I5199">
        <v>31.6</v>
      </c>
      <c r="J5199">
        <v>31.6</v>
      </c>
    </row>
    <row r="5200" spans="1:10" x14ac:dyDescent="0.25">
      <c r="A5200" t="s">
        <v>7725</v>
      </c>
      <c r="B5200" s="3">
        <v>43951</v>
      </c>
      <c r="C5200" t="s">
        <v>823</v>
      </c>
      <c r="D5200" t="s">
        <v>3489</v>
      </c>
      <c r="E5200">
        <v>1</v>
      </c>
      <c r="F5200" t="s">
        <v>3523</v>
      </c>
      <c r="G5200" t="s">
        <v>3518</v>
      </c>
      <c r="H5200">
        <v>0.5</v>
      </c>
      <c r="I5200">
        <v>6</v>
      </c>
      <c r="J5200">
        <v>6</v>
      </c>
    </row>
    <row r="5201" spans="1:10" x14ac:dyDescent="0.25">
      <c r="A5201" t="s">
        <v>7726</v>
      </c>
      <c r="B5201" s="3">
        <v>44570</v>
      </c>
      <c r="C5201" t="s">
        <v>649</v>
      </c>
      <c r="D5201" t="s">
        <v>3505</v>
      </c>
      <c r="E5201">
        <v>6</v>
      </c>
      <c r="F5201" t="s">
        <v>3524</v>
      </c>
      <c r="G5201" t="s">
        <v>3519</v>
      </c>
      <c r="H5201">
        <v>0.2</v>
      </c>
      <c r="I5201">
        <v>3</v>
      </c>
      <c r="J5201">
        <v>18</v>
      </c>
    </row>
    <row r="5202" spans="1:10" x14ac:dyDescent="0.25">
      <c r="A5202" t="s">
        <v>7727</v>
      </c>
      <c r="B5202" s="3">
        <v>45297</v>
      </c>
      <c r="C5202" t="s">
        <v>529</v>
      </c>
      <c r="D5202" t="s">
        <v>3501</v>
      </c>
      <c r="E5202">
        <v>1</v>
      </c>
      <c r="F5202" t="s">
        <v>3525</v>
      </c>
      <c r="G5202" t="s">
        <v>3517</v>
      </c>
      <c r="H5202">
        <v>1</v>
      </c>
      <c r="I5202">
        <v>15.9</v>
      </c>
      <c r="J5202">
        <v>15.9</v>
      </c>
    </row>
    <row r="5203" spans="1:10" x14ac:dyDescent="0.25">
      <c r="A5203" t="s">
        <v>7728</v>
      </c>
      <c r="B5203" s="3">
        <v>44687</v>
      </c>
      <c r="C5203" t="s">
        <v>1573</v>
      </c>
      <c r="D5203" t="s">
        <v>3515</v>
      </c>
      <c r="E5203">
        <v>6</v>
      </c>
      <c r="F5203" t="s">
        <v>3526</v>
      </c>
      <c r="G5203" t="s">
        <v>3517</v>
      </c>
      <c r="H5203">
        <v>0.2</v>
      </c>
      <c r="I5203">
        <v>4.5</v>
      </c>
      <c r="J5203">
        <v>27</v>
      </c>
    </row>
    <row r="5204" spans="1:10" x14ac:dyDescent="0.25">
      <c r="A5204" t="s">
        <v>7729</v>
      </c>
      <c r="B5204" s="3">
        <v>44617</v>
      </c>
      <c r="C5204" t="s">
        <v>3187</v>
      </c>
      <c r="D5204" t="s">
        <v>3476</v>
      </c>
      <c r="E5204">
        <v>4</v>
      </c>
      <c r="F5204" t="s">
        <v>3525</v>
      </c>
      <c r="G5204" t="s">
        <v>3517</v>
      </c>
      <c r="H5204">
        <v>0.2</v>
      </c>
      <c r="I5204">
        <v>4.8</v>
      </c>
      <c r="J5204">
        <v>19.2</v>
      </c>
    </row>
    <row r="5205" spans="1:10" x14ac:dyDescent="0.25">
      <c r="A5205" t="s">
        <v>7730</v>
      </c>
      <c r="B5205" s="3">
        <v>45411</v>
      </c>
      <c r="C5205" t="s">
        <v>1071</v>
      </c>
      <c r="D5205" t="s">
        <v>3497</v>
      </c>
      <c r="E5205">
        <v>4</v>
      </c>
      <c r="F5205" t="s">
        <v>3526</v>
      </c>
      <c r="G5205" t="s">
        <v>3519</v>
      </c>
      <c r="H5205">
        <v>2.5</v>
      </c>
      <c r="I5205">
        <v>31.6</v>
      </c>
      <c r="J5205">
        <v>126.4</v>
      </c>
    </row>
    <row r="5206" spans="1:10" x14ac:dyDescent="0.25">
      <c r="A5206" t="s">
        <v>7731</v>
      </c>
      <c r="B5206" s="3">
        <v>43713</v>
      </c>
      <c r="C5206" t="s">
        <v>2266</v>
      </c>
      <c r="D5206" t="s">
        <v>3503</v>
      </c>
      <c r="E5206">
        <v>1</v>
      </c>
      <c r="F5206" t="s">
        <v>3524</v>
      </c>
      <c r="G5206" t="s">
        <v>3518</v>
      </c>
      <c r="H5206">
        <v>0.5</v>
      </c>
      <c r="I5206">
        <v>5.4</v>
      </c>
      <c r="J5206">
        <v>5.4</v>
      </c>
    </row>
    <row r="5207" spans="1:10" x14ac:dyDescent="0.25">
      <c r="A5207" t="s">
        <v>7732</v>
      </c>
      <c r="B5207" s="3">
        <v>44902</v>
      </c>
      <c r="C5207" t="s">
        <v>1631</v>
      </c>
      <c r="D5207" t="s">
        <v>3474</v>
      </c>
      <c r="E5207">
        <v>2</v>
      </c>
      <c r="F5207" t="s">
        <v>3525</v>
      </c>
      <c r="G5207" t="s">
        <v>3518</v>
      </c>
      <c r="H5207">
        <v>1</v>
      </c>
      <c r="I5207">
        <v>13</v>
      </c>
      <c r="J5207">
        <v>26</v>
      </c>
    </row>
    <row r="5208" spans="1:10" x14ac:dyDescent="0.25">
      <c r="A5208" t="s">
        <v>7733</v>
      </c>
      <c r="B5208" s="3">
        <v>43698</v>
      </c>
      <c r="C5208" t="s">
        <v>1384</v>
      </c>
      <c r="D5208" t="s">
        <v>3516</v>
      </c>
      <c r="E5208">
        <v>5</v>
      </c>
      <c r="F5208" t="s">
        <v>3526</v>
      </c>
      <c r="G5208" t="s">
        <v>3518</v>
      </c>
      <c r="H5208">
        <v>2.5</v>
      </c>
      <c r="I5208">
        <v>27.9</v>
      </c>
      <c r="J5208">
        <v>139.5</v>
      </c>
    </row>
    <row r="5209" spans="1:10" x14ac:dyDescent="0.25">
      <c r="A5209" t="s">
        <v>7734</v>
      </c>
      <c r="B5209" s="3">
        <v>45171</v>
      </c>
      <c r="C5209" t="s">
        <v>994</v>
      </c>
      <c r="D5209" t="s">
        <v>3470</v>
      </c>
      <c r="E5209">
        <v>2</v>
      </c>
      <c r="F5209" t="s">
        <v>3526</v>
      </c>
      <c r="G5209" t="s">
        <v>3519</v>
      </c>
      <c r="H5209">
        <v>0.5</v>
      </c>
      <c r="I5209">
        <v>8.3000000000000007</v>
      </c>
      <c r="J5209">
        <v>16.600000000000001</v>
      </c>
    </row>
    <row r="5210" spans="1:10" x14ac:dyDescent="0.25">
      <c r="A5210" t="s">
        <v>7735</v>
      </c>
      <c r="B5210" s="3">
        <v>44738</v>
      </c>
      <c r="C5210" t="s">
        <v>1333</v>
      </c>
      <c r="D5210" t="s">
        <v>3489</v>
      </c>
      <c r="E5210">
        <v>6</v>
      </c>
      <c r="F5210" t="s">
        <v>3523</v>
      </c>
      <c r="G5210" t="s">
        <v>3518</v>
      </c>
      <c r="H5210">
        <v>0.5</v>
      </c>
      <c r="I5210">
        <v>6</v>
      </c>
      <c r="J5210">
        <v>36</v>
      </c>
    </row>
    <row r="5211" spans="1:10" x14ac:dyDescent="0.25">
      <c r="A5211" t="s">
        <v>7736</v>
      </c>
      <c r="B5211" s="3">
        <v>45335</v>
      </c>
      <c r="C5211" t="s">
        <v>2819</v>
      </c>
      <c r="D5211" t="s">
        <v>3473</v>
      </c>
      <c r="E5211">
        <v>2</v>
      </c>
      <c r="F5211" t="s">
        <v>3524</v>
      </c>
      <c r="G5211" t="s">
        <v>3517</v>
      </c>
      <c r="H5211">
        <v>2.5</v>
      </c>
      <c r="I5211">
        <v>27.5</v>
      </c>
      <c r="J5211">
        <v>55</v>
      </c>
    </row>
    <row r="5212" spans="1:10" x14ac:dyDescent="0.25">
      <c r="A5212" t="s">
        <v>7737</v>
      </c>
      <c r="B5212" s="3">
        <v>45375</v>
      </c>
      <c r="C5212" t="s">
        <v>1339</v>
      </c>
      <c r="D5212" t="s">
        <v>3516</v>
      </c>
      <c r="E5212">
        <v>2</v>
      </c>
      <c r="F5212" t="s">
        <v>3526</v>
      </c>
      <c r="G5212" t="s">
        <v>3518</v>
      </c>
      <c r="H5212">
        <v>2.5</v>
      </c>
      <c r="I5212">
        <v>27.9</v>
      </c>
      <c r="J5212">
        <v>55.8</v>
      </c>
    </row>
    <row r="5213" spans="1:10" x14ac:dyDescent="0.25">
      <c r="A5213" t="s">
        <v>7738</v>
      </c>
      <c r="B5213" s="3">
        <v>45619</v>
      </c>
      <c r="C5213" t="s">
        <v>1287</v>
      </c>
      <c r="D5213" t="s">
        <v>3492</v>
      </c>
      <c r="E5213">
        <v>2</v>
      </c>
      <c r="F5213" t="s">
        <v>3525</v>
      </c>
      <c r="G5213" t="s">
        <v>3517</v>
      </c>
      <c r="H5213">
        <v>0.5</v>
      </c>
      <c r="I5213">
        <v>9.5</v>
      </c>
      <c r="J5213">
        <v>19</v>
      </c>
    </row>
    <row r="5214" spans="1:10" x14ac:dyDescent="0.25">
      <c r="A5214" t="s">
        <v>7739</v>
      </c>
      <c r="B5214" s="3">
        <v>45465</v>
      </c>
      <c r="C5214" t="s">
        <v>2417</v>
      </c>
      <c r="D5214" t="s">
        <v>3474</v>
      </c>
      <c r="E5214">
        <v>6</v>
      </c>
      <c r="F5214" t="s">
        <v>3525</v>
      </c>
      <c r="G5214" t="s">
        <v>3518</v>
      </c>
      <c r="H5214">
        <v>1</v>
      </c>
      <c r="I5214">
        <v>13</v>
      </c>
      <c r="J5214">
        <v>78</v>
      </c>
    </row>
    <row r="5215" spans="1:10" x14ac:dyDescent="0.25">
      <c r="A5215" t="s">
        <v>7740</v>
      </c>
      <c r="B5215" s="3">
        <v>45175</v>
      </c>
      <c r="C5215" t="s">
        <v>742</v>
      </c>
      <c r="D5215" t="s">
        <v>3487</v>
      </c>
      <c r="E5215">
        <v>2</v>
      </c>
      <c r="F5215" t="s">
        <v>3526</v>
      </c>
      <c r="G5215" t="s">
        <v>3519</v>
      </c>
      <c r="H5215">
        <v>0.2</v>
      </c>
      <c r="I5215">
        <v>4.0999999999999996</v>
      </c>
      <c r="J5215">
        <v>8.1999999999999993</v>
      </c>
    </row>
    <row r="5216" spans="1:10" x14ac:dyDescent="0.25">
      <c r="A5216" t="s">
        <v>7741</v>
      </c>
      <c r="B5216" s="3">
        <v>45426</v>
      </c>
      <c r="C5216" t="s">
        <v>2527</v>
      </c>
      <c r="D5216" t="s">
        <v>3486</v>
      </c>
      <c r="E5216">
        <v>5</v>
      </c>
      <c r="F5216" t="s">
        <v>3523</v>
      </c>
      <c r="G5216" t="s">
        <v>3519</v>
      </c>
      <c r="H5216">
        <v>1</v>
      </c>
      <c r="I5216">
        <v>11.3</v>
      </c>
      <c r="J5216">
        <v>56.5</v>
      </c>
    </row>
    <row r="5217" spans="1:10" x14ac:dyDescent="0.25">
      <c r="A5217" t="s">
        <v>7742</v>
      </c>
      <c r="B5217" s="3">
        <v>45650</v>
      </c>
      <c r="C5217" t="s">
        <v>918</v>
      </c>
      <c r="D5217" t="s">
        <v>3482</v>
      </c>
      <c r="E5217">
        <v>4</v>
      </c>
      <c r="F5217" t="s">
        <v>3524</v>
      </c>
      <c r="G5217" t="s">
        <v>3519</v>
      </c>
      <c r="H5217">
        <v>2.5</v>
      </c>
      <c r="I5217">
        <v>22.9</v>
      </c>
      <c r="J5217">
        <v>91.6</v>
      </c>
    </row>
    <row r="5218" spans="1:10" x14ac:dyDescent="0.25">
      <c r="A5218" t="s">
        <v>7743</v>
      </c>
      <c r="B5218" s="3">
        <v>45535</v>
      </c>
      <c r="C5218" t="s">
        <v>1720</v>
      </c>
      <c r="D5218" t="s">
        <v>3503</v>
      </c>
      <c r="E5218">
        <v>5</v>
      </c>
      <c r="F5218" t="s">
        <v>3524</v>
      </c>
      <c r="G5218" t="s">
        <v>3518</v>
      </c>
      <c r="H5218">
        <v>0.5</v>
      </c>
      <c r="I5218">
        <v>5.4</v>
      </c>
      <c r="J5218">
        <v>27</v>
      </c>
    </row>
    <row r="5219" spans="1:10" x14ac:dyDescent="0.25">
      <c r="A5219" t="s">
        <v>7744</v>
      </c>
      <c r="B5219" s="3">
        <v>44067</v>
      </c>
      <c r="C5219" t="s">
        <v>1038</v>
      </c>
      <c r="D5219" t="s">
        <v>3513</v>
      </c>
      <c r="E5219">
        <v>1</v>
      </c>
      <c r="F5219" t="s">
        <v>3523</v>
      </c>
      <c r="G5219" t="s">
        <v>3517</v>
      </c>
      <c r="H5219">
        <v>2.5</v>
      </c>
      <c r="I5219">
        <v>29.8</v>
      </c>
      <c r="J5219">
        <v>29.8</v>
      </c>
    </row>
    <row r="5220" spans="1:10" x14ac:dyDescent="0.25">
      <c r="A5220" t="s">
        <v>7745</v>
      </c>
      <c r="B5220" s="3">
        <v>45103</v>
      </c>
      <c r="C5220" t="s">
        <v>802</v>
      </c>
      <c r="D5220" t="s">
        <v>3496</v>
      </c>
      <c r="E5220">
        <v>4</v>
      </c>
      <c r="F5220" t="s">
        <v>3525</v>
      </c>
      <c r="G5220" t="s">
        <v>3518</v>
      </c>
      <c r="H5220">
        <v>2.5</v>
      </c>
      <c r="I5220">
        <v>29.8</v>
      </c>
      <c r="J5220">
        <v>119.2</v>
      </c>
    </row>
    <row r="5221" spans="1:10" x14ac:dyDescent="0.25">
      <c r="A5221" t="s">
        <v>7746</v>
      </c>
      <c r="B5221" s="3">
        <v>43740</v>
      </c>
      <c r="C5221" t="s">
        <v>2666</v>
      </c>
      <c r="D5221" t="s">
        <v>3483</v>
      </c>
      <c r="E5221">
        <v>1</v>
      </c>
      <c r="F5221" t="s">
        <v>3523</v>
      </c>
      <c r="G5221" t="s">
        <v>3519</v>
      </c>
      <c r="H5221">
        <v>0.2</v>
      </c>
      <c r="I5221">
        <v>3.4</v>
      </c>
      <c r="J5221">
        <v>3.4</v>
      </c>
    </row>
    <row r="5222" spans="1:10" x14ac:dyDescent="0.25">
      <c r="A5222" t="s">
        <v>7747</v>
      </c>
      <c r="B5222" s="3">
        <v>44166</v>
      </c>
      <c r="C5222" t="s">
        <v>3220</v>
      </c>
      <c r="D5222" t="s">
        <v>3506</v>
      </c>
      <c r="E5222">
        <v>4</v>
      </c>
      <c r="F5222" t="s">
        <v>3523</v>
      </c>
      <c r="G5222" t="s">
        <v>3519</v>
      </c>
      <c r="H5222">
        <v>2.5</v>
      </c>
      <c r="I5222">
        <v>25.9</v>
      </c>
      <c r="J5222">
        <v>103.6</v>
      </c>
    </row>
    <row r="5223" spans="1:10" x14ac:dyDescent="0.25">
      <c r="A5223" t="s">
        <v>7748</v>
      </c>
      <c r="B5223" s="3">
        <v>45534</v>
      </c>
      <c r="C5223" t="s">
        <v>2400</v>
      </c>
      <c r="D5223" t="s">
        <v>3502</v>
      </c>
      <c r="E5223">
        <v>4</v>
      </c>
      <c r="F5223" t="s">
        <v>3526</v>
      </c>
      <c r="G5223" t="s">
        <v>3517</v>
      </c>
      <c r="H5223">
        <v>1</v>
      </c>
      <c r="I5223">
        <v>14.9</v>
      </c>
      <c r="J5223">
        <v>59.6</v>
      </c>
    </row>
    <row r="5224" spans="1:10" x14ac:dyDescent="0.25">
      <c r="A5224" t="s">
        <v>7749</v>
      </c>
      <c r="B5224" s="3">
        <v>44654</v>
      </c>
      <c r="C5224" t="s">
        <v>1714</v>
      </c>
      <c r="D5224" t="s">
        <v>3501</v>
      </c>
      <c r="E5224">
        <v>3</v>
      </c>
      <c r="F5224" t="s">
        <v>3525</v>
      </c>
      <c r="G5224" t="s">
        <v>3517</v>
      </c>
      <c r="H5224">
        <v>1</v>
      </c>
      <c r="I5224">
        <v>15.9</v>
      </c>
      <c r="J5224">
        <v>47.7</v>
      </c>
    </row>
    <row r="5225" spans="1:10" x14ac:dyDescent="0.25">
      <c r="A5225" t="s">
        <v>7750</v>
      </c>
      <c r="B5225" s="3">
        <v>44228</v>
      </c>
      <c r="C5225" t="s">
        <v>740</v>
      </c>
      <c r="D5225" t="s">
        <v>3496</v>
      </c>
      <c r="E5225">
        <v>3</v>
      </c>
      <c r="F5225" t="s">
        <v>3525</v>
      </c>
      <c r="G5225" t="s">
        <v>3518</v>
      </c>
      <c r="H5225">
        <v>2.5</v>
      </c>
      <c r="I5225">
        <v>29.8</v>
      </c>
      <c r="J5225">
        <v>89.4</v>
      </c>
    </row>
    <row r="5226" spans="1:10" x14ac:dyDescent="0.25">
      <c r="A5226" t="s">
        <v>7751</v>
      </c>
      <c r="B5226" s="3">
        <v>45018</v>
      </c>
      <c r="C5226" t="s">
        <v>751</v>
      </c>
      <c r="D5226" t="s">
        <v>3487</v>
      </c>
      <c r="E5226">
        <v>6</v>
      </c>
      <c r="F5226" t="s">
        <v>3526</v>
      </c>
      <c r="G5226" t="s">
        <v>3519</v>
      </c>
      <c r="H5226">
        <v>0.2</v>
      </c>
      <c r="I5226">
        <v>4.0999999999999996</v>
      </c>
      <c r="J5226">
        <v>24.6</v>
      </c>
    </row>
    <row r="5227" spans="1:10" x14ac:dyDescent="0.25">
      <c r="A5227" t="s">
        <v>7752</v>
      </c>
      <c r="B5227" s="3">
        <v>45585</v>
      </c>
      <c r="C5227" t="s">
        <v>2162</v>
      </c>
      <c r="D5227" t="s">
        <v>3477</v>
      </c>
      <c r="E5227">
        <v>6</v>
      </c>
      <c r="F5227" t="s">
        <v>3524</v>
      </c>
      <c r="G5227" t="s">
        <v>3519</v>
      </c>
      <c r="H5227">
        <v>0.5</v>
      </c>
      <c r="I5227">
        <v>6</v>
      </c>
      <c r="J5227">
        <v>36</v>
      </c>
    </row>
    <row r="5228" spans="1:10" x14ac:dyDescent="0.25">
      <c r="A5228" t="s">
        <v>7753</v>
      </c>
      <c r="B5228" s="3">
        <v>45451</v>
      </c>
      <c r="C5228" t="s">
        <v>3022</v>
      </c>
      <c r="D5228" t="s">
        <v>3480</v>
      </c>
      <c r="E5228">
        <v>4</v>
      </c>
      <c r="F5228" t="s">
        <v>3524</v>
      </c>
      <c r="G5228" t="s">
        <v>3518</v>
      </c>
      <c r="H5228">
        <v>2.5</v>
      </c>
      <c r="I5228">
        <v>20.6</v>
      </c>
      <c r="J5228">
        <v>82.4</v>
      </c>
    </row>
    <row r="5229" spans="1:10" x14ac:dyDescent="0.25">
      <c r="A5229" t="s">
        <v>7754</v>
      </c>
      <c r="B5229" s="3">
        <v>44950</v>
      </c>
      <c r="C5229" t="s">
        <v>2036</v>
      </c>
      <c r="D5229" t="s">
        <v>3501</v>
      </c>
      <c r="E5229">
        <v>5</v>
      </c>
      <c r="F5229" t="s">
        <v>3525</v>
      </c>
      <c r="G5229" t="s">
        <v>3517</v>
      </c>
      <c r="H5229">
        <v>1</v>
      </c>
      <c r="I5229">
        <v>15.9</v>
      </c>
      <c r="J5229">
        <v>79.5</v>
      </c>
    </row>
    <row r="5230" spans="1:10" x14ac:dyDescent="0.25">
      <c r="A5230" t="s">
        <v>7755</v>
      </c>
      <c r="B5230" s="3">
        <v>45222</v>
      </c>
      <c r="C5230" t="s">
        <v>3258</v>
      </c>
      <c r="D5230" t="s">
        <v>3494</v>
      </c>
      <c r="E5230">
        <v>3</v>
      </c>
      <c r="F5230" t="s">
        <v>3524</v>
      </c>
      <c r="G5230" t="s">
        <v>3518</v>
      </c>
      <c r="H5230">
        <v>0.2</v>
      </c>
      <c r="I5230">
        <v>2.7</v>
      </c>
      <c r="J5230">
        <v>8.1</v>
      </c>
    </row>
    <row r="5231" spans="1:10" x14ac:dyDescent="0.25">
      <c r="A5231" t="s">
        <v>7756</v>
      </c>
      <c r="B5231" s="3">
        <v>45398</v>
      </c>
      <c r="C5231" t="s">
        <v>3007</v>
      </c>
      <c r="D5231" t="s">
        <v>3477</v>
      </c>
      <c r="E5231">
        <v>3</v>
      </c>
      <c r="F5231" t="s">
        <v>3524</v>
      </c>
      <c r="G5231" t="s">
        <v>3519</v>
      </c>
      <c r="H5231">
        <v>0.5</v>
      </c>
      <c r="I5231">
        <v>6</v>
      </c>
      <c r="J5231">
        <v>18</v>
      </c>
    </row>
    <row r="5232" spans="1:10" x14ac:dyDescent="0.25">
      <c r="A5232" t="s">
        <v>7757</v>
      </c>
      <c r="B5232" s="3">
        <v>45396</v>
      </c>
      <c r="C5232" t="s">
        <v>1229</v>
      </c>
      <c r="D5232" t="s">
        <v>3510</v>
      </c>
      <c r="E5232">
        <v>3</v>
      </c>
      <c r="F5232" t="s">
        <v>3524</v>
      </c>
      <c r="G5232" t="s">
        <v>3517</v>
      </c>
      <c r="H5232">
        <v>1</v>
      </c>
      <c r="I5232">
        <v>12</v>
      </c>
      <c r="J5232">
        <v>36</v>
      </c>
    </row>
    <row r="5233" spans="1:10" x14ac:dyDescent="0.25">
      <c r="A5233" t="s">
        <v>7758</v>
      </c>
      <c r="B5233" s="3">
        <v>44783</v>
      </c>
      <c r="C5233" t="s">
        <v>1582</v>
      </c>
      <c r="D5233" t="s">
        <v>3493</v>
      </c>
      <c r="E5233">
        <v>4</v>
      </c>
      <c r="F5233" t="s">
        <v>3525</v>
      </c>
      <c r="G5233" t="s">
        <v>3519</v>
      </c>
      <c r="H5233">
        <v>1</v>
      </c>
      <c r="I5233">
        <v>14.6</v>
      </c>
      <c r="J5233">
        <v>58.4</v>
      </c>
    </row>
    <row r="5234" spans="1:10" x14ac:dyDescent="0.25">
      <c r="A5234" t="s">
        <v>7759</v>
      </c>
      <c r="B5234" s="3">
        <v>45370</v>
      </c>
      <c r="C5234" t="s">
        <v>3208</v>
      </c>
      <c r="D5234" t="s">
        <v>3489</v>
      </c>
      <c r="E5234">
        <v>4</v>
      </c>
      <c r="F5234" t="s">
        <v>3523</v>
      </c>
      <c r="G5234" t="s">
        <v>3518</v>
      </c>
      <c r="H5234">
        <v>0.5</v>
      </c>
      <c r="I5234">
        <v>6</v>
      </c>
      <c r="J5234">
        <v>24</v>
      </c>
    </row>
    <row r="5235" spans="1:10" x14ac:dyDescent="0.25">
      <c r="A5235" t="s">
        <v>7760</v>
      </c>
      <c r="B5235" s="3">
        <v>45561</v>
      </c>
      <c r="C5235" t="s">
        <v>1800</v>
      </c>
      <c r="D5235" t="s">
        <v>3489</v>
      </c>
      <c r="E5235">
        <v>4</v>
      </c>
      <c r="F5235" t="s">
        <v>3523</v>
      </c>
      <c r="G5235" t="s">
        <v>3518</v>
      </c>
      <c r="H5235">
        <v>0.5</v>
      </c>
      <c r="I5235">
        <v>6</v>
      </c>
      <c r="J5235">
        <v>24</v>
      </c>
    </row>
    <row r="5236" spans="1:10" x14ac:dyDescent="0.25">
      <c r="A5236" t="s">
        <v>7761</v>
      </c>
      <c r="B5236" s="3">
        <v>45193</v>
      </c>
      <c r="C5236" t="s">
        <v>2599</v>
      </c>
      <c r="D5236" t="s">
        <v>3504</v>
      </c>
      <c r="E5236">
        <v>2</v>
      </c>
      <c r="F5236" t="s">
        <v>3524</v>
      </c>
      <c r="G5236" t="s">
        <v>3517</v>
      </c>
      <c r="H5236">
        <v>0.5</v>
      </c>
      <c r="I5236">
        <v>7.2</v>
      </c>
      <c r="J5236">
        <v>14.4</v>
      </c>
    </row>
    <row r="5237" spans="1:10" x14ac:dyDescent="0.25">
      <c r="A5237" t="s">
        <v>7762</v>
      </c>
      <c r="B5237" s="3">
        <v>45172</v>
      </c>
      <c r="C5237" t="s">
        <v>2027</v>
      </c>
      <c r="D5237" t="s">
        <v>3499</v>
      </c>
      <c r="E5237">
        <v>3</v>
      </c>
      <c r="F5237" t="s">
        <v>3523</v>
      </c>
      <c r="G5237" t="s">
        <v>3518</v>
      </c>
      <c r="H5237">
        <v>2.5</v>
      </c>
      <c r="I5237">
        <v>22.9</v>
      </c>
      <c r="J5237">
        <v>68.7</v>
      </c>
    </row>
    <row r="5238" spans="1:10" x14ac:dyDescent="0.25">
      <c r="A5238" t="s">
        <v>7763</v>
      </c>
      <c r="B5238" s="3">
        <v>44335</v>
      </c>
      <c r="C5238" t="s">
        <v>1576</v>
      </c>
      <c r="D5238" t="s">
        <v>3515</v>
      </c>
      <c r="E5238">
        <v>5</v>
      </c>
      <c r="F5238" t="s">
        <v>3526</v>
      </c>
      <c r="G5238" t="s">
        <v>3517</v>
      </c>
      <c r="H5238">
        <v>0.2</v>
      </c>
      <c r="I5238">
        <v>4.5</v>
      </c>
      <c r="J5238">
        <v>22.5</v>
      </c>
    </row>
    <row r="5239" spans="1:10" x14ac:dyDescent="0.25">
      <c r="A5239" t="s">
        <v>7764</v>
      </c>
      <c r="B5239" s="3">
        <v>45032</v>
      </c>
      <c r="C5239" t="s">
        <v>2867</v>
      </c>
      <c r="D5239" t="s">
        <v>3478</v>
      </c>
      <c r="E5239">
        <v>4</v>
      </c>
      <c r="F5239" t="s">
        <v>3523</v>
      </c>
      <c r="G5239" t="s">
        <v>3518</v>
      </c>
      <c r="H5239">
        <v>1</v>
      </c>
      <c r="I5239">
        <v>10</v>
      </c>
      <c r="J5239">
        <v>40</v>
      </c>
    </row>
    <row r="5240" spans="1:10" x14ac:dyDescent="0.25">
      <c r="A5240" t="s">
        <v>7765</v>
      </c>
      <c r="B5240" s="3">
        <v>44819</v>
      </c>
      <c r="C5240" t="s">
        <v>573</v>
      </c>
      <c r="D5240" t="s">
        <v>3489</v>
      </c>
      <c r="E5240">
        <v>1</v>
      </c>
      <c r="F5240" t="s">
        <v>3523</v>
      </c>
      <c r="G5240" t="s">
        <v>3518</v>
      </c>
      <c r="H5240">
        <v>0.5</v>
      </c>
      <c r="I5240">
        <v>6</v>
      </c>
      <c r="J5240">
        <v>6</v>
      </c>
    </row>
    <row r="5241" spans="1:10" x14ac:dyDescent="0.25">
      <c r="A5241" t="s">
        <v>7766</v>
      </c>
      <c r="B5241" s="3">
        <v>45613</v>
      </c>
      <c r="C5241" t="s">
        <v>2242</v>
      </c>
      <c r="D5241" t="s">
        <v>3500</v>
      </c>
      <c r="E5241">
        <v>1</v>
      </c>
      <c r="F5241" t="s">
        <v>3525</v>
      </c>
      <c r="G5241" t="s">
        <v>3518</v>
      </c>
      <c r="H5241">
        <v>0.5</v>
      </c>
      <c r="I5241">
        <v>7.8</v>
      </c>
      <c r="J5241">
        <v>7.8</v>
      </c>
    </row>
    <row r="5242" spans="1:10" x14ac:dyDescent="0.25">
      <c r="A5242" t="s">
        <v>7767</v>
      </c>
      <c r="B5242" s="3">
        <v>43664</v>
      </c>
      <c r="C5242" t="s">
        <v>2792</v>
      </c>
      <c r="D5242" t="s">
        <v>3485</v>
      </c>
      <c r="E5242">
        <v>6</v>
      </c>
      <c r="F5242" t="s">
        <v>3523</v>
      </c>
      <c r="G5242" t="s">
        <v>3518</v>
      </c>
      <c r="H5242">
        <v>0.2</v>
      </c>
      <c r="I5242">
        <v>3</v>
      </c>
      <c r="J5242">
        <v>18</v>
      </c>
    </row>
    <row r="5243" spans="1:10" x14ac:dyDescent="0.25">
      <c r="A5243" t="s">
        <v>7768</v>
      </c>
      <c r="B5243" s="3">
        <v>44995</v>
      </c>
      <c r="C5243" t="s">
        <v>3187</v>
      </c>
      <c r="D5243" t="s">
        <v>3481</v>
      </c>
      <c r="E5243">
        <v>2</v>
      </c>
      <c r="F5243" t="s">
        <v>3525</v>
      </c>
      <c r="G5243" t="s">
        <v>3518</v>
      </c>
      <c r="H5243">
        <v>0.2</v>
      </c>
      <c r="I5243">
        <v>3.9</v>
      </c>
      <c r="J5243">
        <v>7.8</v>
      </c>
    </row>
    <row r="5244" spans="1:10" x14ac:dyDescent="0.25">
      <c r="A5244" t="s">
        <v>7769</v>
      </c>
      <c r="B5244" s="3">
        <v>44954</v>
      </c>
      <c r="C5244" t="s">
        <v>1106</v>
      </c>
      <c r="D5244" t="s">
        <v>3497</v>
      </c>
      <c r="E5244">
        <v>1</v>
      </c>
      <c r="F5244" t="s">
        <v>3526</v>
      </c>
      <c r="G5244" t="s">
        <v>3519</v>
      </c>
      <c r="H5244">
        <v>2.5</v>
      </c>
      <c r="I5244">
        <v>31.6</v>
      </c>
      <c r="J5244">
        <v>31.6</v>
      </c>
    </row>
    <row r="5245" spans="1:10" x14ac:dyDescent="0.25">
      <c r="A5245" t="s">
        <v>7770</v>
      </c>
      <c r="B5245" s="3">
        <v>43972</v>
      </c>
      <c r="C5245" t="s">
        <v>635</v>
      </c>
      <c r="D5245" t="s">
        <v>3514</v>
      </c>
      <c r="E5245">
        <v>6</v>
      </c>
      <c r="F5245" t="s">
        <v>3526</v>
      </c>
      <c r="G5245" t="s">
        <v>3518</v>
      </c>
      <c r="H5245">
        <v>1</v>
      </c>
      <c r="I5245">
        <v>12.2</v>
      </c>
      <c r="J5245">
        <v>73.2</v>
      </c>
    </row>
    <row r="5246" spans="1:10" x14ac:dyDescent="0.25">
      <c r="A5246" t="s">
        <v>7771</v>
      </c>
      <c r="B5246" s="3">
        <v>44330</v>
      </c>
      <c r="C5246" t="s">
        <v>1816</v>
      </c>
      <c r="D5246" t="s">
        <v>3491</v>
      </c>
      <c r="E5246">
        <v>2</v>
      </c>
      <c r="F5246" t="s">
        <v>3525</v>
      </c>
      <c r="G5246" t="s">
        <v>3519</v>
      </c>
      <c r="H5246">
        <v>0.5</v>
      </c>
      <c r="I5246">
        <v>8.6999999999999993</v>
      </c>
      <c r="J5246">
        <v>17.399999999999999</v>
      </c>
    </row>
    <row r="5247" spans="1:10" x14ac:dyDescent="0.25">
      <c r="A5247" t="s">
        <v>7772</v>
      </c>
      <c r="B5247" s="3">
        <v>45013</v>
      </c>
      <c r="C5247" t="s">
        <v>2977</v>
      </c>
      <c r="D5247" t="s">
        <v>3511</v>
      </c>
      <c r="E5247">
        <v>2</v>
      </c>
      <c r="F5247" t="s">
        <v>3523</v>
      </c>
      <c r="G5247" t="s">
        <v>3517</v>
      </c>
      <c r="H5247">
        <v>0.5</v>
      </c>
      <c r="I5247">
        <v>7.8</v>
      </c>
      <c r="J5247">
        <v>15.6</v>
      </c>
    </row>
    <row r="5248" spans="1:10" x14ac:dyDescent="0.25">
      <c r="A5248" t="s">
        <v>7773</v>
      </c>
      <c r="B5248" s="3">
        <v>45209</v>
      </c>
      <c r="C5248" t="s">
        <v>2575</v>
      </c>
      <c r="D5248" t="s">
        <v>3485</v>
      </c>
      <c r="E5248">
        <v>6</v>
      </c>
      <c r="F5248" t="s">
        <v>3523</v>
      </c>
      <c r="G5248" t="s">
        <v>3518</v>
      </c>
      <c r="H5248">
        <v>0.2</v>
      </c>
      <c r="I5248">
        <v>3</v>
      </c>
      <c r="J5248">
        <v>18</v>
      </c>
    </row>
    <row r="5249" spans="1:10" x14ac:dyDescent="0.25">
      <c r="A5249" t="s">
        <v>7774</v>
      </c>
      <c r="B5249" s="3">
        <v>45400</v>
      </c>
      <c r="C5249" t="s">
        <v>1148</v>
      </c>
      <c r="D5249" t="s">
        <v>3504</v>
      </c>
      <c r="E5249">
        <v>3</v>
      </c>
      <c r="F5249" t="s">
        <v>3524</v>
      </c>
      <c r="G5249" t="s">
        <v>3517</v>
      </c>
      <c r="H5249">
        <v>0.5</v>
      </c>
      <c r="I5249">
        <v>7.2</v>
      </c>
      <c r="J5249">
        <v>21.6</v>
      </c>
    </row>
    <row r="5250" spans="1:10" x14ac:dyDescent="0.25">
      <c r="A5250" t="s">
        <v>7775</v>
      </c>
      <c r="B5250" s="3">
        <v>44893</v>
      </c>
      <c r="C5250" t="s">
        <v>2657</v>
      </c>
      <c r="D5250" t="s">
        <v>3486</v>
      </c>
      <c r="E5250">
        <v>5</v>
      </c>
      <c r="F5250" t="s">
        <v>3523</v>
      </c>
      <c r="G5250" t="s">
        <v>3519</v>
      </c>
      <c r="H5250">
        <v>1</v>
      </c>
      <c r="I5250">
        <v>11.3</v>
      </c>
      <c r="J5250">
        <v>56.5</v>
      </c>
    </row>
    <row r="5251" spans="1:10" x14ac:dyDescent="0.25">
      <c r="A5251" t="s">
        <v>7776</v>
      </c>
      <c r="B5251" s="3">
        <v>45372</v>
      </c>
      <c r="C5251" t="s">
        <v>679</v>
      </c>
      <c r="D5251" t="s">
        <v>3491</v>
      </c>
      <c r="E5251">
        <v>6</v>
      </c>
      <c r="F5251" t="s">
        <v>3525</v>
      </c>
      <c r="G5251" t="s">
        <v>3519</v>
      </c>
      <c r="H5251">
        <v>0.5</v>
      </c>
      <c r="I5251">
        <v>8.6999999999999993</v>
      </c>
      <c r="J5251">
        <v>52.2</v>
      </c>
    </row>
    <row r="5252" spans="1:10" x14ac:dyDescent="0.25">
      <c r="A5252" t="s">
        <v>7777</v>
      </c>
      <c r="B5252" s="3">
        <v>45438</v>
      </c>
      <c r="C5252" t="s">
        <v>2927</v>
      </c>
      <c r="D5252" t="s">
        <v>3481</v>
      </c>
      <c r="E5252">
        <v>1</v>
      </c>
      <c r="F5252" t="s">
        <v>3525</v>
      </c>
      <c r="G5252" t="s">
        <v>3518</v>
      </c>
      <c r="H5252">
        <v>0.2</v>
      </c>
      <c r="I5252">
        <v>3.9</v>
      </c>
      <c r="J5252">
        <v>3.9</v>
      </c>
    </row>
    <row r="5253" spans="1:10" x14ac:dyDescent="0.25">
      <c r="A5253" t="s">
        <v>7778</v>
      </c>
      <c r="B5253" s="3">
        <v>44944</v>
      </c>
      <c r="C5253" t="s">
        <v>3393</v>
      </c>
      <c r="D5253" t="s">
        <v>3481</v>
      </c>
      <c r="E5253">
        <v>4</v>
      </c>
      <c r="F5253" t="s">
        <v>3525</v>
      </c>
      <c r="G5253" t="s">
        <v>3518</v>
      </c>
      <c r="H5253">
        <v>0.2</v>
      </c>
      <c r="I5253">
        <v>3.9</v>
      </c>
      <c r="J5253">
        <v>15.6</v>
      </c>
    </row>
    <row r="5254" spans="1:10" x14ac:dyDescent="0.25">
      <c r="A5254" t="s">
        <v>7779</v>
      </c>
      <c r="B5254" s="3">
        <v>44202</v>
      </c>
      <c r="C5254" t="s">
        <v>740</v>
      </c>
      <c r="D5254" t="s">
        <v>3471</v>
      </c>
      <c r="E5254">
        <v>4</v>
      </c>
      <c r="F5254" t="s">
        <v>3523</v>
      </c>
      <c r="G5254" t="s">
        <v>3517</v>
      </c>
      <c r="H5254">
        <v>1</v>
      </c>
      <c r="I5254">
        <v>13</v>
      </c>
      <c r="J5254">
        <v>52</v>
      </c>
    </row>
    <row r="5255" spans="1:10" x14ac:dyDescent="0.25">
      <c r="A5255" t="s">
        <v>7780</v>
      </c>
      <c r="B5255" s="3">
        <v>45599</v>
      </c>
      <c r="C5255" t="s">
        <v>742</v>
      </c>
      <c r="D5255" t="s">
        <v>3514</v>
      </c>
      <c r="E5255">
        <v>6</v>
      </c>
      <c r="F5255" t="s">
        <v>3526</v>
      </c>
      <c r="G5255" t="s">
        <v>3518</v>
      </c>
      <c r="H5255">
        <v>1</v>
      </c>
      <c r="I5255">
        <v>12.2</v>
      </c>
      <c r="J5255">
        <v>73.2</v>
      </c>
    </row>
    <row r="5256" spans="1:10" x14ac:dyDescent="0.25">
      <c r="A5256" t="s">
        <v>7781</v>
      </c>
      <c r="B5256" s="3">
        <v>45193</v>
      </c>
      <c r="C5256" t="s">
        <v>1517</v>
      </c>
      <c r="D5256" t="s">
        <v>3473</v>
      </c>
      <c r="E5256">
        <v>6</v>
      </c>
      <c r="F5256" t="s">
        <v>3524</v>
      </c>
      <c r="G5256" t="s">
        <v>3517</v>
      </c>
      <c r="H5256">
        <v>2.5</v>
      </c>
      <c r="I5256">
        <v>27.5</v>
      </c>
      <c r="J5256">
        <v>165</v>
      </c>
    </row>
    <row r="5257" spans="1:10" x14ac:dyDescent="0.25">
      <c r="A5257" t="s">
        <v>7782</v>
      </c>
      <c r="B5257" s="3">
        <v>45131</v>
      </c>
      <c r="C5257" t="s">
        <v>3202</v>
      </c>
      <c r="D5257" t="s">
        <v>3494</v>
      </c>
      <c r="E5257">
        <v>6</v>
      </c>
      <c r="F5257" t="s">
        <v>3524</v>
      </c>
      <c r="G5257" t="s">
        <v>3518</v>
      </c>
      <c r="H5257">
        <v>0.2</v>
      </c>
      <c r="I5257">
        <v>2.7</v>
      </c>
      <c r="J5257">
        <v>16.2</v>
      </c>
    </row>
    <row r="5258" spans="1:10" x14ac:dyDescent="0.25">
      <c r="A5258" t="s">
        <v>7783</v>
      </c>
      <c r="B5258" s="3">
        <v>45293</v>
      </c>
      <c r="C5258" t="s">
        <v>1839</v>
      </c>
      <c r="D5258" t="s">
        <v>3492</v>
      </c>
      <c r="E5258">
        <v>4</v>
      </c>
      <c r="F5258" t="s">
        <v>3525</v>
      </c>
      <c r="G5258" t="s">
        <v>3517</v>
      </c>
      <c r="H5258">
        <v>0.5</v>
      </c>
      <c r="I5258">
        <v>9.5</v>
      </c>
      <c r="J5258">
        <v>38</v>
      </c>
    </row>
    <row r="5259" spans="1:10" x14ac:dyDescent="0.25">
      <c r="A5259" t="s">
        <v>7784</v>
      </c>
      <c r="B5259" s="3">
        <v>44297</v>
      </c>
      <c r="C5259" t="s">
        <v>1082</v>
      </c>
      <c r="D5259" t="s">
        <v>3477</v>
      </c>
      <c r="E5259">
        <v>6</v>
      </c>
      <c r="F5259" t="s">
        <v>3524</v>
      </c>
      <c r="G5259" t="s">
        <v>3519</v>
      </c>
      <c r="H5259">
        <v>0.5</v>
      </c>
      <c r="I5259">
        <v>6</v>
      </c>
      <c r="J5259">
        <v>36</v>
      </c>
    </row>
    <row r="5260" spans="1:10" x14ac:dyDescent="0.25">
      <c r="A5260" t="s">
        <v>7785</v>
      </c>
      <c r="B5260" s="3">
        <v>45415</v>
      </c>
      <c r="C5260" t="s">
        <v>586</v>
      </c>
      <c r="D5260" t="s">
        <v>3501</v>
      </c>
      <c r="E5260">
        <v>6</v>
      </c>
      <c r="F5260" t="s">
        <v>3525</v>
      </c>
      <c r="G5260" t="s">
        <v>3517</v>
      </c>
      <c r="H5260">
        <v>1</v>
      </c>
      <c r="I5260">
        <v>15.9</v>
      </c>
      <c r="J5260">
        <v>95.4</v>
      </c>
    </row>
    <row r="5261" spans="1:10" x14ac:dyDescent="0.25">
      <c r="A5261" t="s">
        <v>7786</v>
      </c>
      <c r="B5261" s="3">
        <v>45284</v>
      </c>
      <c r="C5261" t="s">
        <v>2527</v>
      </c>
      <c r="D5261" t="s">
        <v>3507</v>
      </c>
      <c r="E5261">
        <v>3</v>
      </c>
      <c r="F5261" t="s">
        <v>3526</v>
      </c>
      <c r="G5261" t="s">
        <v>3517</v>
      </c>
      <c r="H5261">
        <v>0.5</v>
      </c>
      <c r="I5261">
        <v>8.9</v>
      </c>
      <c r="J5261">
        <v>26.7</v>
      </c>
    </row>
    <row r="5262" spans="1:10" x14ac:dyDescent="0.25">
      <c r="A5262" t="s">
        <v>7787</v>
      </c>
      <c r="B5262" s="3">
        <v>45040</v>
      </c>
      <c r="C5262" t="s">
        <v>1911</v>
      </c>
      <c r="D5262" t="s">
        <v>3508</v>
      </c>
      <c r="E5262">
        <v>4</v>
      </c>
      <c r="F5262" t="s">
        <v>3524</v>
      </c>
      <c r="G5262" t="s">
        <v>3518</v>
      </c>
      <c r="H5262">
        <v>1</v>
      </c>
      <c r="I5262">
        <v>9</v>
      </c>
      <c r="J5262">
        <v>36</v>
      </c>
    </row>
    <row r="5263" spans="1:10" x14ac:dyDescent="0.25">
      <c r="A5263" t="s">
        <v>7788</v>
      </c>
      <c r="B5263" s="3">
        <v>44959</v>
      </c>
      <c r="C5263" t="s">
        <v>3426</v>
      </c>
      <c r="D5263" t="s">
        <v>3508</v>
      </c>
      <c r="E5263">
        <v>1</v>
      </c>
      <c r="F5263" t="s">
        <v>3524</v>
      </c>
      <c r="G5263" t="s">
        <v>3518</v>
      </c>
      <c r="H5263">
        <v>1</v>
      </c>
      <c r="I5263">
        <v>9</v>
      </c>
      <c r="J5263">
        <v>9</v>
      </c>
    </row>
    <row r="5264" spans="1:10" x14ac:dyDescent="0.25">
      <c r="A5264" t="s">
        <v>7789</v>
      </c>
      <c r="B5264" s="3">
        <v>45019</v>
      </c>
      <c r="C5264" t="s">
        <v>1473</v>
      </c>
      <c r="D5264" t="s">
        <v>3482</v>
      </c>
      <c r="E5264">
        <v>2</v>
      </c>
      <c r="F5264" t="s">
        <v>3524</v>
      </c>
      <c r="G5264" t="s">
        <v>3519</v>
      </c>
      <c r="H5264">
        <v>2.5</v>
      </c>
      <c r="I5264">
        <v>22.9</v>
      </c>
      <c r="J5264">
        <v>45.8</v>
      </c>
    </row>
    <row r="5265" spans="1:10" x14ac:dyDescent="0.25">
      <c r="A5265" t="s">
        <v>7790</v>
      </c>
      <c r="B5265" s="3">
        <v>45632</v>
      </c>
      <c r="C5265" t="s">
        <v>1000</v>
      </c>
      <c r="D5265" t="s">
        <v>3488</v>
      </c>
      <c r="E5265">
        <v>6</v>
      </c>
      <c r="F5265" t="s">
        <v>3523</v>
      </c>
      <c r="G5265" t="s">
        <v>3519</v>
      </c>
      <c r="H5265">
        <v>0.5</v>
      </c>
      <c r="I5265">
        <v>6.8</v>
      </c>
      <c r="J5265">
        <v>40.799999999999997</v>
      </c>
    </row>
    <row r="5266" spans="1:10" x14ac:dyDescent="0.25">
      <c r="A5266" t="s">
        <v>7791</v>
      </c>
      <c r="B5266" s="3">
        <v>45223</v>
      </c>
      <c r="C5266" t="s">
        <v>1157</v>
      </c>
      <c r="D5266" t="s">
        <v>3499</v>
      </c>
      <c r="E5266">
        <v>3</v>
      </c>
      <c r="F5266" t="s">
        <v>3523</v>
      </c>
      <c r="G5266" t="s">
        <v>3518</v>
      </c>
      <c r="H5266">
        <v>2.5</v>
      </c>
      <c r="I5266">
        <v>22.9</v>
      </c>
      <c r="J5266">
        <v>68.7</v>
      </c>
    </row>
    <row r="5267" spans="1:10" x14ac:dyDescent="0.25">
      <c r="A5267" t="s">
        <v>7792</v>
      </c>
      <c r="B5267" s="3">
        <v>44856</v>
      </c>
      <c r="C5267" t="s">
        <v>793</v>
      </c>
      <c r="D5267" t="s">
        <v>3504</v>
      </c>
      <c r="E5267">
        <v>3</v>
      </c>
      <c r="F5267" t="s">
        <v>3524</v>
      </c>
      <c r="G5267" t="s">
        <v>3517</v>
      </c>
      <c r="H5267">
        <v>0.5</v>
      </c>
      <c r="I5267">
        <v>7.2</v>
      </c>
      <c r="J5267">
        <v>21.6</v>
      </c>
    </row>
    <row r="5268" spans="1:10" x14ac:dyDescent="0.25">
      <c r="A5268" t="s">
        <v>7793</v>
      </c>
      <c r="B5268" s="3">
        <v>45532</v>
      </c>
      <c r="C5268" t="s">
        <v>3290</v>
      </c>
      <c r="D5268" t="s">
        <v>3482</v>
      </c>
      <c r="E5268">
        <v>6</v>
      </c>
      <c r="F5268" t="s">
        <v>3524</v>
      </c>
      <c r="G5268" t="s">
        <v>3519</v>
      </c>
      <c r="H5268">
        <v>2.5</v>
      </c>
      <c r="I5268">
        <v>22.9</v>
      </c>
      <c r="J5268">
        <v>137.4</v>
      </c>
    </row>
    <row r="5269" spans="1:10" x14ac:dyDescent="0.25">
      <c r="A5269" t="s">
        <v>7794</v>
      </c>
      <c r="B5269" s="3">
        <v>44349</v>
      </c>
      <c r="C5269" t="s">
        <v>826</v>
      </c>
      <c r="D5269" t="s">
        <v>3485</v>
      </c>
      <c r="E5269">
        <v>3</v>
      </c>
      <c r="F5269" t="s">
        <v>3523</v>
      </c>
      <c r="G5269" t="s">
        <v>3518</v>
      </c>
      <c r="H5269">
        <v>0.2</v>
      </c>
      <c r="I5269">
        <v>3</v>
      </c>
      <c r="J5269">
        <v>9</v>
      </c>
    </row>
    <row r="5270" spans="1:10" x14ac:dyDescent="0.25">
      <c r="A5270" t="s">
        <v>7795</v>
      </c>
      <c r="B5270" s="3">
        <v>43819</v>
      </c>
      <c r="C5270" t="s">
        <v>1097</v>
      </c>
      <c r="D5270" t="s">
        <v>3469</v>
      </c>
      <c r="E5270">
        <v>6</v>
      </c>
      <c r="F5270" t="s">
        <v>3524</v>
      </c>
      <c r="G5270" t="s">
        <v>3519</v>
      </c>
      <c r="H5270">
        <v>1</v>
      </c>
      <c r="I5270">
        <v>10</v>
      </c>
      <c r="J5270">
        <v>60</v>
      </c>
    </row>
    <row r="5271" spans="1:10" x14ac:dyDescent="0.25">
      <c r="A5271" t="s">
        <v>7796</v>
      </c>
      <c r="B5271" s="3">
        <v>44599</v>
      </c>
      <c r="C5271" t="s">
        <v>1271</v>
      </c>
      <c r="D5271" t="s">
        <v>3480</v>
      </c>
      <c r="E5271">
        <v>1</v>
      </c>
      <c r="F5271" t="s">
        <v>3524</v>
      </c>
      <c r="G5271" t="s">
        <v>3518</v>
      </c>
      <c r="H5271">
        <v>2.5</v>
      </c>
      <c r="I5271">
        <v>20.6</v>
      </c>
      <c r="J5271">
        <v>20.6</v>
      </c>
    </row>
    <row r="5272" spans="1:10" x14ac:dyDescent="0.25">
      <c r="A5272" t="s">
        <v>7797</v>
      </c>
      <c r="B5272" s="3">
        <v>44963</v>
      </c>
      <c r="C5272" t="s">
        <v>664</v>
      </c>
      <c r="D5272" t="s">
        <v>3487</v>
      </c>
      <c r="E5272">
        <v>5</v>
      </c>
      <c r="F5272" t="s">
        <v>3526</v>
      </c>
      <c r="G5272" t="s">
        <v>3519</v>
      </c>
      <c r="H5272">
        <v>0.2</v>
      </c>
      <c r="I5272">
        <v>4.0999999999999996</v>
      </c>
      <c r="J5272">
        <v>20.5</v>
      </c>
    </row>
    <row r="5273" spans="1:10" x14ac:dyDescent="0.25">
      <c r="A5273" t="s">
        <v>7798</v>
      </c>
      <c r="B5273" s="3">
        <v>44922</v>
      </c>
      <c r="C5273" t="s">
        <v>1634</v>
      </c>
      <c r="D5273" t="s">
        <v>3504</v>
      </c>
      <c r="E5273">
        <v>6</v>
      </c>
      <c r="F5273" t="s">
        <v>3524</v>
      </c>
      <c r="G5273" t="s">
        <v>3517</v>
      </c>
      <c r="H5273">
        <v>0.5</v>
      </c>
      <c r="I5273">
        <v>7.2</v>
      </c>
      <c r="J5273">
        <v>43.2</v>
      </c>
    </row>
    <row r="5274" spans="1:10" x14ac:dyDescent="0.25">
      <c r="A5274" t="s">
        <v>7799</v>
      </c>
      <c r="B5274" s="3">
        <v>45457</v>
      </c>
      <c r="C5274" t="s">
        <v>502</v>
      </c>
      <c r="D5274" t="s">
        <v>3511</v>
      </c>
      <c r="E5274">
        <v>1</v>
      </c>
      <c r="F5274" t="s">
        <v>3523</v>
      </c>
      <c r="G5274" t="s">
        <v>3517</v>
      </c>
      <c r="H5274">
        <v>0.5</v>
      </c>
      <c r="I5274">
        <v>7.8</v>
      </c>
      <c r="J5274">
        <v>7.8</v>
      </c>
    </row>
    <row r="5275" spans="1:10" x14ac:dyDescent="0.25">
      <c r="A5275" t="s">
        <v>7800</v>
      </c>
      <c r="B5275" s="3">
        <v>45318</v>
      </c>
      <c r="C5275" t="s">
        <v>848</v>
      </c>
      <c r="D5275" t="s">
        <v>3492</v>
      </c>
      <c r="E5275">
        <v>2</v>
      </c>
      <c r="F5275" t="s">
        <v>3525</v>
      </c>
      <c r="G5275" t="s">
        <v>3517</v>
      </c>
      <c r="H5275">
        <v>0.5</v>
      </c>
      <c r="I5275">
        <v>9.5</v>
      </c>
      <c r="J5275">
        <v>19</v>
      </c>
    </row>
    <row r="5276" spans="1:10" x14ac:dyDescent="0.25">
      <c r="A5276" t="s">
        <v>7801</v>
      </c>
      <c r="B5276" s="3">
        <v>45176</v>
      </c>
      <c r="C5276" t="s">
        <v>2119</v>
      </c>
      <c r="D5276" t="s">
        <v>3516</v>
      </c>
      <c r="E5276">
        <v>5</v>
      </c>
      <c r="F5276" t="s">
        <v>3526</v>
      </c>
      <c r="G5276" t="s">
        <v>3518</v>
      </c>
      <c r="H5276">
        <v>2.5</v>
      </c>
      <c r="I5276">
        <v>27.9</v>
      </c>
      <c r="J5276">
        <v>139.5</v>
      </c>
    </row>
    <row r="5277" spans="1:10" x14ac:dyDescent="0.25">
      <c r="A5277" t="s">
        <v>7802</v>
      </c>
      <c r="B5277" s="3">
        <v>45298</v>
      </c>
      <c r="C5277" t="s">
        <v>2281</v>
      </c>
      <c r="D5277" t="s">
        <v>3487</v>
      </c>
      <c r="E5277">
        <v>6</v>
      </c>
      <c r="F5277" t="s">
        <v>3526</v>
      </c>
      <c r="G5277" t="s">
        <v>3519</v>
      </c>
      <c r="H5277">
        <v>0.2</v>
      </c>
      <c r="I5277">
        <v>4.0999999999999996</v>
      </c>
      <c r="J5277">
        <v>24.6</v>
      </c>
    </row>
    <row r="5278" spans="1:10" x14ac:dyDescent="0.25">
      <c r="A5278" t="s">
        <v>7803</v>
      </c>
      <c r="B5278" s="3">
        <v>45421</v>
      </c>
      <c r="C5278" t="s">
        <v>3231</v>
      </c>
      <c r="D5278" t="s">
        <v>3487</v>
      </c>
      <c r="E5278">
        <v>6</v>
      </c>
      <c r="F5278" t="s">
        <v>3526</v>
      </c>
      <c r="G5278" t="s">
        <v>3519</v>
      </c>
      <c r="H5278">
        <v>0.2</v>
      </c>
      <c r="I5278">
        <v>4.0999999999999996</v>
      </c>
      <c r="J5278">
        <v>24.6</v>
      </c>
    </row>
    <row r="5279" spans="1:10" x14ac:dyDescent="0.25">
      <c r="A5279" t="s">
        <v>7804</v>
      </c>
      <c r="B5279" s="3">
        <v>45375</v>
      </c>
      <c r="C5279" t="s">
        <v>3196</v>
      </c>
      <c r="D5279" t="s">
        <v>3515</v>
      </c>
      <c r="E5279">
        <v>2</v>
      </c>
      <c r="F5279" t="s">
        <v>3526</v>
      </c>
      <c r="G5279" t="s">
        <v>3517</v>
      </c>
      <c r="H5279">
        <v>0.2</v>
      </c>
      <c r="I5279">
        <v>4.5</v>
      </c>
      <c r="J5279">
        <v>9</v>
      </c>
    </row>
    <row r="5280" spans="1:10" x14ac:dyDescent="0.25">
      <c r="A5280" t="s">
        <v>7805</v>
      </c>
      <c r="B5280" s="3">
        <v>44788</v>
      </c>
      <c r="C5280" t="s">
        <v>3154</v>
      </c>
      <c r="D5280" t="s">
        <v>3510</v>
      </c>
      <c r="E5280">
        <v>1</v>
      </c>
      <c r="F5280" t="s">
        <v>3524</v>
      </c>
      <c r="G5280" t="s">
        <v>3517</v>
      </c>
      <c r="H5280">
        <v>1</v>
      </c>
      <c r="I5280">
        <v>12</v>
      </c>
      <c r="J5280">
        <v>12</v>
      </c>
    </row>
    <row r="5281" spans="1:10" x14ac:dyDescent="0.25">
      <c r="A5281" t="s">
        <v>7806</v>
      </c>
      <c r="B5281" s="3">
        <v>44575</v>
      </c>
      <c r="C5281" t="s">
        <v>938</v>
      </c>
      <c r="D5281" t="s">
        <v>3488</v>
      </c>
      <c r="E5281">
        <v>4</v>
      </c>
      <c r="F5281" t="s">
        <v>3523</v>
      </c>
      <c r="G5281" t="s">
        <v>3519</v>
      </c>
      <c r="H5281">
        <v>0.5</v>
      </c>
      <c r="I5281">
        <v>6.8</v>
      </c>
      <c r="J5281">
        <v>27.2</v>
      </c>
    </row>
    <row r="5282" spans="1:10" x14ac:dyDescent="0.25">
      <c r="A5282" t="s">
        <v>7807</v>
      </c>
      <c r="B5282" s="3">
        <v>45606</v>
      </c>
      <c r="C5282" t="s">
        <v>1488</v>
      </c>
      <c r="D5282" t="s">
        <v>3493</v>
      </c>
      <c r="E5282">
        <v>5</v>
      </c>
      <c r="F5282" t="s">
        <v>3525</v>
      </c>
      <c r="G5282" t="s">
        <v>3519</v>
      </c>
      <c r="H5282">
        <v>1</v>
      </c>
      <c r="I5282">
        <v>14.6</v>
      </c>
      <c r="J5282">
        <v>73</v>
      </c>
    </row>
    <row r="5283" spans="1:10" x14ac:dyDescent="0.25">
      <c r="A5283" t="s">
        <v>7808</v>
      </c>
      <c r="B5283" s="3">
        <v>45376</v>
      </c>
      <c r="C5283" t="s">
        <v>1137</v>
      </c>
      <c r="D5283" t="s">
        <v>3509</v>
      </c>
      <c r="E5283">
        <v>3</v>
      </c>
      <c r="F5283" t="s">
        <v>3524</v>
      </c>
      <c r="G5283" t="s">
        <v>3517</v>
      </c>
      <c r="H5283">
        <v>0.2</v>
      </c>
      <c r="I5283">
        <v>3.6</v>
      </c>
      <c r="J5283">
        <v>10.8</v>
      </c>
    </row>
    <row r="5284" spans="1:10" x14ac:dyDescent="0.25">
      <c r="A5284" t="s">
        <v>7809</v>
      </c>
      <c r="B5284" s="3">
        <v>45122</v>
      </c>
      <c r="C5284" t="s">
        <v>2186</v>
      </c>
      <c r="D5284" t="s">
        <v>3506</v>
      </c>
      <c r="E5284">
        <v>3</v>
      </c>
      <c r="F5284" t="s">
        <v>3523</v>
      </c>
      <c r="G5284" t="s">
        <v>3519</v>
      </c>
      <c r="H5284">
        <v>2.5</v>
      </c>
      <c r="I5284">
        <v>25.9</v>
      </c>
      <c r="J5284">
        <v>77.7</v>
      </c>
    </row>
    <row r="5285" spans="1:10" x14ac:dyDescent="0.25">
      <c r="A5285" t="s">
        <v>7810</v>
      </c>
      <c r="B5285" s="3">
        <v>45609</v>
      </c>
      <c r="C5285" t="s">
        <v>2050</v>
      </c>
      <c r="D5285" t="s">
        <v>3486</v>
      </c>
      <c r="E5285">
        <v>4</v>
      </c>
      <c r="F5285" t="s">
        <v>3523</v>
      </c>
      <c r="G5285" t="s">
        <v>3519</v>
      </c>
      <c r="H5285">
        <v>1</v>
      </c>
      <c r="I5285">
        <v>11.3</v>
      </c>
      <c r="J5285">
        <v>45.2</v>
      </c>
    </row>
    <row r="5286" spans="1:10" x14ac:dyDescent="0.25">
      <c r="A5286" t="s">
        <v>7811</v>
      </c>
      <c r="B5286" s="3">
        <v>44138</v>
      </c>
      <c r="C5286" t="s">
        <v>1508</v>
      </c>
      <c r="D5286" t="s">
        <v>3502</v>
      </c>
      <c r="E5286">
        <v>6</v>
      </c>
      <c r="F5286" t="s">
        <v>3526</v>
      </c>
      <c r="G5286" t="s">
        <v>3517</v>
      </c>
      <c r="H5286">
        <v>1</v>
      </c>
      <c r="I5286">
        <v>14.9</v>
      </c>
      <c r="J5286">
        <v>89.4</v>
      </c>
    </row>
    <row r="5287" spans="1:10" x14ac:dyDescent="0.25">
      <c r="A5287" t="s">
        <v>7812</v>
      </c>
      <c r="B5287" s="3">
        <v>43734</v>
      </c>
      <c r="C5287" t="s">
        <v>505</v>
      </c>
      <c r="D5287" t="s">
        <v>3491</v>
      </c>
      <c r="E5287">
        <v>2</v>
      </c>
      <c r="F5287" t="s">
        <v>3525</v>
      </c>
      <c r="G5287" t="s">
        <v>3519</v>
      </c>
      <c r="H5287">
        <v>0.5</v>
      </c>
      <c r="I5287">
        <v>8.6999999999999993</v>
      </c>
      <c r="J5287">
        <v>17.399999999999999</v>
      </c>
    </row>
    <row r="5288" spans="1:10" x14ac:dyDescent="0.25">
      <c r="A5288" t="s">
        <v>7813</v>
      </c>
      <c r="B5288" s="3">
        <v>45331</v>
      </c>
      <c r="C5288" t="s">
        <v>526</v>
      </c>
      <c r="D5288" t="s">
        <v>3516</v>
      </c>
      <c r="E5288">
        <v>3</v>
      </c>
      <c r="F5288" t="s">
        <v>3526</v>
      </c>
      <c r="G5288" t="s">
        <v>3518</v>
      </c>
      <c r="H5288">
        <v>2.5</v>
      </c>
      <c r="I5288">
        <v>27.9</v>
      </c>
      <c r="J5288">
        <v>83.7</v>
      </c>
    </row>
    <row r="5289" spans="1:10" x14ac:dyDescent="0.25">
      <c r="A5289" t="s">
        <v>7814</v>
      </c>
      <c r="B5289" s="3">
        <v>44098</v>
      </c>
      <c r="C5289" t="s">
        <v>704</v>
      </c>
      <c r="D5289" t="s">
        <v>3480</v>
      </c>
      <c r="E5289">
        <v>5</v>
      </c>
      <c r="F5289" t="s">
        <v>3524</v>
      </c>
      <c r="G5289" t="s">
        <v>3518</v>
      </c>
      <c r="H5289">
        <v>2.5</v>
      </c>
      <c r="I5289">
        <v>20.6</v>
      </c>
      <c r="J5289">
        <v>103</v>
      </c>
    </row>
    <row r="5290" spans="1:10" x14ac:dyDescent="0.25">
      <c r="A5290" t="s">
        <v>7815</v>
      </c>
      <c r="B5290" s="3">
        <v>44078</v>
      </c>
      <c r="C5290" t="s">
        <v>3375</v>
      </c>
      <c r="D5290" t="s">
        <v>3514</v>
      </c>
      <c r="E5290">
        <v>3</v>
      </c>
      <c r="F5290" t="s">
        <v>3526</v>
      </c>
      <c r="G5290" t="s">
        <v>3518</v>
      </c>
      <c r="H5290">
        <v>1</v>
      </c>
      <c r="I5290">
        <v>12.2</v>
      </c>
      <c r="J5290">
        <v>36.6</v>
      </c>
    </row>
    <row r="5291" spans="1:10" x14ac:dyDescent="0.25">
      <c r="A5291" t="s">
        <v>7816</v>
      </c>
      <c r="B5291" s="3">
        <v>44332</v>
      </c>
      <c r="C5291" t="s">
        <v>3366</v>
      </c>
      <c r="D5291" t="s">
        <v>3500</v>
      </c>
      <c r="E5291">
        <v>2</v>
      </c>
      <c r="F5291" t="s">
        <v>3525</v>
      </c>
      <c r="G5291" t="s">
        <v>3518</v>
      </c>
      <c r="H5291">
        <v>0.5</v>
      </c>
      <c r="I5291">
        <v>7.8</v>
      </c>
      <c r="J5291">
        <v>15.6</v>
      </c>
    </row>
    <row r="5292" spans="1:10" x14ac:dyDescent="0.25">
      <c r="A5292" t="s">
        <v>7817</v>
      </c>
      <c r="B5292" s="3">
        <v>43831</v>
      </c>
      <c r="C5292" t="s">
        <v>2963</v>
      </c>
      <c r="D5292" t="s">
        <v>3490</v>
      </c>
      <c r="E5292">
        <v>4</v>
      </c>
      <c r="F5292" t="s">
        <v>3525</v>
      </c>
      <c r="G5292" t="s">
        <v>3519</v>
      </c>
      <c r="H5292">
        <v>0.2</v>
      </c>
      <c r="I5292">
        <v>4.4000000000000004</v>
      </c>
      <c r="J5292">
        <v>17.600000000000001</v>
      </c>
    </row>
    <row r="5293" spans="1:10" x14ac:dyDescent="0.25">
      <c r="A5293" t="s">
        <v>7818</v>
      </c>
      <c r="B5293" s="3">
        <v>44601</v>
      </c>
      <c r="C5293" t="s">
        <v>760</v>
      </c>
      <c r="D5293" t="s">
        <v>3482</v>
      </c>
      <c r="E5293">
        <v>2</v>
      </c>
      <c r="F5293" t="s">
        <v>3524</v>
      </c>
      <c r="G5293" t="s">
        <v>3519</v>
      </c>
      <c r="H5293">
        <v>2.5</v>
      </c>
      <c r="I5293">
        <v>22.9</v>
      </c>
      <c r="J5293">
        <v>45.8</v>
      </c>
    </row>
    <row r="5294" spans="1:10" x14ac:dyDescent="0.25">
      <c r="A5294" t="s">
        <v>7819</v>
      </c>
      <c r="B5294" s="3">
        <v>44966</v>
      </c>
      <c r="C5294" t="s">
        <v>1942</v>
      </c>
      <c r="D5294" t="s">
        <v>3483</v>
      </c>
      <c r="E5294">
        <v>3</v>
      </c>
      <c r="F5294" t="s">
        <v>3523</v>
      </c>
      <c r="G5294" t="s">
        <v>3519</v>
      </c>
      <c r="H5294">
        <v>0.2</v>
      </c>
      <c r="I5294">
        <v>3.4</v>
      </c>
      <c r="J5294">
        <v>10.199999999999999</v>
      </c>
    </row>
    <row r="5295" spans="1:10" x14ac:dyDescent="0.25">
      <c r="A5295" t="s">
        <v>7820</v>
      </c>
      <c r="B5295" s="3">
        <v>44891</v>
      </c>
      <c r="C5295" t="s">
        <v>1848</v>
      </c>
      <c r="D5295" t="s">
        <v>3515</v>
      </c>
      <c r="E5295">
        <v>5</v>
      </c>
      <c r="F5295" t="s">
        <v>3526</v>
      </c>
      <c r="G5295" t="s">
        <v>3517</v>
      </c>
      <c r="H5295">
        <v>0.2</v>
      </c>
      <c r="I5295">
        <v>4.5</v>
      </c>
      <c r="J5295">
        <v>22.5</v>
      </c>
    </row>
    <row r="5296" spans="1:10" x14ac:dyDescent="0.25">
      <c r="A5296" t="s">
        <v>7821</v>
      </c>
      <c r="B5296" s="3">
        <v>43706</v>
      </c>
      <c r="C5296" t="s">
        <v>2263</v>
      </c>
      <c r="D5296" t="s">
        <v>3478</v>
      </c>
      <c r="E5296">
        <v>3</v>
      </c>
      <c r="F5296" t="s">
        <v>3523</v>
      </c>
      <c r="G5296" t="s">
        <v>3518</v>
      </c>
      <c r="H5296">
        <v>1</v>
      </c>
      <c r="I5296">
        <v>10</v>
      </c>
      <c r="J5296">
        <v>30</v>
      </c>
    </row>
    <row r="5297" spans="1:10" x14ac:dyDescent="0.25">
      <c r="A5297" t="s">
        <v>7822</v>
      </c>
      <c r="B5297" s="3">
        <v>45541</v>
      </c>
      <c r="C5297" t="s">
        <v>2506</v>
      </c>
      <c r="D5297" t="s">
        <v>3494</v>
      </c>
      <c r="E5297">
        <v>2</v>
      </c>
      <c r="F5297" t="s">
        <v>3524</v>
      </c>
      <c r="G5297" t="s">
        <v>3518</v>
      </c>
      <c r="H5297">
        <v>0.2</v>
      </c>
      <c r="I5297">
        <v>2.7</v>
      </c>
      <c r="J5297">
        <v>5.4</v>
      </c>
    </row>
    <row r="5298" spans="1:10" x14ac:dyDescent="0.25">
      <c r="A5298" t="s">
        <v>7823</v>
      </c>
      <c r="B5298" s="3">
        <v>44211</v>
      </c>
      <c r="C5298" t="s">
        <v>2414</v>
      </c>
      <c r="D5298" t="s">
        <v>3471</v>
      </c>
      <c r="E5298">
        <v>4</v>
      </c>
      <c r="F5298" t="s">
        <v>3523</v>
      </c>
      <c r="G5298" t="s">
        <v>3517</v>
      </c>
      <c r="H5298">
        <v>1</v>
      </c>
      <c r="I5298">
        <v>13</v>
      </c>
      <c r="J5298">
        <v>52</v>
      </c>
    </row>
    <row r="5299" spans="1:10" x14ac:dyDescent="0.25">
      <c r="A5299" t="s">
        <v>7824</v>
      </c>
      <c r="B5299" s="3">
        <v>44358</v>
      </c>
      <c r="C5299" t="s">
        <v>2215</v>
      </c>
      <c r="D5299" t="s">
        <v>3478</v>
      </c>
      <c r="E5299">
        <v>5</v>
      </c>
      <c r="F5299" t="s">
        <v>3523</v>
      </c>
      <c r="G5299" t="s">
        <v>3518</v>
      </c>
      <c r="H5299">
        <v>1</v>
      </c>
      <c r="I5299">
        <v>10</v>
      </c>
      <c r="J5299">
        <v>50</v>
      </c>
    </row>
    <row r="5300" spans="1:10" x14ac:dyDescent="0.25">
      <c r="A5300" t="s">
        <v>7825</v>
      </c>
      <c r="B5300" s="3">
        <v>44872</v>
      </c>
      <c r="C5300" t="s">
        <v>3372</v>
      </c>
      <c r="D5300" t="s">
        <v>3497</v>
      </c>
      <c r="E5300">
        <v>4</v>
      </c>
      <c r="F5300" t="s">
        <v>3526</v>
      </c>
      <c r="G5300" t="s">
        <v>3519</v>
      </c>
      <c r="H5300">
        <v>2.5</v>
      </c>
      <c r="I5300">
        <v>31.6</v>
      </c>
      <c r="J5300">
        <v>126.4</v>
      </c>
    </row>
    <row r="5301" spans="1:10" x14ac:dyDescent="0.25">
      <c r="A5301" t="s">
        <v>7826</v>
      </c>
      <c r="B5301" s="3">
        <v>45500</v>
      </c>
      <c r="C5301" t="s">
        <v>2754</v>
      </c>
      <c r="D5301" t="s">
        <v>3488</v>
      </c>
      <c r="E5301">
        <v>5</v>
      </c>
      <c r="F5301" t="s">
        <v>3523</v>
      </c>
      <c r="G5301" t="s">
        <v>3519</v>
      </c>
      <c r="H5301">
        <v>0.5</v>
      </c>
      <c r="I5301">
        <v>6.8</v>
      </c>
      <c r="J5301">
        <v>34</v>
      </c>
    </row>
    <row r="5302" spans="1:10" x14ac:dyDescent="0.25">
      <c r="A5302" t="s">
        <v>7827</v>
      </c>
      <c r="B5302" s="3">
        <v>44305</v>
      </c>
      <c r="C5302" t="s">
        <v>2615</v>
      </c>
      <c r="D5302" t="s">
        <v>3502</v>
      </c>
      <c r="E5302">
        <v>3</v>
      </c>
      <c r="F5302" t="s">
        <v>3526</v>
      </c>
      <c r="G5302" t="s">
        <v>3517</v>
      </c>
      <c r="H5302">
        <v>1</v>
      </c>
      <c r="I5302">
        <v>14.9</v>
      </c>
      <c r="J5302">
        <v>44.7</v>
      </c>
    </row>
    <row r="5303" spans="1:10" x14ac:dyDescent="0.25">
      <c r="A5303" t="s">
        <v>7828</v>
      </c>
      <c r="B5303" s="3">
        <v>44950</v>
      </c>
      <c r="C5303" t="s">
        <v>1960</v>
      </c>
      <c r="D5303" t="s">
        <v>3471</v>
      </c>
      <c r="E5303">
        <v>5</v>
      </c>
      <c r="F5303" t="s">
        <v>3523</v>
      </c>
      <c r="G5303" t="s">
        <v>3517</v>
      </c>
      <c r="H5303">
        <v>1</v>
      </c>
      <c r="I5303">
        <v>13</v>
      </c>
      <c r="J5303">
        <v>65</v>
      </c>
    </row>
    <row r="5304" spans="1:10" x14ac:dyDescent="0.25">
      <c r="A5304" t="s">
        <v>7829</v>
      </c>
      <c r="B5304" s="3">
        <v>45342</v>
      </c>
      <c r="C5304" t="s">
        <v>626</v>
      </c>
      <c r="D5304" t="s">
        <v>3479</v>
      </c>
      <c r="E5304">
        <v>2</v>
      </c>
      <c r="F5304" t="s">
        <v>3526</v>
      </c>
      <c r="G5304" t="s">
        <v>3517</v>
      </c>
      <c r="H5304">
        <v>2.5</v>
      </c>
      <c r="I5304">
        <v>34.200000000000003</v>
      </c>
      <c r="J5304">
        <v>68.400000000000006</v>
      </c>
    </row>
    <row r="5305" spans="1:10" x14ac:dyDescent="0.25">
      <c r="A5305" t="s">
        <v>7830</v>
      </c>
      <c r="B5305" s="3">
        <v>45065</v>
      </c>
      <c r="C5305" t="s">
        <v>2831</v>
      </c>
      <c r="D5305" t="s">
        <v>3501</v>
      </c>
      <c r="E5305">
        <v>5</v>
      </c>
      <c r="F5305" t="s">
        <v>3525</v>
      </c>
      <c r="G5305" t="s">
        <v>3517</v>
      </c>
      <c r="H5305">
        <v>1</v>
      </c>
      <c r="I5305">
        <v>15.9</v>
      </c>
      <c r="J5305">
        <v>79.5</v>
      </c>
    </row>
    <row r="5306" spans="1:10" x14ac:dyDescent="0.25">
      <c r="A5306" t="s">
        <v>7831</v>
      </c>
      <c r="B5306" s="3">
        <v>44571</v>
      </c>
      <c r="C5306" t="s">
        <v>2441</v>
      </c>
      <c r="D5306" t="s">
        <v>3479</v>
      </c>
      <c r="E5306">
        <v>2</v>
      </c>
      <c r="F5306" t="s">
        <v>3526</v>
      </c>
      <c r="G5306" t="s">
        <v>3517</v>
      </c>
      <c r="H5306">
        <v>2.5</v>
      </c>
      <c r="I5306">
        <v>34.200000000000003</v>
      </c>
      <c r="J5306">
        <v>68.400000000000006</v>
      </c>
    </row>
    <row r="5307" spans="1:10" x14ac:dyDescent="0.25">
      <c r="A5307" t="s">
        <v>7832</v>
      </c>
      <c r="B5307" s="3">
        <v>45239</v>
      </c>
      <c r="C5307" t="s">
        <v>1229</v>
      </c>
      <c r="D5307" t="s">
        <v>3478</v>
      </c>
      <c r="E5307">
        <v>4</v>
      </c>
      <c r="F5307" t="s">
        <v>3523</v>
      </c>
      <c r="G5307" t="s">
        <v>3518</v>
      </c>
      <c r="H5307">
        <v>1</v>
      </c>
      <c r="I5307">
        <v>10</v>
      </c>
      <c r="J5307">
        <v>40</v>
      </c>
    </row>
    <row r="5308" spans="1:10" x14ac:dyDescent="0.25">
      <c r="A5308" t="s">
        <v>7833</v>
      </c>
      <c r="B5308" s="3">
        <v>45120</v>
      </c>
      <c r="C5308" t="s">
        <v>2497</v>
      </c>
      <c r="D5308" t="s">
        <v>3505</v>
      </c>
      <c r="E5308">
        <v>6</v>
      </c>
      <c r="F5308" t="s">
        <v>3524</v>
      </c>
      <c r="G5308" t="s">
        <v>3519</v>
      </c>
      <c r="H5308">
        <v>0.2</v>
      </c>
      <c r="I5308">
        <v>3</v>
      </c>
      <c r="J5308">
        <v>18</v>
      </c>
    </row>
    <row r="5309" spans="1:10" x14ac:dyDescent="0.25">
      <c r="A5309" t="s">
        <v>7834</v>
      </c>
      <c r="B5309" s="3">
        <v>45611</v>
      </c>
      <c r="C5309" t="s">
        <v>1003</v>
      </c>
      <c r="D5309" t="s">
        <v>3511</v>
      </c>
      <c r="E5309">
        <v>4</v>
      </c>
      <c r="F5309" t="s">
        <v>3523</v>
      </c>
      <c r="G5309" t="s">
        <v>3517</v>
      </c>
      <c r="H5309">
        <v>0.5</v>
      </c>
      <c r="I5309">
        <v>7.8</v>
      </c>
      <c r="J5309">
        <v>31.2</v>
      </c>
    </row>
    <row r="5310" spans="1:10" x14ac:dyDescent="0.25">
      <c r="A5310" t="s">
        <v>7835</v>
      </c>
      <c r="B5310" s="3">
        <v>43545</v>
      </c>
      <c r="C5310" t="s">
        <v>2690</v>
      </c>
      <c r="D5310" t="s">
        <v>3495</v>
      </c>
      <c r="E5310">
        <v>2</v>
      </c>
      <c r="F5310" t="s">
        <v>3525</v>
      </c>
      <c r="G5310" t="s">
        <v>3517</v>
      </c>
      <c r="H5310">
        <v>2.5</v>
      </c>
      <c r="I5310">
        <v>36.5</v>
      </c>
      <c r="J5310">
        <v>73</v>
      </c>
    </row>
    <row r="5311" spans="1:10" x14ac:dyDescent="0.25">
      <c r="A5311" t="s">
        <v>7836</v>
      </c>
      <c r="B5311" s="3">
        <v>44337</v>
      </c>
      <c r="C5311" t="s">
        <v>2636</v>
      </c>
      <c r="D5311" t="s">
        <v>3496</v>
      </c>
      <c r="E5311">
        <v>6</v>
      </c>
      <c r="F5311" t="s">
        <v>3525</v>
      </c>
      <c r="G5311" t="s">
        <v>3518</v>
      </c>
      <c r="H5311">
        <v>2.5</v>
      </c>
      <c r="I5311">
        <v>29.8</v>
      </c>
      <c r="J5311">
        <v>178.8</v>
      </c>
    </row>
    <row r="5312" spans="1:10" x14ac:dyDescent="0.25">
      <c r="A5312" t="s">
        <v>7837</v>
      </c>
      <c r="B5312" s="3">
        <v>45216</v>
      </c>
      <c r="C5312" t="s">
        <v>1616</v>
      </c>
      <c r="D5312" t="s">
        <v>3471</v>
      </c>
      <c r="E5312">
        <v>2</v>
      </c>
      <c r="F5312" t="s">
        <v>3523</v>
      </c>
      <c r="G5312" t="s">
        <v>3517</v>
      </c>
      <c r="H5312">
        <v>1</v>
      </c>
      <c r="I5312">
        <v>13</v>
      </c>
      <c r="J5312">
        <v>26</v>
      </c>
    </row>
    <row r="5313" spans="1:10" x14ac:dyDescent="0.25">
      <c r="A5313" t="s">
        <v>7838</v>
      </c>
      <c r="B5313" s="3">
        <v>45634</v>
      </c>
      <c r="C5313" t="s">
        <v>1154</v>
      </c>
      <c r="D5313" t="s">
        <v>3500</v>
      </c>
      <c r="E5313">
        <v>5</v>
      </c>
      <c r="F5313" t="s">
        <v>3525</v>
      </c>
      <c r="G5313" t="s">
        <v>3518</v>
      </c>
      <c r="H5313">
        <v>0.5</v>
      </c>
      <c r="I5313">
        <v>7.8</v>
      </c>
      <c r="J5313">
        <v>39</v>
      </c>
    </row>
    <row r="5314" spans="1:10" x14ac:dyDescent="0.25">
      <c r="A5314" t="s">
        <v>7839</v>
      </c>
      <c r="B5314" s="3">
        <v>45580</v>
      </c>
      <c r="C5314" t="s">
        <v>586</v>
      </c>
      <c r="D5314" t="s">
        <v>3485</v>
      </c>
      <c r="E5314">
        <v>1</v>
      </c>
      <c r="F5314" t="s">
        <v>3523</v>
      </c>
      <c r="G5314" t="s">
        <v>3518</v>
      </c>
      <c r="H5314">
        <v>0.2</v>
      </c>
      <c r="I5314">
        <v>3</v>
      </c>
      <c r="J5314">
        <v>3</v>
      </c>
    </row>
    <row r="5315" spans="1:10" x14ac:dyDescent="0.25">
      <c r="A5315" t="s">
        <v>7840</v>
      </c>
      <c r="B5315" s="3">
        <v>44939</v>
      </c>
      <c r="C5315" t="s">
        <v>2473</v>
      </c>
      <c r="D5315" t="s">
        <v>3495</v>
      </c>
      <c r="E5315">
        <v>5</v>
      </c>
      <c r="F5315" t="s">
        <v>3525</v>
      </c>
      <c r="G5315" t="s">
        <v>3517</v>
      </c>
      <c r="H5315">
        <v>2.5</v>
      </c>
      <c r="I5315">
        <v>36.5</v>
      </c>
      <c r="J5315">
        <v>182.5</v>
      </c>
    </row>
    <row r="5316" spans="1:10" x14ac:dyDescent="0.25">
      <c r="A5316" t="s">
        <v>7841</v>
      </c>
      <c r="B5316" s="3">
        <v>44802</v>
      </c>
      <c r="C5316" t="s">
        <v>2107</v>
      </c>
      <c r="D5316" t="s">
        <v>3502</v>
      </c>
      <c r="E5316">
        <v>4</v>
      </c>
      <c r="F5316" t="s">
        <v>3526</v>
      </c>
      <c r="G5316" t="s">
        <v>3517</v>
      </c>
      <c r="H5316">
        <v>1</v>
      </c>
      <c r="I5316">
        <v>14.9</v>
      </c>
      <c r="J5316">
        <v>59.6</v>
      </c>
    </row>
    <row r="5317" spans="1:10" x14ac:dyDescent="0.25">
      <c r="A5317" t="s">
        <v>7842</v>
      </c>
      <c r="B5317" s="3">
        <v>43916</v>
      </c>
      <c r="C5317" t="s">
        <v>1643</v>
      </c>
      <c r="D5317" t="s">
        <v>3515</v>
      </c>
      <c r="E5317">
        <v>3</v>
      </c>
      <c r="F5317" t="s">
        <v>3526</v>
      </c>
      <c r="G5317" t="s">
        <v>3517</v>
      </c>
      <c r="H5317">
        <v>0.2</v>
      </c>
      <c r="I5317">
        <v>4.5</v>
      </c>
      <c r="J5317">
        <v>13.5</v>
      </c>
    </row>
    <row r="5318" spans="1:10" x14ac:dyDescent="0.25">
      <c r="A5318" t="s">
        <v>7843</v>
      </c>
      <c r="B5318" s="3">
        <v>44757</v>
      </c>
      <c r="C5318" t="s">
        <v>1797</v>
      </c>
      <c r="D5318" t="s">
        <v>3516</v>
      </c>
      <c r="E5318">
        <v>2</v>
      </c>
      <c r="F5318" t="s">
        <v>3526</v>
      </c>
      <c r="G5318" t="s">
        <v>3518</v>
      </c>
      <c r="H5318">
        <v>2.5</v>
      </c>
      <c r="I5318">
        <v>27.9</v>
      </c>
      <c r="J5318">
        <v>55.8</v>
      </c>
    </row>
    <row r="5319" spans="1:10" x14ac:dyDescent="0.25">
      <c r="A5319" t="s">
        <v>7844</v>
      </c>
      <c r="B5319" s="3">
        <v>43599</v>
      </c>
      <c r="C5319" t="s">
        <v>1800</v>
      </c>
      <c r="D5319" t="s">
        <v>3478</v>
      </c>
      <c r="E5319">
        <v>5</v>
      </c>
      <c r="F5319" t="s">
        <v>3523</v>
      </c>
      <c r="G5319" t="s">
        <v>3518</v>
      </c>
      <c r="H5319">
        <v>1</v>
      </c>
      <c r="I5319">
        <v>10</v>
      </c>
      <c r="J5319">
        <v>50</v>
      </c>
    </row>
    <row r="5320" spans="1:10" x14ac:dyDescent="0.25">
      <c r="A5320" t="s">
        <v>7845</v>
      </c>
      <c r="B5320" s="3">
        <v>45214</v>
      </c>
      <c r="C5320" t="s">
        <v>2018</v>
      </c>
      <c r="D5320" t="s">
        <v>3486</v>
      </c>
      <c r="E5320">
        <v>3</v>
      </c>
      <c r="F5320" t="s">
        <v>3523</v>
      </c>
      <c r="G5320" t="s">
        <v>3519</v>
      </c>
      <c r="H5320">
        <v>1</v>
      </c>
      <c r="I5320">
        <v>11.3</v>
      </c>
      <c r="J5320">
        <v>33.9</v>
      </c>
    </row>
    <row r="5321" spans="1:10" x14ac:dyDescent="0.25">
      <c r="A5321" t="s">
        <v>7846</v>
      </c>
      <c r="B5321" s="3">
        <v>44448</v>
      </c>
      <c r="C5321" t="s">
        <v>2326</v>
      </c>
      <c r="D5321" t="s">
        <v>3497</v>
      </c>
      <c r="E5321">
        <v>1</v>
      </c>
      <c r="F5321" t="s">
        <v>3526</v>
      </c>
      <c r="G5321" t="s">
        <v>3519</v>
      </c>
      <c r="H5321">
        <v>2.5</v>
      </c>
      <c r="I5321">
        <v>31.6</v>
      </c>
      <c r="J5321">
        <v>31.6</v>
      </c>
    </row>
    <row r="5322" spans="1:10" x14ac:dyDescent="0.25">
      <c r="A5322" t="s">
        <v>7847</v>
      </c>
      <c r="B5322" s="3">
        <v>45347</v>
      </c>
      <c r="C5322" t="s">
        <v>2807</v>
      </c>
      <c r="D5322" t="s">
        <v>3485</v>
      </c>
      <c r="E5322">
        <v>4</v>
      </c>
      <c r="F5322" t="s">
        <v>3523</v>
      </c>
      <c r="G5322" t="s">
        <v>3518</v>
      </c>
      <c r="H5322">
        <v>0.2</v>
      </c>
      <c r="I5322">
        <v>3</v>
      </c>
      <c r="J5322">
        <v>12</v>
      </c>
    </row>
    <row r="5323" spans="1:10" x14ac:dyDescent="0.25">
      <c r="A5323" t="s">
        <v>7848</v>
      </c>
      <c r="B5323" s="3">
        <v>45419</v>
      </c>
      <c r="C5323" t="s">
        <v>2524</v>
      </c>
      <c r="D5323" t="s">
        <v>3474</v>
      </c>
      <c r="E5323">
        <v>4</v>
      </c>
      <c r="F5323" t="s">
        <v>3525</v>
      </c>
      <c r="G5323" t="s">
        <v>3518</v>
      </c>
      <c r="H5323">
        <v>1</v>
      </c>
      <c r="I5323">
        <v>13</v>
      </c>
      <c r="J5323">
        <v>52</v>
      </c>
    </row>
    <row r="5324" spans="1:10" x14ac:dyDescent="0.25">
      <c r="A5324" t="s">
        <v>7849</v>
      </c>
      <c r="B5324" s="3">
        <v>44787</v>
      </c>
      <c r="C5324" t="s">
        <v>1238</v>
      </c>
      <c r="D5324" t="s">
        <v>3512</v>
      </c>
      <c r="E5324">
        <v>3</v>
      </c>
      <c r="F5324" t="s">
        <v>3525</v>
      </c>
      <c r="G5324" t="s">
        <v>3519</v>
      </c>
      <c r="H5324">
        <v>2.5</v>
      </c>
      <c r="I5324">
        <v>33.5</v>
      </c>
      <c r="J5324">
        <v>100.5</v>
      </c>
    </row>
    <row r="5325" spans="1:10" x14ac:dyDescent="0.25">
      <c r="A5325" t="s">
        <v>7850</v>
      </c>
      <c r="B5325" s="3">
        <v>44717</v>
      </c>
      <c r="C5325" t="s">
        <v>1287</v>
      </c>
      <c r="D5325" t="s">
        <v>3482</v>
      </c>
      <c r="E5325">
        <v>6</v>
      </c>
      <c r="F5325" t="s">
        <v>3524</v>
      </c>
      <c r="G5325" t="s">
        <v>3519</v>
      </c>
      <c r="H5325">
        <v>2.5</v>
      </c>
      <c r="I5325">
        <v>22.9</v>
      </c>
      <c r="J5325">
        <v>137.4</v>
      </c>
    </row>
    <row r="5326" spans="1:10" x14ac:dyDescent="0.25">
      <c r="A5326" t="s">
        <v>7851</v>
      </c>
      <c r="B5326" s="3">
        <v>45449</v>
      </c>
      <c r="C5326" t="s">
        <v>2684</v>
      </c>
      <c r="D5326" t="s">
        <v>3478</v>
      </c>
      <c r="E5326">
        <v>6</v>
      </c>
      <c r="F5326" t="s">
        <v>3523</v>
      </c>
      <c r="G5326" t="s">
        <v>3518</v>
      </c>
      <c r="H5326">
        <v>1</v>
      </c>
      <c r="I5326">
        <v>10</v>
      </c>
      <c r="J5326">
        <v>60</v>
      </c>
    </row>
    <row r="5327" spans="1:10" x14ac:dyDescent="0.25">
      <c r="A5327" t="s">
        <v>7852</v>
      </c>
      <c r="B5327" s="3">
        <v>43768</v>
      </c>
      <c r="C5327" t="s">
        <v>984</v>
      </c>
      <c r="D5327" t="s">
        <v>3485</v>
      </c>
      <c r="E5327">
        <v>1</v>
      </c>
      <c r="F5327" t="s">
        <v>3523</v>
      </c>
      <c r="G5327" t="s">
        <v>3518</v>
      </c>
      <c r="H5327">
        <v>0.2</v>
      </c>
      <c r="I5327">
        <v>3</v>
      </c>
      <c r="J5327">
        <v>3</v>
      </c>
    </row>
    <row r="5328" spans="1:10" x14ac:dyDescent="0.25">
      <c r="A5328" t="s">
        <v>7853</v>
      </c>
      <c r="B5328" s="3">
        <v>45652</v>
      </c>
      <c r="C5328" t="s">
        <v>1761</v>
      </c>
      <c r="D5328" t="s">
        <v>3516</v>
      </c>
      <c r="E5328">
        <v>6</v>
      </c>
      <c r="F5328" t="s">
        <v>3526</v>
      </c>
      <c r="G5328" t="s">
        <v>3518</v>
      </c>
      <c r="H5328">
        <v>2.5</v>
      </c>
      <c r="I5328">
        <v>27.9</v>
      </c>
      <c r="J5328">
        <v>167.4</v>
      </c>
    </row>
    <row r="5329" spans="1:10" x14ac:dyDescent="0.25">
      <c r="A5329" t="s">
        <v>7854</v>
      </c>
      <c r="B5329" s="3">
        <v>45450</v>
      </c>
      <c r="C5329" t="s">
        <v>1839</v>
      </c>
      <c r="D5329" t="s">
        <v>3499</v>
      </c>
      <c r="E5329">
        <v>6</v>
      </c>
      <c r="F5329" t="s">
        <v>3523</v>
      </c>
      <c r="G5329" t="s">
        <v>3518</v>
      </c>
      <c r="H5329">
        <v>2.5</v>
      </c>
      <c r="I5329">
        <v>22.9</v>
      </c>
      <c r="J5329">
        <v>137.4</v>
      </c>
    </row>
    <row r="5330" spans="1:10" x14ac:dyDescent="0.25">
      <c r="A5330" t="s">
        <v>7855</v>
      </c>
      <c r="B5330" s="3">
        <v>45468</v>
      </c>
      <c r="C5330" t="s">
        <v>935</v>
      </c>
      <c r="D5330" t="s">
        <v>3487</v>
      </c>
      <c r="E5330">
        <v>3</v>
      </c>
      <c r="F5330" t="s">
        <v>3526</v>
      </c>
      <c r="G5330" t="s">
        <v>3519</v>
      </c>
      <c r="H5330">
        <v>0.2</v>
      </c>
      <c r="I5330">
        <v>4.0999999999999996</v>
      </c>
      <c r="J5330">
        <v>12.3</v>
      </c>
    </row>
    <row r="5331" spans="1:10" x14ac:dyDescent="0.25">
      <c r="A5331" t="s">
        <v>7856</v>
      </c>
      <c r="B5331" s="3">
        <v>44110</v>
      </c>
      <c r="C5331" t="s">
        <v>2041</v>
      </c>
      <c r="D5331" t="s">
        <v>3491</v>
      </c>
      <c r="E5331">
        <v>2</v>
      </c>
      <c r="F5331" t="s">
        <v>3525</v>
      </c>
      <c r="G5331" t="s">
        <v>3519</v>
      </c>
      <c r="H5331">
        <v>0.5</v>
      </c>
      <c r="I5331">
        <v>8.6999999999999993</v>
      </c>
      <c r="J5331">
        <v>17.399999999999999</v>
      </c>
    </row>
    <row r="5332" spans="1:10" x14ac:dyDescent="0.25">
      <c r="A5332" t="s">
        <v>7857</v>
      </c>
      <c r="B5332" s="3">
        <v>45354</v>
      </c>
      <c r="C5332" t="s">
        <v>544</v>
      </c>
      <c r="D5332" t="s">
        <v>3495</v>
      </c>
      <c r="E5332">
        <v>6</v>
      </c>
      <c r="F5332" t="s">
        <v>3525</v>
      </c>
      <c r="G5332" t="s">
        <v>3517</v>
      </c>
      <c r="H5332">
        <v>2.5</v>
      </c>
      <c r="I5332">
        <v>36.5</v>
      </c>
      <c r="J5332">
        <v>219</v>
      </c>
    </row>
    <row r="5333" spans="1:10" x14ac:dyDescent="0.25">
      <c r="A5333" t="s">
        <v>7858</v>
      </c>
      <c r="B5333" s="3">
        <v>44283</v>
      </c>
      <c r="C5333" t="s">
        <v>3464</v>
      </c>
      <c r="D5333" t="s">
        <v>3502</v>
      </c>
      <c r="E5333">
        <v>2</v>
      </c>
      <c r="F5333" t="s">
        <v>3526</v>
      </c>
      <c r="G5333" t="s">
        <v>3517</v>
      </c>
      <c r="H5333">
        <v>1</v>
      </c>
      <c r="I5333">
        <v>14.9</v>
      </c>
      <c r="J5333">
        <v>29.8</v>
      </c>
    </row>
    <row r="5334" spans="1:10" x14ac:dyDescent="0.25">
      <c r="A5334" t="s">
        <v>7859</v>
      </c>
      <c r="B5334" s="3">
        <v>45561</v>
      </c>
      <c r="C5334" t="s">
        <v>1813</v>
      </c>
      <c r="D5334" t="s">
        <v>3469</v>
      </c>
      <c r="E5334">
        <v>4</v>
      </c>
      <c r="F5334" t="s">
        <v>3524</v>
      </c>
      <c r="G5334" t="s">
        <v>3519</v>
      </c>
      <c r="H5334">
        <v>1</v>
      </c>
      <c r="I5334">
        <v>10</v>
      </c>
      <c r="J5334">
        <v>40</v>
      </c>
    </row>
    <row r="5335" spans="1:10" x14ac:dyDescent="0.25">
      <c r="A5335" t="s">
        <v>7860</v>
      </c>
      <c r="B5335" s="3">
        <v>45606</v>
      </c>
      <c r="C5335" t="s">
        <v>2846</v>
      </c>
      <c r="D5335" t="s">
        <v>3491</v>
      </c>
      <c r="E5335">
        <v>6</v>
      </c>
      <c r="F5335" t="s">
        <v>3525</v>
      </c>
      <c r="G5335" t="s">
        <v>3519</v>
      </c>
      <c r="H5335">
        <v>0.5</v>
      </c>
      <c r="I5335">
        <v>8.6999999999999993</v>
      </c>
      <c r="J5335">
        <v>52.2</v>
      </c>
    </row>
    <row r="5336" spans="1:10" x14ac:dyDescent="0.25">
      <c r="A5336" t="s">
        <v>7861</v>
      </c>
      <c r="B5336" s="3">
        <v>44215</v>
      </c>
      <c r="C5336" t="s">
        <v>1702</v>
      </c>
      <c r="D5336" t="s">
        <v>3478</v>
      </c>
      <c r="E5336">
        <v>2</v>
      </c>
      <c r="F5336" t="s">
        <v>3523</v>
      </c>
      <c r="G5336" t="s">
        <v>3518</v>
      </c>
      <c r="H5336">
        <v>1</v>
      </c>
      <c r="I5336">
        <v>10</v>
      </c>
      <c r="J5336">
        <v>20</v>
      </c>
    </row>
    <row r="5337" spans="1:10" x14ac:dyDescent="0.25">
      <c r="A5337" t="s">
        <v>7862</v>
      </c>
      <c r="B5337" s="3">
        <v>44634</v>
      </c>
      <c r="C5337" t="s">
        <v>799</v>
      </c>
      <c r="D5337" t="s">
        <v>3498</v>
      </c>
      <c r="E5337">
        <v>1</v>
      </c>
      <c r="F5337" t="s">
        <v>3523</v>
      </c>
      <c r="G5337" t="s">
        <v>3517</v>
      </c>
      <c r="H5337">
        <v>0.2</v>
      </c>
      <c r="I5337">
        <v>3.9</v>
      </c>
      <c r="J5337">
        <v>3.9</v>
      </c>
    </row>
    <row r="5338" spans="1:10" x14ac:dyDescent="0.25">
      <c r="A5338" t="s">
        <v>7863</v>
      </c>
      <c r="B5338" s="3">
        <v>44569</v>
      </c>
      <c r="C5338" t="s">
        <v>2587</v>
      </c>
      <c r="D5338" t="s">
        <v>3488</v>
      </c>
      <c r="E5338">
        <v>5</v>
      </c>
      <c r="F5338" t="s">
        <v>3523</v>
      </c>
      <c r="G5338" t="s">
        <v>3519</v>
      </c>
      <c r="H5338">
        <v>0.5</v>
      </c>
      <c r="I5338">
        <v>6.8</v>
      </c>
      <c r="J5338">
        <v>34</v>
      </c>
    </row>
    <row r="5339" spans="1:10" x14ac:dyDescent="0.25">
      <c r="A5339" t="s">
        <v>7864</v>
      </c>
      <c r="B5339" s="3">
        <v>44994</v>
      </c>
      <c r="C5339" t="s">
        <v>3130</v>
      </c>
      <c r="D5339" t="s">
        <v>3505</v>
      </c>
      <c r="E5339">
        <v>6</v>
      </c>
      <c r="F5339" t="s">
        <v>3524</v>
      </c>
      <c r="G5339" t="s">
        <v>3519</v>
      </c>
      <c r="H5339">
        <v>0.2</v>
      </c>
      <c r="I5339">
        <v>3</v>
      </c>
      <c r="J5339">
        <v>18</v>
      </c>
    </row>
    <row r="5340" spans="1:10" x14ac:dyDescent="0.25">
      <c r="A5340" t="s">
        <v>7865</v>
      </c>
      <c r="B5340" s="3">
        <v>44997</v>
      </c>
      <c r="C5340" t="s">
        <v>3411</v>
      </c>
      <c r="D5340" t="s">
        <v>3471</v>
      </c>
      <c r="E5340">
        <v>3</v>
      </c>
      <c r="F5340" t="s">
        <v>3523</v>
      </c>
      <c r="G5340" t="s">
        <v>3517</v>
      </c>
      <c r="H5340">
        <v>1</v>
      </c>
      <c r="I5340">
        <v>13</v>
      </c>
      <c r="J5340">
        <v>39</v>
      </c>
    </row>
    <row r="5341" spans="1:10" x14ac:dyDescent="0.25">
      <c r="A5341" t="s">
        <v>7866</v>
      </c>
      <c r="B5341" s="3">
        <v>45291</v>
      </c>
      <c r="C5341" t="s">
        <v>915</v>
      </c>
      <c r="D5341" t="s">
        <v>3497</v>
      </c>
      <c r="E5341">
        <v>2</v>
      </c>
      <c r="F5341" t="s">
        <v>3526</v>
      </c>
      <c r="G5341" t="s">
        <v>3519</v>
      </c>
      <c r="H5341">
        <v>2.5</v>
      </c>
      <c r="I5341">
        <v>31.6</v>
      </c>
      <c r="J5341">
        <v>63.2</v>
      </c>
    </row>
    <row r="5342" spans="1:10" x14ac:dyDescent="0.25">
      <c r="A5342" t="s">
        <v>7867</v>
      </c>
      <c r="B5342" s="3">
        <v>44881</v>
      </c>
      <c r="C5342" t="s">
        <v>3004</v>
      </c>
      <c r="D5342" t="s">
        <v>3490</v>
      </c>
      <c r="E5342">
        <v>6</v>
      </c>
      <c r="F5342" t="s">
        <v>3525</v>
      </c>
      <c r="G5342" t="s">
        <v>3519</v>
      </c>
      <c r="H5342">
        <v>0.2</v>
      </c>
      <c r="I5342">
        <v>4.4000000000000004</v>
      </c>
      <c r="J5342">
        <v>26.4</v>
      </c>
    </row>
    <row r="5343" spans="1:10" x14ac:dyDescent="0.25">
      <c r="A5343" t="s">
        <v>7868</v>
      </c>
      <c r="B5343" s="3">
        <v>44778</v>
      </c>
      <c r="C5343" t="s">
        <v>620</v>
      </c>
      <c r="D5343" t="s">
        <v>3502</v>
      </c>
      <c r="E5343">
        <v>5</v>
      </c>
      <c r="F5343" t="s">
        <v>3526</v>
      </c>
      <c r="G5343" t="s">
        <v>3517</v>
      </c>
      <c r="H5343">
        <v>1</v>
      </c>
      <c r="I5343">
        <v>14.9</v>
      </c>
      <c r="J5343">
        <v>74.5</v>
      </c>
    </row>
    <row r="5344" spans="1:10" x14ac:dyDescent="0.25">
      <c r="A5344" t="s">
        <v>7869</v>
      </c>
      <c r="B5344" s="3">
        <v>44707</v>
      </c>
      <c r="C5344" t="s">
        <v>1408</v>
      </c>
      <c r="D5344" t="s">
        <v>3491</v>
      </c>
      <c r="E5344">
        <v>5</v>
      </c>
      <c r="F5344" t="s">
        <v>3525</v>
      </c>
      <c r="G5344" t="s">
        <v>3519</v>
      </c>
      <c r="H5344">
        <v>0.5</v>
      </c>
      <c r="I5344">
        <v>8.6999999999999993</v>
      </c>
      <c r="J5344">
        <v>43.5</v>
      </c>
    </row>
    <row r="5345" spans="1:10" x14ac:dyDescent="0.25">
      <c r="A5345" t="s">
        <v>7870</v>
      </c>
      <c r="B5345" s="3">
        <v>44412</v>
      </c>
      <c r="C5345" t="s">
        <v>2077</v>
      </c>
      <c r="D5345" t="s">
        <v>3478</v>
      </c>
      <c r="E5345">
        <v>5</v>
      </c>
      <c r="F5345" t="s">
        <v>3523</v>
      </c>
      <c r="G5345" t="s">
        <v>3518</v>
      </c>
      <c r="H5345">
        <v>1</v>
      </c>
      <c r="I5345">
        <v>10</v>
      </c>
      <c r="J5345">
        <v>50</v>
      </c>
    </row>
    <row r="5346" spans="1:10" x14ac:dyDescent="0.25">
      <c r="A5346" t="s">
        <v>7871</v>
      </c>
      <c r="B5346" s="3">
        <v>44615</v>
      </c>
      <c r="C5346" t="s">
        <v>1902</v>
      </c>
      <c r="D5346" t="s">
        <v>3477</v>
      </c>
      <c r="E5346">
        <v>3</v>
      </c>
      <c r="F5346" t="s">
        <v>3524</v>
      </c>
      <c r="G5346" t="s">
        <v>3519</v>
      </c>
      <c r="H5346">
        <v>0.5</v>
      </c>
      <c r="I5346">
        <v>6</v>
      </c>
      <c r="J5346">
        <v>18</v>
      </c>
    </row>
    <row r="5347" spans="1:10" x14ac:dyDescent="0.25">
      <c r="A5347" t="s">
        <v>7872</v>
      </c>
      <c r="B5347" s="3">
        <v>45333</v>
      </c>
      <c r="C5347" t="s">
        <v>2287</v>
      </c>
      <c r="D5347" t="s">
        <v>3502</v>
      </c>
      <c r="E5347">
        <v>1</v>
      </c>
      <c r="F5347" t="s">
        <v>3526</v>
      </c>
      <c r="G5347" t="s">
        <v>3517</v>
      </c>
      <c r="H5347">
        <v>1</v>
      </c>
      <c r="I5347">
        <v>14.9</v>
      </c>
      <c r="J5347">
        <v>14.9</v>
      </c>
    </row>
    <row r="5348" spans="1:10" x14ac:dyDescent="0.25">
      <c r="A5348" t="s">
        <v>7873</v>
      </c>
      <c r="B5348" s="3">
        <v>45506</v>
      </c>
      <c r="C5348" t="s">
        <v>2599</v>
      </c>
      <c r="D5348" t="s">
        <v>3497</v>
      </c>
      <c r="E5348">
        <v>1</v>
      </c>
      <c r="F5348" t="s">
        <v>3526</v>
      </c>
      <c r="G5348" t="s">
        <v>3519</v>
      </c>
      <c r="H5348">
        <v>2.5</v>
      </c>
      <c r="I5348">
        <v>31.6</v>
      </c>
      <c r="J5348">
        <v>31.6</v>
      </c>
    </row>
    <row r="5349" spans="1:10" x14ac:dyDescent="0.25">
      <c r="A5349" t="s">
        <v>7874</v>
      </c>
      <c r="B5349" s="3">
        <v>44808</v>
      </c>
      <c r="C5349" t="s">
        <v>802</v>
      </c>
      <c r="D5349" t="s">
        <v>3516</v>
      </c>
      <c r="E5349">
        <v>6</v>
      </c>
      <c r="F5349" t="s">
        <v>3526</v>
      </c>
      <c r="G5349" t="s">
        <v>3518</v>
      </c>
      <c r="H5349">
        <v>2.5</v>
      </c>
      <c r="I5349">
        <v>27.9</v>
      </c>
      <c r="J5349">
        <v>167.4</v>
      </c>
    </row>
    <row r="5350" spans="1:10" x14ac:dyDescent="0.25">
      <c r="A5350" t="s">
        <v>7875</v>
      </c>
      <c r="B5350" s="3">
        <v>44434</v>
      </c>
      <c r="C5350" t="s">
        <v>2290</v>
      </c>
      <c r="D5350" t="s">
        <v>3515</v>
      </c>
      <c r="E5350">
        <v>5</v>
      </c>
      <c r="F5350" t="s">
        <v>3526</v>
      </c>
      <c r="G5350" t="s">
        <v>3517</v>
      </c>
      <c r="H5350">
        <v>0.2</v>
      </c>
      <c r="I5350">
        <v>4.5</v>
      </c>
      <c r="J5350">
        <v>22.5</v>
      </c>
    </row>
    <row r="5351" spans="1:10" x14ac:dyDescent="0.25">
      <c r="A5351" t="s">
        <v>7876</v>
      </c>
      <c r="B5351" s="3">
        <v>45140</v>
      </c>
      <c r="C5351" t="s">
        <v>2769</v>
      </c>
      <c r="D5351" t="s">
        <v>3513</v>
      </c>
      <c r="E5351">
        <v>3</v>
      </c>
      <c r="F5351" t="s">
        <v>3523</v>
      </c>
      <c r="G5351" t="s">
        <v>3517</v>
      </c>
      <c r="H5351">
        <v>2.5</v>
      </c>
      <c r="I5351">
        <v>29.8</v>
      </c>
      <c r="J5351">
        <v>89.4</v>
      </c>
    </row>
    <row r="5352" spans="1:10" x14ac:dyDescent="0.25">
      <c r="A5352" t="s">
        <v>7877</v>
      </c>
      <c r="B5352" s="3">
        <v>45317</v>
      </c>
      <c r="C5352" t="s">
        <v>2143</v>
      </c>
      <c r="D5352" t="s">
        <v>3485</v>
      </c>
      <c r="E5352">
        <v>3</v>
      </c>
      <c r="F5352" t="s">
        <v>3523</v>
      </c>
      <c r="G5352" t="s">
        <v>3518</v>
      </c>
      <c r="H5352">
        <v>0.2</v>
      </c>
      <c r="I5352">
        <v>3</v>
      </c>
      <c r="J5352">
        <v>9</v>
      </c>
    </row>
    <row r="5353" spans="1:10" x14ac:dyDescent="0.25">
      <c r="A5353" t="s">
        <v>7878</v>
      </c>
      <c r="B5353" s="3">
        <v>44906</v>
      </c>
      <c r="C5353" t="s">
        <v>2998</v>
      </c>
      <c r="D5353" t="s">
        <v>3506</v>
      </c>
      <c r="E5353">
        <v>6</v>
      </c>
      <c r="F5353" t="s">
        <v>3523</v>
      </c>
      <c r="G5353" t="s">
        <v>3519</v>
      </c>
      <c r="H5353">
        <v>2.5</v>
      </c>
      <c r="I5353">
        <v>25.9</v>
      </c>
      <c r="J5353">
        <v>155.4</v>
      </c>
    </row>
    <row r="5354" spans="1:10" x14ac:dyDescent="0.25">
      <c r="A5354" t="s">
        <v>7879</v>
      </c>
      <c r="B5354" s="3">
        <v>43588</v>
      </c>
      <c r="C5354" t="s">
        <v>1604</v>
      </c>
      <c r="D5354" t="s">
        <v>3498</v>
      </c>
      <c r="E5354">
        <v>2</v>
      </c>
      <c r="F5354" t="s">
        <v>3523</v>
      </c>
      <c r="G5354" t="s">
        <v>3517</v>
      </c>
      <c r="H5354">
        <v>0.2</v>
      </c>
      <c r="I5354">
        <v>3.9</v>
      </c>
      <c r="J5354">
        <v>7.8</v>
      </c>
    </row>
    <row r="5355" spans="1:10" x14ac:dyDescent="0.25">
      <c r="A5355" t="s">
        <v>7880</v>
      </c>
      <c r="B5355" s="3">
        <v>44980</v>
      </c>
      <c r="C5355" t="s">
        <v>1321</v>
      </c>
      <c r="D5355" t="s">
        <v>3474</v>
      </c>
      <c r="E5355">
        <v>2</v>
      </c>
      <c r="F5355" t="s">
        <v>3525</v>
      </c>
      <c r="G5355" t="s">
        <v>3518</v>
      </c>
      <c r="H5355">
        <v>1</v>
      </c>
      <c r="I5355">
        <v>13</v>
      </c>
      <c r="J5355">
        <v>26</v>
      </c>
    </row>
    <row r="5356" spans="1:10" x14ac:dyDescent="0.25">
      <c r="A5356" t="s">
        <v>7881</v>
      </c>
      <c r="B5356" s="3">
        <v>45023</v>
      </c>
      <c r="C5356" t="s">
        <v>3163</v>
      </c>
      <c r="D5356" t="s">
        <v>3491</v>
      </c>
      <c r="E5356">
        <v>1</v>
      </c>
      <c r="F5356" t="s">
        <v>3525</v>
      </c>
      <c r="G5356" t="s">
        <v>3519</v>
      </c>
      <c r="H5356">
        <v>0.5</v>
      </c>
      <c r="I5356">
        <v>8.6999999999999993</v>
      </c>
      <c r="J5356">
        <v>8.6999999999999993</v>
      </c>
    </row>
    <row r="5357" spans="1:10" x14ac:dyDescent="0.25">
      <c r="A5357" t="s">
        <v>7882</v>
      </c>
      <c r="B5357" s="3">
        <v>45487</v>
      </c>
      <c r="C5357" t="s">
        <v>2353</v>
      </c>
      <c r="D5357" t="s">
        <v>3484</v>
      </c>
      <c r="E5357">
        <v>2</v>
      </c>
      <c r="F5357" t="s">
        <v>3526</v>
      </c>
      <c r="G5357" t="s">
        <v>3518</v>
      </c>
      <c r="H5357">
        <v>0.2</v>
      </c>
      <c r="I5357">
        <v>3.6</v>
      </c>
      <c r="J5357">
        <v>7.2</v>
      </c>
    </row>
    <row r="5358" spans="1:10" x14ac:dyDescent="0.25">
      <c r="A5358" t="s">
        <v>7883</v>
      </c>
      <c r="B5358" s="3">
        <v>45072</v>
      </c>
      <c r="C5358" t="s">
        <v>3160</v>
      </c>
      <c r="D5358" t="s">
        <v>3475</v>
      </c>
      <c r="E5358">
        <v>3</v>
      </c>
      <c r="F5358" t="s">
        <v>3526</v>
      </c>
      <c r="G5358" t="s">
        <v>3518</v>
      </c>
      <c r="H5358">
        <v>0.5</v>
      </c>
      <c r="I5358">
        <v>7.3</v>
      </c>
      <c r="J5358">
        <v>21.9</v>
      </c>
    </row>
    <row r="5359" spans="1:10" x14ac:dyDescent="0.25">
      <c r="A5359" t="s">
        <v>7884</v>
      </c>
      <c r="B5359" s="3">
        <v>44640</v>
      </c>
      <c r="C5359" t="s">
        <v>2527</v>
      </c>
      <c r="D5359" t="s">
        <v>3480</v>
      </c>
      <c r="E5359">
        <v>3</v>
      </c>
      <c r="F5359" t="s">
        <v>3524</v>
      </c>
      <c r="G5359" t="s">
        <v>3518</v>
      </c>
      <c r="H5359">
        <v>2.5</v>
      </c>
      <c r="I5359">
        <v>20.6</v>
      </c>
      <c r="J5359">
        <v>61.8</v>
      </c>
    </row>
    <row r="5360" spans="1:10" x14ac:dyDescent="0.25">
      <c r="A5360" t="s">
        <v>7885</v>
      </c>
      <c r="B5360" s="3">
        <v>44814</v>
      </c>
      <c r="C5360" t="s">
        <v>1646</v>
      </c>
      <c r="D5360" t="s">
        <v>3499</v>
      </c>
      <c r="E5360">
        <v>4</v>
      </c>
      <c r="F5360" t="s">
        <v>3523</v>
      </c>
      <c r="G5360" t="s">
        <v>3518</v>
      </c>
      <c r="H5360">
        <v>2.5</v>
      </c>
      <c r="I5360">
        <v>22.9</v>
      </c>
      <c r="J5360">
        <v>91.6</v>
      </c>
    </row>
    <row r="5361" spans="1:10" x14ac:dyDescent="0.25">
      <c r="A5361" t="s">
        <v>7886</v>
      </c>
      <c r="B5361" s="3">
        <v>44078</v>
      </c>
      <c r="C5361" t="s">
        <v>935</v>
      </c>
      <c r="D5361" t="s">
        <v>3501</v>
      </c>
      <c r="E5361">
        <v>2</v>
      </c>
      <c r="F5361" t="s">
        <v>3525</v>
      </c>
      <c r="G5361" t="s">
        <v>3517</v>
      </c>
      <c r="H5361">
        <v>1</v>
      </c>
      <c r="I5361">
        <v>15.9</v>
      </c>
      <c r="J5361">
        <v>31.8</v>
      </c>
    </row>
    <row r="5362" spans="1:10" x14ac:dyDescent="0.25">
      <c r="A5362" t="s">
        <v>7887</v>
      </c>
      <c r="B5362" s="3">
        <v>45230</v>
      </c>
      <c r="C5362" t="s">
        <v>3220</v>
      </c>
      <c r="D5362" t="s">
        <v>3469</v>
      </c>
      <c r="E5362">
        <v>6</v>
      </c>
      <c r="F5362" t="s">
        <v>3524</v>
      </c>
      <c r="G5362" t="s">
        <v>3519</v>
      </c>
      <c r="H5362">
        <v>1</v>
      </c>
      <c r="I5362">
        <v>10</v>
      </c>
      <c r="J5362">
        <v>60</v>
      </c>
    </row>
    <row r="5363" spans="1:10" x14ac:dyDescent="0.25">
      <c r="A5363" t="s">
        <v>7888</v>
      </c>
      <c r="B5363" s="3">
        <v>44682</v>
      </c>
      <c r="C5363" t="s">
        <v>978</v>
      </c>
      <c r="D5363" t="s">
        <v>3483</v>
      </c>
      <c r="E5363">
        <v>5</v>
      </c>
      <c r="F5363" t="s">
        <v>3523</v>
      </c>
      <c r="G5363" t="s">
        <v>3519</v>
      </c>
      <c r="H5363">
        <v>0.2</v>
      </c>
      <c r="I5363">
        <v>3.4</v>
      </c>
      <c r="J5363">
        <v>17</v>
      </c>
    </row>
    <row r="5364" spans="1:10" x14ac:dyDescent="0.25">
      <c r="A5364" t="s">
        <v>7889</v>
      </c>
      <c r="B5364" s="3">
        <v>44780</v>
      </c>
      <c r="C5364" t="s">
        <v>1357</v>
      </c>
      <c r="D5364" t="s">
        <v>3499</v>
      </c>
      <c r="E5364">
        <v>3</v>
      </c>
      <c r="F5364" t="s">
        <v>3523</v>
      </c>
      <c r="G5364" t="s">
        <v>3518</v>
      </c>
      <c r="H5364">
        <v>2.5</v>
      </c>
      <c r="I5364">
        <v>22.9</v>
      </c>
      <c r="J5364">
        <v>68.7</v>
      </c>
    </row>
    <row r="5365" spans="1:10" x14ac:dyDescent="0.25">
      <c r="A5365" t="s">
        <v>7890</v>
      </c>
      <c r="B5365" s="3">
        <v>45381</v>
      </c>
      <c r="C5365" t="s">
        <v>2459</v>
      </c>
      <c r="D5365" t="s">
        <v>3504</v>
      </c>
      <c r="E5365">
        <v>4</v>
      </c>
      <c r="F5365" t="s">
        <v>3524</v>
      </c>
      <c r="G5365" t="s">
        <v>3517</v>
      </c>
      <c r="H5365">
        <v>0.5</v>
      </c>
      <c r="I5365">
        <v>7.2</v>
      </c>
      <c r="J5365">
        <v>28.8</v>
      </c>
    </row>
    <row r="5366" spans="1:10" x14ac:dyDescent="0.25">
      <c r="A5366" t="s">
        <v>7891</v>
      </c>
      <c r="B5366" s="3">
        <v>44904</v>
      </c>
      <c r="C5366" t="s">
        <v>635</v>
      </c>
      <c r="D5366" t="s">
        <v>3503</v>
      </c>
      <c r="E5366">
        <v>5</v>
      </c>
      <c r="F5366" t="s">
        <v>3524</v>
      </c>
      <c r="G5366" t="s">
        <v>3518</v>
      </c>
      <c r="H5366">
        <v>0.5</v>
      </c>
      <c r="I5366">
        <v>5.4</v>
      </c>
      <c r="J5366">
        <v>27</v>
      </c>
    </row>
    <row r="5367" spans="1:10" x14ac:dyDescent="0.25">
      <c r="A5367" t="s">
        <v>7892</v>
      </c>
      <c r="B5367" s="3">
        <v>45642</v>
      </c>
      <c r="C5367" t="s">
        <v>3318</v>
      </c>
      <c r="D5367" t="s">
        <v>3501</v>
      </c>
      <c r="E5367">
        <v>4</v>
      </c>
      <c r="F5367" t="s">
        <v>3525</v>
      </c>
      <c r="G5367" t="s">
        <v>3517</v>
      </c>
      <c r="H5367">
        <v>1</v>
      </c>
      <c r="I5367">
        <v>15.9</v>
      </c>
      <c r="J5367">
        <v>63.6</v>
      </c>
    </row>
    <row r="5368" spans="1:10" x14ac:dyDescent="0.25">
      <c r="A5368" t="s">
        <v>7893</v>
      </c>
      <c r="B5368" s="3">
        <v>45186</v>
      </c>
      <c r="C5368" t="s">
        <v>1357</v>
      </c>
      <c r="D5368" t="s">
        <v>3479</v>
      </c>
      <c r="E5368">
        <v>6</v>
      </c>
      <c r="F5368" t="s">
        <v>3526</v>
      </c>
      <c r="G5368" t="s">
        <v>3517</v>
      </c>
      <c r="H5368">
        <v>2.5</v>
      </c>
      <c r="I5368">
        <v>34.200000000000003</v>
      </c>
      <c r="J5368">
        <v>205.2</v>
      </c>
    </row>
    <row r="5369" spans="1:10" x14ac:dyDescent="0.25">
      <c r="A5369" t="s">
        <v>7894</v>
      </c>
      <c r="B5369" s="3">
        <v>45171</v>
      </c>
      <c r="C5369" t="s">
        <v>2968</v>
      </c>
      <c r="D5369" t="s">
        <v>3481</v>
      </c>
      <c r="E5369">
        <v>4</v>
      </c>
      <c r="F5369" t="s">
        <v>3525</v>
      </c>
      <c r="G5369" t="s">
        <v>3518</v>
      </c>
      <c r="H5369">
        <v>0.2</v>
      </c>
      <c r="I5369">
        <v>3.9</v>
      </c>
      <c r="J5369">
        <v>15.6</v>
      </c>
    </row>
    <row r="5370" spans="1:10" x14ac:dyDescent="0.25">
      <c r="A5370" t="s">
        <v>7895</v>
      </c>
      <c r="B5370" s="3">
        <v>45004</v>
      </c>
      <c r="C5370" t="s">
        <v>2006</v>
      </c>
      <c r="D5370" t="s">
        <v>3473</v>
      </c>
      <c r="E5370">
        <v>4</v>
      </c>
      <c r="F5370" t="s">
        <v>3524</v>
      </c>
      <c r="G5370" t="s">
        <v>3517</v>
      </c>
      <c r="H5370">
        <v>2.5</v>
      </c>
      <c r="I5370">
        <v>27.5</v>
      </c>
      <c r="J5370">
        <v>110</v>
      </c>
    </row>
    <row r="5371" spans="1:10" x14ac:dyDescent="0.25">
      <c r="A5371" t="s">
        <v>7896</v>
      </c>
      <c r="B5371" s="3">
        <v>45054</v>
      </c>
      <c r="C5371" t="s">
        <v>604</v>
      </c>
      <c r="D5371" t="s">
        <v>3471</v>
      </c>
      <c r="E5371">
        <v>2</v>
      </c>
      <c r="F5371" t="s">
        <v>3523</v>
      </c>
      <c r="G5371" t="s">
        <v>3517</v>
      </c>
      <c r="H5371">
        <v>1</v>
      </c>
      <c r="I5371">
        <v>13</v>
      </c>
      <c r="J5371">
        <v>26</v>
      </c>
    </row>
    <row r="5372" spans="1:10" x14ac:dyDescent="0.25">
      <c r="A5372" t="s">
        <v>7897</v>
      </c>
      <c r="B5372" s="3">
        <v>44722</v>
      </c>
      <c r="C5372" t="s">
        <v>1979</v>
      </c>
      <c r="D5372" t="s">
        <v>3480</v>
      </c>
      <c r="E5372">
        <v>5</v>
      </c>
      <c r="F5372" t="s">
        <v>3524</v>
      </c>
      <c r="G5372" t="s">
        <v>3518</v>
      </c>
      <c r="H5372">
        <v>2.5</v>
      </c>
      <c r="I5372">
        <v>20.6</v>
      </c>
      <c r="J5372">
        <v>103</v>
      </c>
    </row>
    <row r="5373" spans="1:10" x14ac:dyDescent="0.25">
      <c r="A5373" t="s">
        <v>7898</v>
      </c>
      <c r="B5373" s="3">
        <v>44504</v>
      </c>
      <c r="C5373" t="s">
        <v>1172</v>
      </c>
      <c r="D5373" t="s">
        <v>3500</v>
      </c>
      <c r="E5373">
        <v>5</v>
      </c>
      <c r="F5373" t="s">
        <v>3525</v>
      </c>
      <c r="G5373" t="s">
        <v>3518</v>
      </c>
      <c r="H5373">
        <v>0.5</v>
      </c>
      <c r="I5373">
        <v>7.8</v>
      </c>
      <c r="J5373">
        <v>39</v>
      </c>
    </row>
    <row r="5374" spans="1:10" x14ac:dyDescent="0.25">
      <c r="A5374" t="s">
        <v>7899</v>
      </c>
      <c r="B5374" s="3">
        <v>45533</v>
      </c>
      <c r="C5374" t="s">
        <v>2068</v>
      </c>
      <c r="D5374" t="s">
        <v>3480</v>
      </c>
      <c r="E5374">
        <v>4</v>
      </c>
      <c r="F5374" t="s">
        <v>3524</v>
      </c>
      <c r="G5374" t="s">
        <v>3518</v>
      </c>
      <c r="H5374">
        <v>2.5</v>
      </c>
      <c r="I5374">
        <v>20.6</v>
      </c>
      <c r="J5374">
        <v>82.4</v>
      </c>
    </row>
    <row r="5375" spans="1:10" x14ac:dyDescent="0.25">
      <c r="A5375" t="s">
        <v>7900</v>
      </c>
      <c r="B5375" s="3">
        <v>44892</v>
      </c>
      <c r="C5375" t="s">
        <v>1378</v>
      </c>
      <c r="D5375" t="s">
        <v>3480</v>
      </c>
      <c r="E5375">
        <v>6</v>
      </c>
      <c r="F5375" t="s">
        <v>3524</v>
      </c>
      <c r="G5375" t="s">
        <v>3518</v>
      </c>
      <c r="H5375">
        <v>2.5</v>
      </c>
      <c r="I5375">
        <v>20.6</v>
      </c>
      <c r="J5375">
        <v>123.6</v>
      </c>
    </row>
    <row r="5376" spans="1:10" x14ac:dyDescent="0.25">
      <c r="A5376" t="s">
        <v>7901</v>
      </c>
      <c r="B5376" s="3">
        <v>44789</v>
      </c>
      <c r="C5376" t="s">
        <v>1773</v>
      </c>
      <c r="D5376" t="s">
        <v>3507</v>
      </c>
      <c r="E5376">
        <v>6</v>
      </c>
      <c r="F5376" t="s">
        <v>3526</v>
      </c>
      <c r="G5376" t="s">
        <v>3517</v>
      </c>
      <c r="H5376">
        <v>0.5</v>
      </c>
      <c r="I5376">
        <v>8.9</v>
      </c>
      <c r="J5376">
        <v>53.4</v>
      </c>
    </row>
    <row r="5377" spans="1:10" x14ac:dyDescent="0.25">
      <c r="A5377" t="s">
        <v>7902</v>
      </c>
      <c r="B5377" s="3">
        <v>44555</v>
      </c>
      <c r="C5377" t="s">
        <v>2053</v>
      </c>
      <c r="D5377" t="s">
        <v>3500</v>
      </c>
      <c r="E5377">
        <v>2</v>
      </c>
      <c r="F5377" t="s">
        <v>3525</v>
      </c>
      <c r="G5377" t="s">
        <v>3518</v>
      </c>
      <c r="H5377">
        <v>0.5</v>
      </c>
      <c r="I5377">
        <v>7.8</v>
      </c>
      <c r="J5377">
        <v>15.6</v>
      </c>
    </row>
    <row r="5378" spans="1:10" x14ac:dyDescent="0.25">
      <c r="A5378" t="s">
        <v>7903</v>
      </c>
      <c r="B5378" s="3">
        <v>44843</v>
      </c>
      <c r="C5378" t="s">
        <v>2509</v>
      </c>
      <c r="D5378" t="s">
        <v>3473</v>
      </c>
      <c r="E5378">
        <v>6</v>
      </c>
      <c r="F5378" t="s">
        <v>3524</v>
      </c>
      <c r="G5378" t="s">
        <v>3517</v>
      </c>
      <c r="H5378">
        <v>2.5</v>
      </c>
      <c r="I5378">
        <v>27.5</v>
      </c>
      <c r="J5378">
        <v>165</v>
      </c>
    </row>
    <row r="5379" spans="1:10" x14ac:dyDescent="0.25">
      <c r="A5379" t="s">
        <v>7904</v>
      </c>
      <c r="B5379" s="3">
        <v>45653</v>
      </c>
      <c r="C5379" t="s">
        <v>790</v>
      </c>
      <c r="D5379" t="s">
        <v>3502</v>
      </c>
      <c r="E5379">
        <v>3</v>
      </c>
      <c r="F5379" t="s">
        <v>3526</v>
      </c>
      <c r="G5379" t="s">
        <v>3517</v>
      </c>
      <c r="H5379">
        <v>1</v>
      </c>
      <c r="I5379">
        <v>14.9</v>
      </c>
      <c r="J5379">
        <v>44.7</v>
      </c>
    </row>
    <row r="5380" spans="1:10" x14ac:dyDescent="0.25">
      <c r="A5380" t="s">
        <v>7905</v>
      </c>
      <c r="B5380" s="3">
        <v>44314</v>
      </c>
      <c r="C5380" t="s">
        <v>1094</v>
      </c>
      <c r="D5380" t="s">
        <v>3484</v>
      </c>
      <c r="E5380">
        <v>5</v>
      </c>
      <c r="F5380" t="s">
        <v>3526</v>
      </c>
      <c r="G5380" t="s">
        <v>3518</v>
      </c>
      <c r="H5380">
        <v>0.2</v>
      </c>
      <c r="I5380">
        <v>3.6</v>
      </c>
      <c r="J5380">
        <v>18</v>
      </c>
    </row>
    <row r="5381" spans="1:10" x14ac:dyDescent="0.25">
      <c r="A5381" t="s">
        <v>7906</v>
      </c>
      <c r="B5381" s="3">
        <v>45024</v>
      </c>
      <c r="C5381" t="s">
        <v>2143</v>
      </c>
      <c r="D5381" t="s">
        <v>3494</v>
      </c>
      <c r="E5381">
        <v>3</v>
      </c>
      <c r="F5381" t="s">
        <v>3524</v>
      </c>
      <c r="G5381" t="s">
        <v>3518</v>
      </c>
      <c r="H5381">
        <v>0.2</v>
      </c>
      <c r="I5381">
        <v>2.7</v>
      </c>
      <c r="J5381">
        <v>8.1</v>
      </c>
    </row>
    <row r="5382" spans="1:10" x14ac:dyDescent="0.25">
      <c r="A5382" t="s">
        <v>7907</v>
      </c>
      <c r="B5382" s="3">
        <v>45607</v>
      </c>
      <c r="C5382" t="s">
        <v>3464</v>
      </c>
      <c r="D5382" t="s">
        <v>3475</v>
      </c>
      <c r="E5382">
        <v>2</v>
      </c>
      <c r="F5382" t="s">
        <v>3526</v>
      </c>
      <c r="G5382" t="s">
        <v>3518</v>
      </c>
      <c r="H5382">
        <v>0.5</v>
      </c>
      <c r="I5382">
        <v>7.3</v>
      </c>
      <c r="J5382">
        <v>14.6</v>
      </c>
    </row>
    <row r="5383" spans="1:10" x14ac:dyDescent="0.25">
      <c r="A5383" t="s">
        <v>7908</v>
      </c>
      <c r="B5383" s="3">
        <v>45127</v>
      </c>
      <c r="C5383" t="s">
        <v>2681</v>
      </c>
      <c r="D5383" t="s">
        <v>3492</v>
      </c>
      <c r="E5383">
        <v>3</v>
      </c>
      <c r="F5383" t="s">
        <v>3525</v>
      </c>
      <c r="G5383" t="s">
        <v>3517</v>
      </c>
      <c r="H5383">
        <v>0.5</v>
      </c>
      <c r="I5383">
        <v>9.5</v>
      </c>
      <c r="J5383">
        <v>28.5</v>
      </c>
    </row>
    <row r="5384" spans="1:10" x14ac:dyDescent="0.25">
      <c r="A5384" t="s">
        <v>7909</v>
      </c>
      <c r="B5384" s="3">
        <v>45538</v>
      </c>
      <c r="C5384" t="s">
        <v>2350</v>
      </c>
      <c r="D5384" t="s">
        <v>3481</v>
      </c>
      <c r="E5384">
        <v>6</v>
      </c>
      <c r="F5384" t="s">
        <v>3525</v>
      </c>
      <c r="G5384" t="s">
        <v>3518</v>
      </c>
      <c r="H5384">
        <v>0.2</v>
      </c>
      <c r="I5384">
        <v>3.9</v>
      </c>
      <c r="J5384">
        <v>23.4</v>
      </c>
    </row>
    <row r="5385" spans="1:10" x14ac:dyDescent="0.25">
      <c r="A5385" t="s">
        <v>7910</v>
      </c>
      <c r="B5385" s="3">
        <v>45128</v>
      </c>
      <c r="C5385" t="s">
        <v>2350</v>
      </c>
      <c r="D5385" t="s">
        <v>3508</v>
      </c>
      <c r="E5385">
        <v>3</v>
      </c>
      <c r="F5385" t="s">
        <v>3524</v>
      </c>
      <c r="G5385" t="s">
        <v>3518</v>
      </c>
      <c r="H5385">
        <v>1</v>
      </c>
      <c r="I5385">
        <v>9</v>
      </c>
      <c r="J5385">
        <v>27</v>
      </c>
    </row>
    <row r="5386" spans="1:10" x14ac:dyDescent="0.25">
      <c r="A5386" t="s">
        <v>7911</v>
      </c>
      <c r="B5386" s="3">
        <v>45367</v>
      </c>
      <c r="C5386" t="s">
        <v>535</v>
      </c>
      <c r="D5386" t="s">
        <v>3494</v>
      </c>
      <c r="E5386">
        <v>1</v>
      </c>
      <c r="F5386" t="s">
        <v>3524</v>
      </c>
      <c r="G5386" t="s">
        <v>3518</v>
      </c>
      <c r="H5386">
        <v>0.2</v>
      </c>
      <c r="I5386">
        <v>2.7</v>
      </c>
      <c r="J5386">
        <v>2.7</v>
      </c>
    </row>
    <row r="5387" spans="1:10" x14ac:dyDescent="0.25">
      <c r="A5387" t="s">
        <v>7912</v>
      </c>
      <c r="B5387" s="3">
        <v>45376</v>
      </c>
      <c r="C5387" t="s">
        <v>872</v>
      </c>
      <c r="D5387" t="s">
        <v>3516</v>
      </c>
      <c r="E5387">
        <v>5</v>
      </c>
      <c r="F5387" t="s">
        <v>3526</v>
      </c>
      <c r="G5387" t="s">
        <v>3518</v>
      </c>
      <c r="H5387">
        <v>2.5</v>
      </c>
      <c r="I5387">
        <v>27.9</v>
      </c>
      <c r="J5387">
        <v>139.5</v>
      </c>
    </row>
    <row r="5388" spans="1:10" x14ac:dyDescent="0.25">
      <c r="A5388" t="s">
        <v>7913</v>
      </c>
      <c r="B5388" s="3">
        <v>45258</v>
      </c>
      <c r="C5388" t="s">
        <v>3106</v>
      </c>
      <c r="D5388" t="s">
        <v>3487</v>
      </c>
      <c r="E5388">
        <v>5</v>
      </c>
      <c r="F5388" t="s">
        <v>3526</v>
      </c>
      <c r="G5388" t="s">
        <v>3519</v>
      </c>
      <c r="H5388">
        <v>0.2</v>
      </c>
      <c r="I5388">
        <v>4.0999999999999996</v>
      </c>
      <c r="J5388">
        <v>20.5</v>
      </c>
    </row>
    <row r="5389" spans="1:10" x14ac:dyDescent="0.25">
      <c r="A5389" t="s">
        <v>7914</v>
      </c>
      <c r="B5389" s="3">
        <v>45502</v>
      </c>
      <c r="C5389" t="s">
        <v>2414</v>
      </c>
      <c r="D5389" t="s">
        <v>3477</v>
      </c>
      <c r="E5389">
        <v>5</v>
      </c>
      <c r="F5389" t="s">
        <v>3524</v>
      </c>
      <c r="G5389" t="s">
        <v>3519</v>
      </c>
      <c r="H5389">
        <v>0.5</v>
      </c>
      <c r="I5389">
        <v>6</v>
      </c>
      <c r="J5389">
        <v>30</v>
      </c>
    </row>
    <row r="5390" spans="1:10" x14ac:dyDescent="0.25">
      <c r="A5390" t="s">
        <v>7915</v>
      </c>
      <c r="B5390" s="3">
        <v>45359</v>
      </c>
      <c r="C5390" t="s">
        <v>511</v>
      </c>
      <c r="D5390" t="s">
        <v>3495</v>
      </c>
      <c r="E5390">
        <v>3</v>
      </c>
      <c r="F5390" t="s">
        <v>3525</v>
      </c>
      <c r="G5390" t="s">
        <v>3517</v>
      </c>
      <c r="H5390">
        <v>2.5</v>
      </c>
      <c r="I5390">
        <v>36.5</v>
      </c>
      <c r="J5390">
        <v>109.5</v>
      </c>
    </row>
    <row r="5391" spans="1:10" x14ac:dyDescent="0.25">
      <c r="A5391" t="s">
        <v>7916</v>
      </c>
      <c r="B5391" s="3">
        <v>45055</v>
      </c>
      <c r="C5391" t="s">
        <v>1134</v>
      </c>
      <c r="D5391" t="s">
        <v>3484</v>
      </c>
      <c r="E5391">
        <v>1</v>
      </c>
      <c r="F5391" t="s">
        <v>3526</v>
      </c>
      <c r="G5391" t="s">
        <v>3518</v>
      </c>
      <c r="H5391">
        <v>0.2</v>
      </c>
      <c r="I5391">
        <v>3.6</v>
      </c>
      <c r="J5391">
        <v>3.6</v>
      </c>
    </row>
    <row r="5392" spans="1:10" x14ac:dyDescent="0.25">
      <c r="A5392" t="s">
        <v>7917</v>
      </c>
      <c r="B5392" s="3">
        <v>44587</v>
      </c>
      <c r="C5392" t="s">
        <v>635</v>
      </c>
      <c r="D5392" t="s">
        <v>3480</v>
      </c>
      <c r="E5392">
        <v>5</v>
      </c>
      <c r="F5392" t="s">
        <v>3524</v>
      </c>
      <c r="G5392" t="s">
        <v>3518</v>
      </c>
      <c r="H5392">
        <v>2.5</v>
      </c>
      <c r="I5392">
        <v>20.6</v>
      </c>
      <c r="J5392">
        <v>103</v>
      </c>
    </row>
    <row r="5393" spans="1:10" x14ac:dyDescent="0.25">
      <c r="A5393" t="s">
        <v>7918</v>
      </c>
      <c r="B5393" s="3">
        <v>44820</v>
      </c>
      <c r="C5393" t="s">
        <v>558</v>
      </c>
      <c r="D5393" t="s">
        <v>3494</v>
      </c>
      <c r="E5393">
        <v>2</v>
      </c>
      <c r="F5393" t="s">
        <v>3524</v>
      </c>
      <c r="G5393" t="s">
        <v>3518</v>
      </c>
      <c r="H5393">
        <v>0.2</v>
      </c>
      <c r="I5393">
        <v>2.7</v>
      </c>
      <c r="J5393">
        <v>5.4</v>
      </c>
    </row>
    <row r="5394" spans="1:10" x14ac:dyDescent="0.25">
      <c r="A5394" t="s">
        <v>7919</v>
      </c>
      <c r="B5394" s="3">
        <v>43603</v>
      </c>
      <c r="C5394" t="s">
        <v>2314</v>
      </c>
      <c r="D5394" t="s">
        <v>3487</v>
      </c>
      <c r="E5394">
        <v>4</v>
      </c>
      <c r="F5394" t="s">
        <v>3526</v>
      </c>
      <c r="G5394" t="s">
        <v>3519</v>
      </c>
      <c r="H5394">
        <v>0.2</v>
      </c>
      <c r="I5394">
        <v>4.0999999999999996</v>
      </c>
      <c r="J5394">
        <v>16.399999999999999</v>
      </c>
    </row>
    <row r="5395" spans="1:10" x14ac:dyDescent="0.25">
      <c r="A5395" t="s">
        <v>7920</v>
      </c>
      <c r="B5395" s="3">
        <v>44604</v>
      </c>
      <c r="C5395" t="s">
        <v>1755</v>
      </c>
      <c r="D5395" t="s">
        <v>3503</v>
      </c>
      <c r="E5395">
        <v>6</v>
      </c>
      <c r="F5395" t="s">
        <v>3524</v>
      </c>
      <c r="G5395" t="s">
        <v>3518</v>
      </c>
      <c r="H5395">
        <v>0.5</v>
      </c>
      <c r="I5395">
        <v>5.4</v>
      </c>
      <c r="J5395">
        <v>32.4</v>
      </c>
    </row>
    <row r="5396" spans="1:10" x14ac:dyDescent="0.25">
      <c r="A5396" t="s">
        <v>7921</v>
      </c>
      <c r="B5396" s="3">
        <v>45186</v>
      </c>
      <c r="C5396" t="s">
        <v>2615</v>
      </c>
      <c r="D5396" t="s">
        <v>3474</v>
      </c>
      <c r="E5396">
        <v>4</v>
      </c>
      <c r="F5396" t="s">
        <v>3525</v>
      </c>
      <c r="G5396" t="s">
        <v>3518</v>
      </c>
      <c r="H5396">
        <v>1</v>
      </c>
      <c r="I5396">
        <v>13</v>
      </c>
      <c r="J5396">
        <v>52</v>
      </c>
    </row>
    <row r="5397" spans="1:10" x14ac:dyDescent="0.25">
      <c r="A5397" t="s">
        <v>7922</v>
      </c>
      <c r="B5397" s="3">
        <v>44034</v>
      </c>
      <c r="C5397" t="s">
        <v>1275</v>
      </c>
      <c r="D5397" t="s">
        <v>3506</v>
      </c>
      <c r="E5397">
        <v>6</v>
      </c>
      <c r="F5397" t="s">
        <v>3523</v>
      </c>
      <c r="G5397" t="s">
        <v>3519</v>
      </c>
      <c r="H5397">
        <v>2.5</v>
      </c>
      <c r="I5397">
        <v>25.9</v>
      </c>
      <c r="J5397">
        <v>155.4</v>
      </c>
    </row>
    <row r="5398" spans="1:10" x14ac:dyDescent="0.25">
      <c r="A5398" t="s">
        <v>7923</v>
      </c>
      <c r="B5398" s="3">
        <v>43547</v>
      </c>
      <c r="C5398" t="s">
        <v>1559</v>
      </c>
      <c r="D5398" t="s">
        <v>3499</v>
      </c>
      <c r="E5398">
        <v>6</v>
      </c>
      <c r="F5398" t="s">
        <v>3523</v>
      </c>
      <c r="G5398" t="s">
        <v>3518</v>
      </c>
      <c r="H5398">
        <v>2.5</v>
      </c>
      <c r="I5398">
        <v>22.9</v>
      </c>
      <c r="J5398">
        <v>137.4</v>
      </c>
    </row>
    <row r="5399" spans="1:10" x14ac:dyDescent="0.25">
      <c r="A5399" t="s">
        <v>7924</v>
      </c>
      <c r="B5399" s="3">
        <v>44315</v>
      </c>
      <c r="C5399" t="s">
        <v>1309</v>
      </c>
      <c r="D5399" t="s">
        <v>3503</v>
      </c>
      <c r="E5399">
        <v>2</v>
      </c>
      <c r="F5399" t="s">
        <v>3524</v>
      </c>
      <c r="G5399" t="s">
        <v>3518</v>
      </c>
      <c r="H5399">
        <v>0.5</v>
      </c>
      <c r="I5399">
        <v>5.4</v>
      </c>
      <c r="J5399">
        <v>10.8</v>
      </c>
    </row>
    <row r="5400" spans="1:10" x14ac:dyDescent="0.25">
      <c r="A5400" t="s">
        <v>7925</v>
      </c>
      <c r="B5400" s="3">
        <v>43989</v>
      </c>
      <c r="C5400" t="s">
        <v>1517</v>
      </c>
      <c r="D5400" t="s">
        <v>3501</v>
      </c>
      <c r="E5400">
        <v>3</v>
      </c>
      <c r="F5400" t="s">
        <v>3525</v>
      </c>
      <c r="G5400" t="s">
        <v>3517</v>
      </c>
      <c r="H5400">
        <v>1</v>
      </c>
      <c r="I5400">
        <v>15.9</v>
      </c>
      <c r="J5400">
        <v>47.7</v>
      </c>
    </row>
    <row r="5401" spans="1:10" x14ac:dyDescent="0.25">
      <c r="A5401" t="s">
        <v>7926</v>
      </c>
      <c r="B5401" s="3">
        <v>44921</v>
      </c>
      <c r="C5401" t="s">
        <v>646</v>
      </c>
      <c r="D5401" t="s">
        <v>3475</v>
      </c>
      <c r="E5401">
        <v>3</v>
      </c>
      <c r="F5401" t="s">
        <v>3526</v>
      </c>
      <c r="G5401" t="s">
        <v>3518</v>
      </c>
      <c r="H5401">
        <v>0.5</v>
      </c>
      <c r="I5401">
        <v>7.3</v>
      </c>
      <c r="J5401">
        <v>21.9</v>
      </c>
    </row>
    <row r="5402" spans="1:10" x14ac:dyDescent="0.25">
      <c r="A5402" t="s">
        <v>7927</v>
      </c>
      <c r="B5402" s="3">
        <v>45476</v>
      </c>
      <c r="C5402" t="s">
        <v>710</v>
      </c>
      <c r="D5402" t="s">
        <v>3479</v>
      </c>
      <c r="E5402">
        <v>2</v>
      </c>
      <c r="F5402" t="s">
        <v>3526</v>
      </c>
      <c r="G5402" t="s">
        <v>3517</v>
      </c>
      <c r="H5402">
        <v>2.5</v>
      </c>
      <c r="I5402">
        <v>34.200000000000003</v>
      </c>
      <c r="J5402">
        <v>68.400000000000006</v>
      </c>
    </row>
    <row r="5403" spans="1:10" x14ac:dyDescent="0.25">
      <c r="A5403" t="s">
        <v>7928</v>
      </c>
      <c r="B5403" s="3">
        <v>44733</v>
      </c>
      <c r="C5403" t="s">
        <v>3130</v>
      </c>
      <c r="D5403" t="s">
        <v>3485</v>
      </c>
      <c r="E5403">
        <v>6</v>
      </c>
      <c r="F5403" t="s">
        <v>3523</v>
      </c>
      <c r="G5403" t="s">
        <v>3518</v>
      </c>
      <c r="H5403">
        <v>0.2</v>
      </c>
      <c r="I5403">
        <v>3</v>
      </c>
      <c r="J5403">
        <v>18</v>
      </c>
    </row>
    <row r="5404" spans="1:10" x14ac:dyDescent="0.25">
      <c r="A5404" t="s">
        <v>7929</v>
      </c>
      <c r="B5404" s="3">
        <v>45087</v>
      </c>
      <c r="C5404" t="s">
        <v>1426</v>
      </c>
      <c r="D5404" t="s">
        <v>3489</v>
      </c>
      <c r="E5404">
        <v>4</v>
      </c>
      <c r="F5404" t="s">
        <v>3523</v>
      </c>
      <c r="G5404" t="s">
        <v>3518</v>
      </c>
      <c r="H5404">
        <v>0.5</v>
      </c>
      <c r="I5404">
        <v>6</v>
      </c>
      <c r="J5404">
        <v>24</v>
      </c>
    </row>
    <row r="5405" spans="1:10" x14ac:dyDescent="0.25">
      <c r="A5405" t="s">
        <v>7930</v>
      </c>
      <c r="B5405" s="3">
        <v>45114</v>
      </c>
      <c r="C5405" t="s">
        <v>3223</v>
      </c>
      <c r="D5405" t="s">
        <v>3482</v>
      </c>
      <c r="E5405">
        <v>1</v>
      </c>
      <c r="F5405" t="s">
        <v>3524</v>
      </c>
      <c r="G5405" t="s">
        <v>3519</v>
      </c>
      <c r="H5405">
        <v>2.5</v>
      </c>
      <c r="I5405">
        <v>22.9</v>
      </c>
      <c r="J5405">
        <v>22.9</v>
      </c>
    </row>
    <row r="5406" spans="1:10" x14ac:dyDescent="0.25">
      <c r="A5406" t="s">
        <v>7931</v>
      </c>
      <c r="B5406" s="3">
        <v>45125</v>
      </c>
      <c r="C5406" t="s">
        <v>2137</v>
      </c>
      <c r="D5406" t="s">
        <v>3496</v>
      </c>
      <c r="E5406">
        <v>3</v>
      </c>
      <c r="F5406" t="s">
        <v>3525</v>
      </c>
      <c r="G5406" t="s">
        <v>3518</v>
      </c>
      <c r="H5406">
        <v>2.5</v>
      </c>
      <c r="I5406">
        <v>29.8</v>
      </c>
      <c r="J5406">
        <v>89.4</v>
      </c>
    </row>
    <row r="5407" spans="1:10" x14ac:dyDescent="0.25">
      <c r="A5407" t="s">
        <v>7932</v>
      </c>
      <c r="B5407" s="3">
        <v>44882</v>
      </c>
      <c r="C5407" t="s">
        <v>1290</v>
      </c>
      <c r="D5407" t="s">
        <v>3501</v>
      </c>
      <c r="E5407">
        <v>4</v>
      </c>
      <c r="F5407" t="s">
        <v>3525</v>
      </c>
      <c r="G5407" t="s">
        <v>3517</v>
      </c>
      <c r="H5407">
        <v>1</v>
      </c>
      <c r="I5407">
        <v>15.9</v>
      </c>
      <c r="J5407">
        <v>63.6</v>
      </c>
    </row>
    <row r="5408" spans="1:10" x14ac:dyDescent="0.25">
      <c r="A5408" t="s">
        <v>7933</v>
      </c>
      <c r="B5408" s="3">
        <v>44604</v>
      </c>
      <c r="C5408" t="s">
        <v>2542</v>
      </c>
      <c r="D5408" t="s">
        <v>3512</v>
      </c>
      <c r="E5408">
        <v>4</v>
      </c>
      <c r="F5408" t="s">
        <v>3525</v>
      </c>
      <c r="G5408" t="s">
        <v>3519</v>
      </c>
      <c r="H5408">
        <v>2.5</v>
      </c>
      <c r="I5408">
        <v>33.5</v>
      </c>
      <c r="J5408">
        <v>134</v>
      </c>
    </row>
    <row r="5409" spans="1:10" x14ac:dyDescent="0.25">
      <c r="A5409" t="s">
        <v>7934</v>
      </c>
      <c r="B5409" s="3">
        <v>45185</v>
      </c>
      <c r="C5409" t="s">
        <v>1851</v>
      </c>
      <c r="D5409" t="s">
        <v>3489</v>
      </c>
      <c r="E5409">
        <v>6</v>
      </c>
      <c r="F5409" t="s">
        <v>3523</v>
      </c>
      <c r="G5409" t="s">
        <v>3518</v>
      </c>
      <c r="H5409">
        <v>0.5</v>
      </c>
      <c r="I5409">
        <v>6</v>
      </c>
      <c r="J5409">
        <v>36</v>
      </c>
    </row>
    <row r="5410" spans="1:10" x14ac:dyDescent="0.25">
      <c r="A5410" t="s">
        <v>7935</v>
      </c>
      <c r="B5410" s="3">
        <v>45465</v>
      </c>
      <c r="C5410" t="s">
        <v>1761</v>
      </c>
      <c r="D5410" t="s">
        <v>3485</v>
      </c>
      <c r="E5410">
        <v>3</v>
      </c>
      <c r="F5410" t="s">
        <v>3523</v>
      </c>
      <c r="G5410" t="s">
        <v>3518</v>
      </c>
      <c r="H5410">
        <v>0.2</v>
      </c>
      <c r="I5410">
        <v>3</v>
      </c>
      <c r="J5410">
        <v>9</v>
      </c>
    </row>
    <row r="5411" spans="1:10" x14ac:dyDescent="0.25">
      <c r="A5411" t="s">
        <v>7936</v>
      </c>
      <c r="B5411" s="3">
        <v>44757</v>
      </c>
      <c r="C5411" t="s">
        <v>1217</v>
      </c>
      <c r="D5411" t="s">
        <v>3499</v>
      </c>
      <c r="E5411">
        <v>6</v>
      </c>
      <c r="F5411" t="s">
        <v>3523</v>
      </c>
      <c r="G5411" t="s">
        <v>3518</v>
      </c>
      <c r="H5411">
        <v>2.5</v>
      </c>
      <c r="I5411">
        <v>22.9</v>
      </c>
      <c r="J5411">
        <v>137.4</v>
      </c>
    </row>
    <row r="5412" spans="1:10" x14ac:dyDescent="0.25">
      <c r="A5412" t="s">
        <v>7937</v>
      </c>
      <c r="B5412" s="3">
        <v>43897</v>
      </c>
      <c r="C5412" t="s">
        <v>497</v>
      </c>
      <c r="D5412" t="s">
        <v>3502</v>
      </c>
      <c r="E5412">
        <v>3</v>
      </c>
      <c r="F5412" t="s">
        <v>3526</v>
      </c>
      <c r="G5412" t="s">
        <v>3517</v>
      </c>
      <c r="H5412">
        <v>1</v>
      </c>
      <c r="I5412">
        <v>14.9</v>
      </c>
      <c r="J5412">
        <v>44.7</v>
      </c>
    </row>
    <row r="5413" spans="1:10" x14ac:dyDescent="0.25">
      <c r="A5413" t="s">
        <v>7938</v>
      </c>
      <c r="B5413" s="3">
        <v>44375</v>
      </c>
      <c r="C5413" t="s">
        <v>2515</v>
      </c>
      <c r="D5413" t="s">
        <v>3477</v>
      </c>
      <c r="E5413">
        <v>1</v>
      </c>
      <c r="F5413" t="s">
        <v>3524</v>
      </c>
      <c r="G5413" t="s">
        <v>3519</v>
      </c>
      <c r="H5413">
        <v>0.5</v>
      </c>
      <c r="I5413">
        <v>6</v>
      </c>
      <c r="J5413">
        <v>6</v>
      </c>
    </row>
    <row r="5414" spans="1:10" x14ac:dyDescent="0.25">
      <c r="A5414" t="s">
        <v>7939</v>
      </c>
      <c r="B5414" s="3">
        <v>44541</v>
      </c>
      <c r="C5414" t="s">
        <v>2110</v>
      </c>
      <c r="D5414" t="s">
        <v>3491</v>
      </c>
      <c r="E5414">
        <v>3</v>
      </c>
      <c r="F5414" t="s">
        <v>3525</v>
      </c>
      <c r="G5414" t="s">
        <v>3519</v>
      </c>
      <c r="H5414">
        <v>0.5</v>
      </c>
      <c r="I5414">
        <v>8.6999999999999993</v>
      </c>
      <c r="J5414">
        <v>26.1</v>
      </c>
    </row>
    <row r="5415" spans="1:10" x14ac:dyDescent="0.25">
      <c r="A5415" t="s">
        <v>7940</v>
      </c>
      <c r="B5415" s="3">
        <v>45498</v>
      </c>
      <c r="C5415" t="s">
        <v>3022</v>
      </c>
      <c r="D5415" t="s">
        <v>3503</v>
      </c>
      <c r="E5415">
        <v>1</v>
      </c>
      <c r="F5415" t="s">
        <v>3524</v>
      </c>
      <c r="G5415" t="s">
        <v>3518</v>
      </c>
      <c r="H5415">
        <v>0.5</v>
      </c>
      <c r="I5415">
        <v>5.4</v>
      </c>
      <c r="J5415">
        <v>5.4</v>
      </c>
    </row>
    <row r="5416" spans="1:10" x14ac:dyDescent="0.25">
      <c r="A5416" t="s">
        <v>7941</v>
      </c>
      <c r="B5416" s="3">
        <v>43646</v>
      </c>
      <c r="C5416" t="s">
        <v>3054</v>
      </c>
      <c r="D5416" t="s">
        <v>3483</v>
      </c>
      <c r="E5416">
        <v>4</v>
      </c>
      <c r="F5416" t="s">
        <v>3523</v>
      </c>
      <c r="G5416" t="s">
        <v>3519</v>
      </c>
      <c r="H5416">
        <v>0.2</v>
      </c>
      <c r="I5416">
        <v>3.4</v>
      </c>
      <c r="J5416">
        <v>13.6</v>
      </c>
    </row>
    <row r="5417" spans="1:10" x14ac:dyDescent="0.25">
      <c r="A5417" t="s">
        <v>7942</v>
      </c>
      <c r="B5417" s="3">
        <v>45077</v>
      </c>
      <c r="C5417" t="s">
        <v>1309</v>
      </c>
      <c r="D5417" t="s">
        <v>3469</v>
      </c>
      <c r="E5417">
        <v>3</v>
      </c>
      <c r="F5417" t="s">
        <v>3524</v>
      </c>
      <c r="G5417" t="s">
        <v>3519</v>
      </c>
      <c r="H5417">
        <v>1</v>
      </c>
      <c r="I5417">
        <v>10</v>
      </c>
      <c r="J5417">
        <v>30</v>
      </c>
    </row>
    <row r="5418" spans="1:10" x14ac:dyDescent="0.25">
      <c r="A5418" t="s">
        <v>7943</v>
      </c>
      <c r="B5418" s="3">
        <v>45423</v>
      </c>
      <c r="C5418" t="s">
        <v>3175</v>
      </c>
      <c r="D5418" t="s">
        <v>3485</v>
      </c>
      <c r="E5418">
        <v>2</v>
      </c>
      <c r="F5418" t="s">
        <v>3523</v>
      </c>
      <c r="G5418" t="s">
        <v>3518</v>
      </c>
      <c r="H5418">
        <v>0.2</v>
      </c>
      <c r="I5418">
        <v>3</v>
      </c>
      <c r="J5418">
        <v>6</v>
      </c>
    </row>
    <row r="5419" spans="1:10" x14ac:dyDescent="0.25">
      <c r="A5419" t="s">
        <v>7944</v>
      </c>
      <c r="B5419" s="3">
        <v>44750</v>
      </c>
      <c r="C5419" t="s">
        <v>2462</v>
      </c>
      <c r="D5419" t="s">
        <v>3469</v>
      </c>
      <c r="E5419">
        <v>2</v>
      </c>
      <c r="F5419" t="s">
        <v>3524</v>
      </c>
      <c r="G5419" t="s">
        <v>3519</v>
      </c>
      <c r="H5419">
        <v>1</v>
      </c>
      <c r="I5419">
        <v>10</v>
      </c>
      <c r="J5419">
        <v>20</v>
      </c>
    </row>
    <row r="5420" spans="1:10" x14ac:dyDescent="0.25">
      <c r="A5420" t="s">
        <v>7945</v>
      </c>
      <c r="B5420" s="3">
        <v>43852</v>
      </c>
      <c r="C5420" t="s">
        <v>854</v>
      </c>
      <c r="D5420" t="s">
        <v>3514</v>
      </c>
      <c r="E5420">
        <v>6</v>
      </c>
      <c r="F5420" t="s">
        <v>3526</v>
      </c>
      <c r="G5420" t="s">
        <v>3518</v>
      </c>
      <c r="H5420">
        <v>1</v>
      </c>
      <c r="I5420">
        <v>12.2</v>
      </c>
      <c r="J5420">
        <v>73.2</v>
      </c>
    </row>
    <row r="5421" spans="1:10" x14ac:dyDescent="0.25">
      <c r="A5421" t="s">
        <v>7946</v>
      </c>
      <c r="B5421" s="3">
        <v>45477</v>
      </c>
      <c r="C5421" t="s">
        <v>1196</v>
      </c>
      <c r="D5421" t="s">
        <v>3511</v>
      </c>
      <c r="E5421">
        <v>4</v>
      </c>
      <c r="F5421" t="s">
        <v>3523</v>
      </c>
      <c r="G5421" t="s">
        <v>3517</v>
      </c>
      <c r="H5421">
        <v>0.5</v>
      </c>
      <c r="I5421">
        <v>7.8</v>
      </c>
      <c r="J5421">
        <v>31.2</v>
      </c>
    </row>
    <row r="5422" spans="1:10" x14ac:dyDescent="0.25">
      <c r="A5422" t="s">
        <v>7947</v>
      </c>
      <c r="B5422" s="3">
        <v>45308</v>
      </c>
      <c r="C5422" t="s">
        <v>2754</v>
      </c>
      <c r="D5422" t="s">
        <v>3499</v>
      </c>
      <c r="E5422">
        <v>4</v>
      </c>
      <c r="F5422" t="s">
        <v>3523</v>
      </c>
      <c r="G5422" t="s">
        <v>3518</v>
      </c>
      <c r="H5422">
        <v>2.5</v>
      </c>
      <c r="I5422">
        <v>22.9</v>
      </c>
      <c r="J5422">
        <v>91.6</v>
      </c>
    </row>
    <row r="5423" spans="1:10" x14ac:dyDescent="0.25">
      <c r="A5423" t="s">
        <v>7948</v>
      </c>
      <c r="B5423" s="3">
        <v>45074</v>
      </c>
      <c r="C5423" t="s">
        <v>2633</v>
      </c>
      <c r="D5423" t="s">
        <v>3509</v>
      </c>
      <c r="E5423">
        <v>1</v>
      </c>
      <c r="F5423" t="s">
        <v>3524</v>
      </c>
      <c r="G5423" t="s">
        <v>3517</v>
      </c>
      <c r="H5423">
        <v>0.2</v>
      </c>
      <c r="I5423">
        <v>3.6</v>
      </c>
      <c r="J5423">
        <v>3.6</v>
      </c>
    </row>
    <row r="5424" spans="1:10" x14ac:dyDescent="0.25">
      <c r="A5424" t="s">
        <v>7949</v>
      </c>
      <c r="B5424" s="3">
        <v>45598</v>
      </c>
      <c r="C5424" t="s">
        <v>2242</v>
      </c>
      <c r="D5424" t="s">
        <v>3503</v>
      </c>
      <c r="E5424">
        <v>4</v>
      </c>
      <c r="F5424" t="s">
        <v>3524</v>
      </c>
      <c r="G5424" t="s">
        <v>3518</v>
      </c>
      <c r="H5424">
        <v>0.5</v>
      </c>
      <c r="I5424">
        <v>5.4</v>
      </c>
      <c r="J5424">
        <v>21.6</v>
      </c>
    </row>
    <row r="5425" spans="1:10" x14ac:dyDescent="0.25">
      <c r="A5425" t="s">
        <v>7950</v>
      </c>
      <c r="B5425" s="3">
        <v>45100</v>
      </c>
      <c r="C5425" t="s">
        <v>614</v>
      </c>
      <c r="D5425" t="s">
        <v>3503</v>
      </c>
      <c r="E5425">
        <v>2</v>
      </c>
      <c r="F5425" t="s">
        <v>3524</v>
      </c>
      <c r="G5425" t="s">
        <v>3518</v>
      </c>
      <c r="H5425">
        <v>0.5</v>
      </c>
      <c r="I5425">
        <v>5.4</v>
      </c>
      <c r="J5425">
        <v>10.8</v>
      </c>
    </row>
    <row r="5426" spans="1:10" x14ac:dyDescent="0.25">
      <c r="A5426" t="s">
        <v>7951</v>
      </c>
      <c r="B5426" s="3">
        <v>44982</v>
      </c>
      <c r="C5426" t="s">
        <v>1559</v>
      </c>
      <c r="D5426" t="s">
        <v>3513</v>
      </c>
      <c r="E5426">
        <v>4</v>
      </c>
      <c r="F5426" t="s">
        <v>3523</v>
      </c>
      <c r="G5426" t="s">
        <v>3517</v>
      </c>
      <c r="H5426">
        <v>2.5</v>
      </c>
      <c r="I5426">
        <v>29.8</v>
      </c>
      <c r="J5426">
        <v>119.2</v>
      </c>
    </row>
    <row r="5427" spans="1:10" x14ac:dyDescent="0.25">
      <c r="A5427" t="s">
        <v>7952</v>
      </c>
      <c r="B5427" s="3">
        <v>45417</v>
      </c>
      <c r="C5427" t="s">
        <v>1446</v>
      </c>
      <c r="D5427" t="s">
        <v>3469</v>
      </c>
      <c r="E5427">
        <v>2</v>
      </c>
      <c r="F5427" t="s">
        <v>3524</v>
      </c>
      <c r="G5427" t="s">
        <v>3519</v>
      </c>
      <c r="H5427">
        <v>1</v>
      </c>
      <c r="I5427">
        <v>10</v>
      </c>
      <c r="J5427">
        <v>20</v>
      </c>
    </row>
    <row r="5428" spans="1:10" x14ac:dyDescent="0.25">
      <c r="A5428" t="s">
        <v>7953</v>
      </c>
      <c r="B5428" s="3">
        <v>45487</v>
      </c>
      <c r="C5428" t="s">
        <v>1800</v>
      </c>
      <c r="D5428" t="s">
        <v>3481</v>
      </c>
      <c r="E5428">
        <v>3</v>
      </c>
      <c r="F5428" t="s">
        <v>3525</v>
      </c>
      <c r="G5428" t="s">
        <v>3518</v>
      </c>
      <c r="H5428">
        <v>0.2</v>
      </c>
      <c r="I5428">
        <v>3.9</v>
      </c>
      <c r="J5428">
        <v>11.7</v>
      </c>
    </row>
    <row r="5429" spans="1:10" x14ac:dyDescent="0.25">
      <c r="A5429" t="s">
        <v>7954</v>
      </c>
      <c r="B5429" s="3">
        <v>44789</v>
      </c>
      <c r="C5429" t="s">
        <v>1655</v>
      </c>
      <c r="D5429" t="s">
        <v>3476</v>
      </c>
      <c r="E5429">
        <v>1</v>
      </c>
      <c r="F5429" t="s">
        <v>3525</v>
      </c>
      <c r="G5429" t="s">
        <v>3517</v>
      </c>
      <c r="H5429">
        <v>0.2</v>
      </c>
      <c r="I5429">
        <v>4.8</v>
      </c>
      <c r="J5429">
        <v>4.8</v>
      </c>
    </row>
    <row r="5430" spans="1:10" x14ac:dyDescent="0.25">
      <c r="A5430" t="s">
        <v>7955</v>
      </c>
      <c r="B5430" s="3">
        <v>44138</v>
      </c>
      <c r="C5430" t="s">
        <v>2599</v>
      </c>
      <c r="D5430" t="s">
        <v>3492</v>
      </c>
      <c r="E5430">
        <v>3</v>
      </c>
      <c r="F5430" t="s">
        <v>3525</v>
      </c>
      <c r="G5430" t="s">
        <v>3517</v>
      </c>
      <c r="H5430">
        <v>0.5</v>
      </c>
      <c r="I5430">
        <v>9.5</v>
      </c>
      <c r="J5430">
        <v>28.5</v>
      </c>
    </row>
    <row r="5431" spans="1:10" x14ac:dyDescent="0.25">
      <c r="A5431" t="s">
        <v>7956</v>
      </c>
      <c r="B5431" s="3">
        <v>44407</v>
      </c>
      <c r="C5431" t="s">
        <v>3432</v>
      </c>
      <c r="D5431" t="s">
        <v>3500</v>
      </c>
      <c r="E5431">
        <v>6</v>
      </c>
      <c r="F5431" t="s">
        <v>3525</v>
      </c>
      <c r="G5431" t="s">
        <v>3518</v>
      </c>
      <c r="H5431">
        <v>0.5</v>
      </c>
      <c r="I5431">
        <v>7.8</v>
      </c>
      <c r="J5431">
        <v>46.8</v>
      </c>
    </row>
    <row r="5432" spans="1:10" x14ac:dyDescent="0.25">
      <c r="A5432" t="s">
        <v>7957</v>
      </c>
      <c r="B5432" s="3">
        <v>44613</v>
      </c>
      <c r="C5432" t="s">
        <v>3393</v>
      </c>
      <c r="D5432" t="s">
        <v>3475</v>
      </c>
      <c r="E5432">
        <v>5</v>
      </c>
      <c r="F5432" t="s">
        <v>3526</v>
      </c>
      <c r="G5432" t="s">
        <v>3518</v>
      </c>
      <c r="H5432">
        <v>0.5</v>
      </c>
      <c r="I5432">
        <v>7.3</v>
      </c>
      <c r="J5432">
        <v>36.5</v>
      </c>
    </row>
    <row r="5433" spans="1:10" x14ac:dyDescent="0.25">
      <c r="A5433" t="s">
        <v>7958</v>
      </c>
      <c r="B5433" s="3">
        <v>45443</v>
      </c>
      <c r="C5433" t="s">
        <v>1485</v>
      </c>
      <c r="D5433" t="s">
        <v>3480</v>
      </c>
      <c r="E5433">
        <v>2</v>
      </c>
      <c r="F5433" t="s">
        <v>3524</v>
      </c>
      <c r="G5433" t="s">
        <v>3518</v>
      </c>
      <c r="H5433">
        <v>2.5</v>
      </c>
      <c r="I5433">
        <v>20.6</v>
      </c>
      <c r="J5433">
        <v>41.2</v>
      </c>
    </row>
    <row r="5434" spans="1:10" x14ac:dyDescent="0.25">
      <c r="A5434" t="s">
        <v>7959</v>
      </c>
      <c r="B5434" s="3">
        <v>45118</v>
      </c>
      <c r="C5434" t="s">
        <v>1902</v>
      </c>
      <c r="D5434" t="s">
        <v>3484</v>
      </c>
      <c r="E5434">
        <v>4</v>
      </c>
      <c r="F5434" t="s">
        <v>3526</v>
      </c>
      <c r="G5434" t="s">
        <v>3518</v>
      </c>
      <c r="H5434">
        <v>0.2</v>
      </c>
      <c r="I5434">
        <v>3.6</v>
      </c>
      <c r="J5434">
        <v>14.4</v>
      </c>
    </row>
    <row r="5435" spans="1:10" x14ac:dyDescent="0.25">
      <c r="A5435" t="s">
        <v>7960</v>
      </c>
      <c r="B5435" s="3">
        <v>44902</v>
      </c>
      <c r="C5435" t="s">
        <v>2479</v>
      </c>
      <c r="D5435" t="s">
        <v>3516</v>
      </c>
      <c r="E5435">
        <v>5</v>
      </c>
      <c r="F5435" t="s">
        <v>3526</v>
      </c>
      <c r="G5435" t="s">
        <v>3518</v>
      </c>
      <c r="H5435">
        <v>2.5</v>
      </c>
      <c r="I5435">
        <v>27.9</v>
      </c>
      <c r="J5435">
        <v>139.5</v>
      </c>
    </row>
    <row r="5436" spans="1:10" x14ac:dyDescent="0.25">
      <c r="A5436" t="s">
        <v>7961</v>
      </c>
      <c r="B5436" s="3">
        <v>45441</v>
      </c>
      <c r="C5436" t="s">
        <v>881</v>
      </c>
      <c r="D5436" t="s">
        <v>3476</v>
      </c>
      <c r="E5436">
        <v>6</v>
      </c>
      <c r="F5436" t="s">
        <v>3525</v>
      </c>
      <c r="G5436" t="s">
        <v>3517</v>
      </c>
      <c r="H5436">
        <v>0.2</v>
      </c>
      <c r="I5436">
        <v>4.8</v>
      </c>
      <c r="J5436">
        <v>28.8</v>
      </c>
    </row>
    <row r="5437" spans="1:10" x14ac:dyDescent="0.25">
      <c r="A5437" t="s">
        <v>7962</v>
      </c>
      <c r="B5437" s="3">
        <v>45473</v>
      </c>
      <c r="C5437" t="s">
        <v>1131</v>
      </c>
      <c r="D5437" t="s">
        <v>3497</v>
      </c>
      <c r="E5437">
        <v>6</v>
      </c>
      <c r="F5437" t="s">
        <v>3526</v>
      </c>
      <c r="G5437" t="s">
        <v>3519</v>
      </c>
      <c r="H5437">
        <v>2.5</v>
      </c>
      <c r="I5437">
        <v>31.6</v>
      </c>
      <c r="J5437">
        <v>189.6</v>
      </c>
    </row>
    <row r="5438" spans="1:10" x14ac:dyDescent="0.25">
      <c r="A5438" t="s">
        <v>7963</v>
      </c>
      <c r="B5438" s="3">
        <v>44929</v>
      </c>
      <c r="C5438" t="s">
        <v>1275</v>
      </c>
      <c r="D5438" t="s">
        <v>3511</v>
      </c>
      <c r="E5438">
        <v>3</v>
      </c>
      <c r="F5438" t="s">
        <v>3523</v>
      </c>
      <c r="G5438" t="s">
        <v>3517</v>
      </c>
      <c r="H5438">
        <v>0.5</v>
      </c>
      <c r="I5438">
        <v>7.8</v>
      </c>
      <c r="J5438">
        <v>23.4</v>
      </c>
    </row>
    <row r="5439" spans="1:10" x14ac:dyDescent="0.25">
      <c r="A5439" t="s">
        <v>7964</v>
      </c>
      <c r="B5439" s="3">
        <v>45249</v>
      </c>
      <c r="C5439" t="s">
        <v>866</v>
      </c>
      <c r="D5439" t="s">
        <v>3510</v>
      </c>
      <c r="E5439">
        <v>6</v>
      </c>
      <c r="F5439" t="s">
        <v>3524</v>
      </c>
      <c r="G5439" t="s">
        <v>3517</v>
      </c>
      <c r="H5439">
        <v>1</v>
      </c>
      <c r="I5439">
        <v>12</v>
      </c>
      <c r="J5439">
        <v>72</v>
      </c>
    </row>
    <row r="5440" spans="1:10" x14ac:dyDescent="0.25">
      <c r="A5440" t="s">
        <v>7965</v>
      </c>
      <c r="B5440" s="3">
        <v>45631</v>
      </c>
      <c r="C5440" t="s">
        <v>2714</v>
      </c>
      <c r="D5440" t="s">
        <v>3470</v>
      </c>
      <c r="E5440">
        <v>1</v>
      </c>
      <c r="F5440" t="s">
        <v>3526</v>
      </c>
      <c r="G5440" t="s">
        <v>3519</v>
      </c>
      <c r="H5440">
        <v>0.5</v>
      </c>
      <c r="I5440">
        <v>8.3000000000000007</v>
      </c>
      <c r="J5440">
        <v>8.3000000000000007</v>
      </c>
    </row>
    <row r="5441" spans="1:10" x14ac:dyDescent="0.25">
      <c r="A5441" t="s">
        <v>7966</v>
      </c>
      <c r="B5441" s="3">
        <v>45358</v>
      </c>
      <c r="C5441" t="s">
        <v>778</v>
      </c>
      <c r="D5441" t="s">
        <v>3516</v>
      </c>
      <c r="E5441">
        <v>4</v>
      </c>
      <c r="F5441" t="s">
        <v>3526</v>
      </c>
      <c r="G5441" t="s">
        <v>3518</v>
      </c>
      <c r="H5441">
        <v>2.5</v>
      </c>
      <c r="I5441">
        <v>27.9</v>
      </c>
      <c r="J5441">
        <v>111.6</v>
      </c>
    </row>
    <row r="5442" spans="1:10" x14ac:dyDescent="0.25">
      <c r="A5442" t="s">
        <v>7967</v>
      </c>
      <c r="B5442" s="3">
        <v>45074</v>
      </c>
      <c r="C5442" t="s">
        <v>1945</v>
      </c>
      <c r="D5442" t="s">
        <v>3495</v>
      </c>
      <c r="E5442">
        <v>6</v>
      </c>
      <c r="F5442" t="s">
        <v>3525</v>
      </c>
      <c r="G5442" t="s">
        <v>3517</v>
      </c>
      <c r="H5442">
        <v>2.5</v>
      </c>
      <c r="I5442">
        <v>36.5</v>
      </c>
      <c r="J5442">
        <v>219</v>
      </c>
    </row>
    <row r="5443" spans="1:10" x14ac:dyDescent="0.25">
      <c r="A5443" t="s">
        <v>7968</v>
      </c>
      <c r="B5443" s="3">
        <v>45115</v>
      </c>
      <c r="C5443" t="s">
        <v>3408</v>
      </c>
      <c r="D5443" t="s">
        <v>3471</v>
      </c>
      <c r="E5443">
        <v>5</v>
      </c>
      <c r="F5443" t="s">
        <v>3523</v>
      </c>
      <c r="G5443" t="s">
        <v>3517</v>
      </c>
      <c r="H5443">
        <v>1</v>
      </c>
      <c r="I5443">
        <v>13</v>
      </c>
      <c r="J5443">
        <v>65</v>
      </c>
    </row>
    <row r="5444" spans="1:10" x14ac:dyDescent="0.25">
      <c r="A5444" t="s">
        <v>7969</v>
      </c>
      <c r="B5444" s="3">
        <v>43711</v>
      </c>
      <c r="C5444" t="s">
        <v>3467</v>
      </c>
      <c r="D5444" t="s">
        <v>3507</v>
      </c>
      <c r="E5444">
        <v>4</v>
      </c>
      <c r="F5444" t="s">
        <v>3526</v>
      </c>
      <c r="G5444" t="s">
        <v>3517</v>
      </c>
      <c r="H5444">
        <v>0.5</v>
      </c>
      <c r="I5444">
        <v>8.9</v>
      </c>
      <c r="J5444">
        <v>35.6</v>
      </c>
    </row>
    <row r="5445" spans="1:10" x14ac:dyDescent="0.25">
      <c r="A5445" t="s">
        <v>7970</v>
      </c>
      <c r="B5445" s="3">
        <v>45657</v>
      </c>
      <c r="C5445" t="s">
        <v>2323</v>
      </c>
      <c r="D5445" t="s">
        <v>3480</v>
      </c>
      <c r="E5445">
        <v>1</v>
      </c>
      <c r="F5445" t="s">
        <v>3524</v>
      </c>
      <c r="G5445" t="s">
        <v>3518</v>
      </c>
      <c r="H5445">
        <v>2.5</v>
      </c>
      <c r="I5445">
        <v>20.6</v>
      </c>
      <c r="J5445">
        <v>20.6</v>
      </c>
    </row>
    <row r="5446" spans="1:10" x14ac:dyDescent="0.25">
      <c r="A5446" t="s">
        <v>7971</v>
      </c>
      <c r="B5446" s="3">
        <v>45049</v>
      </c>
      <c r="C5446" t="s">
        <v>3402</v>
      </c>
      <c r="D5446" t="s">
        <v>3478</v>
      </c>
      <c r="E5446">
        <v>6</v>
      </c>
      <c r="F5446" t="s">
        <v>3523</v>
      </c>
      <c r="G5446" t="s">
        <v>3518</v>
      </c>
      <c r="H5446">
        <v>1</v>
      </c>
      <c r="I5446">
        <v>10</v>
      </c>
      <c r="J5446">
        <v>60</v>
      </c>
    </row>
    <row r="5447" spans="1:10" x14ac:dyDescent="0.25">
      <c r="A5447" t="s">
        <v>7972</v>
      </c>
      <c r="B5447" s="3">
        <v>44646</v>
      </c>
      <c r="C5447" t="s">
        <v>1268</v>
      </c>
      <c r="D5447" t="s">
        <v>3475</v>
      </c>
      <c r="E5447">
        <v>1</v>
      </c>
      <c r="F5447" t="s">
        <v>3526</v>
      </c>
      <c r="G5447" t="s">
        <v>3518</v>
      </c>
      <c r="H5447">
        <v>0.5</v>
      </c>
      <c r="I5447">
        <v>7.3</v>
      </c>
      <c r="J5447">
        <v>7.3</v>
      </c>
    </row>
    <row r="5448" spans="1:10" x14ac:dyDescent="0.25">
      <c r="A5448" t="s">
        <v>7973</v>
      </c>
      <c r="B5448" s="3">
        <v>45030</v>
      </c>
      <c r="C5448" t="s">
        <v>2888</v>
      </c>
      <c r="D5448" t="s">
        <v>3488</v>
      </c>
      <c r="E5448">
        <v>2</v>
      </c>
      <c r="F5448" t="s">
        <v>3523</v>
      </c>
      <c r="G5448" t="s">
        <v>3519</v>
      </c>
      <c r="H5448">
        <v>0.5</v>
      </c>
      <c r="I5448">
        <v>6.8</v>
      </c>
      <c r="J5448">
        <v>13.6</v>
      </c>
    </row>
    <row r="5449" spans="1:10" x14ac:dyDescent="0.25">
      <c r="A5449" t="s">
        <v>7974</v>
      </c>
      <c r="B5449" s="3">
        <v>44982</v>
      </c>
      <c r="C5449" t="s">
        <v>3240</v>
      </c>
      <c r="D5449" t="s">
        <v>3491</v>
      </c>
      <c r="E5449">
        <v>3</v>
      </c>
      <c r="F5449" t="s">
        <v>3525</v>
      </c>
      <c r="G5449" t="s">
        <v>3519</v>
      </c>
      <c r="H5449">
        <v>0.5</v>
      </c>
      <c r="I5449">
        <v>8.6999999999999993</v>
      </c>
      <c r="J5449">
        <v>26.1</v>
      </c>
    </row>
    <row r="5450" spans="1:10" x14ac:dyDescent="0.25">
      <c r="A5450" t="s">
        <v>7975</v>
      </c>
      <c r="B5450" s="3">
        <v>45353</v>
      </c>
      <c r="C5450" t="s">
        <v>2269</v>
      </c>
      <c r="D5450" t="s">
        <v>3493</v>
      </c>
      <c r="E5450">
        <v>2</v>
      </c>
      <c r="F5450" t="s">
        <v>3525</v>
      </c>
      <c r="G5450" t="s">
        <v>3519</v>
      </c>
      <c r="H5450">
        <v>1</v>
      </c>
      <c r="I5450">
        <v>14.6</v>
      </c>
      <c r="J5450">
        <v>29.2</v>
      </c>
    </row>
    <row r="5451" spans="1:10" x14ac:dyDescent="0.25">
      <c r="A5451" t="s">
        <v>7976</v>
      </c>
      <c r="B5451" s="3">
        <v>43557</v>
      </c>
      <c r="C5451" t="s">
        <v>968</v>
      </c>
      <c r="D5451" t="s">
        <v>3488</v>
      </c>
      <c r="E5451">
        <v>4</v>
      </c>
      <c r="F5451" t="s">
        <v>3523</v>
      </c>
      <c r="G5451" t="s">
        <v>3519</v>
      </c>
      <c r="H5451">
        <v>0.5</v>
      </c>
      <c r="I5451">
        <v>6.8</v>
      </c>
      <c r="J5451">
        <v>27.2</v>
      </c>
    </row>
    <row r="5452" spans="1:10" x14ac:dyDescent="0.25">
      <c r="A5452" t="s">
        <v>7977</v>
      </c>
      <c r="B5452" s="3">
        <v>45323</v>
      </c>
      <c r="C5452" t="s">
        <v>2263</v>
      </c>
      <c r="D5452" t="s">
        <v>3495</v>
      </c>
      <c r="E5452">
        <v>2</v>
      </c>
      <c r="F5452" t="s">
        <v>3525</v>
      </c>
      <c r="G5452" t="s">
        <v>3517</v>
      </c>
      <c r="H5452">
        <v>2.5</v>
      </c>
      <c r="I5452">
        <v>36.5</v>
      </c>
      <c r="J5452">
        <v>73</v>
      </c>
    </row>
    <row r="5453" spans="1:10" x14ac:dyDescent="0.25">
      <c r="A5453" t="s">
        <v>7978</v>
      </c>
      <c r="B5453" s="3">
        <v>44534</v>
      </c>
      <c r="C5453" t="s">
        <v>915</v>
      </c>
      <c r="D5453" t="s">
        <v>3503</v>
      </c>
      <c r="E5453">
        <v>1</v>
      </c>
      <c r="F5453" t="s">
        <v>3524</v>
      </c>
      <c r="G5453" t="s">
        <v>3518</v>
      </c>
      <c r="H5453">
        <v>0.5</v>
      </c>
      <c r="I5453">
        <v>5.4</v>
      </c>
      <c r="J5453">
        <v>5.4</v>
      </c>
    </row>
    <row r="5454" spans="1:10" x14ac:dyDescent="0.25">
      <c r="A5454" t="s">
        <v>7979</v>
      </c>
      <c r="B5454" s="3">
        <v>45511</v>
      </c>
      <c r="C5454" t="s">
        <v>1091</v>
      </c>
      <c r="D5454" t="s">
        <v>3493</v>
      </c>
      <c r="E5454">
        <v>6</v>
      </c>
      <c r="F5454" t="s">
        <v>3525</v>
      </c>
      <c r="G5454" t="s">
        <v>3519</v>
      </c>
      <c r="H5454">
        <v>1</v>
      </c>
      <c r="I5454">
        <v>14.6</v>
      </c>
      <c r="J5454">
        <v>87.6</v>
      </c>
    </row>
    <row r="5455" spans="1:10" x14ac:dyDescent="0.25">
      <c r="A5455" t="s">
        <v>7980</v>
      </c>
      <c r="B5455" s="3">
        <v>44262</v>
      </c>
      <c r="C5455" t="s">
        <v>1547</v>
      </c>
      <c r="D5455" t="s">
        <v>3495</v>
      </c>
      <c r="E5455">
        <v>3</v>
      </c>
      <c r="F5455" t="s">
        <v>3525</v>
      </c>
      <c r="G5455" t="s">
        <v>3517</v>
      </c>
      <c r="H5455">
        <v>2.5</v>
      </c>
      <c r="I5455">
        <v>36.5</v>
      </c>
      <c r="J5455">
        <v>109.5</v>
      </c>
    </row>
    <row r="5456" spans="1:10" x14ac:dyDescent="0.25">
      <c r="A5456" t="s">
        <v>7981</v>
      </c>
      <c r="B5456" s="3">
        <v>44858</v>
      </c>
      <c r="C5456" t="s">
        <v>1175</v>
      </c>
      <c r="D5456" t="s">
        <v>3491</v>
      </c>
      <c r="E5456">
        <v>3</v>
      </c>
      <c r="F5456" t="s">
        <v>3525</v>
      </c>
      <c r="G5456" t="s">
        <v>3519</v>
      </c>
      <c r="H5456">
        <v>0.5</v>
      </c>
      <c r="I5456">
        <v>8.6999999999999993</v>
      </c>
      <c r="J5456">
        <v>26.1</v>
      </c>
    </row>
    <row r="5457" spans="1:10" x14ac:dyDescent="0.25">
      <c r="A5457" t="s">
        <v>7982</v>
      </c>
      <c r="B5457" s="3">
        <v>45285</v>
      </c>
      <c r="C5457" t="s">
        <v>2257</v>
      </c>
      <c r="D5457" t="s">
        <v>3487</v>
      </c>
      <c r="E5457">
        <v>5</v>
      </c>
      <c r="F5457" t="s">
        <v>3526</v>
      </c>
      <c r="G5457" t="s">
        <v>3519</v>
      </c>
      <c r="H5457">
        <v>0.2</v>
      </c>
      <c r="I5457">
        <v>4.0999999999999996</v>
      </c>
      <c r="J5457">
        <v>20.5</v>
      </c>
    </row>
    <row r="5458" spans="1:10" x14ac:dyDescent="0.25">
      <c r="A5458" t="s">
        <v>7983</v>
      </c>
      <c r="B5458" s="3">
        <v>44890</v>
      </c>
      <c r="C5458" t="s">
        <v>2281</v>
      </c>
      <c r="D5458" t="s">
        <v>3475</v>
      </c>
      <c r="E5458">
        <v>3</v>
      </c>
      <c r="F5458" t="s">
        <v>3526</v>
      </c>
      <c r="G5458" t="s">
        <v>3518</v>
      </c>
      <c r="H5458">
        <v>0.5</v>
      </c>
      <c r="I5458">
        <v>7.3</v>
      </c>
      <c r="J5458">
        <v>21.9</v>
      </c>
    </row>
    <row r="5459" spans="1:10" x14ac:dyDescent="0.25">
      <c r="A5459" t="s">
        <v>7984</v>
      </c>
      <c r="B5459" s="3">
        <v>44064</v>
      </c>
      <c r="C5459" t="s">
        <v>2429</v>
      </c>
      <c r="D5459" t="s">
        <v>3487</v>
      </c>
      <c r="E5459">
        <v>5</v>
      </c>
      <c r="F5459" t="s">
        <v>3526</v>
      </c>
      <c r="G5459" t="s">
        <v>3519</v>
      </c>
      <c r="H5459">
        <v>0.2</v>
      </c>
      <c r="I5459">
        <v>4.0999999999999996</v>
      </c>
      <c r="J5459">
        <v>20.5</v>
      </c>
    </row>
    <row r="5460" spans="1:10" x14ac:dyDescent="0.25">
      <c r="A5460" t="s">
        <v>7985</v>
      </c>
      <c r="B5460" s="3">
        <v>45193</v>
      </c>
      <c r="C5460" t="s">
        <v>2397</v>
      </c>
      <c r="D5460" t="s">
        <v>3493</v>
      </c>
      <c r="E5460">
        <v>5</v>
      </c>
      <c r="F5460" t="s">
        <v>3525</v>
      </c>
      <c r="G5460" t="s">
        <v>3519</v>
      </c>
      <c r="H5460">
        <v>1</v>
      </c>
      <c r="I5460">
        <v>14.6</v>
      </c>
      <c r="J5460">
        <v>73</v>
      </c>
    </row>
    <row r="5461" spans="1:10" x14ac:dyDescent="0.25">
      <c r="A5461" t="s">
        <v>7986</v>
      </c>
      <c r="B5461" s="3">
        <v>44554</v>
      </c>
      <c r="C5461" t="s">
        <v>796</v>
      </c>
      <c r="D5461" t="s">
        <v>3477</v>
      </c>
      <c r="E5461">
        <v>1</v>
      </c>
      <c r="F5461" t="s">
        <v>3524</v>
      </c>
      <c r="G5461" t="s">
        <v>3519</v>
      </c>
      <c r="H5461">
        <v>0.5</v>
      </c>
      <c r="I5461">
        <v>6</v>
      </c>
      <c r="J5461">
        <v>6</v>
      </c>
    </row>
    <row r="5462" spans="1:10" x14ac:dyDescent="0.25">
      <c r="A5462" t="s">
        <v>7987</v>
      </c>
      <c r="B5462" s="3">
        <v>44087</v>
      </c>
      <c r="C5462" t="s">
        <v>1232</v>
      </c>
      <c r="D5462" t="s">
        <v>3510</v>
      </c>
      <c r="E5462">
        <v>6</v>
      </c>
      <c r="F5462" t="s">
        <v>3524</v>
      </c>
      <c r="G5462" t="s">
        <v>3517</v>
      </c>
      <c r="H5462">
        <v>1</v>
      </c>
      <c r="I5462">
        <v>12</v>
      </c>
      <c r="J5462">
        <v>72</v>
      </c>
    </row>
    <row r="5463" spans="1:10" x14ac:dyDescent="0.25">
      <c r="A5463" t="s">
        <v>7988</v>
      </c>
      <c r="B5463" s="3">
        <v>45641</v>
      </c>
      <c r="C5463" t="s">
        <v>2945</v>
      </c>
      <c r="D5463" t="s">
        <v>3486</v>
      </c>
      <c r="E5463">
        <v>3</v>
      </c>
      <c r="F5463" t="s">
        <v>3523</v>
      </c>
      <c r="G5463" t="s">
        <v>3519</v>
      </c>
      <c r="H5463">
        <v>1</v>
      </c>
      <c r="I5463">
        <v>11.3</v>
      </c>
      <c r="J5463">
        <v>33.9</v>
      </c>
    </row>
    <row r="5464" spans="1:10" x14ac:dyDescent="0.25">
      <c r="A5464" t="s">
        <v>7989</v>
      </c>
      <c r="B5464" s="3">
        <v>45262</v>
      </c>
      <c r="C5464" t="s">
        <v>1517</v>
      </c>
      <c r="D5464" t="s">
        <v>3481</v>
      </c>
      <c r="E5464">
        <v>2</v>
      </c>
      <c r="F5464" t="s">
        <v>3525</v>
      </c>
      <c r="G5464" t="s">
        <v>3518</v>
      </c>
      <c r="H5464">
        <v>0.2</v>
      </c>
      <c r="I5464">
        <v>3.9</v>
      </c>
      <c r="J5464">
        <v>7.8</v>
      </c>
    </row>
    <row r="5465" spans="1:10" x14ac:dyDescent="0.25">
      <c r="A5465" t="s">
        <v>7990</v>
      </c>
      <c r="B5465" s="3">
        <v>45310</v>
      </c>
      <c r="C5465" t="s">
        <v>1056</v>
      </c>
      <c r="D5465" t="s">
        <v>3498</v>
      </c>
      <c r="E5465">
        <v>4</v>
      </c>
      <c r="F5465" t="s">
        <v>3523</v>
      </c>
      <c r="G5465" t="s">
        <v>3517</v>
      </c>
      <c r="H5465">
        <v>0.2</v>
      </c>
      <c r="I5465">
        <v>3.9</v>
      </c>
      <c r="J5465">
        <v>15.6</v>
      </c>
    </row>
    <row r="5466" spans="1:10" x14ac:dyDescent="0.25">
      <c r="A5466" t="s">
        <v>7991</v>
      </c>
      <c r="B5466" s="3">
        <v>44836</v>
      </c>
      <c r="C5466" t="s">
        <v>2326</v>
      </c>
      <c r="D5466" t="s">
        <v>3507</v>
      </c>
      <c r="E5466">
        <v>4</v>
      </c>
      <c r="F5466" t="s">
        <v>3526</v>
      </c>
      <c r="G5466" t="s">
        <v>3517</v>
      </c>
      <c r="H5466">
        <v>0.5</v>
      </c>
      <c r="I5466">
        <v>8.9</v>
      </c>
      <c r="J5466">
        <v>35.6</v>
      </c>
    </row>
    <row r="5467" spans="1:10" x14ac:dyDescent="0.25">
      <c r="A5467" t="s">
        <v>7992</v>
      </c>
      <c r="B5467" s="3">
        <v>43632</v>
      </c>
      <c r="C5467" t="s">
        <v>1214</v>
      </c>
      <c r="D5467" t="s">
        <v>3483</v>
      </c>
      <c r="E5467">
        <v>6</v>
      </c>
      <c r="F5467" t="s">
        <v>3523</v>
      </c>
      <c r="G5467" t="s">
        <v>3519</v>
      </c>
      <c r="H5467">
        <v>0.2</v>
      </c>
      <c r="I5467">
        <v>3.4</v>
      </c>
      <c r="J5467">
        <v>20.399999999999999</v>
      </c>
    </row>
    <row r="5468" spans="1:10" x14ac:dyDescent="0.25">
      <c r="A5468" t="s">
        <v>7993</v>
      </c>
      <c r="B5468" s="3">
        <v>43566</v>
      </c>
      <c r="C5468" t="s">
        <v>3411</v>
      </c>
      <c r="D5468" t="s">
        <v>3479</v>
      </c>
      <c r="E5468">
        <v>4</v>
      </c>
      <c r="F5468" t="s">
        <v>3526</v>
      </c>
      <c r="G5468" t="s">
        <v>3517</v>
      </c>
      <c r="H5468">
        <v>2.5</v>
      </c>
      <c r="I5468">
        <v>34.200000000000003</v>
      </c>
      <c r="J5468">
        <v>136.80000000000001</v>
      </c>
    </row>
    <row r="5469" spans="1:10" x14ac:dyDescent="0.25">
      <c r="A5469" t="s">
        <v>7994</v>
      </c>
      <c r="B5469" s="3">
        <v>44856</v>
      </c>
      <c r="C5469" t="s">
        <v>2825</v>
      </c>
      <c r="D5469" t="s">
        <v>3491</v>
      </c>
      <c r="E5469">
        <v>1</v>
      </c>
      <c r="F5469" t="s">
        <v>3525</v>
      </c>
      <c r="G5469" t="s">
        <v>3519</v>
      </c>
      <c r="H5469">
        <v>0.5</v>
      </c>
      <c r="I5469">
        <v>8.6999999999999993</v>
      </c>
      <c r="J5469">
        <v>8.6999999999999993</v>
      </c>
    </row>
    <row r="5470" spans="1:10" x14ac:dyDescent="0.25">
      <c r="A5470" t="s">
        <v>7995</v>
      </c>
      <c r="B5470" s="3">
        <v>44756</v>
      </c>
      <c r="C5470" t="s">
        <v>2801</v>
      </c>
      <c r="D5470" t="s">
        <v>3508</v>
      </c>
      <c r="E5470">
        <v>2</v>
      </c>
      <c r="F5470" t="s">
        <v>3524</v>
      </c>
      <c r="G5470" t="s">
        <v>3518</v>
      </c>
      <c r="H5470">
        <v>1</v>
      </c>
      <c r="I5470">
        <v>9</v>
      </c>
      <c r="J5470">
        <v>18</v>
      </c>
    </row>
    <row r="5471" spans="1:10" x14ac:dyDescent="0.25">
      <c r="A5471" t="s">
        <v>7996</v>
      </c>
      <c r="B5471" s="3">
        <v>45269</v>
      </c>
      <c r="C5471" t="s">
        <v>1854</v>
      </c>
      <c r="D5471" t="s">
        <v>3509</v>
      </c>
      <c r="E5471">
        <v>3</v>
      </c>
      <c r="F5471" t="s">
        <v>3524</v>
      </c>
      <c r="G5471" t="s">
        <v>3517</v>
      </c>
      <c r="H5471">
        <v>0.2</v>
      </c>
      <c r="I5471">
        <v>3.6</v>
      </c>
      <c r="J5471">
        <v>10.8</v>
      </c>
    </row>
    <row r="5472" spans="1:10" x14ac:dyDescent="0.25">
      <c r="A5472" t="s">
        <v>7997</v>
      </c>
      <c r="B5472" s="3">
        <v>45399</v>
      </c>
      <c r="C5472" t="s">
        <v>1500</v>
      </c>
      <c r="D5472" t="s">
        <v>3471</v>
      </c>
      <c r="E5472">
        <v>1</v>
      </c>
      <c r="F5472" t="s">
        <v>3523</v>
      </c>
      <c r="G5472" t="s">
        <v>3517</v>
      </c>
      <c r="H5472">
        <v>1</v>
      </c>
      <c r="I5472">
        <v>13</v>
      </c>
      <c r="J5472">
        <v>13</v>
      </c>
    </row>
    <row r="5473" spans="1:10" x14ac:dyDescent="0.25">
      <c r="A5473" t="s">
        <v>7998</v>
      </c>
      <c r="B5473" s="3">
        <v>45277</v>
      </c>
      <c r="C5473" t="s">
        <v>2388</v>
      </c>
      <c r="D5473" t="s">
        <v>3515</v>
      </c>
      <c r="E5473">
        <v>2</v>
      </c>
      <c r="F5473" t="s">
        <v>3526</v>
      </c>
      <c r="G5473" t="s">
        <v>3517</v>
      </c>
      <c r="H5473">
        <v>0.2</v>
      </c>
      <c r="I5473">
        <v>4.5</v>
      </c>
      <c r="J5473">
        <v>9</v>
      </c>
    </row>
    <row r="5474" spans="1:10" x14ac:dyDescent="0.25">
      <c r="A5474" t="s">
        <v>7999</v>
      </c>
      <c r="B5474" s="3">
        <v>44192</v>
      </c>
      <c r="C5474" t="s">
        <v>841</v>
      </c>
      <c r="D5474" t="s">
        <v>3492</v>
      </c>
      <c r="E5474">
        <v>2</v>
      </c>
      <c r="F5474" t="s">
        <v>3525</v>
      </c>
      <c r="G5474" t="s">
        <v>3517</v>
      </c>
      <c r="H5474">
        <v>0.5</v>
      </c>
      <c r="I5474">
        <v>9.5</v>
      </c>
      <c r="J5474">
        <v>19</v>
      </c>
    </row>
    <row r="5475" spans="1:10" x14ac:dyDescent="0.25">
      <c r="A5475" t="s">
        <v>8000</v>
      </c>
      <c r="B5475" s="3">
        <v>44821</v>
      </c>
      <c r="C5475" t="s">
        <v>2391</v>
      </c>
      <c r="D5475" t="s">
        <v>3486</v>
      </c>
      <c r="E5475">
        <v>3</v>
      </c>
      <c r="F5475" t="s">
        <v>3523</v>
      </c>
      <c r="G5475" t="s">
        <v>3519</v>
      </c>
      <c r="H5475">
        <v>1</v>
      </c>
      <c r="I5475">
        <v>11.3</v>
      </c>
      <c r="J5475">
        <v>33.9</v>
      </c>
    </row>
    <row r="5476" spans="1:10" x14ac:dyDescent="0.25">
      <c r="A5476" t="s">
        <v>8001</v>
      </c>
      <c r="B5476" s="3">
        <v>45426</v>
      </c>
      <c r="C5476" t="s">
        <v>2733</v>
      </c>
      <c r="D5476" t="s">
        <v>3477</v>
      </c>
      <c r="E5476">
        <v>1</v>
      </c>
      <c r="F5476" t="s">
        <v>3524</v>
      </c>
      <c r="G5476" t="s">
        <v>3519</v>
      </c>
      <c r="H5476">
        <v>0.5</v>
      </c>
      <c r="I5476">
        <v>6</v>
      </c>
      <c r="J5476">
        <v>6</v>
      </c>
    </row>
    <row r="5477" spans="1:10" x14ac:dyDescent="0.25">
      <c r="A5477" t="s">
        <v>8002</v>
      </c>
      <c r="B5477" s="3">
        <v>45137</v>
      </c>
      <c r="C5477" t="s">
        <v>1259</v>
      </c>
      <c r="D5477" t="s">
        <v>3481</v>
      </c>
      <c r="E5477">
        <v>3</v>
      </c>
      <c r="F5477" t="s">
        <v>3525</v>
      </c>
      <c r="G5477" t="s">
        <v>3518</v>
      </c>
      <c r="H5477">
        <v>0.2</v>
      </c>
      <c r="I5477">
        <v>3.9</v>
      </c>
      <c r="J5477">
        <v>11.7</v>
      </c>
    </row>
    <row r="5478" spans="1:10" x14ac:dyDescent="0.25">
      <c r="A5478" t="s">
        <v>8003</v>
      </c>
      <c r="B5478" s="3">
        <v>45378</v>
      </c>
      <c r="C5478" t="s">
        <v>544</v>
      </c>
      <c r="D5478" t="s">
        <v>3479</v>
      </c>
      <c r="E5478">
        <v>4</v>
      </c>
      <c r="F5478" t="s">
        <v>3526</v>
      </c>
      <c r="G5478" t="s">
        <v>3517</v>
      </c>
      <c r="H5478">
        <v>2.5</v>
      </c>
      <c r="I5478">
        <v>34.200000000000003</v>
      </c>
      <c r="J5478">
        <v>136.80000000000001</v>
      </c>
    </row>
    <row r="5479" spans="1:10" x14ac:dyDescent="0.25">
      <c r="A5479" t="s">
        <v>8004</v>
      </c>
      <c r="B5479" s="3">
        <v>44029</v>
      </c>
      <c r="C5479" t="s">
        <v>601</v>
      </c>
      <c r="D5479" t="s">
        <v>3509</v>
      </c>
      <c r="E5479">
        <v>4</v>
      </c>
      <c r="F5479" t="s">
        <v>3524</v>
      </c>
      <c r="G5479" t="s">
        <v>3517</v>
      </c>
      <c r="H5479">
        <v>0.2</v>
      </c>
      <c r="I5479">
        <v>3.6</v>
      </c>
      <c r="J5479">
        <v>14.4</v>
      </c>
    </row>
    <row r="5480" spans="1:10" x14ac:dyDescent="0.25">
      <c r="A5480" t="s">
        <v>8005</v>
      </c>
      <c r="B5480" s="3">
        <v>44208</v>
      </c>
      <c r="C5480" t="s">
        <v>2128</v>
      </c>
      <c r="D5480" t="s">
        <v>3482</v>
      </c>
      <c r="E5480">
        <v>6</v>
      </c>
      <c r="F5480" t="s">
        <v>3524</v>
      </c>
      <c r="G5480" t="s">
        <v>3519</v>
      </c>
      <c r="H5480">
        <v>2.5</v>
      </c>
      <c r="I5480">
        <v>22.9</v>
      </c>
      <c r="J5480">
        <v>137.4</v>
      </c>
    </row>
    <row r="5481" spans="1:10" x14ac:dyDescent="0.25">
      <c r="A5481" t="s">
        <v>8006</v>
      </c>
      <c r="B5481" s="3">
        <v>45221</v>
      </c>
      <c r="C5481" t="s">
        <v>1758</v>
      </c>
      <c r="D5481" t="s">
        <v>3479</v>
      </c>
      <c r="E5481">
        <v>1</v>
      </c>
      <c r="F5481" t="s">
        <v>3526</v>
      </c>
      <c r="G5481" t="s">
        <v>3517</v>
      </c>
      <c r="H5481">
        <v>2.5</v>
      </c>
      <c r="I5481">
        <v>34.200000000000003</v>
      </c>
      <c r="J5481">
        <v>34.200000000000003</v>
      </c>
    </row>
    <row r="5482" spans="1:10" x14ac:dyDescent="0.25">
      <c r="A5482" t="s">
        <v>8007</v>
      </c>
      <c r="B5482" s="3">
        <v>44983</v>
      </c>
      <c r="C5482" t="s">
        <v>3226</v>
      </c>
      <c r="D5482" t="s">
        <v>3482</v>
      </c>
      <c r="E5482">
        <v>3</v>
      </c>
      <c r="F5482" t="s">
        <v>3524</v>
      </c>
      <c r="G5482" t="s">
        <v>3519</v>
      </c>
      <c r="H5482">
        <v>2.5</v>
      </c>
      <c r="I5482">
        <v>22.9</v>
      </c>
      <c r="J5482">
        <v>68.7</v>
      </c>
    </row>
    <row r="5483" spans="1:10" x14ac:dyDescent="0.25">
      <c r="A5483" t="s">
        <v>8008</v>
      </c>
      <c r="B5483" s="3">
        <v>44569</v>
      </c>
      <c r="C5483" t="s">
        <v>1103</v>
      </c>
      <c r="D5483" t="s">
        <v>3484</v>
      </c>
      <c r="E5483">
        <v>3</v>
      </c>
      <c r="F5483" t="s">
        <v>3526</v>
      </c>
      <c r="G5483" t="s">
        <v>3518</v>
      </c>
      <c r="H5483">
        <v>0.2</v>
      </c>
      <c r="I5483">
        <v>3.6</v>
      </c>
      <c r="J5483">
        <v>10.8</v>
      </c>
    </row>
    <row r="5484" spans="1:10" x14ac:dyDescent="0.25">
      <c r="A5484" t="s">
        <v>8009</v>
      </c>
      <c r="B5484" s="3">
        <v>43467</v>
      </c>
      <c r="C5484" t="s">
        <v>1479</v>
      </c>
      <c r="D5484" t="s">
        <v>3511</v>
      </c>
      <c r="E5484">
        <v>4</v>
      </c>
      <c r="F5484" t="s">
        <v>3523</v>
      </c>
      <c r="G5484" t="s">
        <v>3517</v>
      </c>
      <c r="H5484">
        <v>0.5</v>
      </c>
      <c r="I5484">
        <v>7.8</v>
      </c>
      <c r="J5484">
        <v>31.2</v>
      </c>
    </row>
    <row r="5485" spans="1:10" x14ac:dyDescent="0.25">
      <c r="A5485" t="s">
        <v>8010</v>
      </c>
      <c r="B5485" s="3">
        <v>45338</v>
      </c>
      <c r="C5485" t="s">
        <v>583</v>
      </c>
      <c r="D5485" t="s">
        <v>3499</v>
      </c>
      <c r="E5485">
        <v>6</v>
      </c>
      <c r="F5485" t="s">
        <v>3523</v>
      </c>
      <c r="G5485" t="s">
        <v>3518</v>
      </c>
      <c r="H5485">
        <v>2.5</v>
      </c>
      <c r="I5485">
        <v>22.9</v>
      </c>
      <c r="J5485">
        <v>137.4</v>
      </c>
    </row>
    <row r="5486" spans="1:10" x14ac:dyDescent="0.25">
      <c r="A5486" t="s">
        <v>8011</v>
      </c>
      <c r="B5486" s="3">
        <v>45006</v>
      </c>
      <c r="C5486" t="s">
        <v>2873</v>
      </c>
      <c r="D5486" t="s">
        <v>3488</v>
      </c>
      <c r="E5486">
        <v>2</v>
      </c>
      <c r="F5486" t="s">
        <v>3523</v>
      </c>
      <c r="G5486" t="s">
        <v>3519</v>
      </c>
      <c r="H5486">
        <v>0.5</v>
      </c>
      <c r="I5486">
        <v>6.8</v>
      </c>
      <c r="J5486">
        <v>13.6</v>
      </c>
    </row>
    <row r="5487" spans="1:10" x14ac:dyDescent="0.25">
      <c r="A5487" t="s">
        <v>8012</v>
      </c>
      <c r="B5487" s="3">
        <v>44357</v>
      </c>
      <c r="C5487" t="s">
        <v>751</v>
      </c>
      <c r="D5487" t="s">
        <v>3478</v>
      </c>
      <c r="E5487">
        <v>3</v>
      </c>
      <c r="F5487" t="s">
        <v>3523</v>
      </c>
      <c r="G5487" t="s">
        <v>3518</v>
      </c>
      <c r="H5487">
        <v>1</v>
      </c>
      <c r="I5487">
        <v>10</v>
      </c>
      <c r="J5487">
        <v>30</v>
      </c>
    </row>
    <row r="5488" spans="1:10" x14ac:dyDescent="0.25">
      <c r="A5488" t="s">
        <v>8013</v>
      </c>
      <c r="B5488" s="3">
        <v>45185</v>
      </c>
      <c r="C5488" t="s">
        <v>1378</v>
      </c>
      <c r="D5488" t="s">
        <v>3478</v>
      </c>
      <c r="E5488">
        <v>1</v>
      </c>
      <c r="F5488" t="s">
        <v>3523</v>
      </c>
      <c r="G5488" t="s">
        <v>3518</v>
      </c>
      <c r="H5488">
        <v>1</v>
      </c>
      <c r="I5488">
        <v>10</v>
      </c>
      <c r="J5488">
        <v>10</v>
      </c>
    </row>
    <row r="5489" spans="1:10" x14ac:dyDescent="0.25">
      <c r="A5489" t="s">
        <v>8014</v>
      </c>
      <c r="B5489" s="3">
        <v>44137</v>
      </c>
      <c r="C5489" t="s">
        <v>1559</v>
      </c>
      <c r="D5489" t="s">
        <v>3489</v>
      </c>
      <c r="E5489">
        <v>4</v>
      </c>
      <c r="F5489" t="s">
        <v>3523</v>
      </c>
      <c r="G5489" t="s">
        <v>3518</v>
      </c>
      <c r="H5489">
        <v>0.5</v>
      </c>
      <c r="I5489">
        <v>6</v>
      </c>
      <c r="J5489">
        <v>24</v>
      </c>
    </row>
    <row r="5490" spans="1:10" x14ac:dyDescent="0.25">
      <c r="A5490" t="s">
        <v>8015</v>
      </c>
      <c r="B5490" s="3">
        <v>44992</v>
      </c>
      <c r="C5490" t="s">
        <v>769</v>
      </c>
      <c r="D5490" t="s">
        <v>3495</v>
      </c>
      <c r="E5490">
        <v>4</v>
      </c>
      <c r="F5490" t="s">
        <v>3525</v>
      </c>
      <c r="G5490" t="s">
        <v>3517</v>
      </c>
      <c r="H5490">
        <v>2.5</v>
      </c>
      <c r="I5490">
        <v>36.5</v>
      </c>
      <c r="J5490">
        <v>146</v>
      </c>
    </row>
    <row r="5491" spans="1:10" x14ac:dyDescent="0.25">
      <c r="A5491" t="s">
        <v>8016</v>
      </c>
      <c r="B5491" s="3">
        <v>45528</v>
      </c>
      <c r="C5491" t="s">
        <v>716</v>
      </c>
      <c r="D5491" t="s">
        <v>3503</v>
      </c>
      <c r="E5491">
        <v>3</v>
      </c>
      <c r="F5491" t="s">
        <v>3524</v>
      </c>
      <c r="G5491" t="s">
        <v>3518</v>
      </c>
      <c r="H5491">
        <v>0.5</v>
      </c>
      <c r="I5491">
        <v>5.4</v>
      </c>
      <c r="J5491">
        <v>16.2</v>
      </c>
    </row>
    <row r="5492" spans="1:10" x14ac:dyDescent="0.25">
      <c r="A5492" t="s">
        <v>8017</v>
      </c>
      <c r="B5492" s="3">
        <v>43691</v>
      </c>
      <c r="C5492" t="s">
        <v>820</v>
      </c>
      <c r="D5492" t="s">
        <v>3476</v>
      </c>
      <c r="E5492">
        <v>1</v>
      </c>
      <c r="F5492" t="s">
        <v>3525</v>
      </c>
      <c r="G5492" t="s">
        <v>3517</v>
      </c>
      <c r="H5492">
        <v>0.2</v>
      </c>
      <c r="I5492">
        <v>4.8</v>
      </c>
      <c r="J5492">
        <v>4.8</v>
      </c>
    </row>
    <row r="5493" spans="1:10" x14ac:dyDescent="0.25">
      <c r="A5493" t="s">
        <v>8018</v>
      </c>
      <c r="B5493" s="3">
        <v>45151</v>
      </c>
      <c r="C5493" t="s">
        <v>638</v>
      </c>
      <c r="D5493" t="s">
        <v>3495</v>
      </c>
      <c r="E5493">
        <v>2</v>
      </c>
      <c r="F5493" t="s">
        <v>3525</v>
      </c>
      <c r="G5493" t="s">
        <v>3517</v>
      </c>
      <c r="H5493">
        <v>2.5</v>
      </c>
      <c r="I5493">
        <v>36.5</v>
      </c>
      <c r="J5493">
        <v>73</v>
      </c>
    </row>
    <row r="5494" spans="1:10" x14ac:dyDescent="0.25">
      <c r="A5494" t="s">
        <v>8019</v>
      </c>
      <c r="B5494" s="3">
        <v>44955</v>
      </c>
      <c r="C5494" t="s">
        <v>2171</v>
      </c>
      <c r="D5494" t="s">
        <v>3491</v>
      </c>
      <c r="E5494">
        <v>3</v>
      </c>
      <c r="F5494" t="s">
        <v>3525</v>
      </c>
      <c r="G5494" t="s">
        <v>3519</v>
      </c>
      <c r="H5494">
        <v>0.5</v>
      </c>
      <c r="I5494">
        <v>8.6999999999999993</v>
      </c>
      <c r="J5494">
        <v>26.1</v>
      </c>
    </row>
    <row r="5495" spans="1:10" x14ac:dyDescent="0.25">
      <c r="A5495" t="s">
        <v>8020</v>
      </c>
      <c r="B5495" s="3">
        <v>45247</v>
      </c>
      <c r="C5495" t="s">
        <v>3351</v>
      </c>
      <c r="D5495" t="s">
        <v>3490</v>
      </c>
      <c r="E5495">
        <v>1</v>
      </c>
      <c r="F5495" t="s">
        <v>3525</v>
      </c>
      <c r="G5495" t="s">
        <v>3519</v>
      </c>
      <c r="H5495">
        <v>0.2</v>
      </c>
      <c r="I5495">
        <v>4.4000000000000004</v>
      </c>
      <c r="J5495">
        <v>4.4000000000000004</v>
      </c>
    </row>
    <row r="5496" spans="1:10" x14ac:dyDescent="0.25">
      <c r="A5496" t="s">
        <v>8021</v>
      </c>
      <c r="B5496" s="3">
        <v>45212</v>
      </c>
      <c r="C5496" t="s">
        <v>3252</v>
      </c>
      <c r="D5496" t="s">
        <v>3486</v>
      </c>
      <c r="E5496">
        <v>1</v>
      </c>
      <c r="F5496" t="s">
        <v>3523</v>
      </c>
      <c r="G5496" t="s">
        <v>3519</v>
      </c>
      <c r="H5496">
        <v>1</v>
      </c>
      <c r="I5496">
        <v>11.3</v>
      </c>
      <c r="J5496">
        <v>11.3</v>
      </c>
    </row>
    <row r="5497" spans="1:10" x14ac:dyDescent="0.25">
      <c r="A5497" t="s">
        <v>8022</v>
      </c>
      <c r="B5497" s="3">
        <v>45493</v>
      </c>
      <c r="C5497" t="s">
        <v>1038</v>
      </c>
      <c r="D5497" t="s">
        <v>3475</v>
      </c>
      <c r="E5497">
        <v>6</v>
      </c>
      <c r="F5497" t="s">
        <v>3526</v>
      </c>
      <c r="G5497" t="s">
        <v>3518</v>
      </c>
      <c r="H5497">
        <v>0.5</v>
      </c>
      <c r="I5497">
        <v>7.3</v>
      </c>
      <c r="J5497">
        <v>43.8</v>
      </c>
    </row>
    <row r="5498" spans="1:10" x14ac:dyDescent="0.25">
      <c r="A5498" t="s">
        <v>8023</v>
      </c>
      <c r="B5498" s="3">
        <v>45223</v>
      </c>
      <c r="C5498" t="s">
        <v>505</v>
      </c>
      <c r="D5498" t="s">
        <v>3480</v>
      </c>
      <c r="E5498">
        <v>5</v>
      </c>
      <c r="F5498" t="s">
        <v>3524</v>
      </c>
      <c r="G5498" t="s">
        <v>3518</v>
      </c>
      <c r="H5498">
        <v>2.5</v>
      </c>
      <c r="I5498">
        <v>20.6</v>
      </c>
      <c r="J5498">
        <v>103</v>
      </c>
    </row>
    <row r="5499" spans="1:10" x14ac:dyDescent="0.25">
      <c r="A5499" t="s">
        <v>8024</v>
      </c>
      <c r="B5499" s="3">
        <v>44735</v>
      </c>
      <c r="C5499" t="s">
        <v>1190</v>
      </c>
      <c r="D5499" t="s">
        <v>3497</v>
      </c>
      <c r="E5499">
        <v>4</v>
      </c>
      <c r="F5499" t="s">
        <v>3526</v>
      </c>
      <c r="G5499" t="s">
        <v>3519</v>
      </c>
      <c r="H5499">
        <v>2.5</v>
      </c>
      <c r="I5499">
        <v>31.6</v>
      </c>
      <c r="J5499">
        <v>126.4</v>
      </c>
    </row>
    <row r="5500" spans="1:10" x14ac:dyDescent="0.25">
      <c r="A5500" t="s">
        <v>8025</v>
      </c>
      <c r="B5500" s="3">
        <v>45525</v>
      </c>
      <c r="C5500" t="s">
        <v>1000</v>
      </c>
      <c r="D5500" t="s">
        <v>3477</v>
      </c>
      <c r="E5500">
        <v>4</v>
      </c>
      <c r="F5500" t="s">
        <v>3524</v>
      </c>
      <c r="G5500" t="s">
        <v>3519</v>
      </c>
      <c r="H5500">
        <v>0.5</v>
      </c>
      <c r="I5500">
        <v>6</v>
      </c>
      <c r="J5500">
        <v>24</v>
      </c>
    </row>
    <row r="5501" spans="1:10" x14ac:dyDescent="0.25">
      <c r="A5501" t="s">
        <v>8026</v>
      </c>
      <c r="B5501" s="3">
        <v>44387</v>
      </c>
      <c r="C5501" t="s">
        <v>1693</v>
      </c>
      <c r="D5501" t="s">
        <v>3512</v>
      </c>
      <c r="E5501">
        <v>1</v>
      </c>
      <c r="F5501" t="s">
        <v>3525</v>
      </c>
      <c r="G5501" t="s">
        <v>3519</v>
      </c>
      <c r="H5501">
        <v>2.5</v>
      </c>
      <c r="I5501">
        <v>33.5</v>
      </c>
      <c r="J5501">
        <v>33.5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AB71-00D5-49AC-A9F6-14A504F2CBFD}">
  <dimension ref="A1:I914"/>
  <sheetViews>
    <sheetView tabSelected="1" workbookViewId="0">
      <selection activeCell="L20" sqref="L20"/>
    </sheetView>
  </sheetViews>
  <sheetFormatPr defaultRowHeight="15" x14ac:dyDescent="0.25"/>
  <cols>
    <col min="1" max="1" width="16.28515625" bestFit="1" customWidth="1"/>
    <col min="2" max="2" width="10.5703125" bestFit="1" customWidth="1"/>
    <col min="3" max="3" width="12.5703125" bestFit="1" customWidth="1"/>
    <col min="4" max="4" width="12" customWidth="1"/>
    <col min="5" max="5" width="10.28515625" bestFit="1" customWidth="1"/>
    <col min="6" max="6" width="10.140625" bestFit="1" customWidth="1"/>
    <col min="7" max="7" width="11" bestFit="1" customWidth="1"/>
    <col min="8" max="8" width="12.42578125" customWidth="1"/>
    <col min="9" max="9" width="24.42578125" bestFit="1" customWidth="1"/>
    <col min="14" max="15" width="17.85546875" bestFit="1" customWidth="1"/>
  </cols>
  <sheetData>
    <row r="1" spans="1:9" x14ac:dyDescent="0.25">
      <c r="A1" t="s">
        <v>8027</v>
      </c>
      <c r="B1" t="s">
        <v>8028</v>
      </c>
      <c r="C1" t="s">
        <v>8029</v>
      </c>
      <c r="D1" t="s">
        <v>8030</v>
      </c>
      <c r="E1" t="s">
        <v>8031</v>
      </c>
      <c r="F1" t="s">
        <v>8032</v>
      </c>
      <c r="G1" t="s">
        <v>8033</v>
      </c>
      <c r="H1" t="s">
        <v>8034</v>
      </c>
      <c r="I1" t="s">
        <v>8035</v>
      </c>
    </row>
    <row r="2" spans="1:9" x14ac:dyDescent="0.25">
      <c r="A2" t="s">
        <v>2545</v>
      </c>
      <c r="B2" s="4">
        <v>591</v>
      </c>
      <c r="C2">
        <v>6</v>
      </c>
      <c r="D2">
        <v>330.2</v>
      </c>
      <c r="E2" cm="1">
        <f t="array" ref="E2">_xlfn.IFS(B2&lt;=_xlfn.PERCENTILE.INC($B$2:$B$726,0.2),5, B2&lt;=_xlfn.PERCENTILE.INC($B$2:$B$726,0.4),4,B2&lt;=_xlfn.PERCENTILE.INC($B$2:$B$726,0.6),3,B2&lt;=_xlfn.PERCENTILE.INC($B$2:$B$726,0.8),4,TRUE,1)</f>
        <v>4</v>
      </c>
      <c r="F2" cm="1">
        <f t="array" ref="F2">_xlfn.IFS(C2&gt;=_xlfn.PERCENTILE.INC($C$2:$C$726,0.8),5,C2&gt;=_xlfn.PERCENTILE.INC($C$2:$C$726,0.6),4,C2&gt;=_xlfn.PERCENTILE.INC($C$2:$C$726,0.4),3,C2&gt;=_xlfn.PERCENTILE.INC($C$2:$C$726,0.2),2,TRUE,1)</f>
        <v>4</v>
      </c>
      <c r="G2" cm="1">
        <f t="array" ref="G2">_xlfn.IFS(D2&gt;=_xlfn.PERCENTILE.INC($D$2:$D$726,0.8),5,D2&gt;=_xlfn.PERCENTILE.INC($D$2:$D$726,0.6),4,D2&gt;=_xlfn.PERCENTILE.INC($D$2:$D$726,0.4),3,D2&gt;=_xlfn.PERCENTILE.INC($D$2:$D$726,0.2),2,TRUE,1)</f>
        <v>4</v>
      </c>
      <c r="H2">
        <f>SUM(E2,F2,G2)</f>
        <v>12</v>
      </c>
      <c r="I2" t="str" cm="1">
        <f t="array" ref="I2">_xlfn.IFS(H2&gt;=13,"Best Customers",H2&gt;=10,"Loyal Customers",H2&gt;=7,"Potential Loyal Customers",H2&gt;=4,"Need Attention",TRUE,"At Risk")</f>
        <v>Loyal Customers</v>
      </c>
    </row>
    <row r="3" spans="1:9" x14ac:dyDescent="0.25">
      <c r="A3" t="s">
        <v>987</v>
      </c>
      <c r="B3" s="4">
        <v>458</v>
      </c>
      <c r="C3">
        <v>3</v>
      </c>
      <c r="D3">
        <v>101.1</v>
      </c>
      <c r="E3" cm="1">
        <f t="array" ref="E3">_xlfn.IFS(B3&lt;=_xlfn.PERCENTILE.INC($B$2:$B$726,0.2),5, B3&lt;=_xlfn.PERCENTILE.INC($B$2:$B$726,0.4),4,B3&lt;=_xlfn.PERCENTILE.INC($B$2:$B$726,0.6),3,B3&lt;=_xlfn.PERCENTILE.INC($B$2:$B$726,0.8),4,TRUE,1)</f>
        <v>4</v>
      </c>
      <c r="F3" cm="1">
        <f t="array" ref="F3">_xlfn.IFS(C3&gt;=_xlfn.PERCENTILE.INC($C$2:$C$726,0.8),5,C3&gt;=_xlfn.PERCENTILE.INC($C$2:$C$726,0.6),4,C3&gt;=_xlfn.PERCENTILE.INC($C$2:$C$726,0.4),3,C3&gt;=_xlfn.PERCENTILE.INC($C$2:$C$726,0.2),2,TRUE,1)</f>
        <v>1</v>
      </c>
      <c r="G3" cm="1">
        <f t="array" ref="G3">_xlfn.IFS(D3&gt;=_xlfn.PERCENTILE.INC($D$2:$D$726,0.8),5,D3&gt;=_xlfn.PERCENTILE.INC($D$2:$D$726,0.6),4,D3&gt;=_xlfn.PERCENTILE.INC($D$2:$D$726,0.4),3,D3&gt;=_xlfn.PERCENTILE.INC($D$2:$D$726,0.2),2,TRUE,1)</f>
        <v>1</v>
      </c>
      <c r="H3">
        <f t="shared" ref="H3:H66" si="0">SUM(E3,F3,G3)</f>
        <v>6</v>
      </c>
      <c r="I3" t="str" cm="1">
        <f t="array" ref="I3">_xlfn.IFS(H3&gt;=13,"Best Customers",H3&gt;=10,"Loyal Customers",H3&gt;=7,"Potential Loyal Customers",H3&gt;=4,"Need Attention",TRUE,"At Risk")</f>
        <v>Need Attention</v>
      </c>
    </row>
    <row r="4" spans="1:9" x14ac:dyDescent="0.25">
      <c r="A4" t="s">
        <v>2359</v>
      </c>
      <c r="B4" s="4">
        <v>552</v>
      </c>
      <c r="C4">
        <v>10</v>
      </c>
      <c r="D4">
        <v>384.4</v>
      </c>
      <c r="E4" cm="1">
        <f t="array" ref="E4">_xlfn.IFS(B4&lt;=_xlfn.PERCENTILE.INC($B$2:$B$726,0.2),5, B4&lt;=_xlfn.PERCENTILE.INC($B$2:$B$726,0.4),4,B4&lt;=_xlfn.PERCENTILE.INC($B$2:$B$726,0.6),3,B4&lt;=_xlfn.PERCENTILE.INC($B$2:$B$726,0.8),4,TRUE,1)</f>
        <v>3</v>
      </c>
      <c r="F4" cm="1">
        <f t="array" ref="F4">_xlfn.IFS(C4&gt;=_xlfn.PERCENTILE.INC($C$2:$C$726,0.8),5,C4&gt;=_xlfn.PERCENTILE.INC($C$2:$C$726,0.6),4,C4&gt;=_xlfn.PERCENTILE.INC($C$2:$C$726,0.4),3,C4&gt;=_xlfn.PERCENTILE.INC($C$2:$C$726,0.2),2,TRUE,1)</f>
        <v>5</v>
      </c>
      <c r="G4" cm="1">
        <f t="array" ref="G4">_xlfn.IFS(D4&gt;=_xlfn.PERCENTILE.INC($D$2:$D$726,0.8),5,D4&gt;=_xlfn.PERCENTILE.INC($D$2:$D$726,0.6),4,D4&gt;=_xlfn.PERCENTILE.INC($D$2:$D$726,0.4),3,D4&gt;=_xlfn.PERCENTILE.INC($D$2:$D$726,0.2),2,TRUE,1)</f>
        <v>4</v>
      </c>
      <c r="H4">
        <f t="shared" si="0"/>
        <v>12</v>
      </c>
      <c r="I4" t="str" cm="1">
        <f t="array" ref="I4">_xlfn.IFS(H4&gt;=13,"Best Customers",H4&gt;=10,"Loyal Customers",H4&gt;=7,"Potential Loyal Customers",H4&gt;=4,"Need Attention",TRUE,"At Risk")</f>
        <v>Loyal Customers</v>
      </c>
    </row>
    <row r="5" spans="1:9" x14ac:dyDescent="0.25">
      <c r="A5" t="s">
        <v>787</v>
      </c>
      <c r="B5" s="4">
        <v>2101</v>
      </c>
      <c r="C5">
        <v>2</v>
      </c>
      <c r="D5">
        <v>210.7</v>
      </c>
      <c r="E5" cm="1">
        <f t="array" ref="E5">_xlfn.IFS(B5&lt;=_xlfn.PERCENTILE.INC($B$2:$B$726,0.2),5, B5&lt;=_xlfn.PERCENTILE.INC($B$2:$B$726,0.4),4,B5&lt;=_xlfn.PERCENTILE.INC($B$2:$B$726,0.6),3,B5&lt;=_xlfn.PERCENTILE.INC($B$2:$B$726,0.8),4,TRUE,1)</f>
        <v>1</v>
      </c>
      <c r="F5" cm="1">
        <f t="array" ref="F5">_xlfn.IFS(C5&gt;=_xlfn.PERCENTILE.INC($C$2:$C$726,0.8),5,C5&gt;=_xlfn.PERCENTILE.INC($C$2:$C$726,0.6),4,C5&gt;=_xlfn.PERCENTILE.INC($C$2:$C$726,0.4),3,C5&gt;=_xlfn.PERCENTILE.INC($C$2:$C$726,0.2),2,TRUE,1)</f>
        <v>1</v>
      </c>
      <c r="G5" cm="1">
        <f t="array" ref="G5">_xlfn.IFS(D5&gt;=_xlfn.PERCENTILE.INC($D$2:$D$726,0.8),5,D5&gt;=_xlfn.PERCENTILE.INC($D$2:$D$726,0.6),4,D5&gt;=_xlfn.PERCENTILE.INC($D$2:$D$726,0.4),3,D5&gt;=_xlfn.PERCENTILE.INC($D$2:$D$726,0.2),2,TRUE,1)</f>
        <v>2</v>
      </c>
      <c r="H5">
        <f t="shared" si="0"/>
        <v>4</v>
      </c>
      <c r="I5" t="str" cm="1">
        <f t="array" ref="I5">_xlfn.IFS(H5&gt;=13,"Best Customers",H5&gt;=10,"Loyal Customers",H5&gt;=7,"Potential Loyal Customers",H5&gt;=4,"Need Attention",TRUE,"At Risk")</f>
        <v>Need Attention</v>
      </c>
    </row>
    <row r="6" spans="1:9" x14ac:dyDescent="0.25">
      <c r="A6" t="s">
        <v>3004</v>
      </c>
      <c r="B6" s="4">
        <v>833</v>
      </c>
      <c r="C6">
        <v>6</v>
      </c>
      <c r="D6">
        <v>288.5</v>
      </c>
      <c r="E6" cm="1">
        <f t="array" ref="E6">_xlfn.IFS(B6&lt;=_xlfn.PERCENTILE.INC($B$2:$B$726,0.2),5, B6&lt;=_xlfn.PERCENTILE.INC($B$2:$B$726,0.4),4,B6&lt;=_xlfn.PERCENTILE.INC($B$2:$B$726,0.6),3,B6&lt;=_xlfn.PERCENTILE.INC($B$2:$B$726,0.8),4,TRUE,1)</f>
        <v>1</v>
      </c>
      <c r="F6" cm="1">
        <f t="array" ref="F6">_xlfn.IFS(C6&gt;=_xlfn.PERCENTILE.INC($C$2:$C$726,0.8),5,C6&gt;=_xlfn.PERCENTILE.INC($C$2:$C$726,0.6),4,C6&gt;=_xlfn.PERCENTILE.INC($C$2:$C$726,0.4),3,C6&gt;=_xlfn.PERCENTILE.INC($C$2:$C$726,0.2),2,TRUE,1)</f>
        <v>4</v>
      </c>
      <c r="G6" cm="1">
        <f t="array" ref="G6">_xlfn.IFS(D6&gt;=_xlfn.PERCENTILE.INC($D$2:$D$726,0.8),5,D6&gt;=_xlfn.PERCENTILE.INC($D$2:$D$726,0.6),4,D6&gt;=_xlfn.PERCENTILE.INC($D$2:$D$726,0.4),3,D6&gt;=_xlfn.PERCENTILE.INC($D$2:$D$726,0.2),2,TRUE,1)</f>
        <v>3</v>
      </c>
      <c r="H6">
        <f t="shared" si="0"/>
        <v>8</v>
      </c>
      <c r="I6" t="str" cm="1">
        <f t="array" ref="I6">_xlfn.IFS(H6&gt;=13,"Best Customers",H6&gt;=10,"Loyal Customers",H6&gt;=7,"Potential Loyal Customers",H6&gt;=4,"Need Attention",TRUE,"At Risk")</f>
        <v>Potential Loyal Customers</v>
      </c>
    </row>
    <row r="7" spans="1:9" x14ac:dyDescent="0.25">
      <c r="A7" t="s">
        <v>3312</v>
      </c>
      <c r="B7" s="4">
        <v>578</v>
      </c>
      <c r="C7">
        <v>5</v>
      </c>
      <c r="D7">
        <v>228.90000000000003</v>
      </c>
      <c r="E7" cm="1">
        <f t="array" ref="E7">_xlfn.IFS(B7&lt;=_xlfn.PERCENTILE.INC($B$2:$B$726,0.2),5, B7&lt;=_xlfn.PERCENTILE.INC($B$2:$B$726,0.4),4,B7&lt;=_xlfn.PERCENTILE.INC($B$2:$B$726,0.6),3,B7&lt;=_xlfn.PERCENTILE.INC($B$2:$B$726,0.8),4,TRUE,1)</f>
        <v>4</v>
      </c>
      <c r="F7" cm="1">
        <f t="array" ref="F7">_xlfn.IFS(C7&gt;=_xlfn.PERCENTILE.INC($C$2:$C$726,0.8),5,C7&gt;=_xlfn.PERCENTILE.INC($C$2:$C$726,0.6),4,C7&gt;=_xlfn.PERCENTILE.INC($C$2:$C$726,0.4),3,C7&gt;=_xlfn.PERCENTILE.INC($C$2:$C$726,0.2),2,TRUE,1)</f>
        <v>3</v>
      </c>
      <c r="G7" cm="1">
        <f t="array" ref="G7">_xlfn.IFS(D7&gt;=_xlfn.PERCENTILE.INC($D$2:$D$726,0.8),5,D7&gt;=_xlfn.PERCENTILE.INC($D$2:$D$726,0.6),4,D7&gt;=_xlfn.PERCENTILE.INC($D$2:$D$726,0.4),3,D7&gt;=_xlfn.PERCENTILE.INC($D$2:$D$726,0.2),2,TRUE,1)</f>
        <v>2</v>
      </c>
      <c r="H7">
        <f t="shared" si="0"/>
        <v>9</v>
      </c>
      <c r="I7" t="str" cm="1">
        <f t="array" ref="I7">_xlfn.IFS(H7&gt;=13,"Best Customers",H7&gt;=10,"Loyal Customers",H7&gt;=7,"Potential Loyal Customers",H7&gt;=4,"Need Attention",TRUE,"At Risk")</f>
        <v>Potential Loyal Customers</v>
      </c>
    </row>
    <row r="8" spans="1:9" x14ac:dyDescent="0.25">
      <c r="A8" t="s">
        <v>570</v>
      </c>
      <c r="B8" s="4">
        <v>495</v>
      </c>
      <c r="C8">
        <v>4</v>
      </c>
      <c r="D8">
        <v>243.3</v>
      </c>
      <c r="E8" cm="1">
        <f t="array" ref="E8">_xlfn.IFS(B8&lt;=_xlfn.PERCENTILE.INC($B$2:$B$726,0.2),5, B8&lt;=_xlfn.PERCENTILE.INC($B$2:$B$726,0.4),4,B8&lt;=_xlfn.PERCENTILE.INC($B$2:$B$726,0.6),3,B8&lt;=_xlfn.PERCENTILE.INC($B$2:$B$726,0.8),4,TRUE,1)</f>
        <v>3</v>
      </c>
      <c r="F8" cm="1">
        <f t="array" ref="F8">_xlfn.IFS(C8&gt;=_xlfn.PERCENTILE.INC($C$2:$C$726,0.8),5,C8&gt;=_xlfn.PERCENTILE.INC($C$2:$C$726,0.6),4,C8&gt;=_xlfn.PERCENTILE.INC($C$2:$C$726,0.4),3,C8&gt;=_xlfn.PERCENTILE.INC($C$2:$C$726,0.2),2,TRUE,1)</f>
        <v>2</v>
      </c>
      <c r="G8" cm="1">
        <f t="array" ref="G8">_xlfn.IFS(D8&gt;=_xlfn.PERCENTILE.INC($D$2:$D$726,0.8),5,D8&gt;=_xlfn.PERCENTILE.INC($D$2:$D$726,0.6),4,D8&gt;=_xlfn.PERCENTILE.INC($D$2:$D$726,0.4),3,D8&gt;=_xlfn.PERCENTILE.INC($D$2:$D$726,0.2),2,TRUE,1)</f>
        <v>3</v>
      </c>
      <c r="H8">
        <f t="shared" si="0"/>
        <v>8</v>
      </c>
      <c r="I8" t="str" cm="1">
        <f t="array" ref="I8">_xlfn.IFS(H8&gt;=13,"Best Customers",H8&gt;=10,"Loyal Customers",H8&gt;=7,"Potential Loyal Customers",H8&gt;=4,"Need Attention",TRUE,"At Risk")</f>
        <v>Potential Loyal Customers</v>
      </c>
    </row>
    <row r="9" spans="1:9" x14ac:dyDescent="0.25">
      <c r="A9" t="s">
        <v>1109</v>
      </c>
      <c r="B9" s="4">
        <v>701</v>
      </c>
      <c r="C9">
        <v>9</v>
      </c>
      <c r="D9">
        <v>337.9</v>
      </c>
      <c r="E9" cm="1">
        <f t="array" ref="E9">_xlfn.IFS(B9&lt;=_xlfn.PERCENTILE.INC($B$2:$B$726,0.2),5, B9&lt;=_xlfn.PERCENTILE.INC($B$2:$B$726,0.4),4,B9&lt;=_xlfn.PERCENTILE.INC($B$2:$B$726,0.6),3,B9&lt;=_xlfn.PERCENTILE.INC($B$2:$B$726,0.8),4,TRUE,1)</f>
        <v>4</v>
      </c>
      <c r="F9" cm="1">
        <f t="array" ref="F9">_xlfn.IFS(C9&gt;=_xlfn.PERCENTILE.INC($C$2:$C$726,0.8),5,C9&gt;=_xlfn.PERCENTILE.INC($C$2:$C$726,0.6),4,C9&gt;=_xlfn.PERCENTILE.INC($C$2:$C$726,0.4),3,C9&gt;=_xlfn.PERCENTILE.INC($C$2:$C$726,0.2),2,TRUE,1)</f>
        <v>5</v>
      </c>
      <c r="G9" cm="1">
        <f t="array" ref="G9">_xlfn.IFS(D9&gt;=_xlfn.PERCENTILE.INC($D$2:$D$726,0.8),5,D9&gt;=_xlfn.PERCENTILE.INC($D$2:$D$726,0.6),4,D9&gt;=_xlfn.PERCENTILE.INC($D$2:$D$726,0.4),3,D9&gt;=_xlfn.PERCENTILE.INC($D$2:$D$726,0.2),2,TRUE,1)</f>
        <v>4</v>
      </c>
      <c r="H9">
        <f t="shared" si="0"/>
        <v>13</v>
      </c>
      <c r="I9" t="str" cm="1">
        <f t="array" ref="I9">_xlfn.IFS(H9&gt;=13,"Best Customers",H9&gt;=10,"Loyal Customers",H9&gt;=7,"Potential Loyal Customers",H9&gt;=4,"Need Attention",TRUE,"At Risk")</f>
        <v>Best Customers</v>
      </c>
    </row>
    <row r="10" spans="1:9" x14ac:dyDescent="0.25">
      <c r="A10" t="s">
        <v>3426</v>
      </c>
      <c r="B10" s="4">
        <v>616</v>
      </c>
      <c r="C10">
        <v>7</v>
      </c>
      <c r="D10">
        <v>186.5</v>
      </c>
      <c r="E10" cm="1">
        <f t="array" ref="E10">_xlfn.IFS(B10&lt;=_xlfn.PERCENTILE.INC($B$2:$B$726,0.2),5, B10&lt;=_xlfn.PERCENTILE.INC($B$2:$B$726,0.4),4,B10&lt;=_xlfn.PERCENTILE.INC($B$2:$B$726,0.6),3,B10&lt;=_xlfn.PERCENTILE.INC($B$2:$B$726,0.8),4,TRUE,1)</f>
        <v>4</v>
      </c>
      <c r="F10" cm="1">
        <f t="array" ref="F10">_xlfn.IFS(C10&gt;=_xlfn.PERCENTILE.INC($C$2:$C$726,0.8),5,C10&gt;=_xlfn.PERCENTILE.INC($C$2:$C$726,0.6),4,C10&gt;=_xlfn.PERCENTILE.INC($C$2:$C$726,0.4),3,C10&gt;=_xlfn.PERCENTILE.INC($C$2:$C$726,0.2),2,TRUE,1)</f>
        <v>4</v>
      </c>
      <c r="G10" cm="1">
        <f t="array" ref="G10">_xlfn.IFS(D10&gt;=_xlfn.PERCENTILE.INC($D$2:$D$726,0.8),5,D10&gt;=_xlfn.PERCENTILE.INC($D$2:$D$726,0.6),4,D10&gt;=_xlfn.PERCENTILE.INC($D$2:$D$726,0.4),3,D10&gt;=_xlfn.PERCENTILE.INC($D$2:$D$726,0.2),2,TRUE,1)</f>
        <v>2</v>
      </c>
      <c r="H10">
        <f t="shared" si="0"/>
        <v>10</v>
      </c>
      <c r="I10" t="str" cm="1">
        <f t="array" ref="I10">_xlfn.IFS(H10&gt;=13,"Best Customers",H10&gt;=10,"Loyal Customers",H10&gt;=7,"Potential Loyal Customers",H10&gt;=4,"Need Attention",TRUE,"At Risk")</f>
        <v>Loyal Customers</v>
      </c>
    </row>
    <row r="11" spans="1:9" x14ac:dyDescent="0.25">
      <c r="A11" t="s">
        <v>912</v>
      </c>
      <c r="B11" s="4">
        <v>947</v>
      </c>
      <c r="C11">
        <v>3</v>
      </c>
      <c r="D11">
        <v>103.3</v>
      </c>
      <c r="E11" cm="1">
        <f t="array" ref="E11">_xlfn.IFS(B11&lt;=_xlfn.PERCENTILE.INC($B$2:$B$726,0.2),5, B11&lt;=_xlfn.PERCENTILE.INC($B$2:$B$726,0.4),4,B11&lt;=_xlfn.PERCENTILE.INC($B$2:$B$726,0.6),3,B11&lt;=_xlfn.PERCENTILE.INC($B$2:$B$726,0.8),4,TRUE,1)</f>
        <v>1</v>
      </c>
      <c r="F11" cm="1">
        <f t="array" ref="F11">_xlfn.IFS(C11&gt;=_xlfn.PERCENTILE.INC($C$2:$C$726,0.8),5,C11&gt;=_xlfn.PERCENTILE.INC($C$2:$C$726,0.6),4,C11&gt;=_xlfn.PERCENTILE.INC($C$2:$C$726,0.4),3,C11&gt;=_xlfn.PERCENTILE.INC($C$2:$C$726,0.2),2,TRUE,1)</f>
        <v>1</v>
      </c>
      <c r="G11" cm="1">
        <f t="array" ref="G11">_xlfn.IFS(D11&gt;=_xlfn.PERCENTILE.INC($D$2:$D$726,0.8),5,D11&gt;=_xlfn.PERCENTILE.INC($D$2:$D$726,0.6),4,D11&gt;=_xlfn.PERCENTILE.INC($D$2:$D$726,0.4),3,D11&gt;=_xlfn.PERCENTILE.INC($D$2:$D$726,0.2),2,TRUE,1)</f>
        <v>1</v>
      </c>
      <c r="H11">
        <f t="shared" si="0"/>
        <v>3</v>
      </c>
      <c r="I11" t="str" cm="1">
        <f t="array" ref="I11">_xlfn.IFS(H11&gt;=13,"Best Customers",H11&gt;=10,"Loyal Customers",H11&gt;=7,"Potential Loyal Customers",H11&gt;=4,"Need Attention",TRUE,"At Risk")</f>
        <v>At Risk</v>
      </c>
    </row>
    <row r="12" spans="1:9" x14ac:dyDescent="0.25">
      <c r="A12" t="s">
        <v>2648</v>
      </c>
      <c r="B12" s="4">
        <v>1916</v>
      </c>
      <c r="C12">
        <v>1</v>
      </c>
      <c r="D12">
        <v>6.8</v>
      </c>
      <c r="E12" cm="1">
        <f t="array" ref="E12">_xlfn.IFS(B12&lt;=_xlfn.PERCENTILE.INC($B$2:$B$726,0.2),5, B12&lt;=_xlfn.PERCENTILE.INC($B$2:$B$726,0.4),4,B12&lt;=_xlfn.PERCENTILE.INC($B$2:$B$726,0.6),3,B12&lt;=_xlfn.PERCENTILE.INC($B$2:$B$726,0.8),4,TRUE,1)</f>
        <v>1</v>
      </c>
      <c r="F12" cm="1">
        <f t="array" ref="F12">_xlfn.IFS(C12&gt;=_xlfn.PERCENTILE.INC($C$2:$C$726,0.8),5,C12&gt;=_xlfn.PERCENTILE.INC($C$2:$C$726,0.6),4,C12&gt;=_xlfn.PERCENTILE.INC($C$2:$C$726,0.4),3,C12&gt;=_xlfn.PERCENTILE.INC($C$2:$C$726,0.2),2,TRUE,1)</f>
        <v>1</v>
      </c>
      <c r="G12" cm="1">
        <f t="array" ref="G12">_xlfn.IFS(D12&gt;=_xlfn.PERCENTILE.INC($D$2:$D$726,0.8),5,D12&gt;=_xlfn.PERCENTILE.INC($D$2:$D$726,0.6),4,D12&gt;=_xlfn.PERCENTILE.INC($D$2:$D$726,0.4),3,D12&gt;=_xlfn.PERCENTILE.INC($D$2:$D$726,0.2),2,TRUE,1)</f>
        <v>1</v>
      </c>
      <c r="H12">
        <f t="shared" si="0"/>
        <v>3</v>
      </c>
      <c r="I12" t="str" cm="1">
        <f t="array" ref="I12">_xlfn.IFS(H12&gt;=13,"Best Customers",H12&gt;=10,"Loyal Customers",H12&gt;=7,"Potential Loyal Customers",H12&gt;=4,"Need Attention",TRUE,"At Risk")</f>
        <v>At Risk</v>
      </c>
    </row>
    <row r="13" spans="1:9" x14ac:dyDescent="0.25">
      <c r="A13" t="s">
        <v>1041</v>
      </c>
      <c r="B13" s="4">
        <v>409</v>
      </c>
      <c r="C13">
        <v>7</v>
      </c>
      <c r="D13">
        <v>260.90000000000003</v>
      </c>
      <c r="E13" cm="1">
        <f t="array" ref="E13">_xlfn.IFS(B13&lt;=_xlfn.PERCENTILE.INC($B$2:$B$726,0.2),5, B13&lt;=_xlfn.PERCENTILE.INC($B$2:$B$726,0.4),4,B13&lt;=_xlfn.PERCENTILE.INC($B$2:$B$726,0.6),3,B13&lt;=_xlfn.PERCENTILE.INC($B$2:$B$726,0.8),4,TRUE,1)</f>
        <v>4</v>
      </c>
      <c r="F13" cm="1">
        <f t="array" ref="F13">_xlfn.IFS(C13&gt;=_xlfn.PERCENTILE.INC($C$2:$C$726,0.8),5,C13&gt;=_xlfn.PERCENTILE.INC($C$2:$C$726,0.6),4,C13&gt;=_xlfn.PERCENTILE.INC($C$2:$C$726,0.4),3,C13&gt;=_xlfn.PERCENTILE.INC($C$2:$C$726,0.2),2,TRUE,1)</f>
        <v>4</v>
      </c>
      <c r="G13" cm="1">
        <f t="array" ref="G13">_xlfn.IFS(D13&gt;=_xlfn.PERCENTILE.INC($D$2:$D$726,0.8),5,D13&gt;=_xlfn.PERCENTILE.INC($D$2:$D$726,0.6),4,D13&gt;=_xlfn.PERCENTILE.INC($D$2:$D$726,0.4),3,D13&gt;=_xlfn.PERCENTILE.INC($D$2:$D$726,0.2),2,TRUE,1)</f>
        <v>3</v>
      </c>
      <c r="H13">
        <f t="shared" si="0"/>
        <v>11</v>
      </c>
      <c r="I13" t="str" cm="1">
        <f t="array" ref="I13">_xlfn.IFS(H13&gt;=13,"Best Customers",H13&gt;=10,"Loyal Customers",H13&gt;=7,"Potential Loyal Customers",H13&gt;=4,"Need Attention",TRUE,"At Risk")</f>
        <v>Loyal Customers</v>
      </c>
    </row>
    <row r="14" spans="1:9" x14ac:dyDescent="0.25">
      <c r="A14" t="s">
        <v>676</v>
      </c>
      <c r="B14" s="4">
        <v>432</v>
      </c>
      <c r="C14">
        <v>7</v>
      </c>
      <c r="D14">
        <v>260.10000000000002</v>
      </c>
      <c r="E14" cm="1">
        <f t="array" ref="E14">_xlfn.IFS(B14&lt;=_xlfn.PERCENTILE.INC($B$2:$B$726,0.2),5, B14&lt;=_xlfn.PERCENTILE.INC($B$2:$B$726,0.4),4,B14&lt;=_xlfn.PERCENTILE.INC($B$2:$B$726,0.6),3,B14&lt;=_xlfn.PERCENTILE.INC($B$2:$B$726,0.8),4,TRUE,1)</f>
        <v>4</v>
      </c>
      <c r="F14" cm="1">
        <f t="array" ref="F14">_xlfn.IFS(C14&gt;=_xlfn.PERCENTILE.INC($C$2:$C$726,0.8),5,C14&gt;=_xlfn.PERCENTILE.INC($C$2:$C$726,0.6),4,C14&gt;=_xlfn.PERCENTILE.INC($C$2:$C$726,0.4),3,C14&gt;=_xlfn.PERCENTILE.INC($C$2:$C$726,0.2),2,TRUE,1)</f>
        <v>4</v>
      </c>
      <c r="G14" cm="1">
        <f t="array" ref="G14">_xlfn.IFS(D14&gt;=_xlfn.PERCENTILE.INC($D$2:$D$726,0.8),5,D14&gt;=_xlfn.PERCENTILE.INC($D$2:$D$726,0.6),4,D14&gt;=_xlfn.PERCENTILE.INC($D$2:$D$726,0.4),3,D14&gt;=_xlfn.PERCENTILE.INC($D$2:$D$726,0.2),2,TRUE,1)</f>
        <v>3</v>
      </c>
      <c r="H14">
        <f t="shared" si="0"/>
        <v>11</v>
      </c>
      <c r="I14" t="str" cm="1">
        <f t="array" ref="I14">_xlfn.IFS(H14&gt;=13,"Best Customers",H14&gt;=10,"Loyal Customers",H14&gt;=7,"Potential Loyal Customers",H14&gt;=4,"Need Attention",TRUE,"At Risk")</f>
        <v>Loyal Customers</v>
      </c>
    </row>
    <row r="15" spans="1:9" x14ac:dyDescent="0.25">
      <c r="A15" t="s">
        <v>3276</v>
      </c>
      <c r="B15" s="4">
        <v>665</v>
      </c>
      <c r="C15">
        <v>3</v>
      </c>
      <c r="D15">
        <v>184.10000000000002</v>
      </c>
      <c r="E15" cm="1">
        <f t="array" ref="E15">_xlfn.IFS(B15&lt;=_xlfn.PERCENTILE.INC($B$2:$B$726,0.2),5, B15&lt;=_xlfn.PERCENTILE.INC($B$2:$B$726,0.4),4,B15&lt;=_xlfn.PERCENTILE.INC($B$2:$B$726,0.6),3,B15&lt;=_xlfn.PERCENTILE.INC($B$2:$B$726,0.8),4,TRUE,1)</f>
        <v>4</v>
      </c>
      <c r="F15" cm="1">
        <f t="array" ref="F15">_xlfn.IFS(C15&gt;=_xlfn.PERCENTILE.INC($C$2:$C$726,0.8),5,C15&gt;=_xlfn.PERCENTILE.INC($C$2:$C$726,0.6),4,C15&gt;=_xlfn.PERCENTILE.INC($C$2:$C$726,0.4),3,C15&gt;=_xlfn.PERCENTILE.INC($C$2:$C$726,0.2),2,TRUE,1)</f>
        <v>1</v>
      </c>
      <c r="G15" cm="1">
        <f t="array" ref="G15">_xlfn.IFS(D15&gt;=_xlfn.PERCENTILE.INC($D$2:$D$726,0.8),5,D15&gt;=_xlfn.PERCENTILE.INC($D$2:$D$726,0.6),4,D15&gt;=_xlfn.PERCENTILE.INC($D$2:$D$726,0.4),3,D15&gt;=_xlfn.PERCENTILE.INC($D$2:$D$726,0.2),2,TRUE,1)</f>
        <v>2</v>
      </c>
      <c r="H15">
        <f t="shared" si="0"/>
        <v>7</v>
      </c>
      <c r="I15" t="str" cm="1">
        <f t="array" ref="I15">_xlfn.IFS(H15&gt;=13,"Best Customers",H15&gt;=10,"Loyal Customers",H15&gt;=7,"Potential Loyal Customers",H15&gt;=4,"Need Attention",TRUE,"At Risk")</f>
        <v>Potential Loyal Customers</v>
      </c>
    </row>
    <row r="16" spans="1:9" x14ac:dyDescent="0.25">
      <c r="A16" t="s">
        <v>2910</v>
      </c>
      <c r="B16" s="4">
        <v>603</v>
      </c>
      <c r="C16">
        <v>3</v>
      </c>
      <c r="D16">
        <v>383.7</v>
      </c>
      <c r="E16" cm="1">
        <f t="array" ref="E16">_xlfn.IFS(B16&lt;=_xlfn.PERCENTILE.INC($B$2:$B$726,0.2),5, B16&lt;=_xlfn.PERCENTILE.INC($B$2:$B$726,0.4),4,B16&lt;=_xlfn.PERCENTILE.INC($B$2:$B$726,0.6),3,B16&lt;=_xlfn.PERCENTILE.INC($B$2:$B$726,0.8),4,TRUE,1)</f>
        <v>4</v>
      </c>
      <c r="F16" cm="1">
        <f t="array" ref="F16">_xlfn.IFS(C16&gt;=_xlfn.PERCENTILE.INC($C$2:$C$726,0.8),5,C16&gt;=_xlfn.PERCENTILE.INC($C$2:$C$726,0.6),4,C16&gt;=_xlfn.PERCENTILE.INC($C$2:$C$726,0.4),3,C16&gt;=_xlfn.PERCENTILE.INC($C$2:$C$726,0.2),2,TRUE,1)</f>
        <v>1</v>
      </c>
      <c r="G16" cm="1">
        <f t="array" ref="G16">_xlfn.IFS(D16&gt;=_xlfn.PERCENTILE.INC($D$2:$D$726,0.8),5,D16&gt;=_xlfn.PERCENTILE.INC($D$2:$D$726,0.6),4,D16&gt;=_xlfn.PERCENTILE.INC($D$2:$D$726,0.4),3,D16&gt;=_xlfn.PERCENTILE.INC($D$2:$D$726,0.2),2,TRUE,1)</f>
        <v>4</v>
      </c>
      <c r="H16">
        <f t="shared" si="0"/>
        <v>9</v>
      </c>
      <c r="I16" t="str" cm="1">
        <f t="array" ref="I16">_xlfn.IFS(H16&gt;=13,"Best Customers",H16&gt;=10,"Loyal Customers",H16&gt;=7,"Potential Loyal Customers",H16&gt;=4,"Need Attention",TRUE,"At Risk")</f>
        <v>Potential Loyal Customers</v>
      </c>
    </row>
    <row r="17" spans="1:9" x14ac:dyDescent="0.25">
      <c r="A17" t="s">
        <v>1091</v>
      </c>
      <c r="B17" s="4">
        <v>476</v>
      </c>
      <c r="C17">
        <v>5</v>
      </c>
      <c r="D17">
        <v>221.1</v>
      </c>
      <c r="E17" cm="1">
        <f t="array" ref="E17">_xlfn.IFS(B17&lt;=_xlfn.PERCENTILE.INC($B$2:$B$726,0.2),5, B17&lt;=_xlfn.PERCENTILE.INC($B$2:$B$726,0.4),4,B17&lt;=_xlfn.PERCENTILE.INC($B$2:$B$726,0.6),3,B17&lt;=_xlfn.PERCENTILE.INC($B$2:$B$726,0.8),4,TRUE,1)</f>
        <v>3</v>
      </c>
      <c r="F17" cm="1">
        <f t="array" ref="F17">_xlfn.IFS(C17&gt;=_xlfn.PERCENTILE.INC($C$2:$C$726,0.8),5,C17&gt;=_xlfn.PERCENTILE.INC($C$2:$C$726,0.6),4,C17&gt;=_xlfn.PERCENTILE.INC($C$2:$C$726,0.4),3,C17&gt;=_xlfn.PERCENTILE.INC($C$2:$C$726,0.2),2,TRUE,1)</f>
        <v>3</v>
      </c>
      <c r="G17" cm="1">
        <f t="array" ref="G17">_xlfn.IFS(D17&gt;=_xlfn.PERCENTILE.INC($D$2:$D$726,0.8),5,D17&gt;=_xlfn.PERCENTILE.INC($D$2:$D$726,0.6),4,D17&gt;=_xlfn.PERCENTILE.INC($D$2:$D$726,0.4),3,D17&gt;=_xlfn.PERCENTILE.INC($D$2:$D$726,0.2),2,TRUE,1)</f>
        <v>2</v>
      </c>
      <c r="H17">
        <f t="shared" si="0"/>
        <v>8</v>
      </c>
      <c r="I17" t="str" cm="1">
        <f t="array" ref="I17">_xlfn.IFS(H17&gt;=13,"Best Customers",H17&gt;=10,"Loyal Customers",H17&gt;=7,"Potential Loyal Customers",H17&gt;=4,"Need Attention",TRUE,"At Risk")</f>
        <v>Potential Loyal Customers</v>
      </c>
    </row>
    <row r="18" spans="1:9" x14ac:dyDescent="0.25">
      <c r="A18" t="s">
        <v>2834</v>
      </c>
      <c r="B18" s="4">
        <v>415</v>
      </c>
      <c r="C18">
        <v>11</v>
      </c>
      <c r="D18">
        <v>300.89999999999998</v>
      </c>
      <c r="E18" cm="1">
        <f t="array" ref="E18">_xlfn.IFS(B18&lt;=_xlfn.PERCENTILE.INC($B$2:$B$726,0.2),5, B18&lt;=_xlfn.PERCENTILE.INC($B$2:$B$726,0.4),4,B18&lt;=_xlfn.PERCENTILE.INC($B$2:$B$726,0.6),3,B18&lt;=_xlfn.PERCENTILE.INC($B$2:$B$726,0.8),4,TRUE,1)</f>
        <v>4</v>
      </c>
      <c r="F18" cm="1">
        <f t="array" ref="F18">_xlfn.IFS(C18&gt;=_xlfn.PERCENTILE.INC($C$2:$C$726,0.8),5,C18&gt;=_xlfn.PERCENTILE.INC($C$2:$C$726,0.6),4,C18&gt;=_xlfn.PERCENTILE.INC($C$2:$C$726,0.4),3,C18&gt;=_xlfn.PERCENTILE.INC($C$2:$C$726,0.2),2,TRUE,1)</f>
        <v>5</v>
      </c>
      <c r="G18" cm="1">
        <f t="array" ref="G18">_xlfn.IFS(D18&gt;=_xlfn.PERCENTILE.INC($D$2:$D$726,0.8),5,D18&gt;=_xlfn.PERCENTILE.INC($D$2:$D$726,0.6),4,D18&gt;=_xlfn.PERCENTILE.INC($D$2:$D$726,0.4),3,D18&gt;=_xlfn.PERCENTILE.INC($D$2:$D$726,0.2),2,TRUE,1)</f>
        <v>3</v>
      </c>
      <c r="H18">
        <f t="shared" si="0"/>
        <v>12</v>
      </c>
      <c r="I18" t="str" cm="1">
        <f t="array" ref="I18">_xlfn.IFS(H18&gt;=13,"Best Customers",H18&gt;=10,"Loyal Customers",H18&gt;=7,"Potential Loyal Customers",H18&gt;=4,"Need Attention",TRUE,"At Risk")</f>
        <v>Loyal Customers</v>
      </c>
    </row>
    <row r="19" spans="1:9" x14ac:dyDescent="0.25">
      <c r="A19" t="s">
        <v>2344</v>
      </c>
      <c r="B19" s="4">
        <v>844</v>
      </c>
      <c r="C19">
        <v>3</v>
      </c>
      <c r="D19">
        <v>62</v>
      </c>
      <c r="E19" cm="1">
        <f t="array" ref="E19">_xlfn.IFS(B19&lt;=_xlfn.PERCENTILE.INC($B$2:$B$726,0.2),5, B19&lt;=_xlfn.PERCENTILE.INC($B$2:$B$726,0.4),4,B19&lt;=_xlfn.PERCENTILE.INC($B$2:$B$726,0.6),3,B19&lt;=_xlfn.PERCENTILE.INC($B$2:$B$726,0.8),4,TRUE,1)</f>
        <v>1</v>
      </c>
      <c r="F19" cm="1">
        <f t="array" ref="F19">_xlfn.IFS(C19&gt;=_xlfn.PERCENTILE.INC($C$2:$C$726,0.8),5,C19&gt;=_xlfn.PERCENTILE.INC($C$2:$C$726,0.6),4,C19&gt;=_xlfn.PERCENTILE.INC($C$2:$C$726,0.4),3,C19&gt;=_xlfn.PERCENTILE.INC($C$2:$C$726,0.2),2,TRUE,1)</f>
        <v>1</v>
      </c>
      <c r="G19" cm="1">
        <f t="array" ref="G19">_xlfn.IFS(D19&gt;=_xlfn.PERCENTILE.INC($D$2:$D$726,0.8),5,D19&gt;=_xlfn.PERCENTILE.INC($D$2:$D$726,0.6),4,D19&gt;=_xlfn.PERCENTILE.INC($D$2:$D$726,0.4),3,D19&gt;=_xlfn.PERCENTILE.INC($D$2:$D$726,0.2),2,TRUE,1)</f>
        <v>1</v>
      </c>
      <c r="H19">
        <f t="shared" si="0"/>
        <v>3</v>
      </c>
      <c r="I19" t="str" cm="1">
        <f t="array" ref="I19">_xlfn.IFS(H19&gt;=13,"Best Customers",H19&gt;=10,"Loyal Customers",H19&gt;=7,"Potential Loyal Customers",H19&gt;=4,"Need Attention",TRUE,"At Risk")</f>
        <v>At Risk</v>
      </c>
    </row>
    <row r="20" spans="1:9" x14ac:dyDescent="0.25">
      <c r="A20" t="s">
        <v>1693</v>
      </c>
      <c r="B20" s="4">
        <v>609</v>
      </c>
      <c r="C20">
        <v>9</v>
      </c>
      <c r="D20">
        <v>457.90000000000003</v>
      </c>
      <c r="E20" cm="1">
        <f t="array" ref="E20">_xlfn.IFS(B20&lt;=_xlfn.PERCENTILE.INC($B$2:$B$726,0.2),5, B20&lt;=_xlfn.PERCENTILE.INC($B$2:$B$726,0.4),4,B20&lt;=_xlfn.PERCENTILE.INC($B$2:$B$726,0.6),3,B20&lt;=_xlfn.PERCENTILE.INC($B$2:$B$726,0.8),4,TRUE,1)</f>
        <v>4</v>
      </c>
      <c r="F20" cm="1">
        <f t="array" ref="F20">_xlfn.IFS(C20&gt;=_xlfn.PERCENTILE.INC($C$2:$C$726,0.8),5,C20&gt;=_xlfn.PERCENTILE.INC($C$2:$C$726,0.6),4,C20&gt;=_xlfn.PERCENTILE.INC($C$2:$C$726,0.4),3,C20&gt;=_xlfn.PERCENTILE.INC($C$2:$C$726,0.2),2,TRUE,1)</f>
        <v>5</v>
      </c>
      <c r="G20" cm="1">
        <f t="array" ref="G20">_xlfn.IFS(D20&gt;=_xlfn.PERCENTILE.INC($D$2:$D$726,0.8),5,D20&gt;=_xlfn.PERCENTILE.INC($D$2:$D$726,0.6),4,D20&gt;=_xlfn.PERCENTILE.INC($D$2:$D$726,0.4),3,D20&gt;=_xlfn.PERCENTILE.INC($D$2:$D$726,0.2),2,TRUE,1)</f>
        <v>5</v>
      </c>
      <c r="H20">
        <f t="shared" si="0"/>
        <v>14</v>
      </c>
      <c r="I20" t="str" cm="1">
        <f t="array" ref="I20">_xlfn.IFS(H20&gt;=13,"Best Customers",H20&gt;=10,"Loyal Customers",H20&gt;=7,"Potential Loyal Customers",H20&gt;=4,"Need Attention",TRUE,"At Risk")</f>
        <v>Best Customers</v>
      </c>
    </row>
    <row r="21" spans="1:9" x14ac:dyDescent="0.25">
      <c r="A21" t="s">
        <v>1128</v>
      </c>
      <c r="B21" s="4">
        <v>435</v>
      </c>
      <c r="C21">
        <v>8</v>
      </c>
      <c r="D21">
        <v>345.4</v>
      </c>
      <c r="E21" cm="1">
        <f t="array" ref="E21">_xlfn.IFS(B21&lt;=_xlfn.PERCENTILE.INC($B$2:$B$726,0.2),5, B21&lt;=_xlfn.PERCENTILE.INC($B$2:$B$726,0.4),4,B21&lt;=_xlfn.PERCENTILE.INC($B$2:$B$726,0.6),3,B21&lt;=_xlfn.PERCENTILE.INC($B$2:$B$726,0.8),4,TRUE,1)</f>
        <v>4</v>
      </c>
      <c r="F21" cm="1">
        <f t="array" ref="F21">_xlfn.IFS(C21&gt;=_xlfn.PERCENTILE.INC($C$2:$C$726,0.8),5,C21&gt;=_xlfn.PERCENTILE.INC($C$2:$C$726,0.6),4,C21&gt;=_xlfn.PERCENTILE.INC($C$2:$C$726,0.4),3,C21&gt;=_xlfn.PERCENTILE.INC($C$2:$C$726,0.2),2,TRUE,1)</f>
        <v>5</v>
      </c>
      <c r="G21" cm="1">
        <f t="array" ref="G21">_xlfn.IFS(D21&gt;=_xlfn.PERCENTILE.INC($D$2:$D$726,0.8),5,D21&gt;=_xlfn.PERCENTILE.INC($D$2:$D$726,0.6),4,D21&gt;=_xlfn.PERCENTILE.INC($D$2:$D$726,0.4),3,D21&gt;=_xlfn.PERCENTILE.INC($D$2:$D$726,0.2),2,TRUE,1)</f>
        <v>4</v>
      </c>
      <c r="H21">
        <f t="shared" si="0"/>
        <v>13</v>
      </c>
      <c r="I21" t="str" cm="1">
        <f t="array" ref="I21">_xlfn.IFS(H21&gt;=13,"Best Customers",H21&gt;=10,"Loyal Customers",H21&gt;=7,"Potential Loyal Customers",H21&gt;=4,"Need Attention",TRUE,"At Risk")</f>
        <v>Best Customers</v>
      </c>
    </row>
    <row r="22" spans="1:9" x14ac:dyDescent="0.25">
      <c r="A22" t="s">
        <v>2134</v>
      </c>
      <c r="B22" s="4">
        <v>368</v>
      </c>
      <c r="C22">
        <v>7</v>
      </c>
      <c r="D22">
        <v>352.40000000000003</v>
      </c>
      <c r="E22" cm="1">
        <f t="array" ref="E22">_xlfn.IFS(B22&lt;=_xlfn.PERCENTILE.INC($B$2:$B$726,0.2),5, B22&lt;=_xlfn.PERCENTILE.INC($B$2:$B$726,0.4),4,B22&lt;=_xlfn.PERCENTILE.INC($B$2:$B$726,0.6),3,B22&lt;=_xlfn.PERCENTILE.INC($B$2:$B$726,0.8),4,TRUE,1)</f>
        <v>5</v>
      </c>
      <c r="F22" cm="1">
        <f t="array" ref="F22">_xlfn.IFS(C22&gt;=_xlfn.PERCENTILE.INC($C$2:$C$726,0.8),5,C22&gt;=_xlfn.PERCENTILE.INC($C$2:$C$726,0.6),4,C22&gt;=_xlfn.PERCENTILE.INC($C$2:$C$726,0.4),3,C22&gt;=_xlfn.PERCENTILE.INC($C$2:$C$726,0.2),2,TRUE,1)</f>
        <v>4</v>
      </c>
      <c r="G22" cm="1">
        <f t="array" ref="G22">_xlfn.IFS(D22&gt;=_xlfn.PERCENTILE.INC($D$2:$D$726,0.8),5,D22&gt;=_xlfn.PERCENTILE.INC($D$2:$D$726,0.6),4,D22&gt;=_xlfn.PERCENTILE.INC($D$2:$D$726,0.4),3,D22&gt;=_xlfn.PERCENTILE.INC($D$2:$D$726,0.2),2,TRUE,1)</f>
        <v>4</v>
      </c>
      <c r="H22">
        <f t="shared" si="0"/>
        <v>13</v>
      </c>
      <c r="I22" t="str" cm="1">
        <f t="array" ref="I22">_xlfn.IFS(H22&gt;=13,"Best Customers",H22&gt;=10,"Loyal Customers",H22&gt;=7,"Potential Loyal Customers",H22&gt;=4,"Need Attention",TRUE,"At Risk")</f>
        <v>Best Customers</v>
      </c>
    </row>
    <row r="23" spans="1:9" x14ac:dyDescent="0.25">
      <c r="A23" t="s">
        <v>884</v>
      </c>
      <c r="B23" s="4">
        <v>399</v>
      </c>
      <c r="C23">
        <v>7</v>
      </c>
      <c r="D23">
        <v>415.9</v>
      </c>
      <c r="E23" cm="1">
        <f t="array" ref="E23">_xlfn.IFS(B23&lt;=_xlfn.PERCENTILE.INC($B$2:$B$726,0.2),5, B23&lt;=_xlfn.PERCENTILE.INC($B$2:$B$726,0.4),4,B23&lt;=_xlfn.PERCENTILE.INC($B$2:$B$726,0.6),3,B23&lt;=_xlfn.PERCENTILE.INC($B$2:$B$726,0.8),4,TRUE,1)</f>
        <v>4</v>
      </c>
      <c r="F23" cm="1">
        <f t="array" ref="F23">_xlfn.IFS(C23&gt;=_xlfn.PERCENTILE.INC($C$2:$C$726,0.8),5,C23&gt;=_xlfn.PERCENTILE.INC($C$2:$C$726,0.6),4,C23&gt;=_xlfn.PERCENTILE.INC($C$2:$C$726,0.4),3,C23&gt;=_xlfn.PERCENTILE.INC($C$2:$C$726,0.2),2,TRUE,1)</f>
        <v>4</v>
      </c>
      <c r="G23" cm="1">
        <f t="array" ref="G23">_xlfn.IFS(D23&gt;=_xlfn.PERCENTILE.INC($D$2:$D$726,0.8),5,D23&gt;=_xlfn.PERCENTILE.INC($D$2:$D$726,0.6),4,D23&gt;=_xlfn.PERCENTILE.INC($D$2:$D$726,0.4),3,D23&gt;=_xlfn.PERCENTILE.INC($D$2:$D$726,0.2),2,TRUE,1)</f>
        <v>5</v>
      </c>
      <c r="H23">
        <f t="shared" si="0"/>
        <v>13</v>
      </c>
      <c r="I23" t="str" cm="1">
        <f t="array" ref="I23">_xlfn.IFS(H23&gt;=13,"Best Customers",H23&gt;=10,"Loyal Customers",H23&gt;=7,"Potential Loyal Customers",H23&gt;=4,"Need Attention",TRUE,"At Risk")</f>
        <v>Best Customers</v>
      </c>
    </row>
    <row r="24" spans="1:9" x14ac:dyDescent="0.25">
      <c r="A24" t="s">
        <v>2560</v>
      </c>
      <c r="B24" s="4">
        <v>931</v>
      </c>
      <c r="C24">
        <v>5</v>
      </c>
      <c r="D24">
        <v>416.20000000000005</v>
      </c>
      <c r="E24" cm="1">
        <f t="array" ref="E24">_xlfn.IFS(B24&lt;=_xlfn.PERCENTILE.INC($B$2:$B$726,0.2),5, B24&lt;=_xlfn.PERCENTILE.INC($B$2:$B$726,0.4),4,B24&lt;=_xlfn.PERCENTILE.INC($B$2:$B$726,0.6),3,B24&lt;=_xlfn.PERCENTILE.INC($B$2:$B$726,0.8),4,TRUE,1)</f>
        <v>1</v>
      </c>
      <c r="F24" cm="1">
        <f t="array" ref="F24">_xlfn.IFS(C24&gt;=_xlfn.PERCENTILE.INC($C$2:$C$726,0.8),5,C24&gt;=_xlfn.PERCENTILE.INC($C$2:$C$726,0.6),4,C24&gt;=_xlfn.PERCENTILE.INC($C$2:$C$726,0.4),3,C24&gt;=_xlfn.PERCENTILE.INC($C$2:$C$726,0.2),2,TRUE,1)</f>
        <v>3</v>
      </c>
      <c r="G24" cm="1">
        <f t="array" ref="G24">_xlfn.IFS(D24&gt;=_xlfn.PERCENTILE.INC($D$2:$D$726,0.8),5,D24&gt;=_xlfn.PERCENTILE.INC($D$2:$D$726,0.6),4,D24&gt;=_xlfn.PERCENTILE.INC($D$2:$D$726,0.4),3,D24&gt;=_xlfn.PERCENTILE.INC($D$2:$D$726,0.2),2,TRUE,1)</f>
        <v>5</v>
      </c>
      <c r="H24">
        <f t="shared" si="0"/>
        <v>9</v>
      </c>
      <c r="I24" t="str" cm="1">
        <f t="array" ref="I24">_xlfn.IFS(H24&gt;=13,"Best Customers",H24&gt;=10,"Loyal Customers",H24&gt;=7,"Potential Loyal Customers",H24&gt;=4,"Need Attention",TRUE,"At Risk")</f>
        <v>Potential Loyal Customers</v>
      </c>
    </row>
    <row r="25" spans="1:9" x14ac:dyDescent="0.25">
      <c r="A25" t="s">
        <v>549</v>
      </c>
      <c r="B25" s="4">
        <v>381</v>
      </c>
      <c r="C25">
        <v>4</v>
      </c>
      <c r="D25">
        <v>163.10000000000002</v>
      </c>
      <c r="E25" cm="1">
        <f t="array" ref="E25">_xlfn.IFS(B25&lt;=_xlfn.PERCENTILE.INC($B$2:$B$726,0.2),5, B25&lt;=_xlfn.PERCENTILE.INC($B$2:$B$726,0.4),4,B25&lt;=_xlfn.PERCENTILE.INC($B$2:$B$726,0.6),3,B25&lt;=_xlfn.PERCENTILE.INC($B$2:$B$726,0.8),4,TRUE,1)</f>
        <v>5</v>
      </c>
      <c r="F25" cm="1">
        <f t="array" ref="F25">_xlfn.IFS(C25&gt;=_xlfn.PERCENTILE.INC($C$2:$C$726,0.8),5,C25&gt;=_xlfn.PERCENTILE.INC($C$2:$C$726,0.6),4,C25&gt;=_xlfn.PERCENTILE.INC($C$2:$C$726,0.4),3,C25&gt;=_xlfn.PERCENTILE.INC($C$2:$C$726,0.2),2,TRUE,1)</f>
        <v>2</v>
      </c>
      <c r="G25" cm="1">
        <f t="array" ref="G25">_xlfn.IFS(D25&gt;=_xlfn.PERCENTILE.INC($D$2:$D$726,0.8),5,D25&gt;=_xlfn.PERCENTILE.INC($D$2:$D$726,0.6),4,D25&gt;=_xlfn.PERCENTILE.INC($D$2:$D$726,0.4),3,D25&gt;=_xlfn.PERCENTILE.INC($D$2:$D$726,0.2),2,TRUE,1)</f>
        <v>2</v>
      </c>
      <c r="H25">
        <f t="shared" si="0"/>
        <v>9</v>
      </c>
      <c r="I25" t="str" cm="1">
        <f t="array" ref="I25">_xlfn.IFS(H25&gt;=13,"Best Customers",H25&gt;=10,"Loyal Customers",H25&gt;=7,"Potential Loyal Customers",H25&gt;=4,"Need Attention",TRUE,"At Risk")</f>
        <v>Potential Loyal Customers</v>
      </c>
    </row>
    <row r="26" spans="1:9" x14ac:dyDescent="0.25">
      <c r="A26" t="s">
        <v>1327</v>
      </c>
      <c r="B26" s="4">
        <v>572</v>
      </c>
      <c r="C26">
        <v>3</v>
      </c>
      <c r="D26">
        <v>150.6</v>
      </c>
      <c r="E26" cm="1">
        <f t="array" ref="E26">_xlfn.IFS(B26&lt;=_xlfn.PERCENTILE.INC($B$2:$B$726,0.2),5, B26&lt;=_xlfn.PERCENTILE.INC($B$2:$B$726,0.4),4,B26&lt;=_xlfn.PERCENTILE.INC($B$2:$B$726,0.6),3,B26&lt;=_xlfn.PERCENTILE.INC($B$2:$B$726,0.8),4,TRUE,1)</f>
        <v>4</v>
      </c>
      <c r="F26" cm="1">
        <f t="array" ref="F26">_xlfn.IFS(C26&gt;=_xlfn.PERCENTILE.INC($C$2:$C$726,0.8),5,C26&gt;=_xlfn.PERCENTILE.INC($C$2:$C$726,0.6),4,C26&gt;=_xlfn.PERCENTILE.INC($C$2:$C$726,0.4),3,C26&gt;=_xlfn.PERCENTILE.INC($C$2:$C$726,0.2),2,TRUE,1)</f>
        <v>1</v>
      </c>
      <c r="G26" cm="1">
        <f t="array" ref="G26">_xlfn.IFS(D26&gt;=_xlfn.PERCENTILE.INC($D$2:$D$726,0.8),5,D26&gt;=_xlfn.PERCENTILE.INC($D$2:$D$726,0.6),4,D26&gt;=_xlfn.PERCENTILE.INC($D$2:$D$726,0.4),3,D26&gt;=_xlfn.PERCENTILE.INC($D$2:$D$726,0.2),2,TRUE,1)</f>
        <v>1</v>
      </c>
      <c r="H26">
        <f t="shared" si="0"/>
        <v>6</v>
      </c>
      <c r="I26" t="str" cm="1">
        <f t="array" ref="I26">_xlfn.IFS(H26&gt;=13,"Best Customers",H26&gt;=10,"Loyal Customers",H26&gt;=7,"Potential Loyal Customers",H26&gt;=4,"Need Attention",TRUE,"At Risk")</f>
        <v>Need Attention</v>
      </c>
    </row>
    <row r="27" spans="1:9" x14ac:dyDescent="0.25">
      <c r="A27" t="s">
        <v>878</v>
      </c>
      <c r="B27" s="4">
        <v>494</v>
      </c>
      <c r="C27">
        <v>7</v>
      </c>
      <c r="D27">
        <v>261.70000000000005</v>
      </c>
      <c r="E27" cm="1">
        <f t="array" ref="E27">_xlfn.IFS(B27&lt;=_xlfn.PERCENTILE.INC($B$2:$B$726,0.2),5, B27&lt;=_xlfn.PERCENTILE.INC($B$2:$B$726,0.4),4,B27&lt;=_xlfn.PERCENTILE.INC($B$2:$B$726,0.6),3,B27&lt;=_xlfn.PERCENTILE.INC($B$2:$B$726,0.8),4,TRUE,1)</f>
        <v>3</v>
      </c>
      <c r="F27" cm="1">
        <f t="array" ref="F27">_xlfn.IFS(C27&gt;=_xlfn.PERCENTILE.INC($C$2:$C$726,0.8),5,C27&gt;=_xlfn.PERCENTILE.INC($C$2:$C$726,0.6),4,C27&gt;=_xlfn.PERCENTILE.INC($C$2:$C$726,0.4),3,C27&gt;=_xlfn.PERCENTILE.INC($C$2:$C$726,0.2),2,TRUE,1)</f>
        <v>4</v>
      </c>
      <c r="G27" cm="1">
        <f t="array" ref="G27">_xlfn.IFS(D27&gt;=_xlfn.PERCENTILE.INC($D$2:$D$726,0.8),5,D27&gt;=_xlfn.PERCENTILE.INC($D$2:$D$726,0.6),4,D27&gt;=_xlfn.PERCENTILE.INC($D$2:$D$726,0.4),3,D27&gt;=_xlfn.PERCENTILE.INC($D$2:$D$726,0.2),2,TRUE,1)</f>
        <v>3</v>
      </c>
      <c r="H27">
        <f t="shared" si="0"/>
        <v>10</v>
      </c>
      <c r="I27" t="str" cm="1">
        <f t="array" ref="I27">_xlfn.IFS(H27&gt;=13,"Best Customers",H27&gt;=10,"Loyal Customers",H27&gt;=7,"Potential Loyal Customers",H27&gt;=4,"Need Attention",TRUE,"At Risk")</f>
        <v>Loyal Customers</v>
      </c>
    </row>
    <row r="28" spans="1:9" x14ac:dyDescent="0.25">
      <c r="A28" t="s">
        <v>511</v>
      </c>
      <c r="B28" s="4">
        <v>633</v>
      </c>
      <c r="C28">
        <v>5</v>
      </c>
      <c r="D28">
        <v>206.6</v>
      </c>
      <c r="E28" cm="1">
        <f t="array" ref="E28">_xlfn.IFS(B28&lt;=_xlfn.PERCENTILE.INC($B$2:$B$726,0.2),5, B28&lt;=_xlfn.PERCENTILE.INC($B$2:$B$726,0.4),4,B28&lt;=_xlfn.PERCENTILE.INC($B$2:$B$726,0.6),3,B28&lt;=_xlfn.PERCENTILE.INC($B$2:$B$726,0.8),4,TRUE,1)</f>
        <v>4</v>
      </c>
      <c r="F28" cm="1">
        <f t="array" ref="F28">_xlfn.IFS(C28&gt;=_xlfn.PERCENTILE.INC($C$2:$C$726,0.8),5,C28&gt;=_xlfn.PERCENTILE.INC($C$2:$C$726,0.6),4,C28&gt;=_xlfn.PERCENTILE.INC($C$2:$C$726,0.4),3,C28&gt;=_xlfn.PERCENTILE.INC($C$2:$C$726,0.2),2,TRUE,1)</f>
        <v>3</v>
      </c>
      <c r="G28" cm="1">
        <f t="array" ref="G28">_xlfn.IFS(D28&gt;=_xlfn.PERCENTILE.INC($D$2:$D$726,0.8),5,D28&gt;=_xlfn.PERCENTILE.INC($D$2:$D$726,0.6),4,D28&gt;=_xlfn.PERCENTILE.INC($D$2:$D$726,0.4),3,D28&gt;=_xlfn.PERCENTILE.INC($D$2:$D$726,0.2),2,TRUE,1)</f>
        <v>2</v>
      </c>
      <c r="H28">
        <f t="shared" si="0"/>
        <v>9</v>
      </c>
      <c r="I28" t="str" cm="1">
        <f t="array" ref="I28">_xlfn.IFS(H28&gt;=13,"Best Customers",H28&gt;=10,"Loyal Customers",H28&gt;=7,"Potential Loyal Customers",H28&gt;=4,"Need Attention",TRUE,"At Risk")</f>
        <v>Potential Loyal Customers</v>
      </c>
    </row>
    <row r="29" spans="1:9" x14ac:dyDescent="0.25">
      <c r="A29" t="s">
        <v>1782</v>
      </c>
      <c r="B29" s="4">
        <v>482</v>
      </c>
      <c r="C29">
        <v>6</v>
      </c>
      <c r="D29">
        <v>249.10000000000002</v>
      </c>
      <c r="E29" cm="1">
        <f t="array" ref="E29">_xlfn.IFS(B29&lt;=_xlfn.PERCENTILE.INC($B$2:$B$726,0.2),5, B29&lt;=_xlfn.PERCENTILE.INC($B$2:$B$726,0.4),4,B29&lt;=_xlfn.PERCENTILE.INC($B$2:$B$726,0.6),3,B29&lt;=_xlfn.PERCENTILE.INC($B$2:$B$726,0.8),4,TRUE,1)</f>
        <v>3</v>
      </c>
      <c r="F29" cm="1">
        <f t="array" ref="F29">_xlfn.IFS(C29&gt;=_xlfn.PERCENTILE.INC($C$2:$C$726,0.8),5,C29&gt;=_xlfn.PERCENTILE.INC($C$2:$C$726,0.6),4,C29&gt;=_xlfn.PERCENTILE.INC($C$2:$C$726,0.4),3,C29&gt;=_xlfn.PERCENTILE.INC($C$2:$C$726,0.2),2,TRUE,1)</f>
        <v>4</v>
      </c>
      <c r="G29" cm="1">
        <f t="array" ref="G29">_xlfn.IFS(D29&gt;=_xlfn.PERCENTILE.INC($D$2:$D$726,0.8),5,D29&gt;=_xlfn.PERCENTILE.INC($D$2:$D$726,0.6),4,D29&gt;=_xlfn.PERCENTILE.INC($D$2:$D$726,0.4),3,D29&gt;=_xlfn.PERCENTILE.INC($D$2:$D$726,0.2),2,TRUE,1)</f>
        <v>3</v>
      </c>
      <c r="H29">
        <f t="shared" si="0"/>
        <v>10</v>
      </c>
      <c r="I29" t="str" cm="1">
        <f t="array" ref="I29">_xlfn.IFS(H29&gt;=13,"Best Customers",H29&gt;=10,"Loyal Customers",H29&gt;=7,"Potential Loyal Customers",H29&gt;=4,"Need Attention",TRUE,"At Risk")</f>
        <v>Loyal Customers</v>
      </c>
    </row>
    <row r="30" spans="1:9" x14ac:dyDescent="0.25">
      <c r="A30" t="s">
        <v>3438</v>
      </c>
      <c r="B30" s="4">
        <v>719</v>
      </c>
      <c r="C30">
        <v>7</v>
      </c>
      <c r="D30">
        <v>370.4</v>
      </c>
      <c r="E30" cm="1">
        <f t="array" ref="E30">_xlfn.IFS(B30&lt;=_xlfn.PERCENTILE.INC($B$2:$B$726,0.2),5, B30&lt;=_xlfn.PERCENTILE.INC($B$2:$B$726,0.4),4,B30&lt;=_xlfn.PERCENTILE.INC($B$2:$B$726,0.6),3,B30&lt;=_xlfn.PERCENTILE.INC($B$2:$B$726,0.8),4,TRUE,1)</f>
        <v>4</v>
      </c>
      <c r="F30" cm="1">
        <f t="array" ref="F30">_xlfn.IFS(C30&gt;=_xlfn.PERCENTILE.INC($C$2:$C$726,0.8),5,C30&gt;=_xlfn.PERCENTILE.INC($C$2:$C$726,0.6),4,C30&gt;=_xlfn.PERCENTILE.INC($C$2:$C$726,0.4),3,C30&gt;=_xlfn.PERCENTILE.INC($C$2:$C$726,0.2),2,TRUE,1)</f>
        <v>4</v>
      </c>
      <c r="G30" cm="1">
        <f t="array" ref="G30">_xlfn.IFS(D30&gt;=_xlfn.PERCENTILE.INC($D$2:$D$726,0.8),5,D30&gt;=_xlfn.PERCENTILE.INC($D$2:$D$726,0.6),4,D30&gt;=_xlfn.PERCENTILE.INC($D$2:$D$726,0.4),3,D30&gt;=_xlfn.PERCENTILE.INC($D$2:$D$726,0.2),2,TRUE,1)</f>
        <v>4</v>
      </c>
      <c r="H30">
        <f t="shared" si="0"/>
        <v>12</v>
      </c>
      <c r="I30" t="str" cm="1">
        <f t="array" ref="I30">_xlfn.IFS(H30&gt;=13,"Best Customers",H30&gt;=10,"Loyal Customers",H30&gt;=7,"Potential Loyal Customers",H30&gt;=4,"Need Attention",TRUE,"At Risk")</f>
        <v>Loyal Customers</v>
      </c>
    </row>
    <row r="31" spans="1:9" x14ac:dyDescent="0.25">
      <c r="A31" t="s">
        <v>1908</v>
      </c>
      <c r="B31" s="4">
        <v>529</v>
      </c>
      <c r="C31">
        <v>10</v>
      </c>
      <c r="D31">
        <v>422.6</v>
      </c>
      <c r="E31" cm="1">
        <f t="array" ref="E31">_xlfn.IFS(B31&lt;=_xlfn.PERCENTILE.INC($B$2:$B$726,0.2),5, B31&lt;=_xlfn.PERCENTILE.INC($B$2:$B$726,0.4),4,B31&lt;=_xlfn.PERCENTILE.INC($B$2:$B$726,0.6),3,B31&lt;=_xlfn.PERCENTILE.INC($B$2:$B$726,0.8),4,TRUE,1)</f>
        <v>3</v>
      </c>
      <c r="F31" cm="1">
        <f t="array" ref="F31">_xlfn.IFS(C31&gt;=_xlfn.PERCENTILE.INC($C$2:$C$726,0.8),5,C31&gt;=_xlfn.PERCENTILE.INC($C$2:$C$726,0.6),4,C31&gt;=_xlfn.PERCENTILE.INC($C$2:$C$726,0.4),3,C31&gt;=_xlfn.PERCENTILE.INC($C$2:$C$726,0.2),2,TRUE,1)</f>
        <v>5</v>
      </c>
      <c r="G31" cm="1">
        <f t="array" ref="G31">_xlfn.IFS(D31&gt;=_xlfn.PERCENTILE.INC($D$2:$D$726,0.8),5,D31&gt;=_xlfn.PERCENTILE.INC($D$2:$D$726,0.6),4,D31&gt;=_xlfn.PERCENTILE.INC($D$2:$D$726,0.4),3,D31&gt;=_xlfn.PERCENTILE.INC($D$2:$D$726,0.2),2,TRUE,1)</f>
        <v>5</v>
      </c>
      <c r="H31">
        <f t="shared" si="0"/>
        <v>13</v>
      </c>
      <c r="I31" t="str" cm="1">
        <f t="array" ref="I31">_xlfn.IFS(H31&gt;=13,"Best Customers",H31&gt;=10,"Loyal Customers",H31&gt;=7,"Potential Loyal Customers",H31&gt;=4,"Need Attention",TRUE,"At Risk")</f>
        <v>Best Customers</v>
      </c>
    </row>
    <row r="32" spans="1:9" x14ac:dyDescent="0.25">
      <c r="A32" t="s">
        <v>614</v>
      </c>
      <c r="B32" s="4">
        <v>471</v>
      </c>
      <c r="C32">
        <v>6</v>
      </c>
      <c r="D32">
        <v>220.4</v>
      </c>
      <c r="E32" cm="1">
        <f t="array" ref="E32">_xlfn.IFS(B32&lt;=_xlfn.PERCENTILE.INC($B$2:$B$726,0.2),5, B32&lt;=_xlfn.PERCENTILE.INC($B$2:$B$726,0.4),4,B32&lt;=_xlfn.PERCENTILE.INC($B$2:$B$726,0.6),3,B32&lt;=_xlfn.PERCENTILE.INC($B$2:$B$726,0.8),4,TRUE,1)</f>
        <v>3</v>
      </c>
      <c r="F32" cm="1">
        <f t="array" ref="F32">_xlfn.IFS(C32&gt;=_xlfn.PERCENTILE.INC($C$2:$C$726,0.8),5,C32&gt;=_xlfn.PERCENTILE.INC($C$2:$C$726,0.6),4,C32&gt;=_xlfn.PERCENTILE.INC($C$2:$C$726,0.4),3,C32&gt;=_xlfn.PERCENTILE.INC($C$2:$C$726,0.2),2,TRUE,1)</f>
        <v>4</v>
      </c>
      <c r="G32" cm="1">
        <f t="array" ref="G32">_xlfn.IFS(D32&gt;=_xlfn.PERCENTILE.INC($D$2:$D$726,0.8),5,D32&gt;=_xlfn.PERCENTILE.INC($D$2:$D$726,0.6),4,D32&gt;=_xlfn.PERCENTILE.INC($D$2:$D$726,0.4),3,D32&gt;=_xlfn.PERCENTILE.INC($D$2:$D$726,0.2),2,TRUE,1)</f>
        <v>2</v>
      </c>
      <c r="H32">
        <f t="shared" si="0"/>
        <v>9</v>
      </c>
      <c r="I32" t="str" cm="1">
        <f t="array" ref="I32">_xlfn.IFS(H32&gt;=13,"Best Customers",H32&gt;=10,"Loyal Customers",H32&gt;=7,"Potential Loyal Customers",H32&gt;=4,"Need Attention",TRUE,"At Risk")</f>
        <v>Potential Loyal Customers</v>
      </c>
    </row>
    <row r="33" spans="1:9" x14ac:dyDescent="0.25">
      <c r="A33" t="s">
        <v>3327</v>
      </c>
      <c r="B33" s="4">
        <v>620</v>
      </c>
      <c r="C33">
        <v>6</v>
      </c>
      <c r="D33">
        <v>375.6</v>
      </c>
      <c r="E33" cm="1">
        <f t="array" ref="E33">_xlfn.IFS(B33&lt;=_xlfn.PERCENTILE.INC($B$2:$B$726,0.2),5, B33&lt;=_xlfn.PERCENTILE.INC($B$2:$B$726,0.4),4,B33&lt;=_xlfn.PERCENTILE.INC($B$2:$B$726,0.6),3,B33&lt;=_xlfn.PERCENTILE.INC($B$2:$B$726,0.8),4,TRUE,1)</f>
        <v>4</v>
      </c>
      <c r="F33" cm="1">
        <f t="array" ref="F33">_xlfn.IFS(C33&gt;=_xlfn.PERCENTILE.INC($C$2:$C$726,0.8),5,C33&gt;=_xlfn.PERCENTILE.INC($C$2:$C$726,0.6),4,C33&gt;=_xlfn.PERCENTILE.INC($C$2:$C$726,0.4),3,C33&gt;=_xlfn.PERCENTILE.INC($C$2:$C$726,0.2),2,TRUE,1)</f>
        <v>4</v>
      </c>
      <c r="G33" cm="1">
        <f t="array" ref="G33">_xlfn.IFS(D33&gt;=_xlfn.PERCENTILE.INC($D$2:$D$726,0.8),5,D33&gt;=_xlfn.PERCENTILE.INC($D$2:$D$726,0.6),4,D33&gt;=_xlfn.PERCENTILE.INC($D$2:$D$726,0.4),3,D33&gt;=_xlfn.PERCENTILE.INC($D$2:$D$726,0.2),2,TRUE,1)</f>
        <v>4</v>
      </c>
      <c r="H33">
        <f t="shared" si="0"/>
        <v>12</v>
      </c>
      <c r="I33" t="str" cm="1">
        <f t="array" ref="I33">_xlfn.IFS(H33&gt;=13,"Best Customers",H33&gt;=10,"Loyal Customers",H33&gt;=7,"Potential Loyal Customers",H33&gt;=4,"Need Attention",TRUE,"At Risk")</f>
        <v>Loyal Customers</v>
      </c>
    </row>
    <row r="34" spans="1:9" x14ac:dyDescent="0.25">
      <c r="A34" t="s">
        <v>932</v>
      </c>
      <c r="B34" s="4">
        <v>373</v>
      </c>
      <c r="C34">
        <v>6</v>
      </c>
      <c r="D34">
        <v>210.7</v>
      </c>
      <c r="E34" cm="1">
        <f t="array" ref="E34">_xlfn.IFS(B34&lt;=_xlfn.PERCENTILE.INC($B$2:$B$726,0.2),5, B34&lt;=_xlfn.PERCENTILE.INC($B$2:$B$726,0.4),4,B34&lt;=_xlfn.PERCENTILE.INC($B$2:$B$726,0.6),3,B34&lt;=_xlfn.PERCENTILE.INC($B$2:$B$726,0.8),4,TRUE,1)</f>
        <v>5</v>
      </c>
      <c r="F34" cm="1">
        <f t="array" ref="F34">_xlfn.IFS(C34&gt;=_xlfn.PERCENTILE.INC($C$2:$C$726,0.8),5,C34&gt;=_xlfn.PERCENTILE.INC($C$2:$C$726,0.6),4,C34&gt;=_xlfn.PERCENTILE.INC($C$2:$C$726,0.4),3,C34&gt;=_xlfn.PERCENTILE.INC($C$2:$C$726,0.2),2,TRUE,1)</f>
        <v>4</v>
      </c>
      <c r="G34" cm="1">
        <f t="array" ref="G34">_xlfn.IFS(D34&gt;=_xlfn.PERCENTILE.INC($D$2:$D$726,0.8),5,D34&gt;=_xlfn.PERCENTILE.INC($D$2:$D$726,0.6),4,D34&gt;=_xlfn.PERCENTILE.INC($D$2:$D$726,0.4),3,D34&gt;=_xlfn.PERCENTILE.INC($D$2:$D$726,0.2),2,TRUE,1)</f>
        <v>2</v>
      </c>
      <c r="H34">
        <f t="shared" si="0"/>
        <v>11</v>
      </c>
      <c r="I34" t="str" cm="1">
        <f t="array" ref="I34">_xlfn.IFS(H34&gt;=13,"Best Customers",H34&gt;=10,"Loyal Customers",H34&gt;=7,"Potential Loyal Customers",H34&gt;=4,"Need Attention",TRUE,"At Risk")</f>
        <v>Loyal Customers</v>
      </c>
    </row>
    <row r="35" spans="1:9" x14ac:dyDescent="0.25">
      <c r="A35" t="s">
        <v>661</v>
      </c>
      <c r="B35" s="4">
        <v>911</v>
      </c>
      <c r="C35">
        <v>8</v>
      </c>
      <c r="D35">
        <v>406.40000000000003</v>
      </c>
      <c r="E35" cm="1">
        <f t="array" ref="E35">_xlfn.IFS(B35&lt;=_xlfn.PERCENTILE.INC($B$2:$B$726,0.2),5, B35&lt;=_xlfn.PERCENTILE.INC($B$2:$B$726,0.4),4,B35&lt;=_xlfn.PERCENTILE.INC($B$2:$B$726,0.6),3,B35&lt;=_xlfn.PERCENTILE.INC($B$2:$B$726,0.8),4,TRUE,1)</f>
        <v>1</v>
      </c>
      <c r="F35" cm="1">
        <f t="array" ref="F35">_xlfn.IFS(C35&gt;=_xlfn.PERCENTILE.INC($C$2:$C$726,0.8),5,C35&gt;=_xlfn.PERCENTILE.INC($C$2:$C$726,0.6),4,C35&gt;=_xlfn.PERCENTILE.INC($C$2:$C$726,0.4),3,C35&gt;=_xlfn.PERCENTILE.INC($C$2:$C$726,0.2),2,TRUE,1)</f>
        <v>5</v>
      </c>
      <c r="G35" cm="1">
        <f t="array" ref="G35">_xlfn.IFS(D35&gt;=_xlfn.PERCENTILE.INC($D$2:$D$726,0.8),5,D35&gt;=_xlfn.PERCENTILE.INC($D$2:$D$726,0.6),4,D35&gt;=_xlfn.PERCENTILE.INC($D$2:$D$726,0.4),3,D35&gt;=_xlfn.PERCENTILE.INC($D$2:$D$726,0.2),2,TRUE,1)</f>
        <v>5</v>
      </c>
      <c r="H35">
        <f t="shared" si="0"/>
        <v>11</v>
      </c>
      <c r="I35" t="str" cm="1">
        <f t="array" ref="I35">_xlfn.IFS(H35&gt;=13,"Best Customers",H35&gt;=10,"Loyal Customers",H35&gt;=7,"Potential Loyal Customers",H35&gt;=4,"Need Attention",TRUE,"At Risk")</f>
        <v>Loyal Customers</v>
      </c>
    </row>
    <row r="36" spans="1:9" x14ac:dyDescent="0.25">
      <c r="A36" t="s">
        <v>1235</v>
      </c>
      <c r="B36" s="4">
        <v>496</v>
      </c>
      <c r="C36">
        <v>5</v>
      </c>
      <c r="D36">
        <v>272.60000000000002</v>
      </c>
      <c r="E36" cm="1">
        <f t="array" ref="E36">_xlfn.IFS(B36&lt;=_xlfn.PERCENTILE.INC($B$2:$B$726,0.2),5, B36&lt;=_xlfn.PERCENTILE.INC($B$2:$B$726,0.4),4,B36&lt;=_xlfn.PERCENTILE.INC($B$2:$B$726,0.6),3,B36&lt;=_xlfn.PERCENTILE.INC($B$2:$B$726,0.8),4,TRUE,1)</f>
        <v>3</v>
      </c>
      <c r="F36" cm="1">
        <f t="array" ref="F36">_xlfn.IFS(C36&gt;=_xlfn.PERCENTILE.INC($C$2:$C$726,0.8),5,C36&gt;=_xlfn.PERCENTILE.INC($C$2:$C$726,0.6),4,C36&gt;=_xlfn.PERCENTILE.INC($C$2:$C$726,0.4),3,C36&gt;=_xlfn.PERCENTILE.INC($C$2:$C$726,0.2),2,TRUE,1)</f>
        <v>3</v>
      </c>
      <c r="G36" cm="1">
        <f t="array" ref="G36">_xlfn.IFS(D36&gt;=_xlfn.PERCENTILE.INC($D$2:$D$726,0.8),5,D36&gt;=_xlfn.PERCENTILE.INC($D$2:$D$726,0.6),4,D36&gt;=_xlfn.PERCENTILE.INC($D$2:$D$726,0.4),3,D36&gt;=_xlfn.PERCENTILE.INC($D$2:$D$726,0.2),2,TRUE,1)</f>
        <v>3</v>
      </c>
      <c r="H36">
        <f t="shared" si="0"/>
        <v>9</v>
      </c>
      <c r="I36" t="str" cm="1">
        <f t="array" ref="I36">_xlfn.IFS(H36&gt;=13,"Best Customers",H36&gt;=10,"Loyal Customers",H36&gt;=7,"Potential Loyal Customers",H36&gt;=4,"Need Attention",TRUE,"At Risk")</f>
        <v>Potential Loyal Customers</v>
      </c>
    </row>
    <row r="37" spans="1:9" x14ac:dyDescent="0.25">
      <c r="A37" t="s">
        <v>1247</v>
      </c>
      <c r="B37" s="4">
        <v>398</v>
      </c>
      <c r="C37">
        <v>10</v>
      </c>
      <c r="D37">
        <v>337.70000000000005</v>
      </c>
      <c r="E37" cm="1">
        <f t="array" ref="E37">_xlfn.IFS(B37&lt;=_xlfn.PERCENTILE.INC($B$2:$B$726,0.2),5, B37&lt;=_xlfn.PERCENTILE.INC($B$2:$B$726,0.4),4,B37&lt;=_xlfn.PERCENTILE.INC($B$2:$B$726,0.6),3,B37&lt;=_xlfn.PERCENTILE.INC($B$2:$B$726,0.8),4,TRUE,1)</f>
        <v>4</v>
      </c>
      <c r="F37" cm="1">
        <f t="array" ref="F37">_xlfn.IFS(C37&gt;=_xlfn.PERCENTILE.INC($C$2:$C$726,0.8),5,C37&gt;=_xlfn.PERCENTILE.INC($C$2:$C$726,0.6),4,C37&gt;=_xlfn.PERCENTILE.INC($C$2:$C$726,0.4),3,C37&gt;=_xlfn.PERCENTILE.INC($C$2:$C$726,0.2),2,TRUE,1)</f>
        <v>5</v>
      </c>
      <c r="G37" cm="1">
        <f t="array" ref="G37">_xlfn.IFS(D37&gt;=_xlfn.PERCENTILE.INC($D$2:$D$726,0.8),5,D37&gt;=_xlfn.PERCENTILE.INC($D$2:$D$726,0.6),4,D37&gt;=_xlfn.PERCENTILE.INC($D$2:$D$726,0.4),3,D37&gt;=_xlfn.PERCENTILE.INC($D$2:$D$726,0.2),2,TRUE,1)</f>
        <v>4</v>
      </c>
      <c r="H37">
        <f t="shared" si="0"/>
        <v>13</v>
      </c>
      <c r="I37" t="str" cm="1">
        <f t="array" ref="I37">_xlfn.IFS(H37&gt;=13,"Best Customers",H37&gt;=10,"Loyal Customers",H37&gt;=7,"Potential Loyal Customers",H37&gt;=4,"Need Attention",TRUE,"At Risk")</f>
        <v>Best Customers</v>
      </c>
    </row>
    <row r="38" spans="1:9" x14ac:dyDescent="0.25">
      <c r="A38" t="s">
        <v>652</v>
      </c>
      <c r="B38" s="4">
        <v>723</v>
      </c>
      <c r="C38">
        <v>5</v>
      </c>
      <c r="D38">
        <v>131.69999999999999</v>
      </c>
      <c r="E38" cm="1">
        <f t="array" ref="E38">_xlfn.IFS(B38&lt;=_xlfn.PERCENTILE.INC($B$2:$B$726,0.2),5, B38&lt;=_xlfn.PERCENTILE.INC($B$2:$B$726,0.4),4,B38&lt;=_xlfn.PERCENTILE.INC($B$2:$B$726,0.6),3,B38&lt;=_xlfn.PERCENTILE.INC($B$2:$B$726,0.8),4,TRUE,1)</f>
        <v>4</v>
      </c>
      <c r="F38" cm="1">
        <f t="array" ref="F38">_xlfn.IFS(C38&gt;=_xlfn.PERCENTILE.INC($C$2:$C$726,0.8),5,C38&gt;=_xlfn.PERCENTILE.INC($C$2:$C$726,0.6),4,C38&gt;=_xlfn.PERCENTILE.INC($C$2:$C$726,0.4),3,C38&gt;=_xlfn.PERCENTILE.INC($C$2:$C$726,0.2),2,TRUE,1)</f>
        <v>3</v>
      </c>
      <c r="G38" cm="1">
        <f t="array" ref="G38">_xlfn.IFS(D38&gt;=_xlfn.PERCENTILE.INC($D$2:$D$726,0.8),5,D38&gt;=_xlfn.PERCENTILE.INC($D$2:$D$726,0.6),4,D38&gt;=_xlfn.PERCENTILE.INC($D$2:$D$726,0.4),3,D38&gt;=_xlfn.PERCENTILE.INC($D$2:$D$726,0.2),2,TRUE,1)</f>
        <v>1</v>
      </c>
      <c r="H38">
        <f t="shared" si="0"/>
        <v>8</v>
      </c>
      <c r="I38" t="str" cm="1">
        <f t="array" ref="I38">_xlfn.IFS(H38&gt;=13,"Best Customers",H38&gt;=10,"Loyal Customers",H38&gt;=7,"Potential Loyal Customers",H38&gt;=4,"Need Attention",TRUE,"At Risk")</f>
        <v>Potential Loyal Customers</v>
      </c>
    </row>
    <row r="39" spans="1:9" x14ac:dyDescent="0.25">
      <c r="A39" t="s">
        <v>3330</v>
      </c>
      <c r="B39" s="4">
        <v>868</v>
      </c>
      <c r="C39">
        <v>7</v>
      </c>
      <c r="D39">
        <v>463.5</v>
      </c>
      <c r="E39" cm="1">
        <f t="array" ref="E39">_xlfn.IFS(B39&lt;=_xlfn.PERCENTILE.INC($B$2:$B$726,0.2),5, B39&lt;=_xlfn.PERCENTILE.INC($B$2:$B$726,0.4),4,B39&lt;=_xlfn.PERCENTILE.INC($B$2:$B$726,0.6),3,B39&lt;=_xlfn.PERCENTILE.INC($B$2:$B$726,0.8),4,TRUE,1)</f>
        <v>1</v>
      </c>
      <c r="F39" cm="1">
        <f t="array" ref="F39">_xlfn.IFS(C39&gt;=_xlfn.PERCENTILE.INC($C$2:$C$726,0.8),5,C39&gt;=_xlfn.PERCENTILE.INC($C$2:$C$726,0.6),4,C39&gt;=_xlfn.PERCENTILE.INC($C$2:$C$726,0.4),3,C39&gt;=_xlfn.PERCENTILE.INC($C$2:$C$726,0.2),2,TRUE,1)</f>
        <v>4</v>
      </c>
      <c r="G39" cm="1">
        <f t="array" ref="G39">_xlfn.IFS(D39&gt;=_xlfn.PERCENTILE.INC($D$2:$D$726,0.8),5,D39&gt;=_xlfn.PERCENTILE.INC($D$2:$D$726,0.6),4,D39&gt;=_xlfn.PERCENTILE.INC($D$2:$D$726,0.4),3,D39&gt;=_xlfn.PERCENTILE.INC($D$2:$D$726,0.2),2,TRUE,1)</f>
        <v>5</v>
      </c>
      <c r="H39">
        <f t="shared" si="0"/>
        <v>10</v>
      </c>
      <c r="I39" t="str" cm="1">
        <f t="array" ref="I39">_xlfn.IFS(H39&gt;=13,"Best Customers",H39&gt;=10,"Loyal Customers",H39&gt;=7,"Potential Loyal Customers",H39&gt;=4,"Need Attention",TRUE,"At Risk")</f>
        <v>Loyal Customers</v>
      </c>
    </row>
    <row r="40" spans="1:9" x14ac:dyDescent="0.25">
      <c r="A40" t="s">
        <v>1006</v>
      </c>
      <c r="B40" s="4">
        <v>379</v>
      </c>
      <c r="C40">
        <v>4</v>
      </c>
      <c r="D40">
        <v>360.7</v>
      </c>
      <c r="E40" cm="1">
        <f t="array" ref="E40">_xlfn.IFS(B40&lt;=_xlfn.PERCENTILE.INC($B$2:$B$726,0.2),5, B40&lt;=_xlfn.PERCENTILE.INC($B$2:$B$726,0.4),4,B40&lt;=_xlfn.PERCENTILE.INC($B$2:$B$726,0.6),3,B40&lt;=_xlfn.PERCENTILE.INC($B$2:$B$726,0.8),4,TRUE,1)</f>
        <v>5</v>
      </c>
      <c r="F40" cm="1">
        <f t="array" ref="F40">_xlfn.IFS(C40&gt;=_xlfn.PERCENTILE.INC($C$2:$C$726,0.8),5,C40&gt;=_xlfn.PERCENTILE.INC($C$2:$C$726,0.6),4,C40&gt;=_xlfn.PERCENTILE.INC($C$2:$C$726,0.4),3,C40&gt;=_xlfn.PERCENTILE.INC($C$2:$C$726,0.2),2,TRUE,1)</f>
        <v>2</v>
      </c>
      <c r="G40" cm="1">
        <f t="array" ref="G40">_xlfn.IFS(D40&gt;=_xlfn.PERCENTILE.INC($D$2:$D$726,0.8),5,D40&gt;=_xlfn.PERCENTILE.INC($D$2:$D$726,0.6),4,D40&gt;=_xlfn.PERCENTILE.INC($D$2:$D$726,0.4),3,D40&gt;=_xlfn.PERCENTILE.INC($D$2:$D$726,0.2),2,TRUE,1)</f>
        <v>4</v>
      </c>
      <c r="H40">
        <f t="shared" si="0"/>
        <v>11</v>
      </c>
      <c r="I40" t="str" cm="1">
        <f t="array" ref="I40">_xlfn.IFS(H40&gt;=13,"Best Customers",H40&gt;=10,"Loyal Customers",H40&gt;=7,"Potential Loyal Customers",H40&gt;=4,"Need Attention",TRUE,"At Risk")</f>
        <v>Loyal Customers</v>
      </c>
    </row>
    <row r="41" spans="1:9" x14ac:dyDescent="0.25">
      <c r="A41" t="s">
        <v>2497</v>
      </c>
      <c r="B41" s="4">
        <v>595</v>
      </c>
      <c r="C41">
        <v>7</v>
      </c>
      <c r="D41">
        <v>322.89999999999998</v>
      </c>
      <c r="E41" cm="1">
        <f t="array" ref="E41">_xlfn.IFS(B41&lt;=_xlfn.PERCENTILE.INC($B$2:$B$726,0.2),5, B41&lt;=_xlfn.PERCENTILE.INC($B$2:$B$726,0.4),4,B41&lt;=_xlfn.PERCENTILE.INC($B$2:$B$726,0.6),3,B41&lt;=_xlfn.PERCENTILE.INC($B$2:$B$726,0.8),4,TRUE,1)</f>
        <v>4</v>
      </c>
      <c r="F41" cm="1">
        <f t="array" ref="F41">_xlfn.IFS(C41&gt;=_xlfn.PERCENTILE.INC($C$2:$C$726,0.8),5,C41&gt;=_xlfn.PERCENTILE.INC($C$2:$C$726,0.6),4,C41&gt;=_xlfn.PERCENTILE.INC($C$2:$C$726,0.4),3,C41&gt;=_xlfn.PERCENTILE.INC($C$2:$C$726,0.2),2,TRUE,1)</f>
        <v>4</v>
      </c>
      <c r="G41" cm="1">
        <f t="array" ref="G41">_xlfn.IFS(D41&gt;=_xlfn.PERCENTILE.INC($D$2:$D$726,0.8),5,D41&gt;=_xlfn.PERCENTILE.INC($D$2:$D$726,0.6),4,D41&gt;=_xlfn.PERCENTILE.INC($D$2:$D$726,0.4),3,D41&gt;=_xlfn.PERCENTILE.INC($D$2:$D$726,0.2),2,TRUE,1)</f>
        <v>4</v>
      </c>
      <c r="H41">
        <f t="shared" si="0"/>
        <v>12</v>
      </c>
      <c r="I41" t="str" cm="1">
        <f t="array" ref="I41">_xlfn.IFS(H41&gt;=13,"Best Customers",H41&gt;=10,"Loyal Customers",H41&gt;=7,"Potential Loyal Customers",H41&gt;=4,"Need Attention",TRUE,"At Risk")</f>
        <v>Loyal Customers</v>
      </c>
    </row>
    <row r="42" spans="1:9" x14ac:dyDescent="0.25">
      <c r="A42" t="s">
        <v>2254</v>
      </c>
      <c r="B42" s="4">
        <v>399</v>
      </c>
      <c r="C42">
        <v>8</v>
      </c>
      <c r="D42">
        <v>329.09999999999997</v>
      </c>
      <c r="E42" cm="1">
        <f t="array" ref="E42">_xlfn.IFS(B42&lt;=_xlfn.PERCENTILE.INC($B$2:$B$726,0.2),5, B42&lt;=_xlfn.PERCENTILE.INC($B$2:$B$726,0.4),4,B42&lt;=_xlfn.PERCENTILE.INC($B$2:$B$726,0.6),3,B42&lt;=_xlfn.PERCENTILE.INC($B$2:$B$726,0.8),4,TRUE,1)</f>
        <v>4</v>
      </c>
      <c r="F42" cm="1">
        <f t="array" ref="F42">_xlfn.IFS(C42&gt;=_xlfn.PERCENTILE.INC($C$2:$C$726,0.8),5,C42&gt;=_xlfn.PERCENTILE.INC($C$2:$C$726,0.6),4,C42&gt;=_xlfn.PERCENTILE.INC($C$2:$C$726,0.4),3,C42&gt;=_xlfn.PERCENTILE.INC($C$2:$C$726,0.2),2,TRUE,1)</f>
        <v>5</v>
      </c>
      <c r="G42" cm="1">
        <f t="array" ref="G42">_xlfn.IFS(D42&gt;=_xlfn.PERCENTILE.INC($D$2:$D$726,0.8),5,D42&gt;=_xlfn.PERCENTILE.INC($D$2:$D$726,0.6),4,D42&gt;=_xlfn.PERCENTILE.INC($D$2:$D$726,0.4),3,D42&gt;=_xlfn.PERCENTILE.INC($D$2:$D$726,0.2),2,TRUE,1)</f>
        <v>4</v>
      </c>
      <c r="H42">
        <f t="shared" si="0"/>
        <v>13</v>
      </c>
      <c r="I42" t="str" cm="1">
        <f t="array" ref="I42">_xlfn.IFS(H42&gt;=13,"Best Customers",H42&gt;=10,"Loyal Customers",H42&gt;=7,"Potential Loyal Customers",H42&gt;=4,"Need Attention",TRUE,"At Risk")</f>
        <v>Best Customers</v>
      </c>
    </row>
    <row r="43" spans="1:9" x14ac:dyDescent="0.25">
      <c r="A43" t="s">
        <v>658</v>
      </c>
      <c r="B43" s="4">
        <v>457</v>
      </c>
      <c r="C43">
        <v>6</v>
      </c>
      <c r="D43">
        <v>385.6</v>
      </c>
      <c r="E43" cm="1">
        <f t="array" ref="E43">_xlfn.IFS(B43&lt;=_xlfn.PERCENTILE.INC($B$2:$B$726,0.2),5, B43&lt;=_xlfn.PERCENTILE.INC($B$2:$B$726,0.4),4,B43&lt;=_xlfn.PERCENTILE.INC($B$2:$B$726,0.6),3,B43&lt;=_xlfn.PERCENTILE.INC($B$2:$B$726,0.8),4,TRUE,1)</f>
        <v>4</v>
      </c>
      <c r="F43" cm="1">
        <f t="array" ref="F43">_xlfn.IFS(C43&gt;=_xlfn.PERCENTILE.INC($C$2:$C$726,0.8),5,C43&gt;=_xlfn.PERCENTILE.INC($C$2:$C$726,0.6),4,C43&gt;=_xlfn.PERCENTILE.INC($C$2:$C$726,0.4),3,C43&gt;=_xlfn.PERCENTILE.INC($C$2:$C$726,0.2),2,TRUE,1)</f>
        <v>4</v>
      </c>
      <c r="G43" cm="1">
        <f t="array" ref="G43">_xlfn.IFS(D43&gt;=_xlfn.PERCENTILE.INC($D$2:$D$726,0.8),5,D43&gt;=_xlfn.PERCENTILE.INC($D$2:$D$726,0.6),4,D43&gt;=_xlfn.PERCENTILE.INC($D$2:$D$726,0.4),3,D43&gt;=_xlfn.PERCENTILE.INC($D$2:$D$726,0.2),2,TRUE,1)</f>
        <v>4</v>
      </c>
      <c r="H43">
        <f t="shared" si="0"/>
        <v>12</v>
      </c>
      <c r="I43" t="str" cm="1">
        <f t="array" ref="I43">_xlfn.IFS(H43&gt;=13,"Best Customers",H43&gt;=10,"Loyal Customers",H43&gt;=7,"Potential Loyal Customers",H43&gt;=4,"Need Attention",TRUE,"At Risk")</f>
        <v>Loyal Customers</v>
      </c>
    </row>
    <row r="44" spans="1:9" x14ac:dyDescent="0.25">
      <c r="A44" t="s">
        <v>1166</v>
      </c>
      <c r="B44" s="4">
        <v>591</v>
      </c>
      <c r="C44">
        <v>8</v>
      </c>
      <c r="D44">
        <v>341.3</v>
      </c>
      <c r="E44" cm="1">
        <f t="array" ref="E44">_xlfn.IFS(B44&lt;=_xlfn.PERCENTILE.INC($B$2:$B$726,0.2),5, B44&lt;=_xlfn.PERCENTILE.INC($B$2:$B$726,0.4),4,B44&lt;=_xlfn.PERCENTILE.INC($B$2:$B$726,0.6),3,B44&lt;=_xlfn.PERCENTILE.INC($B$2:$B$726,0.8),4,TRUE,1)</f>
        <v>4</v>
      </c>
      <c r="F44" cm="1">
        <f t="array" ref="F44">_xlfn.IFS(C44&gt;=_xlfn.PERCENTILE.INC($C$2:$C$726,0.8),5,C44&gt;=_xlfn.PERCENTILE.INC($C$2:$C$726,0.6),4,C44&gt;=_xlfn.PERCENTILE.INC($C$2:$C$726,0.4),3,C44&gt;=_xlfn.PERCENTILE.INC($C$2:$C$726,0.2),2,TRUE,1)</f>
        <v>5</v>
      </c>
      <c r="G44" cm="1">
        <f t="array" ref="G44">_xlfn.IFS(D44&gt;=_xlfn.PERCENTILE.INC($D$2:$D$726,0.8),5,D44&gt;=_xlfn.PERCENTILE.INC($D$2:$D$726,0.6),4,D44&gt;=_xlfn.PERCENTILE.INC($D$2:$D$726,0.4),3,D44&gt;=_xlfn.PERCENTILE.INC($D$2:$D$726,0.2),2,TRUE,1)</f>
        <v>4</v>
      </c>
      <c r="H44">
        <f t="shared" si="0"/>
        <v>13</v>
      </c>
      <c r="I44" t="str" cm="1">
        <f t="array" ref="I44">_xlfn.IFS(H44&gt;=13,"Best Customers",H44&gt;=10,"Loyal Customers",H44&gt;=7,"Potential Loyal Customers",H44&gt;=4,"Need Attention",TRUE,"At Risk")</f>
        <v>Best Customers</v>
      </c>
    </row>
    <row r="45" spans="1:9" x14ac:dyDescent="0.25">
      <c r="A45" t="s">
        <v>2053</v>
      </c>
      <c r="B45" s="4">
        <v>741</v>
      </c>
      <c r="C45">
        <v>7</v>
      </c>
      <c r="D45">
        <v>585.9</v>
      </c>
      <c r="E45" cm="1">
        <f t="array" ref="E45">_xlfn.IFS(B45&lt;=_xlfn.PERCENTILE.INC($B$2:$B$726,0.2),5, B45&lt;=_xlfn.PERCENTILE.INC($B$2:$B$726,0.4),4,B45&lt;=_xlfn.PERCENTILE.INC($B$2:$B$726,0.6),3,B45&lt;=_xlfn.PERCENTILE.INC($B$2:$B$726,0.8),4,TRUE,1)</f>
        <v>4</v>
      </c>
      <c r="F45" cm="1">
        <f t="array" ref="F45">_xlfn.IFS(C45&gt;=_xlfn.PERCENTILE.INC($C$2:$C$726,0.8),5,C45&gt;=_xlfn.PERCENTILE.INC($C$2:$C$726,0.6),4,C45&gt;=_xlfn.PERCENTILE.INC($C$2:$C$726,0.4),3,C45&gt;=_xlfn.PERCENTILE.INC($C$2:$C$726,0.2),2,TRUE,1)</f>
        <v>4</v>
      </c>
      <c r="G45" cm="1">
        <f t="array" ref="G45">_xlfn.IFS(D45&gt;=_xlfn.PERCENTILE.INC($D$2:$D$726,0.8),5,D45&gt;=_xlfn.PERCENTILE.INC($D$2:$D$726,0.6),4,D45&gt;=_xlfn.PERCENTILE.INC($D$2:$D$726,0.4),3,D45&gt;=_xlfn.PERCENTILE.INC($D$2:$D$726,0.2),2,TRUE,1)</f>
        <v>5</v>
      </c>
      <c r="H45">
        <f t="shared" si="0"/>
        <v>13</v>
      </c>
      <c r="I45" t="str" cm="1">
        <f t="array" ref="I45">_xlfn.IFS(H45&gt;=13,"Best Customers",H45&gt;=10,"Loyal Customers",H45&gt;=7,"Potential Loyal Customers",H45&gt;=4,"Need Attention",TRUE,"At Risk")</f>
        <v>Best Customers</v>
      </c>
    </row>
    <row r="46" spans="1:9" x14ac:dyDescent="0.25">
      <c r="A46" t="s">
        <v>3417</v>
      </c>
      <c r="B46" s="4">
        <v>836</v>
      </c>
      <c r="C46">
        <v>5</v>
      </c>
      <c r="D46">
        <v>208.7</v>
      </c>
      <c r="E46" cm="1">
        <f t="array" ref="E46">_xlfn.IFS(B46&lt;=_xlfn.PERCENTILE.INC($B$2:$B$726,0.2),5, B46&lt;=_xlfn.PERCENTILE.INC($B$2:$B$726,0.4),4,B46&lt;=_xlfn.PERCENTILE.INC($B$2:$B$726,0.6),3,B46&lt;=_xlfn.PERCENTILE.INC($B$2:$B$726,0.8),4,TRUE,1)</f>
        <v>1</v>
      </c>
      <c r="F46" cm="1">
        <f t="array" ref="F46">_xlfn.IFS(C46&gt;=_xlfn.PERCENTILE.INC($C$2:$C$726,0.8),5,C46&gt;=_xlfn.PERCENTILE.INC($C$2:$C$726,0.6),4,C46&gt;=_xlfn.PERCENTILE.INC($C$2:$C$726,0.4),3,C46&gt;=_xlfn.PERCENTILE.INC($C$2:$C$726,0.2),2,TRUE,1)</f>
        <v>3</v>
      </c>
      <c r="G46" cm="1">
        <f t="array" ref="G46">_xlfn.IFS(D46&gt;=_xlfn.PERCENTILE.INC($D$2:$D$726,0.8),5,D46&gt;=_xlfn.PERCENTILE.INC($D$2:$D$726,0.6),4,D46&gt;=_xlfn.PERCENTILE.INC($D$2:$D$726,0.4),3,D46&gt;=_xlfn.PERCENTILE.INC($D$2:$D$726,0.2),2,TRUE,1)</f>
        <v>2</v>
      </c>
      <c r="H46">
        <f t="shared" si="0"/>
        <v>6</v>
      </c>
      <c r="I46" t="str" cm="1">
        <f t="array" ref="I46">_xlfn.IFS(H46&gt;=13,"Best Customers",H46&gt;=10,"Loyal Customers",H46&gt;=7,"Potential Loyal Customers",H46&gt;=4,"Need Attention",TRUE,"At Risk")</f>
        <v>Need Attention</v>
      </c>
    </row>
    <row r="47" spans="1:9" x14ac:dyDescent="0.25">
      <c r="A47" t="s">
        <v>2068</v>
      </c>
      <c r="B47" s="4">
        <v>459</v>
      </c>
      <c r="C47">
        <v>5</v>
      </c>
      <c r="D47">
        <v>335.4</v>
      </c>
      <c r="E47" cm="1">
        <f t="array" ref="E47">_xlfn.IFS(B47&lt;=_xlfn.PERCENTILE.INC($B$2:$B$726,0.2),5, B47&lt;=_xlfn.PERCENTILE.INC($B$2:$B$726,0.4),4,B47&lt;=_xlfn.PERCENTILE.INC($B$2:$B$726,0.6),3,B47&lt;=_xlfn.PERCENTILE.INC($B$2:$B$726,0.8),4,TRUE,1)</f>
        <v>4</v>
      </c>
      <c r="F47" cm="1">
        <f t="array" ref="F47">_xlfn.IFS(C47&gt;=_xlfn.PERCENTILE.INC($C$2:$C$726,0.8),5,C47&gt;=_xlfn.PERCENTILE.INC($C$2:$C$726,0.6),4,C47&gt;=_xlfn.PERCENTILE.INC($C$2:$C$726,0.4),3,C47&gt;=_xlfn.PERCENTILE.INC($C$2:$C$726,0.2),2,TRUE,1)</f>
        <v>3</v>
      </c>
      <c r="G47" cm="1">
        <f t="array" ref="G47">_xlfn.IFS(D47&gt;=_xlfn.PERCENTILE.INC($D$2:$D$726,0.8),5,D47&gt;=_xlfn.PERCENTILE.INC($D$2:$D$726,0.6),4,D47&gt;=_xlfn.PERCENTILE.INC($D$2:$D$726,0.4),3,D47&gt;=_xlfn.PERCENTILE.INC($D$2:$D$726,0.2),2,TRUE,1)</f>
        <v>4</v>
      </c>
      <c r="H47">
        <f t="shared" si="0"/>
        <v>11</v>
      </c>
      <c r="I47" t="str" cm="1">
        <f t="array" ref="I47">_xlfn.IFS(H47&gt;=13,"Best Customers",H47&gt;=10,"Loyal Customers",H47&gt;=7,"Potential Loyal Customers",H47&gt;=4,"Need Attention",TRUE,"At Risk")</f>
        <v>Loyal Customers</v>
      </c>
    </row>
    <row r="48" spans="1:9" x14ac:dyDescent="0.25">
      <c r="A48" t="s">
        <v>1443</v>
      </c>
      <c r="B48" s="4">
        <v>504</v>
      </c>
      <c r="C48">
        <v>6</v>
      </c>
      <c r="D48">
        <v>206.8</v>
      </c>
      <c r="E48" cm="1">
        <f t="array" ref="E48">_xlfn.IFS(B48&lt;=_xlfn.PERCENTILE.INC($B$2:$B$726,0.2),5, B48&lt;=_xlfn.PERCENTILE.INC($B$2:$B$726,0.4),4,B48&lt;=_xlfn.PERCENTILE.INC($B$2:$B$726,0.6),3,B48&lt;=_xlfn.PERCENTILE.INC($B$2:$B$726,0.8),4,TRUE,1)</f>
        <v>3</v>
      </c>
      <c r="F48" cm="1">
        <f t="array" ref="F48">_xlfn.IFS(C48&gt;=_xlfn.PERCENTILE.INC($C$2:$C$726,0.8),5,C48&gt;=_xlfn.PERCENTILE.INC($C$2:$C$726,0.6),4,C48&gt;=_xlfn.PERCENTILE.INC($C$2:$C$726,0.4),3,C48&gt;=_xlfn.PERCENTILE.INC($C$2:$C$726,0.2),2,TRUE,1)</f>
        <v>4</v>
      </c>
      <c r="G48" cm="1">
        <f t="array" ref="G48">_xlfn.IFS(D48&gt;=_xlfn.PERCENTILE.INC($D$2:$D$726,0.8),5,D48&gt;=_xlfn.PERCENTILE.INC($D$2:$D$726,0.6),4,D48&gt;=_xlfn.PERCENTILE.INC($D$2:$D$726,0.4),3,D48&gt;=_xlfn.PERCENTILE.INC($D$2:$D$726,0.2),2,TRUE,1)</f>
        <v>2</v>
      </c>
      <c r="H48">
        <f t="shared" si="0"/>
        <v>9</v>
      </c>
      <c r="I48" t="str" cm="1">
        <f t="array" ref="I48">_xlfn.IFS(H48&gt;=13,"Best Customers",H48&gt;=10,"Loyal Customers",H48&gt;=7,"Potential Loyal Customers",H48&gt;=4,"Need Attention",TRUE,"At Risk")</f>
        <v>Potential Loyal Customers</v>
      </c>
    </row>
    <row r="49" spans="1:9" x14ac:dyDescent="0.25">
      <c r="A49" t="s">
        <v>1927</v>
      </c>
      <c r="B49" s="4">
        <v>1247</v>
      </c>
      <c r="C49">
        <v>4</v>
      </c>
      <c r="D49">
        <v>159.9</v>
      </c>
      <c r="E49" cm="1">
        <f t="array" ref="E49">_xlfn.IFS(B49&lt;=_xlfn.PERCENTILE.INC($B$2:$B$726,0.2),5, B49&lt;=_xlfn.PERCENTILE.INC($B$2:$B$726,0.4),4,B49&lt;=_xlfn.PERCENTILE.INC($B$2:$B$726,0.6),3,B49&lt;=_xlfn.PERCENTILE.INC($B$2:$B$726,0.8),4,TRUE,1)</f>
        <v>1</v>
      </c>
      <c r="F49" cm="1">
        <f t="array" ref="F49">_xlfn.IFS(C49&gt;=_xlfn.PERCENTILE.INC($C$2:$C$726,0.8),5,C49&gt;=_xlfn.PERCENTILE.INC($C$2:$C$726,0.6),4,C49&gt;=_xlfn.PERCENTILE.INC($C$2:$C$726,0.4),3,C49&gt;=_xlfn.PERCENTILE.INC($C$2:$C$726,0.2),2,TRUE,1)</f>
        <v>2</v>
      </c>
      <c r="G49" cm="1">
        <f t="array" ref="G49">_xlfn.IFS(D49&gt;=_xlfn.PERCENTILE.INC($D$2:$D$726,0.8),5,D49&gt;=_xlfn.PERCENTILE.INC($D$2:$D$726,0.6),4,D49&gt;=_xlfn.PERCENTILE.INC($D$2:$D$726,0.4),3,D49&gt;=_xlfn.PERCENTILE.INC($D$2:$D$726,0.2),2,TRUE,1)</f>
        <v>2</v>
      </c>
      <c r="H49">
        <f t="shared" si="0"/>
        <v>5</v>
      </c>
      <c r="I49" t="str" cm="1">
        <f t="array" ref="I49">_xlfn.IFS(H49&gt;=13,"Best Customers",H49&gt;=10,"Loyal Customers",H49&gt;=7,"Potential Loyal Customers",H49&gt;=4,"Need Attention",TRUE,"At Risk")</f>
        <v>Need Attention</v>
      </c>
    </row>
    <row r="50" spans="1:9" x14ac:dyDescent="0.25">
      <c r="A50" t="s">
        <v>1957</v>
      </c>
      <c r="B50" s="4">
        <v>539</v>
      </c>
      <c r="C50">
        <v>8</v>
      </c>
      <c r="D50">
        <v>199.7</v>
      </c>
      <c r="E50" cm="1">
        <f t="array" ref="E50">_xlfn.IFS(B50&lt;=_xlfn.PERCENTILE.INC($B$2:$B$726,0.2),5, B50&lt;=_xlfn.PERCENTILE.INC($B$2:$B$726,0.4),4,B50&lt;=_xlfn.PERCENTILE.INC($B$2:$B$726,0.6),3,B50&lt;=_xlfn.PERCENTILE.INC($B$2:$B$726,0.8),4,TRUE,1)</f>
        <v>3</v>
      </c>
      <c r="F50" cm="1">
        <f t="array" ref="F50">_xlfn.IFS(C50&gt;=_xlfn.PERCENTILE.INC($C$2:$C$726,0.8),5,C50&gt;=_xlfn.PERCENTILE.INC($C$2:$C$726,0.6),4,C50&gt;=_xlfn.PERCENTILE.INC($C$2:$C$726,0.4),3,C50&gt;=_xlfn.PERCENTILE.INC($C$2:$C$726,0.2),2,TRUE,1)</f>
        <v>5</v>
      </c>
      <c r="G50" cm="1">
        <f t="array" ref="G50">_xlfn.IFS(D50&gt;=_xlfn.PERCENTILE.INC($D$2:$D$726,0.8),5,D50&gt;=_xlfn.PERCENTILE.INC($D$2:$D$726,0.6),4,D50&gt;=_xlfn.PERCENTILE.INC($D$2:$D$726,0.4),3,D50&gt;=_xlfn.PERCENTILE.INC($D$2:$D$726,0.2),2,TRUE,1)</f>
        <v>2</v>
      </c>
      <c r="H50">
        <f t="shared" si="0"/>
        <v>10</v>
      </c>
      <c r="I50" t="str" cm="1">
        <f t="array" ref="I50">_xlfn.IFS(H50&gt;=13,"Best Customers",H50&gt;=10,"Loyal Customers",H50&gt;=7,"Potential Loyal Customers",H50&gt;=4,"Need Attention",TRUE,"At Risk")</f>
        <v>Loyal Customers</v>
      </c>
    </row>
    <row r="51" spans="1:9" x14ac:dyDescent="0.25">
      <c r="A51" t="s">
        <v>3202</v>
      </c>
      <c r="B51" s="4">
        <v>354</v>
      </c>
      <c r="C51">
        <v>4</v>
      </c>
      <c r="D51">
        <v>47.8</v>
      </c>
      <c r="E51" cm="1">
        <f t="array" ref="E51">_xlfn.IFS(B51&lt;=_xlfn.PERCENTILE.INC($B$2:$B$726,0.2),5, B51&lt;=_xlfn.PERCENTILE.INC($B$2:$B$726,0.4),4,B51&lt;=_xlfn.PERCENTILE.INC($B$2:$B$726,0.6),3,B51&lt;=_xlfn.PERCENTILE.INC($B$2:$B$726,0.8),4,TRUE,1)</f>
        <v>5</v>
      </c>
      <c r="F51" cm="1">
        <f t="array" ref="F51">_xlfn.IFS(C51&gt;=_xlfn.PERCENTILE.INC($C$2:$C$726,0.8),5,C51&gt;=_xlfn.PERCENTILE.INC($C$2:$C$726,0.6),4,C51&gt;=_xlfn.PERCENTILE.INC($C$2:$C$726,0.4),3,C51&gt;=_xlfn.PERCENTILE.INC($C$2:$C$726,0.2),2,TRUE,1)</f>
        <v>2</v>
      </c>
      <c r="G51" cm="1">
        <f t="array" ref="G51">_xlfn.IFS(D51&gt;=_xlfn.PERCENTILE.INC($D$2:$D$726,0.8),5,D51&gt;=_xlfn.PERCENTILE.INC($D$2:$D$726,0.6),4,D51&gt;=_xlfn.PERCENTILE.INC($D$2:$D$726,0.4),3,D51&gt;=_xlfn.PERCENTILE.INC($D$2:$D$726,0.2),2,TRUE,1)</f>
        <v>1</v>
      </c>
      <c r="H51">
        <f t="shared" si="0"/>
        <v>8</v>
      </c>
      <c r="I51" t="str" cm="1">
        <f t="array" ref="I51">_xlfn.IFS(H51&gt;=13,"Best Customers",H51&gt;=10,"Loyal Customers",H51&gt;=7,"Potential Loyal Customers",H51&gt;=4,"Need Attention",TRUE,"At Risk")</f>
        <v>Potential Loyal Customers</v>
      </c>
    </row>
    <row r="52" spans="1:9" x14ac:dyDescent="0.25">
      <c r="A52" t="s">
        <v>3375</v>
      </c>
      <c r="B52" s="4">
        <v>336</v>
      </c>
      <c r="C52">
        <v>8</v>
      </c>
      <c r="D52">
        <v>343.60000000000008</v>
      </c>
      <c r="E52" cm="1">
        <f t="array" ref="E52">_xlfn.IFS(B52&lt;=_xlfn.PERCENTILE.INC($B$2:$B$726,0.2),5, B52&lt;=_xlfn.PERCENTILE.INC($B$2:$B$726,0.4),4,B52&lt;=_xlfn.PERCENTILE.INC($B$2:$B$726,0.6),3,B52&lt;=_xlfn.PERCENTILE.INC($B$2:$B$726,0.8),4,TRUE,1)</f>
        <v>5</v>
      </c>
      <c r="F52" cm="1">
        <f t="array" ref="F52">_xlfn.IFS(C52&gt;=_xlfn.PERCENTILE.INC($C$2:$C$726,0.8),5,C52&gt;=_xlfn.PERCENTILE.INC($C$2:$C$726,0.6),4,C52&gt;=_xlfn.PERCENTILE.INC($C$2:$C$726,0.4),3,C52&gt;=_xlfn.PERCENTILE.INC($C$2:$C$726,0.2),2,TRUE,1)</f>
        <v>5</v>
      </c>
      <c r="G52" cm="1">
        <f t="array" ref="G52">_xlfn.IFS(D52&gt;=_xlfn.PERCENTILE.INC($D$2:$D$726,0.8),5,D52&gt;=_xlfn.PERCENTILE.INC($D$2:$D$726,0.6),4,D52&gt;=_xlfn.PERCENTILE.INC($D$2:$D$726,0.4),3,D52&gt;=_xlfn.PERCENTILE.INC($D$2:$D$726,0.2),2,TRUE,1)</f>
        <v>4</v>
      </c>
      <c r="H52">
        <f t="shared" si="0"/>
        <v>14</v>
      </c>
      <c r="I52" t="str" cm="1">
        <f t="array" ref="I52">_xlfn.IFS(H52&gt;=13,"Best Customers",H52&gt;=10,"Loyal Customers",H52&gt;=7,"Potential Loyal Customers",H52&gt;=4,"Need Attention",TRUE,"At Risk")</f>
        <v>Best Customers</v>
      </c>
    </row>
    <row r="53" spans="1:9" x14ac:dyDescent="0.25">
      <c r="A53" t="s">
        <v>617</v>
      </c>
      <c r="B53" s="4">
        <v>385</v>
      </c>
      <c r="C53">
        <v>4</v>
      </c>
      <c r="D53">
        <v>220.7</v>
      </c>
      <c r="E53" cm="1">
        <f t="array" ref="E53">_xlfn.IFS(B53&lt;=_xlfn.PERCENTILE.INC($B$2:$B$726,0.2),5, B53&lt;=_xlfn.PERCENTILE.INC($B$2:$B$726,0.4),4,B53&lt;=_xlfn.PERCENTILE.INC($B$2:$B$726,0.6),3,B53&lt;=_xlfn.PERCENTILE.INC($B$2:$B$726,0.8),4,TRUE,1)</f>
        <v>5</v>
      </c>
      <c r="F53" cm="1">
        <f t="array" ref="F53">_xlfn.IFS(C53&gt;=_xlfn.PERCENTILE.INC($C$2:$C$726,0.8),5,C53&gt;=_xlfn.PERCENTILE.INC($C$2:$C$726,0.6),4,C53&gt;=_xlfn.PERCENTILE.INC($C$2:$C$726,0.4),3,C53&gt;=_xlfn.PERCENTILE.INC($C$2:$C$726,0.2),2,TRUE,1)</f>
        <v>2</v>
      </c>
      <c r="G53" cm="1">
        <f t="array" ref="G53">_xlfn.IFS(D53&gt;=_xlfn.PERCENTILE.INC($D$2:$D$726,0.8),5,D53&gt;=_xlfn.PERCENTILE.INC($D$2:$D$726,0.6),4,D53&gt;=_xlfn.PERCENTILE.INC($D$2:$D$726,0.4),3,D53&gt;=_xlfn.PERCENTILE.INC($D$2:$D$726,0.2),2,TRUE,1)</f>
        <v>2</v>
      </c>
      <c r="H53">
        <f t="shared" si="0"/>
        <v>9</v>
      </c>
      <c r="I53" t="str" cm="1">
        <f t="array" ref="I53">_xlfn.IFS(H53&gt;=13,"Best Customers",H53&gt;=10,"Loyal Customers",H53&gt;=7,"Potential Loyal Customers",H53&gt;=4,"Need Attention",TRUE,"At Risk")</f>
        <v>Potential Loyal Customers</v>
      </c>
    </row>
    <row r="54" spans="1:9" x14ac:dyDescent="0.25">
      <c r="A54" t="s">
        <v>1672</v>
      </c>
      <c r="B54" s="4">
        <v>965</v>
      </c>
      <c r="C54">
        <v>4</v>
      </c>
      <c r="D54">
        <v>62.4</v>
      </c>
      <c r="E54" cm="1">
        <f t="array" ref="E54">_xlfn.IFS(B54&lt;=_xlfn.PERCENTILE.INC($B$2:$B$726,0.2),5, B54&lt;=_xlfn.PERCENTILE.INC($B$2:$B$726,0.4),4,B54&lt;=_xlfn.PERCENTILE.INC($B$2:$B$726,0.6),3,B54&lt;=_xlfn.PERCENTILE.INC($B$2:$B$726,0.8),4,TRUE,1)</f>
        <v>1</v>
      </c>
      <c r="F54" cm="1">
        <f t="array" ref="F54">_xlfn.IFS(C54&gt;=_xlfn.PERCENTILE.INC($C$2:$C$726,0.8),5,C54&gt;=_xlfn.PERCENTILE.INC($C$2:$C$726,0.6),4,C54&gt;=_xlfn.PERCENTILE.INC($C$2:$C$726,0.4),3,C54&gt;=_xlfn.PERCENTILE.INC($C$2:$C$726,0.2),2,TRUE,1)</f>
        <v>2</v>
      </c>
      <c r="G54" cm="1">
        <f t="array" ref="G54">_xlfn.IFS(D54&gt;=_xlfn.PERCENTILE.INC($D$2:$D$726,0.8),5,D54&gt;=_xlfn.PERCENTILE.INC($D$2:$D$726,0.6),4,D54&gt;=_xlfn.PERCENTILE.INC($D$2:$D$726,0.4),3,D54&gt;=_xlfn.PERCENTILE.INC($D$2:$D$726,0.2),2,TRUE,1)</f>
        <v>1</v>
      </c>
      <c r="H54">
        <f t="shared" si="0"/>
        <v>4</v>
      </c>
      <c r="I54" t="str" cm="1">
        <f t="array" ref="I54">_xlfn.IFS(H54&gt;=13,"Best Customers",H54&gt;=10,"Loyal Customers",H54&gt;=7,"Potential Loyal Customers",H54&gt;=4,"Need Attention",TRUE,"At Risk")</f>
        <v>Need Attention</v>
      </c>
    </row>
    <row r="55" spans="1:9" x14ac:dyDescent="0.25">
      <c r="A55" t="s">
        <v>978</v>
      </c>
      <c r="B55" s="4">
        <v>743</v>
      </c>
      <c r="C55">
        <v>5</v>
      </c>
      <c r="D55">
        <v>110.30000000000001</v>
      </c>
      <c r="E55" cm="1">
        <f t="array" ref="E55">_xlfn.IFS(B55&lt;=_xlfn.PERCENTILE.INC($B$2:$B$726,0.2),5, B55&lt;=_xlfn.PERCENTILE.INC($B$2:$B$726,0.4),4,B55&lt;=_xlfn.PERCENTILE.INC($B$2:$B$726,0.6),3,B55&lt;=_xlfn.PERCENTILE.INC($B$2:$B$726,0.8),4,TRUE,1)</f>
        <v>4</v>
      </c>
      <c r="F55" cm="1">
        <f t="array" ref="F55">_xlfn.IFS(C55&gt;=_xlfn.PERCENTILE.INC($C$2:$C$726,0.8),5,C55&gt;=_xlfn.PERCENTILE.INC($C$2:$C$726,0.6),4,C55&gt;=_xlfn.PERCENTILE.INC($C$2:$C$726,0.4),3,C55&gt;=_xlfn.PERCENTILE.INC($C$2:$C$726,0.2),2,TRUE,1)</f>
        <v>3</v>
      </c>
      <c r="G55" cm="1">
        <f t="array" ref="G55">_xlfn.IFS(D55&gt;=_xlfn.PERCENTILE.INC($D$2:$D$726,0.8),5,D55&gt;=_xlfn.PERCENTILE.INC($D$2:$D$726,0.6),4,D55&gt;=_xlfn.PERCENTILE.INC($D$2:$D$726,0.4),3,D55&gt;=_xlfn.PERCENTILE.INC($D$2:$D$726,0.2),2,TRUE,1)</f>
        <v>1</v>
      </c>
      <c r="H55">
        <f t="shared" si="0"/>
        <v>8</v>
      </c>
      <c r="I55" t="str" cm="1">
        <f t="array" ref="I55">_xlfn.IFS(H55&gt;=13,"Best Customers",H55&gt;=10,"Loyal Customers",H55&gt;=7,"Potential Loyal Customers",H55&gt;=4,"Need Attention",TRUE,"At Risk")</f>
        <v>Potential Loyal Customers</v>
      </c>
    </row>
    <row r="56" spans="1:9" x14ac:dyDescent="0.25">
      <c r="A56" t="s">
        <v>1969</v>
      </c>
      <c r="B56" s="4">
        <v>408</v>
      </c>
      <c r="C56">
        <v>5</v>
      </c>
      <c r="D56">
        <v>174.10000000000002</v>
      </c>
      <c r="E56" cm="1">
        <f t="array" ref="E56">_xlfn.IFS(B56&lt;=_xlfn.PERCENTILE.INC($B$2:$B$726,0.2),5, B56&lt;=_xlfn.PERCENTILE.INC($B$2:$B$726,0.4),4,B56&lt;=_xlfn.PERCENTILE.INC($B$2:$B$726,0.6),3,B56&lt;=_xlfn.PERCENTILE.INC($B$2:$B$726,0.8),4,TRUE,1)</f>
        <v>4</v>
      </c>
      <c r="F56" cm="1">
        <f t="array" ref="F56">_xlfn.IFS(C56&gt;=_xlfn.PERCENTILE.INC($C$2:$C$726,0.8),5,C56&gt;=_xlfn.PERCENTILE.INC($C$2:$C$726,0.6),4,C56&gt;=_xlfn.PERCENTILE.INC($C$2:$C$726,0.4),3,C56&gt;=_xlfn.PERCENTILE.INC($C$2:$C$726,0.2),2,TRUE,1)</f>
        <v>3</v>
      </c>
      <c r="G56" cm="1">
        <f t="array" ref="G56">_xlfn.IFS(D56&gt;=_xlfn.PERCENTILE.INC($D$2:$D$726,0.8),5,D56&gt;=_xlfn.PERCENTILE.INC($D$2:$D$726,0.6),4,D56&gt;=_xlfn.PERCENTILE.INC($D$2:$D$726,0.4),3,D56&gt;=_xlfn.PERCENTILE.INC($D$2:$D$726,0.2),2,TRUE,1)</f>
        <v>2</v>
      </c>
      <c r="H56">
        <f t="shared" si="0"/>
        <v>9</v>
      </c>
      <c r="I56" t="str" cm="1">
        <f t="array" ref="I56">_xlfn.IFS(H56&gt;=13,"Best Customers",H56&gt;=10,"Loyal Customers",H56&gt;=7,"Potential Loyal Customers",H56&gt;=4,"Need Attention",TRUE,"At Risk")</f>
        <v>Potential Loyal Customers</v>
      </c>
    </row>
    <row r="57" spans="1:9" x14ac:dyDescent="0.25">
      <c r="A57" t="s">
        <v>808</v>
      </c>
      <c r="B57" s="4">
        <v>427</v>
      </c>
      <c r="C57">
        <v>9</v>
      </c>
      <c r="D57">
        <v>183.7</v>
      </c>
      <c r="E57" cm="1">
        <f t="array" ref="E57">_xlfn.IFS(B57&lt;=_xlfn.PERCENTILE.INC($B$2:$B$726,0.2),5, B57&lt;=_xlfn.PERCENTILE.INC($B$2:$B$726,0.4),4,B57&lt;=_xlfn.PERCENTILE.INC($B$2:$B$726,0.6),3,B57&lt;=_xlfn.PERCENTILE.INC($B$2:$B$726,0.8),4,TRUE,1)</f>
        <v>4</v>
      </c>
      <c r="F57" cm="1">
        <f t="array" ref="F57">_xlfn.IFS(C57&gt;=_xlfn.PERCENTILE.INC($C$2:$C$726,0.8),5,C57&gt;=_xlfn.PERCENTILE.INC($C$2:$C$726,0.6),4,C57&gt;=_xlfn.PERCENTILE.INC($C$2:$C$726,0.4),3,C57&gt;=_xlfn.PERCENTILE.INC($C$2:$C$726,0.2),2,TRUE,1)</f>
        <v>5</v>
      </c>
      <c r="G57" cm="1">
        <f t="array" ref="G57">_xlfn.IFS(D57&gt;=_xlfn.PERCENTILE.INC($D$2:$D$726,0.8),5,D57&gt;=_xlfn.PERCENTILE.INC($D$2:$D$726,0.6),4,D57&gt;=_xlfn.PERCENTILE.INC($D$2:$D$726,0.4),3,D57&gt;=_xlfn.PERCENTILE.INC($D$2:$D$726,0.2),2,TRUE,1)</f>
        <v>2</v>
      </c>
      <c r="H57">
        <f t="shared" si="0"/>
        <v>11</v>
      </c>
      <c r="I57" t="str" cm="1">
        <f t="array" ref="I57">_xlfn.IFS(H57&gt;=13,"Best Customers",H57&gt;=10,"Loyal Customers",H57&gt;=7,"Potential Loyal Customers",H57&gt;=4,"Need Attention",TRUE,"At Risk")</f>
        <v>Loyal Customers</v>
      </c>
    </row>
    <row r="58" spans="1:9" x14ac:dyDescent="0.25">
      <c r="A58" t="s">
        <v>1517</v>
      </c>
      <c r="B58" s="4">
        <v>730</v>
      </c>
      <c r="C58">
        <v>7</v>
      </c>
      <c r="D58">
        <v>296.2</v>
      </c>
      <c r="E58" cm="1">
        <f t="array" ref="E58">_xlfn.IFS(B58&lt;=_xlfn.PERCENTILE.INC($B$2:$B$726,0.2),5, B58&lt;=_xlfn.PERCENTILE.INC($B$2:$B$726,0.4),4,B58&lt;=_xlfn.PERCENTILE.INC($B$2:$B$726,0.6),3,B58&lt;=_xlfn.PERCENTILE.INC($B$2:$B$726,0.8),4,TRUE,1)</f>
        <v>4</v>
      </c>
      <c r="F58" cm="1">
        <f t="array" ref="F58">_xlfn.IFS(C58&gt;=_xlfn.PERCENTILE.INC($C$2:$C$726,0.8),5,C58&gt;=_xlfn.PERCENTILE.INC($C$2:$C$726,0.6),4,C58&gt;=_xlfn.PERCENTILE.INC($C$2:$C$726,0.4),3,C58&gt;=_xlfn.PERCENTILE.INC($C$2:$C$726,0.2),2,TRUE,1)</f>
        <v>4</v>
      </c>
      <c r="G58" cm="1">
        <f t="array" ref="G58">_xlfn.IFS(D58&gt;=_xlfn.PERCENTILE.INC($D$2:$D$726,0.8),5,D58&gt;=_xlfn.PERCENTILE.INC($D$2:$D$726,0.6),4,D58&gt;=_xlfn.PERCENTILE.INC($D$2:$D$726,0.4),3,D58&gt;=_xlfn.PERCENTILE.INC($D$2:$D$726,0.2),2,TRUE,1)</f>
        <v>3</v>
      </c>
      <c r="H58">
        <f t="shared" si="0"/>
        <v>11</v>
      </c>
      <c r="I58" t="str" cm="1">
        <f t="array" ref="I58">_xlfn.IFS(H58&gt;=13,"Best Customers",H58&gt;=10,"Loyal Customers",H58&gt;=7,"Potential Loyal Customers",H58&gt;=4,"Need Attention",TRUE,"At Risk")</f>
        <v>Loyal Customers</v>
      </c>
    </row>
    <row r="59" spans="1:9" x14ac:dyDescent="0.25">
      <c r="A59" t="s">
        <v>3127</v>
      </c>
      <c r="B59" s="4">
        <v>365</v>
      </c>
      <c r="C59">
        <v>4</v>
      </c>
      <c r="D59">
        <v>268.89999999999998</v>
      </c>
      <c r="E59" cm="1">
        <f t="array" ref="E59">_xlfn.IFS(B59&lt;=_xlfn.PERCENTILE.INC($B$2:$B$726,0.2),5, B59&lt;=_xlfn.PERCENTILE.INC($B$2:$B$726,0.4),4,B59&lt;=_xlfn.PERCENTILE.INC($B$2:$B$726,0.6),3,B59&lt;=_xlfn.PERCENTILE.INC($B$2:$B$726,0.8),4,TRUE,1)</f>
        <v>5</v>
      </c>
      <c r="F59" cm="1">
        <f t="array" ref="F59">_xlfn.IFS(C59&gt;=_xlfn.PERCENTILE.INC($C$2:$C$726,0.8),5,C59&gt;=_xlfn.PERCENTILE.INC($C$2:$C$726,0.6),4,C59&gt;=_xlfn.PERCENTILE.INC($C$2:$C$726,0.4),3,C59&gt;=_xlfn.PERCENTILE.INC($C$2:$C$726,0.2),2,TRUE,1)</f>
        <v>2</v>
      </c>
      <c r="G59" cm="1">
        <f t="array" ref="G59">_xlfn.IFS(D59&gt;=_xlfn.PERCENTILE.INC($D$2:$D$726,0.8),5,D59&gt;=_xlfn.PERCENTILE.INC($D$2:$D$726,0.6),4,D59&gt;=_xlfn.PERCENTILE.INC($D$2:$D$726,0.4),3,D59&gt;=_xlfn.PERCENTILE.INC($D$2:$D$726,0.2),2,TRUE,1)</f>
        <v>3</v>
      </c>
      <c r="H59">
        <f t="shared" si="0"/>
        <v>10</v>
      </c>
      <c r="I59" t="str" cm="1">
        <f t="array" ref="I59">_xlfn.IFS(H59&gt;=13,"Best Customers",H59&gt;=10,"Loyal Customers",H59&gt;=7,"Potential Loyal Customers",H59&gt;=4,"Need Attention",TRUE,"At Risk")</f>
        <v>Loyal Customers</v>
      </c>
    </row>
    <row r="60" spans="1:9" x14ac:dyDescent="0.25">
      <c r="A60" t="s">
        <v>820</v>
      </c>
      <c r="B60" s="4">
        <v>343</v>
      </c>
      <c r="C60">
        <v>8</v>
      </c>
      <c r="D60">
        <v>319.10000000000002</v>
      </c>
      <c r="E60" cm="1">
        <f t="array" ref="E60">_xlfn.IFS(B60&lt;=_xlfn.PERCENTILE.INC($B$2:$B$726,0.2),5, B60&lt;=_xlfn.PERCENTILE.INC($B$2:$B$726,0.4),4,B60&lt;=_xlfn.PERCENTILE.INC($B$2:$B$726,0.6),3,B60&lt;=_xlfn.PERCENTILE.INC($B$2:$B$726,0.8),4,TRUE,1)</f>
        <v>5</v>
      </c>
      <c r="F60" cm="1">
        <f t="array" ref="F60">_xlfn.IFS(C60&gt;=_xlfn.PERCENTILE.INC($C$2:$C$726,0.8),5,C60&gt;=_xlfn.PERCENTILE.INC($C$2:$C$726,0.6),4,C60&gt;=_xlfn.PERCENTILE.INC($C$2:$C$726,0.4),3,C60&gt;=_xlfn.PERCENTILE.INC($C$2:$C$726,0.2),2,TRUE,1)</f>
        <v>5</v>
      </c>
      <c r="G60" cm="1">
        <f t="array" ref="G60">_xlfn.IFS(D60&gt;=_xlfn.PERCENTILE.INC($D$2:$D$726,0.8),5,D60&gt;=_xlfn.PERCENTILE.INC($D$2:$D$726,0.6),4,D60&gt;=_xlfn.PERCENTILE.INC($D$2:$D$726,0.4),3,D60&gt;=_xlfn.PERCENTILE.INC($D$2:$D$726,0.2),2,TRUE,1)</f>
        <v>4</v>
      </c>
      <c r="H60">
        <f t="shared" si="0"/>
        <v>14</v>
      </c>
      <c r="I60" t="str" cm="1">
        <f t="array" ref="I60">_xlfn.IFS(H60&gt;=13,"Best Customers",H60&gt;=10,"Loyal Customers",H60&gt;=7,"Potential Loyal Customers",H60&gt;=4,"Need Attention",TRUE,"At Risk")</f>
        <v>Best Customers</v>
      </c>
    </row>
    <row r="61" spans="1:9" x14ac:dyDescent="0.25">
      <c r="A61" t="s">
        <v>2107</v>
      </c>
      <c r="B61" s="4">
        <v>489</v>
      </c>
      <c r="C61">
        <v>5</v>
      </c>
      <c r="D61">
        <v>120.30000000000001</v>
      </c>
      <c r="E61" cm="1">
        <f t="array" ref="E61">_xlfn.IFS(B61&lt;=_xlfn.PERCENTILE.INC($B$2:$B$726,0.2),5, B61&lt;=_xlfn.PERCENTILE.INC($B$2:$B$726,0.4),4,B61&lt;=_xlfn.PERCENTILE.INC($B$2:$B$726,0.6),3,B61&lt;=_xlfn.PERCENTILE.INC($B$2:$B$726,0.8),4,TRUE,1)</f>
        <v>3</v>
      </c>
      <c r="F61" cm="1">
        <f t="array" ref="F61">_xlfn.IFS(C61&gt;=_xlfn.PERCENTILE.INC($C$2:$C$726,0.8),5,C61&gt;=_xlfn.PERCENTILE.INC($C$2:$C$726,0.6),4,C61&gt;=_xlfn.PERCENTILE.INC($C$2:$C$726,0.4),3,C61&gt;=_xlfn.PERCENTILE.INC($C$2:$C$726,0.2),2,TRUE,1)</f>
        <v>3</v>
      </c>
      <c r="G61" cm="1">
        <f t="array" ref="G61">_xlfn.IFS(D61&gt;=_xlfn.PERCENTILE.INC($D$2:$D$726,0.8),5,D61&gt;=_xlfn.PERCENTILE.INC($D$2:$D$726,0.6),4,D61&gt;=_xlfn.PERCENTILE.INC($D$2:$D$726,0.4),3,D61&gt;=_xlfn.PERCENTILE.INC($D$2:$D$726,0.2),2,TRUE,1)</f>
        <v>1</v>
      </c>
      <c r="H61">
        <f t="shared" si="0"/>
        <v>7</v>
      </c>
      <c r="I61" t="str" cm="1">
        <f t="array" ref="I61">_xlfn.IFS(H61&gt;=13,"Best Customers",H61&gt;=10,"Loyal Customers",H61&gt;=7,"Potential Loyal Customers",H61&gt;=4,"Need Attention",TRUE,"At Risk")</f>
        <v>Potential Loyal Customers</v>
      </c>
    </row>
    <row r="62" spans="1:9" x14ac:dyDescent="0.25">
      <c r="A62" t="s">
        <v>561</v>
      </c>
      <c r="B62" s="4">
        <v>556</v>
      </c>
      <c r="C62">
        <v>4</v>
      </c>
      <c r="D62">
        <v>318.29999999999995</v>
      </c>
      <c r="E62" cm="1">
        <f t="array" ref="E62">_xlfn.IFS(B62&lt;=_xlfn.PERCENTILE.INC($B$2:$B$726,0.2),5, B62&lt;=_xlfn.PERCENTILE.INC($B$2:$B$726,0.4),4,B62&lt;=_xlfn.PERCENTILE.INC($B$2:$B$726,0.6),3,B62&lt;=_xlfn.PERCENTILE.INC($B$2:$B$726,0.8),4,TRUE,1)</f>
        <v>3</v>
      </c>
      <c r="F62" cm="1">
        <f t="array" ref="F62">_xlfn.IFS(C62&gt;=_xlfn.PERCENTILE.INC($C$2:$C$726,0.8),5,C62&gt;=_xlfn.PERCENTILE.INC($C$2:$C$726,0.6),4,C62&gt;=_xlfn.PERCENTILE.INC($C$2:$C$726,0.4),3,C62&gt;=_xlfn.PERCENTILE.INC($C$2:$C$726,0.2),2,TRUE,1)</f>
        <v>2</v>
      </c>
      <c r="G62" cm="1">
        <f t="array" ref="G62">_xlfn.IFS(D62&gt;=_xlfn.PERCENTILE.INC($D$2:$D$726,0.8),5,D62&gt;=_xlfn.PERCENTILE.INC($D$2:$D$726,0.6),4,D62&gt;=_xlfn.PERCENTILE.INC($D$2:$D$726,0.4),3,D62&gt;=_xlfn.PERCENTILE.INC($D$2:$D$726,0.2),2,TRUE,1)</f>
        <v>4</v>
      </c>
      <c r="H62">
        <f t="shared" si="0"/>
        <v>9</v>
      </c>
      <c r="I62" t="str" cm="1">
        <f t="array" ref="I62">_xlfn.IFS(H62&gt;=13,"Best Customers",H62&gt;=10,"Loyal Customers",H62&gt;=7,"Potential Loyal Customers",H62&gt;=4,"Need Attention",TRUE,"At Risk")</f>
        <v>Potential Loyal Customers</v>
      </c>
    </row>
    <row r="63" spans="1:9" x14ac:dyDescent="0.25">
      <c r="A63" t="s">
        <v>3399</v>
      </c>
      <c r="B63" s="4">
        <v>348</v>
      </c>
      <c r="C63">
        <v>6</v>
      </c>
      <c r="D63">
        <v>601.79999999999995</v>
      </c>
      <c r="E63" cm="1">
        <f t="array" ref="E63">_xlfn.IFS(B63&lt;=_xlfn.PERCENTILE.INC($B$2:$B$726,0.2),5, B63&lt;=_xlfn.PERCENTILE.INC($B$2:$B$726,0.4),4,B63&lt;=_xlfn.PERCENTILE.INC($B$2:$B$726,0.6),3,B63&lt;=_xlfn.PERCENTILE.INC($B$2:$B$726,0.8),4,TRUE,1)</f>
        <v>5</v>
      </c>
      <c r="F63" cm="1">
        <f t="array" ref="F63">_xlfn.IFS(C63&gt;=_xlfn.PERCENTILE.INC($C$2:$C$726,0.8),5,C63&gt;=_xlfn.PERCENTILE.INC($C$2:$C$726,0.6),4,C63&gt;=_xlfn.PERCENTILE.INC($C$2:$C$726,0.4),3,C63&gt;=_xlfn.PERCENTILE.INC($C$2:$C$726,0.2),2,TRUE,1)</f>
        <v>4</v>
      </c>
      <c r="G63" cm="1">
        <f t="array" ref="G63">_xlfn.IFS(D63&gt;=_xlfn.PERCENTILE.INC($D$2:$D$726,0.8),5,D63&gt;=_xlfn.PERCENTILE.INC($D$2:$D$726,0.6),4,D63&gt;=_xlfn.PERCENTILE.INC($D$2:$D$726,0.4),3,D63&gt;=_xlfn.PERCENTILE.INC($D$2:$D$726,0.2),2,TRUE,1)</f>
        <v>5</v>
      </c>
      <c r="H63">
        <f t="shared" si="0"/>
        <v>14</v>
      </c>
      <c r="I63" t="str" cm="1">
        <f t="array" ref="I63">_xlfn.IFS(H63&gt;=13,"Best Customers",H63&gt;=10,"Loyal Customers",H63&gt;=7,"Potential Loyal Customers",H63&gt;=4,"Need Attention",TRUE,"At Risk")</f>
        <v>Best Customers</v>
      </c>
    </row>
    <row r="64" spans="1:9" x14ac:dyDescent="0.25">
      <c r="A64" t="s">
        <v>1253</v>
      </c>
      <c r="B64" s="4">
        <v>361</v>
      </c>
      <c r="C64">
        <v>7</v>
      </c>
      <c r="D64">
        <v>657.3</v>
      </c>
      <c r="E64" cm="1">
        <f t="array" ref="E64">_xlfn.IFS(B64&lt;=_xlfn.PERCENTILE.INC($B$2:$B$726,0.2),5, B64&lt;=_xlfn.PERCENTILE.INC($B$2:$B$726,0.4),4,B64&lt;=_xlfn.PERCENTILE.INC($B$2:$B$726,0.6),3,B64&lt;=_xlfn.PERCENTILE.INC($B$2:$B$726,0.8),4,TRUE,1)</f>
        <v>5</v>
      </c>
      <c r="F64" cm="1">
        <f t="array" ref="F64">_xlfn.IFS(C64&gt;=_xlfn.PERCENTILE.INC($C$2:$C$726,0.8),5,C64&gt;=_xlfn.PERCENTILE.INC($C$2:$C$726,0.6),4,C64&gt;=_xlfn.PERCENTILE.INC($C$2:$C$726,0.4),3,C64&gt;=_xlfn.PERCENTILE.INC($C$2:$C$726,0.2),2,TRUE,1)</f>
        <v>4</v>
      </c>
      <c r="G64" cm="1">
        <f t="array" ref="G64">_xlfn.IFS(D64&gt;=_xlfn.PERCENTILE.INC($D$2:$D$726,0.8),5,D64&gt;=_xlfn.PERCENTILE.INC($D$2:$D$726,0.6),4,D64&gt;=_xlfn.PERCENTILE.INC($D$2:$D$726,0.4),3,D64&gt;=_xlfn.PERCENTILE.INC($D$2:$D$726,0.2),2,TRUE,1)</f>
        <v>5</v>
      </c>
      <c r="H64">
        <f t="shared" si="0"/>
        <v>14</v>
      </c>
      <c r="I64" t="str" cm="1">
        <f t="array" ref="I64">_xlfn.IFS(H64&gt;=13,"Best Customers",H64&gt;=10,"Loyal Customers",H64&gt;=7,"Potential Loyal Customers",H64&gt;=4,"Need Attention",TRUE,"At Risk")</f>
        <v>Best Customers</v>
      </c>
    </row>
    <row r="65" spans="1:9" x14ac:dyDescent="0.25">
      <c r="A65" t="s">
        <v>1281</v>
      </c>
      <c r="B65" s="4">
        <v>703</v>
      </c>
      <c r="C65">
        <v>5</v>
      </c>
      <c r="D65">
        <v>162.6</v>
      </c>
      <c r="E65" cm="1">
        <f t="array" ref="E65">_xlfn.IFS(B65&lt;=_xlfn.PERCENTILE.INC($B$2:$B$726,0.2),5, B65&lt;=_xlfn.PERCENTILE.INC($B$2:$B$726,0.4),4,B65&lt;=_xlfn.PERCENTILE.INC($B$2:$B$726,0.6),3,B65&lt;=_xlfn.PERCENTILE.INC($B$2:$B$726,0.8),4,TRUE,1)</f>
        <v>4</v>
      </c>
      <c r="F65" cm="1">
        <f t="array" ref="F65">_xlfn.IFS(C65&gt;=_xlfn.PERCENTILE.INC($C$2:$C$726,0.8),5,C65&gt;=_xlfn.PERCENTILE.INC($C$2:$C$726,0.6),4,C65&gt;=_xlfn.PERCENTILE.INC($C$2:$C$726,0.4),3,C65&gt;=_xlfn.PERCENTILE.INC($C$2:$C$726,0.2),2,TRUE,1)</f>
        <v>3</v>
      </c>
      <c r="G65" cm="1">
        <f t="array" ref="G65">_xlfn.IFS(D65&gt;=_xlfn.PERCENTILE.INC($D$2:$D$726,0.8),5,D65&gt;=_xlfn.PERCENTILE.INC($D$2:$D$726,0.6),4,D65&gt;=_xlfn.PERCENTILE.INC($D$2:$D$726,0.4),3,D65&gt;=_xlfn.PERCENTILE.INC($D$2:$D$726,0.2),2,TRUE,1)</f>
        <v>2</v>
      </c>
      <c r="H65">
        <f t="shared" si="0"/>
        <v>9</v>
      </c>
      <c r="I65" t="str" cm="1">
        <f t="array" ref="I65">_xlfn.IFS(H65&gt;=13,"Best Customers",H65&gt;=10,"Loyal Customers",H65&gt;=7,"Potential Loyal Customers",H65&gt;=4,"Need Attention",TRUE,"At Risk")</f>
        <v>Potential Loyal Customers</v>
      </c>
    </row>
    <row r="66" spans="1:9" x14ac:dyDescent="0.25">
      <c r="A66" t="s">
        <v>899</v>
      </c>
      <c r="B66" s="4">
        <v>513</v>
      </c>
      <c r="C66">
        <v>8</v>
      </c>
      <c r="D66">
        <v>473.3</v>
      </c>
      <c r="E66" cm="1">
        <f t="array" ref="E66">_xlfn.IFS(B66&lt;=_xlfn.PERCENTILE.INC($B$2:$B$726,0.2),5, B66&lt;=_xlfn.PERCENTILE.INC($B$2:$B$726,0.4),4,B66&lt;=_xlfn.PERCENTILE.INC($B$2:$B$726,0.6),3,B66&lt;=_xlfn.PERCENTILE.INC($B$2:$B$726,0.8),4,TRUE,1)</f>
        <v>3</v>
      </c>
      <c r="F66" cm="1">
        <f t="array" ref="F66">_xlfn.IFS(C66&gt;=_xlfn.PERCENTILE.INC($C$2:$C$726,0.8),5,C66&gt;=_xlfn.PERCENTILE.INC($C$2:$C$726,0.6),4,C66&gt;=_xlfn.PERCENTILE.INC($C$2:$C$726,0.4),3,C66&gt;=_xlfn.PERCENTILE.INC($C$2:$C$726,0.2),2,TRUE,1)</f>
        <v>5</v>
      </c>
      <c r="G66" cm="1">
        <f t="array" ref="G66">_xlfn.IFS(D66&gt;=_xlfn.PERCENTILE.INC($D$2:$D$726,0.8),5,D66&gt;=_xlfn.PERCENTILE.INC($D$2:$D$726,0.6),4,D66&gt;=_xlfn.PERCENTILE.INC($D$2:$D$726,0.4),3,D66&gt;=_xlfn.PERCENTILE.INC($D$2:$D$726,0.2),2,TRUE,1)</f>
        <v>5</v>
      </c>
      <c r="H66">
        <f t="shared" si="0"/>
        <v>13</v>
      </c>
      <c r="I66" t="str" cm="1">
        <f t="array" ref="I66">_xlfn.IFS(H66&gt;=13,"Best Customers",H66&gt;=10,"Loyal Customers",H66&gt;=7,"Potential Loyal Customers",H66&gt;=4,"Need Attention",TRUE,"At Risk")</f>
        <v>Best Customers</v>
      </c>
    </row>
    <row r="67" spans="1:9" x14ac:dyDescent="0.25">
      <c r="A67" t="s">
        <v>2954</v>
      </c>
      <c r="B67" s="4">
        <v>682</v>
      </c>
      <c r="C67">
        <v>3</v>
      </c>
      <c r="D67">
        <v>82.9</v>
      </c>
      <c r="E67" cm="1">
        <f t="array" ref="E67">_xlfn.IFS(B67&lt;=_xlfn.PERCENTILE.INC($B$2:$B$726,0.2),5, B67&lt;=_xlfn.PERCENTILE.INC($B$2:$B$726,0.4),4,B67&lt;=_xlfn.PERCENTILE.INC($B$2:$B$726,0.6),3,B67&lt;=_xlfn.PERCENTILE.INC($B$2:$B$726,0.8),4,TRUE,1)</f>
        <v>4</v>
      </c>
      <c r="F67" cm="1">
        <f t="array" ref="F67">_xlfn.IFS(C67&gt;=_xlfn.PERCENTILE.INC($C$2:$C$726,0.8),5,C67&gt;=_xlfn.PERCENTILE.INC($C$2:$C$726,0.6),4,C67&gt;=_xlfn.PERCENTILE.INC($C$2:$C$726,0.4),3,C67&gt;=_xlfn.PERCENTILE.INC($C$2:$C$726,0.2),2,TRUE,1)</f>
        <v>1</v>
      </c>
      <c r="G67" cm="1">
        <f t="array" ref="G67">_xlfn.IFS(D67&gt;=_xlfn.PERCENTILE.INC($D$2:$D$726,0.8),5,D67&gt;=_xlfn.PERCENTILE.INC($D$2:$D$726,0.6),4,D67&gt;=_xlfn.PERCENTILE.INC($D$2:$D$726,0.4),3,D67&gt;=_xlfn.PERCENTILE.INC($D$2:$D$726,0.2),2,TRUE,1)</f>
        <v>1</v>
      </c>
      <c r="H67">
        <f t="shared" ref="H67:H130" si="1">SUM(E67,F67,G67)</f>
        <v>6</v>
      </c>
      <c r="I67" t="str" cm="1">
        <f t="array" ref="I67">_xlfn.IFS(H67&gt;=13,"Best Customers",H67&gt;=10,"Loyal Customers",H67&gt;=7,"Potential Loyal Customers",H67&gt;=4,"Need Attention",TRUE,"At Risk")</f>
        <v>Need Attention</v>
      </c>
    </row>
    <row r="68" spans="1:9" x14ac:dyDescent="0.25">
      <c r="A68" t="s">
        <v>2924</v>
      </c>
      <c r="B68" s="4">
        <v>525</v>
      </c>
      <c r="C68">
        <v>6</v>
      </c>
      <c r="D68">
        <v>163.1</v>
      </c>
      <c r="E68" cm="1">
        <f t="array" ref="E68">_xlfn.IFS(B68&lt;=_xlfn.PERCENTILE.INC($B$2:$B$726,0.2),5, B68&lt;=_xlfn.PERCENTILE.INC($B$2:$B$726,0.4),4,B68&lt;=_xlfn.PERCENTILE.INC($B$2:$B$726,0.6),3,B68&lt;=_xlfn.PERCENTILE.INC($B$2:$B$726,0.8),4,TRUE,1)</f>
        <v>3</v>
      </c>
      <c r="F68" cm="1">
        <f t="array" ref="F68">_xlfn.IFS(C68&gt;=_xlfn.PERCENTILE.INC($C$2:$C$726,0.8),5,C68&gt;=_xlfn.PERCENTILE.INC($C$2:$C$726,0.6),4,C68&gt;=_xlfn.PERCENTILE.INC($C$2:$C$726,0.4),3,C68&gt;=_xlfn.PERCENTILE.INC($C$2:$C$726,0.2),2,TRUE,1)</f>
        <v>4</v>
      </c>
      <c r="G68" cm="1">
        <f t="array" ref="G68">_xlfn.IFS(D68&gt;=_xlfn.PERCENTILE.INC($D$2:$D$726,0.8),5,D68&gt;=_xlfn.PERCENTILE.INC($D$2:$D$726,0.6),4,D68&gt;=_xlfn.PERCENTILE.INC($D$2:$D$726,0.4),3,D68&gt;=_xlfn.PERCENTILE.INC($D$2:$D$726,0.2),2,TRUE,1)</f>
        <v>2</v>
      </c>
      <c r="H68">
        <f t="shared" si="1"/>
        <v>9</v>
      </c>
      <c r="I68" t="str" cm="1">
        <f t="array" ref="I68">_xlfn.IFS(H68&gt;=13,"Best Customers",H68&gt;=10,"Loyal Customers",H68&gt;=7,"Potential Loyal Customers",H68&gt;=4,"Need Attention",TRUE,"At Risk")</f>
        <v>Potential Loyal Customers</v>
      </c>
    </row>
    <row r="69" spans="1:9" x14ac:dyDescent="0.25">
      <c r="A69" t="s">
        <v>1809</v>
      </c>
      <c r="B69" s="4">
        <v>380</v>
      </c>
      <c r="C69">
        <v>8</v>
      </c>
      <c r="D69">
        <v>260.5</v>
      </c>
      <c r="E69" cm="1">
        <f t="array" ref="E69">_xlfn.IFS(B69&lt;=_xlfn.PERCENTILE.INC($B$2:$B$726,0.2),5, B69&lt;=_xlfn.PERCENTILE.INC($B$2:$B$726,0.4),4,B69&lt;=_xlfn.PERCENTILE.INC($B$2:$B$726,0.6),3,B69&lt;=_xlfn.PERCENTILE.INC($B$2:$B$726,0.8),4,TRUE,1)</f>
        <v>5</v>
      </c>
      <c r="F69" cm="1">
        <f t="array" ref="F69">_xlfn.IFS(C69&gt;=_xlfn.PERCENTILE.INC($C$2:$C$726,0.8),5,C69&gt;=_xlfn.PERCENTILE.INC($C$2:$C$726,0.6),4,C69&gt;=_xlfn.PERCENTILE.INC($C$2:$C$726,0.4),3,C69&gt;=_xlfn.PERCENTILE.INC($C$2:$C$726,0.2),2,TRUE,1)</f>
        <v>5</v>
      </c>
      <c r="G69" cm="1">
        <f t="array" ref="G69">_xlfn.IFS(D69&gt;=_xlfn.PERCENTILE.INC($D$2:$D$726,0.8),5,D69&gt;=_xlfn.PERCENTILE.INC($D$2:$D$726,0.6),4,D69&gt;=_xlfn.PERCENTILE.INC($D$2:$D$726,0.4),3,D69&gt;=_xlfn.PERCENTILE.INC($D$2:$D$726,0.2),2,TRUE,1)</f>
        <v>3</v>
      </c>
      <c r="H69">
        <f t="shared" si="1"/>
        <v>13</v>
      </c>
      <c r="I69" t="str" cm="1">
        <f t="array" ref="I69">_xlfn.IFS(H69&gt;=13,"Best Customers",H69&gt;=10,"Loyal Customers",H69&gt;=7,"Potential Loyal Customers",H69&gt;=4,"Need Attention",TRUE,"At Risk")</f>
        <v>Best Customers</v>
      </c>
    </row>
    <row r="70" spans="1:9" x14ac:dyDescent="0.25">
      <c r="A70" t="s">
        <v>607</v>
      </c>
      <c r="B70" s="4">
        <v>350</v>
      </c>
      <c r="C70">
        <v>3</v>
      </c>
      <c r="D70">
        <v>93.800000000000011</v>
      </c>
      <c r="E70" cm="1">
        <f t="array" ref="E70">_xlfn.IFS(B70&lt;=_xlfn.PERCENTILE.INC($B$2:$B$726,0.2),5, B70&lt;=_xlfn.PERCENTILE.INC($B$2:$B$726,0.4),4,B70&lt;=_xlfn.PERCENTILE.INC($B$2:$B$726,0.6),3,B70&lt;=_xlfn.PERCENTILE.INC($B$2:$B$726,0.8),4,TRUE,1)</f>
        <v>5</v>
      </c>
      <c r="F70" cm="1">
        <f t="array" ref="F70">_xlfn.IFS(C70&gt;=_xlfn.PERCENTILE.INC($C$2:$C$726,0.8),5,C70&gt;=_xlfn.PERCENTILE.INC($C$2:$C$726,0.6),4,C70&gt;=_xlfn.PERCENTILE.INC($C$2:$C$726,0.4),3,C70&gt;=_xlfn.PERCENTILE.INC($C$2:$C$726,0.2),2,TRUE,1)</f>
        <v>1</v>
      </c>
      <c r="G70" cm="1">
        <f t="array" ref="G70">_xlfn.IFS(D70&gt;=_xlfn.PERCENTILE.INC($D$2:$D$726,0.8),5,D70&gt;=_xlfn.PERCENTILE.INC($D$2:$D$726,0.6),4,D70&gt;=_xlfn.PERCENTILE.INC($D$2:$D$726,0.4),3,D70&gt;=_xlfn.PERCENTILE.INC($D$2:$D$726,0.2),2,TRUE,1)</f>
        <v>1</v>
      </c>
      <c r="H70">
        <f t="shared" si="1"/>
        <v>7</v>
      </c>
      <c r="I70" t="str" cm="1">
        <f t="array" ref="I70">_xlfn.IFS(H70&gt;=13,"Best Customers",H70&gt;=10,"Loyal Customers",H70&gt;=7,"Potential Loyal Customers",H70&gt;=4,"Need Attention",TRUE,"At Risk")</f>
        <v>Potential Loyal Customers</v>
      </c>
    </row>
    <row r="71" spans="1:9" x14ac:dyDescent="0.25">
      <c r="A71" t="s">
        <v>1211</v>
      </c>
      <c r="B71" s="4">
        <v>490</v>
      </c>
      <c r="C71">
        <v>7</v>
      </c>
      <c r="D71">
        <v>318.3</v>
      </c>
      <c r="E71" cm="1">
        <f t="array" ref="E71">_xlfn.IFS(B71&lt;=_xlfn.PERCENTILE.INC($B$2:$B$726,0.2),5, B71&lt;=_xlfn.PERCENTILE.INC($B$2:$B$726,0.4),4,B71&lt;=_xlfn.PERCENTILE.INC($B$2:$B$726,0.6),3,B71&lt;=_xlfn.PERCENTILE.INC($B$2:$B$726,0.8),4,TRUE,1)</f>
        <v>3</v>
      </c>
      <c r="F71" cm="1">
        <f t="array" ref="F71">_xlfn.IFS(C71&gt;=_xlfn.PERCENTILE.INC($C$2:$C$726,0.8),5,C71&gt;=_xlfn.PERCENTILE.INC($C$2:$C$726,0.6),4,C71&gt;=_xlfn.PERCENTILE.INC($C$2:$C$726,0.4),3,C71&gt;=_xlfn.PERCENTILE.INC($C$2:$C$726,0.2),2,TRUE,1)</f>
        <v>4</v>
      </c>
      <c r="G71" cm="1">
        <f t="array" ref="G71">_xlfn.IFS(D71&gt;=_xlfn.PERCENTILE.INC($D$2:$D$726,0.8),5,D71&gt;=_xlfn.PERCENTILE.INC($D$2:$D$726,0.6),4,D71&gt;=_xlfn.PERCENTILE.INC($D$2:$D$726,0.4),3,D71&gt;=_xlfn.PERCENTILE.INC($D$2:$D$726,0.2),2,TRUE,1)</f>
        <v>4</v>
      </c>
      <c r="H71">
        <f t="shared" si="1"/>
        <v>11</v>
      </c>
      <c r="I71" t="str" cm="1">
        <f t="array" ref="I71">_xlfn.IFS(H71&gt;=13,"Best Customers",H71&gt;=10,"Loyal Customers",H71&gt;=7,"Potential Loyal Customers",H71&gt;=4,"Need Attention",TRUE,"At Risk")</f>
        <v>Loyal Customers</v>
      </c>
    </row>
    <row r="72" spans="1:9" x14ac:dyDescent="0.25">
      <c r="A72" t="s">
        <v>3420</v>
      </c>
      <c r="B72" s="4">
        <v>891</v>
      </c>
      <c r="C72">
        <v>6</v>
      </c>
      <c r="D72">
        <v>207.5</v>
      </c>
      <c r="E72" cm="1">
        <f t="array" ref="E72">_xlfn.IFS(B72&lt;=_xlfn.PERCENTILE.INC($B$2:$B$726,0.2),5, B72&lt;=_xlfn.PERCENTILE.INC($B$2:$B$726,0.4),4,B72&lt;=_xlfn.PERCENTILE.INC($B$2:$B$726,0.6),3,B72&lt;=_xlfn.PERCENTILE.INC($B$2:$B$726,0.8),4,TRUE,1)</f>
        <v>1</v>
      </c>
      <c r="F72" cm="1">
        <f t="array" ref="F72">_xlfn.IFS(C72&gt;=_xlfn.PERCENTILE.INC($C$2:$C$726,0.8),5,C72&gt;=_xlfn.PERCENTILE.INC($C$2:$C$726,0.6),4,C72&gt;=_xlfn.PERCENTILE.INC($C$2:$C$726,0.4),3,C72&gt;=_xlfn.PERCENTILE.INC($C$2:$C$726,0.2),2,TRUE,1)</f>
        <v>4</v>
      </c>
      <c r="G72" cm="1">
        <f t="array" ref="G72">_xlfn.IFS(D72&gt;=_xlfn.PERCENTILE.INC($D$2:$D$726,0.8),5,D72&gt;=_xlfn.PERCENTILE.INC($D$2:$D$726,0.6),4,D72&gt;=_xlfn.PERCENTILE.INC($D$2:$D$726,0.4),3,D72&gt;=_xlfn.PERCENTILE.INC($D$2:$D$726,0.2),2,TRUE,1)</f>
        <v>2</v>
      </c>
      <c r="H72">
        <f t="shared" si="1"/>
        <v>7</v>
      </c>
      <c r="I72" t="str" cm="1">
        <f t="array" ref="I72">_xlfn.IFS(H72&gt;=13,"Best Customers",H72&gt;=10,"Loyal Customers",H72&gt;=7,"Potential Loyal Customers",H72&gt;=4,"Need Attention",TRUE,"At Risk")</f>
        <v>Potential Loyal Customers</v>
      </c>
    </row>
    <row r="73" spans="1:9" x14ac:dyDescent="0.25">
      <c r="A73" t="s">
        <v>2772</v>
      </c>
      <c r="B73" s="4">
        <v>375</v>
      </c>
      <c r="C73">
        <v>9</v>
      </c>
      <c r="D73">
        <v>605.09999999999991</v>
      </c>
      <c r="E73" cm="1">
        <f t="array" ref="E73">_xlfn.IFS(B73&lt;=_xlfn.PERCENTILE.INC($B$2:$B$726,0.2),5, B73&lt;=_xlfn.PERCENTILE.INC($B$2:$B$726,0.4),4,B73&lt;=_xlfn.PERCENTILE.INC($B$2:$B$726,0.6),3,B73&lt;=_xlfn.PERCENTILE.INC($B$2:$B$726,0.8),4,TRUE,1)</f>
        <v>5</v>
      </c>
      <c r="F73" cm="1">
        <f t="array" ref="F73">_xlfn.IFS(C73&gt;=_xlfn.PERCENTILE.INC($C$2:$C$726,0.8),5,C73&gt;=_xlfn.PERCENTILE.INC($C$2:$C$726,0.6),4,C73&gt;=_xlfn.PERCENTILE.INC($C$2:$C$726,0.4),3,C73&gt;=_xlfn.PERCENTILE.INC($C$2:$C$726,0.2),2,TRUE,1)</f>
        <v>5</v>
      </c>
      <c r="G73" cm="1">
        <f t="array" ref="G73">_xlfn.IFS(D73&gt;=_xlfn.PERCENTILE.INC($D$2:$D$726,0.8),5,D73&gt;=_xlfn.PERCENTILE.INC($D$2:$D$726,0.6),4,D73&gt;=_xlfn.PERCENTILE.INC($D$2:$D$726,0.4),3,D73&gt;=_xlfn.PERCENTILE.INC($D$2:$D$726,0.2),2,TRUE,1)</f>
        <v>5</v>
      </c>
      <c r="H73">
        <f t="shared" si="1"/>
        <v>15</v>
      </c>
      <c r="I73" t="str" cm="1">
        <f t="array" ref="I73">_xlfn.IFS(H73&gt;=13,"Best Customers",H73&gt;=10,"Loyal Customers",H73&gt;=7,"Potential Loyal Customers",H73&gt;=4,"Need Attention",TRUE,"At Risk")</f>
        <v>Best Customers</v>
      </c>
    </row>
    <row r="74" spans="1:9" x14ac:dyDescent="0.25">
      <c r="A74" t="s">
        <v>1637</v>
      </c>
      <c r="B74" s="4">
        <v>782</v>
      </c>
      <c r="C74">
        <v>4</v>
      </c>
      <c r="D74">
        <v>103.1</v>
      </c>
      <c r="E74" cm="1">
        <f t="array" ref="E74">_xlfn.IFS(B74&lt;=_xlfn.PERCENTILE.INC($B$2:$B$726,0.2),5, B74&lt;=_xlfn.PERCENTILE.INC($B$2:$B$726,0.4),4,B74&lt;=_xlfn.PERCENTILE.INC($B$2:$B$726,0.6),3,B74&lt;=_xlfn.PERCENTILE.INC($B$2:$B$726,0.8),4,TRUE,1)</f>
        <v>1</v>
      </c>
      <c r="F74" cm="1">
        <f t="array" ref="F74">_xlfn.IFS(C74&gt;=_xlfn.PERCENTILE.INC($C$2:$C$726,0.8),5,C74&gt;=_xlfn.PERCENTILE.INC($C$2:$C$726,0.6),4,C74&gt;=_xlfn.PERCENTILE.INC($C$2:$C$726,0.4),3,C74&gt;=_xlfn.PERCENTILE.INC($C$2:$C$726,0.2),2,TRUE,1)</f>
        <v>2</v>
      </c>
      <c r="G74" cm="1">
        <f t="array" ref="G74">_xlfn.IFS(D74&gt;=_xlfn.PERCENTILE.INC($D$2:$D$726,0.8),5,D74&gt;=_xlfn.PERCENTILE.INC($D$2:$D$726,0.6),4,D74&gt;=_xlfn.PERCENTILE.INC($D$2:$D$726,0.4),3,D74&gt;=_xlfn.PERCENTILE.INC($D$2:$D$726,0.2),2,TRUE,1)</f>
        <v>1</v>
      </c>
      <c r="H74">
        <f t="shared" si="1"/>
        <v>4</v>
      </c>
      <c r="I74" t="str" cm="1">
        <f t="array" ref="I74">_xlfn.IFS(H74&gt;=13,"Best Customers",H74&gt;=10,"Loyal Customers",H74&gt;=7,"Potential Loyal Customers",H74&gt;=4,"Need Attention",TRUE,"At Risk")</f>
        <v>Need Attention</v>
      </c>
    </row>
    <row r="75" spans="1:9" x14ac:dyDescent="0.25">
      <c r="A75" t="s">
        <v>598</v>
      </c>
      <c r="B75" s="4">
        <v>453</v>
      </c>
      <c r="C75">
        <v>7</v>
      </c>
      <c r="D75">
        <v>423.4</v>
      </c>
      <c r="E75" cm="1">
        <f t="array" ref="E75">_xlfn.IFS(B75&lt;=_xlfn.PERCENTILE.INC($B$2:$B$726,0.2),5, B75&lt;=_xlfn.PERCENTILE.INC($B$2:$B$726,0.4),4,B75&lt;=_xlfn.PERCENTILE.INC($B$2:$B$726,0.6),3,B75&lt;=_xlfn.PERCENTILE.INC($B$2:$B$726,0.8),4,TRUE,1)</f>
        <v>4</v>
      </c>
      <c r="F75" cm="1">
        <f t="array" ref="F75">_xlfn.IFS(C75&gt;=_xlfn.PERCENTILE.INC($C$2:$C$726,0.8),5,C75&gt;=_xlfn.PERCENTILE.INC($C$2:$C$726,0.6),4,C75&gt;=_xlfn.PERCENTILE.INC($C$2:$C$726,0.4),3,C75&gt;=_xlfn.PERCENTILE.INC($C$2:$C$726,0.2),2,TRUE,1)</f>
        <v>4</v>
      </c>
      <c r="G75" cm="1">
        <f t="array" ref="G75">_xlfn.IFS(D75&gt;=_xlfn.PERCENTILE.INC($D$2:$D$726,0.8),5,D75&gt;=_xlfn.PERCENTILE.INC($D$2:$D$726,0.6),4,D75&gt;=_xlfn.PERCENTILE.INC($D$2:$D$726,0.4),3,D75&gt;=_xlfn.PERCENTILE.INC($D$2:$D$726,0.2),2,TRUE,1)</f>
        <v>5</v>
      </c>
      <c r="H75">
        <f t="shared" si="1"/>
        <v>13</v>
      </c>
      <c r="I75" t="str" cm="1">
        <f t="array" ref="I75">_xlfn.IFS(H75&gt;=13,"Best Customers",H75&gt;=10,"Loyal Customers",H75&gt;=7,"Potential Loyal Customers",H75&gt;=4,"Need Attention",TRUE,"At Risk")</f>
        <v>Best Customers</v>
      </c>
    </row>
    <row r="76" spans="1:9" x14ac:dyDescent="0.25">
      <c r="A76" t="s">
        <v>1503</v>
      </c>
      <c r="B76" s="4">
        <v>585</v>
      </c>
      <c r="C76">
        <v>6</v>
      </c>
      <c r="D76">
        <v>306.49999999999994</v>
      </c>
      <c r="E76" cm="1">
        <f t="array" ref="E76">_xlfn.IFS(B76&lt;=_xlfn.PERCENTILE.INC($B$2:$B$726,0.2),5, B76&lt;=_xlfn.PERCENTILE.INC($B$2:$B$726,0.4),4,B76&lt;=_xlfn.PERCENTILE.INC($B$2:$B$726,0.6),3,B76&lt;=_xlfn.PERCENTILE.INC($B$2:$B$726,0.8),4,TRUE,1)</f>
        <v>4</v>
      </c>
      <c r="F76" cm="1">
        <f t="array" ref="F76">_xlfn.IFS(C76&gt;=_xlfn.PERCENTILE.INC($C$2:$C$726,0.8),5,C76&gt;=_xlfn.PERCENTILE.INC($C$2:$C$726,0.6),4,C76&gt;=_xlfn.PERCENTILE.INC($C$2:$C$726,0.4),3,C76&gt;=_xlfn.PERCENTILE.INC($C$2:$C$726,0.2),2,TRUE,1)</f>
        <v>4</v>
      </c>
      <c r="G76" cm="1">
        <f t="array" ref="G76">_xlfn.IFS(D76&gt;=_xlfn.PERCENTILE.INC($D$2:$D$726,0.8),5,D76&gt;=_xlfn.PERCENTILE.INC($D$2:$D$726,0.6),4,D76&gt;=_xlfn.PERCENTILE.INC($D$2:$D$726,0.4),3,D76&gt;=_xlfn.PERCENTILE.INC($D$2:$D$726,0.2),2,TRUE,1)</f>
        <v>3</v>
      </c>
      <c r="H76">
        <f t="shared" si="1"/>
        <v>11</v>
      </c>
      <c r="I76" t="str" cm="1">
        <f t="array" ref="I76">_xlfn.IFS(H76&gt;=13,"Best Customers",H76&gt;=10,"Loyal Customers",H76&gt;=7,"Potential Loyal Customers",H76&gt;=4,"Need Attention",TRUE,"At Risk")</f>
        <v>Loyal Customers</v>
      </c>
    </row>
    <row r="77" spans="1:9" x14ac:dyDescent="0.25">
      <c r="A77" t="s">
        <v>902</v>
      </c>
      <c r="B77" s="4">
        <v>955</v>
      </c>
      <c r="C77">
        <v>6</v>
      </c>
      <c r="D77">
        <v>306.29999999999995</v>
      </c>
      <c r="E77" cm="1">
        <f t="array" ref="E77">_xlfn.IFS(B77&lt;=_xlfn.PERCENTILE.INC($B$2:$B$726,0.2),5, B77&lt;=_xlfn.PERCENTILE.INC($B$2:$B$726,0.4),4,B77&lt;=_xlfn.PERCENTILE.INC($B$2:$B$726,0.6),3,B77&lt;=_xlfn.PERCENTILE.INC($B$2:$B$726,0.8),4,TRUE,1)</f>
        <v>1</v>
      </c>
      <c r="F77" cm="1">
        <f t="array" ref="F77">_xlfn.IFS(C77&gt;=_xlfn.PERCENTILE.INC($C$2:$C$726,0.8),5,C77&gt;=_xlfn.PERCENTILE.INC($C$2:$C$726,0.6),4,C77&gt;=_xlfn.PERCENTILE.INC($C$2:$C$726,0.4),3,C77&gt;=_xlfn.PERCENTILE.INC($C$2:$C$726,0.2),2,TRUE,1)</f>
        <v>4</v>
      </c>
      <c r="G77" cm="1">
        <f t="array" ref="G77">_xlfn.IFS(D77&gt;=_xlfn.PERCENTILE.INC($D$2:$D$726,0.8),5,D77&gt;=_xlfn.PERCENTILE.INC($D$2:$D$726,0.6),4,D77&gt;=_xlfn.PERCENTILE.INC($D$2:$D$726,0.4),3,D77&gt;=_xlfn.PERCENTILE.INC($D$2:$D$726,0.2),2,TRUE,1)</f>
        <v>3</v>
      </c>
      <c r="H77">
        <f t="shared" si="1"/>
        <v>8</v>
      </c>
      <c r="I77" t="str" cm="1">
        <f t="array" ref="I77">_xlfn.IFS(H77&gt;=13,"Best Customers",H77&gt;=10,"Loyal Customers",H77&gt;=7,"Potential Loyal Customers",H77&gt;=4,"Need Attention",TRUE,"At Risk")</f>
        <v>Potential Loyal Customers</v>
      </c>
    </row>
    <row r="78" spans="1:9" x14ac:dyDescent="0.25">
      <c r="A78" t="s">
        <v>1085</v>
      </c>
      <c r="B78" s="4">
        <v>371</v>
      </c>
      <c r="C78">
        <v>9</v>
      </c>
      <c r="D78">
        <v>685.9</v>
      </c>
      <c r="E78" cm="1">
        <f t="array" ref="E78">_xlfn.IFS(B78&lt;=_xlfn.PERCENTILE.INC($B$2:$B$726,0.2),5, B78&lt;=_xlfn.PERCENTILE.INC($B$2:$B$726,0.4),4,B78&lt;=_xlfn.PERCENTILE.INC($B$2:$B$726,0.6),3,B78&lt;=_xlfn.PERCENTILE.INC($B$2:$B$726,0.8),4,TRUE,1)</f>
        <v>5</v>
      </c>
      <c r="F78" cm="1">
        <f t="array" ref="F78">_xlfn.IFS(C78&gt;=_xlfn.PERCENTILE.INC($C$2:$C$726,0.8),5,C78&gt;=_xlfn.PERCENTILE.INC($C$2:$C$726,0.6),4,C78&gt;=_xlfn.PERCENTILE.INC($C$2:$C$726,0.4),3,C78&gt;=_xlfn.PERCENTILE.INC($C$2:$C$726,0.2),2,TRUE,1)</f>
        <v>5</v>
      </c>
      <c r="G78" cm="1">
        <f t="array" ref="G78">_xlfn.IFS(D78&gt;=_xlfn.PERCENTILE.INC($D$2:$D$726,0.8),5,D78&gt;=_xlfn.PERCENTILE.INC($D$2:$D$726,0.6),4,D78&gt;=_xlfn.PERCENTILE.INC($D$2:$D$726,0.4),3,D78&gt;=_xlfn.PERCENTILE.INC($D$2:$D$726,0.2),2,TRUE,1)</f>
        <v>5</v>
      </c>
      <c r="H78">
        <f t="shared" si="1"/>
        <v>15</v>
      </c>
      <c r="I78" t="str" cm="1">
        <f t="array" ref="I78">_xlfn.IFS(H78&gt;=13,"Best Customers",H78&gt;=10,"Loyal Customers",H78&gt;=7,"Potential Loyal Customers",H78&gt;=4,"Need Attention",TRUE,"At Risk")</f>
        <v>Best Customers</v>
      </c>
    </row>
    <row r="79" spans="1:9" x14ac:dyDescent="0.25">
      <c r="A79" t="s">
        <v>784</v>
      </c>
      <c r="B79" s="4">
        <v>705</v>
      </c>
      <c r="C79">
        <v>7</v>
      </c>
      <c r="D79">
        <v>153.19999999999999</v>
      </c>
      <c r="E79" cm="1">
        <f t="array" ref="E79">_xlfn.IFS(B79&lt;=_xlfn.PERCENTILE.INC($B$2:$B$726,0.2),5, B79&lt;=_xlfn.PERCENTILE.INC($B$2:$B$726,0.4),4,B79&lt;=_xlfn.PERCENTILE.INC($B$2:$B$726,0.6),3,B79&lt;=_xlfn.PERCENTILE.INC($B$2:$B$726,0.8),4,TRUE,1)</f>
        <v>4</v>
      </c>
      <c r="F79" cm="1">
        <f t="array" ref="F79">_xlfn.IFS(C79&gt;=_xlfn.PERCENTILE.INC($C$2:$C$726,0.8),5,C79&gt;=_xlfn.PERCENTILE.INC($C$2:$C$726,0.6),4,C79&gt;=_xlfn.PERCENTILE.INC($C$2:$C$726,0.4),3,C79&gt;=_xlfn.PERCENTILE.INC($C$2:$C$726,0.2),2,TRUE,1)</f>
        <v>4</v>
      </c>
      <c r="G79" cm="1">
        <f t="array" ref="G79">_xlfn.IFS(D79&gt;=_xlfn.PERCENTILE.INC($D$2:$D$726,0.8),5,D79&gt;=_xlfn.PERCENTILE.INC($D$2:$D$726,0.6),4,D79&gt;=_xlfn.PERCENTILE.INC($D$2:$D$726,0.4),3,D79&gt;=_xlfn.PERCENTILE.INC($D$2:$D$726,0.2),2,TRUE,1)</f>
        <v>1</v>
      </c>
      <c r="H79">
        <f t="shared" si="1"/>
        <v>9</v>
      </c>
      <c r="I79" t="str" cm="1">
        <f t="array" ref="I79">_xlfn.IFS(H79&gt;=13,"Best Customers",H79&gt;=10,"Loyal Customers",H79&gt;=7,"Potential Loyal Customers",H79&gt;=4,"Need Attention",TRUE,"At Risk")</f>
        <v>Potential Loyal Customers</v>
      </c>
    </row>
    <row r="80" spans="1:9" x14ac:dyDescent="0.25">
      <c r="A80" t="s">
        <v>1229</v>
      </c>
      <c r="B80" s="4">
        <v>596</v>
      </c>
      <c r="C80">
        <v>7</v>
      </c>
      <c r="D80">
        <v>281.7</v>
      </c>
      <c r="E80" cm="1">
        <f t="array" ref="E80">_xlfn.IFS(B80&lt;=_xlfn.PERCENTILE.INC($B$2:$B$726,0.2),5, B80&lt;=_xlfn.PERCENTILE.INC($B$2:$B$726,0.4),4,B80&lt;=_xlfn.PERCENTILE.INC($B$2:$B$726,0.6),3,B80&lt;=_xlfn.PERCENTILE.INC($B$2:$B$726,0.8),4,TRUE,1)</f>
        <v>4</v>
      </c>
      <c r="F80" cm="1">
        <f t="array" ref="F80">_xlfn.IFS(C80&gt;=_xlfn.PERCENTILE.INC($C$2:$C$726,0.8),5,C80&gt;=_xlfn.PERCENTILE.INC($C$2:$C$726,0.6),4,C80&gt;=_xlfn.PERCENTILE.INC($C$2:$C$726,0.4),3,C80&gt;=_xlfn.PERCENTILE.INC($C$2:$C$726,0.2),2,TRUE,1)</f>
        <v>4</v>
      </c>
      <c r="G80" cm="1">
        <f t="array" ref="G80">_xlfn.IFS(D80&gt;=_xlfn.PERCENTILE.INC($D$2:$D$726,0.8),5,D80&gt;=_xlfn.PERCENTILE.INC($D$2:$D$726,0.6),4,D80&gt;=_xlfn.PERCENTILE.INC($D$2:$D$726,0.4),3,D80&gt;=_xlfn.PERCENTILE.INC($D$2:$D$726,0.2),2,TRUE,1)</f>
        <v>3</v>
      </c>
      <c r="H80">
        <f t="shared" si="1"/>
        <v>11</v>
      </c>
      <c r="I80" t="str" cm="1">
        <f t="array" ref="I80">_xlfn.IFS(H80&gt;=13,"Best Customers",H80&gt;=10,"Loyal Customers",H80&gt;=7,"Potential Loyal Customers",H80&gt;=4,"Need Attention",TRUE,"At Risk")</f>
        <v>Loyal Customers</v>
      </c>
    </row>
    <row r="81" spans="1:9" x14ac:dyDescent="0.25">
      <c r="A81" t="s">
        <v>3051</v>
      </c>
      <c r="B81" s="4">
        <v>941</v>
      </c>
      <c r="C81">
        <v>5</v>
      </c>
      <c r="D81">
        <v>412.7</v>
      </c>
      <c r="E81" cm="1">
        <f t="array" ref="E81">_xlfn.IFS(B81&lt;=_xlfn.PERCENTILE.INC($B$2:$B$726,0.2),5, B81&lt;=_xlfn.PERCENTILE.INC($B$2:$B$726,0.4),4,B81&lt;=_xlfn.PERCENTILE.INC($B$2:$B$726,0.6),3,B81&lt;=_xlfn.PERCENTILE.INC($B$2:$B$726,0.8),4,TRUE,1)</f>
        <v>1</v>
      </c>
      <c r="F81" cm="1">
        <f t="array" ref="F81">_xlfn.IFS(C81&gt;=_xlfn.PERCENTILE.INC($C$2:$C$726,0.8),5,C81&gt;=_xlfn.PERCENTILE.INC($C$2:$C$726,0.6),4,C81&gt;=_xlfn.PERCENTILE.INC($C$2:$C$726,0.4),3,C81&gt;=_xlfn.PERCENTILE.INC($C$2:$C$726,0.2),2,TRUE,1)</f>
        <v>3</v>
      </c>
      <c r="G81" cm="1">
        <f t="array" ref="G81">_xlfn.IFS(D81&gt;=_xlfn.PERCENTILE.INC($D$2:$D$726,0.8),5,D81&gt;=_xlfn.PERCENTILE.INC($D$2:$D$726,0.6),4,D81&gt;=_xlfn.PERCENTILE.INC($D$2:$D$726,0.4),3,D81&gt;=_xlfn.PERCENTILE.INC($D$2:$D$726,0.2),2,TRUE,1)</f>
        <v>5</v>
      </c>
      <c r="H81">
        <f t="shared" si="1"/>
        <v>9</v>
      </c>
      <c r="I81" t="str" cm="1">
        <f t="array" ref="I81">_xlfn.IFS(H81&gt;=13,"Best Customers",H81&gt;=10,"Loyal Customers",H81&gt;=7,"Potential Loyal Customers",H81&gt;=4,"Need Attention",TRUE,"At Risk")</f>
        <v>Potential Loyal Customers</v>
      </c>
    </row>
    <row r="82" spans="1:9" x14ac:dyDescent="0.25">
      <c r="A82" t="s">
        <v>2819</v>
      </c>
      <c r="B82" s="4">
        <v>657</v>
      </c>
      <c r="C82">
        <v>5</v>
      </c>
      <c r="D82">
        <v>317.60000000000002</v>
      </c>
      <c r="E82" cm="1">
        <f t="array" ref="E82">_xlfn.IFS(B82&lt;=_xlfn.PERCENTILE.INC($B$2:$B$726,0.2),5, B82&lt;=_xlfn.PERCENTILE.INC($B$2:$B$726,0.4),4,B82&lt;=_xlfn.PERCENTILE.INC($B$2:$B$726,0.6),3,B82&lt;=_xlfn.PERCENTILE.INC($B$2:$B$726,0.8),4,TRUE,1)</f>
        <v>4</v>
      </c>
      <c r="F82" cm="1">
        <f t="array" ref="F82">_xlfn.IFS(C82&gt;=_xlfn.PERCENTILE.INC($C$2:$C$726,0.8),5,C82&gt;=_xlfn.PERCENTILE.INC($C$2:$C$726,0.6),4,C82&gt;=_xlfn.PERCENTILE.INC($C$2:$C$726,0.4),3,C82&gt;=_xlfn.PERCENTILE.INC($C$2:$C$726,0.2),2,TRUE,1)</f>
        <v>3</v>
      </c>
      <c r="G82" cm="1">
        <f t="array" ref="G82">_xlfn.IFS(D82&gt;=_xlfn.PERCENTILE.INC($D$2:$D$726,0.8),5,D82&gt;=_xlfn.PERCENTILE.INC($D$2:$D$726,0.6),4,D82&gt;=_xlfn.PERCENTILE.INC($D$2:$D$726,0.4),3,D82&gt;=_xlfn.PERCENTILE.INC($D$2:$D$726,0.2),2,TRUE,1)</f>
        <v>4</v>
      </c>
      <c r="H82">
        <f t="shared" si="1"/>
        <v>11</v>
      </c>
      <c r="I82" t="str" cm="1">
        <f t="array" ref="I82">_xlfn.IFS(H82&gt;=13,"Best Customers",H82&gt;=10,"Loyal Customers",H82&gt;=7,"Potential Loyal Customers",H82&gt;=4,"Need Attention",TRUE,"At Risk")</f>
        <v>Loyal Customers</v>
      </c>
    </row>
    <row r="83" spans="1:9" x14ac:dyDescent="0.25">
      <c r="A83" t="s">
        <v>814</v>
      </c>
      <c r="B83" s="4">
        <v>388</v>
      </c>
      <c r="C83">
        <v>5</v>
      </c>
      <c r="D83">
        <v>107.2</v>
      </c>
      <c r="E83" cm="1">
        <f t="array" ref="E83">_xlfn.IFS(B83&lt;=_xlfn.PERCENTILE.INC($B$2:$B$726,0.2),5, B83&lt;=_xlfn.PERCENTILE.INC($B$2:$B$726,0.4),4,B83&lt;=_xlfn.PERCENTILE.INC($B$2:$B$726,0.6),3,B83&lt;=_xlfn.PERCENTILE.INC($B$2:$B$726,0.8),4,TRUE,1)</f>
        <v>5</v>
      </c>
      <c r="F83" cm="1">
        <f t="array" ref="F83">_xlfn.IFS(C83&gt;=_xlfn.PERCENTILE.INC($C$2:$C$726,0.8),5,C83&gt;=_xlfn.PERCENTILE.INC($C$2:$C$726,0.6),4,C83&gt;=_xlfn.PERCENTILE.INC($C$2:$C$726,0.4),3,C83&gt;=_xlfn.PERCENTILE.INC($C$2:$C$726,0.2),2,TRUE,1)</f>
        <v>3</v>
      </c>
      <c r="G83" cm="1">
        <f t="array" ref="G83">_xlfn.IFS(D83&gt;=_xlfn.PERCENTILE.INC($D$2:$D$726,0.8),5,D83&gt;=_xlfn.PERCENTILE.INC($D$2:$D$726,0.6),4,D83&gt;=_xlfn.PERCENTILE.INC($D$2:$D$726,0.4),3,D83&gt;=_xlfn.PERCENTILE.INC($D$2:$D$726,0.2),2,TRUE,1)</f>
        <v>1</v>
      </c>
      <c r="H83">
        <f t="shared" si="1"/>
        <v>9</v>
      </c>
      <c r="I83" t="str" cm="1">
        <f t="array" ref="I83">_xlfn.IFS(H83&gt;=13,"Best Customers",H83&gt;=10,"Loyal Customers",H83&gt;=7,"Potential Loyal Customers",H83&gt;=4,"Need Attention",TRUE,"At Risk")</f>
        <v>Potential Loyal Customers</v>
      </c>
    </row>
    <row r="84" spans="1:9" x14ac:dyDescent="0.25">
      <c r="A84" t="s">
        <v>2326</v>
      </c>
      <c r="B84" s="4">
        <v>411</v>
      </c>
      <c r="C84">
        <v>5</v>
      </c>
      <c r="D84">
        <v>161.69999999999999</v>
      </c>
      <c r="E84" cm="1">
        <f t="array" ref="E84">_xlfn.IFS(B84&lt;=_xlfn.PERCENTILE.INC($B$2:$B$726,0.2),5, B84&lt;=_xlfn.PERCENTILE.INC($B$2:$B$726,0.4),4,B84&lt;=_xlfn.PERCENTILE.INC($B$2:$B$726,0.6),3,B84&lt;=_xlfn.PERCENTILE.INC($B$2:$B$726,0.8),4,TRUE,1)</f>
        <v>4</v>
      </c>
      <c r="F84" cm="1">
        <f t="array" ref="F84">_xlfn.IFS(C84&gt;=_xlfn.PERCENTILE.INC($C$2:$C$726,0.8),5,C84&gt;=_xlfn.PERCENTILE.INC($C$2:$C$726,0.6),4,C84&gt;=_xlfn.PERCENTILE.INC($C$2:$C$726,0.4),3,C84&gt;=_xlfn.PERCENTILE.INC($C$2:$C$726,0.2),2,TRUE,1)</f>
        <v>3</v>
      </c>
      <c r="G84" cm="1">
        <f t="array" ref="G84">_xlfn.IFS(D84&gt;=_xlfn.PERCENTILE.INC($D$2:$D$726,0.8),5,D84&gt;=_xlfn.PERCENTILE.INC($D$2:$D$726,0.6),4,D84&gt;=_xlfn.PERCENTILE.INC($D$2:$D$726,0.4),3,D84&gt;=_xlfn.PERCENTILE.INC($D$2:$D$726,0.2),2,TRUE,1)</f>
        <v>2</v>
      </c>
      <c r="H84">
        <f t="shared" si="1"/>
        <v>9</v>
      </c>
      <c r="I84" t="str" cm="1">
        <f t="array" ref="I84">_xlfn.IFS(H84&gt;=13,"Best Customers",H84&gt;=10,"Loyal Customers",H84&gt;=7,"Potential Loyal Customers",H84&gt;=4,"Need Attention",TRUE,"At Risk")</f>
        <v>Potential Loyal Customers</v>
      </c>
    </row>
    <row r="85" spans="1:9" x14ac:dyDescent="0.25">
      <c r="A85" t="s">
        <v>2684</v>
      </c>
      <c r="B85" s="4">
        <v>397</v>
      </c>
      <c r="C85">
        <v>6</v>
      </c>
      <c r="D85">
        <v>288</v>
      </c>
      <c r="E85" cm="1">
        <f t="array" ref="E85">_xlfn.IFS(B85&lt;=_xlfn.PERCENTILE.INC($B$2:$B$726,0.2),5, B85&lt;=_xlfn.PERCENTILE.INC($B$2:$B$726,0.4),4,B85&lt;=_xlfn.PERCENTILE.INC($B$2:$B$726,0.6),3,B85&lt;=_xlfn.PERCENTILE.INC($B$2:$B$726,0.8),4,TRUE,1)</f>
        <v>4</v>
      </c>
      <c r="F85" cm="1">
        <f t="array" ref="F85">_xlfn.IFS(C85&gt;=_xlfn.PERCENTILE.INC($C$2:$C$726,0.8),5,C85&gt;=_xlfn.PERCENTILE.INC($C$2:$C$726,0.6),4,C85&gt;=_xlfn.PERCENTILE.INC($C$2:$C$726,0.4),3,C85&gt;=_xlfn.PERCENTILE.INC($C$2:$C$726,0.2),2,TRUE,1)</f>
        <v>4</v>
      </c>
      <c r="G85" cm="1">
        <f t="array" ref="G85">_xlfn.IFS(D85&gt;=_xlfn.PERCENTILE.INC($D$2:$D$726,0.8),5,D85&gt;=_xlfn.PERCENTILE.INC($D$2:$D$726,0.6),4,D85&gt;=_xlfn.PERCENTILE.INC($D$2:$D$726,0.4),3,D85&gt;=_xlfn.PERCENTILE.INC($D$2:$D$726,0.2),2,TRUE,1)</f>
        <v>3</v>
      </c>
      <c r="H85">
        <f t="shared" si="1"/>
        <v>11</v>
      </c>
      <c r="I85" t="str" cm="1">
        <f t="array" ref="I85">_xlfn.IFS(H85&gt;=13,"Best Customers",H85&gt;=10,"Loyal Customers",H85&gt;=7,"Potential Loyal Customers",H85&gt;=4,"Need Attention",TRUE,"At Risk")</f>
        <v>Loyal Customers</v>
      </c>
    </row>
    <row r="86" spans="1:9" x14ac:dyDescent="0.25">
      <c r="A86" t="s">
        <v>1372</v>
      </c>
      <c r="B86" s="4">
        <v>426</v>
      </c>
      <c r="C86">
        <v>8</v>
      </c>
      <c r="D86">
        <v>421.2</v>
      </c>
      <c r="E86" cm="1">
        <f t="array" ref="E86">_xlfn.IFS(B86&lt;=_xlfn.PERCENTILE.INC($B$2:$B$726,0.2),5, B86&lt;=_xlfn.PERCENTILE.INC($B$2:$B$726,0.4),4,B86&lt;=_xlfn.PERCENTILE.INC($B$2:$B$726,0.6),3,B86&lt;=_xlfn.PERCENTILE.INC($B$2:$B$726,0.8),4,TRUE,1)</f>
        <v>4</v>
      </c>
      <c r="F86" cm="1">
        <f t="array" ref="F86">_xlfn.IFS(C86&gt;=_xlfn.PERCENTILE.INC($C$2:$C$726,0.8),5,C86&gt;=_xlfn.PERCENTILE.INC($C$2:$C$726,0.6),4,C86&gt;=_xlfn.PERCENTILE.INC($C$2:$C$726,0.4),3,C86&gt;=_xlfn.PERCENTILE.INC($C$2:$C$726,0.2),2,TRUE,1)</f>
        <v>5</v>
      </c>
      <c r="G86" cm="1">
        <f t="array" ref="G86">_xlfn.IFS(D86&gt;=_xlfn.PERCENTILE.INC($D$2:$D$726,0.8),5,D86&gt;=_xlfn.PERCENTILE.INC($D$2:$D$726,0.6),4,D86&gt;=_xlfn.PERCENTILE.INC($D$2:$D$726,0.4),3,D86&gt;=_xlfn.PERCENTILE.INC($D$2:$D$726,0.2),2,TRUE,1)</f>
        <v>5</v>
      </c>
      <c r="H86">
        <f t="shared" si="1"/>
        <v>14</v>
      </c>
      <c r="I86" t="str" cm="1">
        <f t="array" ref="I86">_xlfn.IFS(H86&gt;=13,"Best Customers",H86&gt;=10,"Loyal Customers",H86&gt;=7,"Potential Loyal Customers",H86&gt;=4,"Need Attention",TRUE,"At Risk")</f>
        <v>Best Customers</v>
      </c>
    </row>
    <row r="87" spans="1:9" x14ac:dyDescent="0.25">
      <c r="A87" t="s">
        <v>3369</v>
      </c>
      <c r="B87" s="4">
        <v>426</v>
      </c>
      <c r="C87">
        <v>5</v>
      </c>
      <c r="D87">
        <v>347.3</v>
      </c>
      <c r="E87" cm="1">
        <f t="array" ref="E87">_xlfn.IFS(B87&lt;=_xlfn.PERCENTILE.INC($B$2:$B$726,0.2),5, B87&lt;=_xlfn.PERCENTILE.INC($B$2:$B$726,0.4),4,B87&lt;=_xlfn.PERCENTILE.INC($B$2:$B$726,0.6),3,B87&lt;=_xlfn.PERCENTILE.INC($B$2:$B$726,0.8),4,TRUE,1)</f>
        <v>4</v>
      </c>
      <c r="F87" cm="1">
        <f t="array" ref="F87">_xlfn.IFS(C87&gt;=_xlfn.PERCENTILE.INC($C$2:$C$726,0.8),5,C87&gt;=_xlfn.PERCENTILE.INC($C$2:$C$726,0.6),4,C87&gt;=_xlfn.PERCENTILE.INC($C$2:$C$726,0.4),3,C87&gt;=_xlfn.PERCENTILE.INC($C$2:$C$726,0.2),2,TRUE,1)</f>
        <v>3</v>
      </c>
      <c r="G87" cm="1">
        <f t="array" ref="G87">_xlfn.IFS(D87&gt;=_xlfn.PERCENTILE.INC($D$2:$D$726,0.8),5,D87&gt;=_xlfn.PERCENTILE.INC($D$2:$D$726,0.6),4,D87&gt;=_xlfn.PERCENTILE.INC($D$2:$D$726,0.4),3,D87&gt;=_xlfn.PERCENTILE.INC($D$2:$D$726,0.2),2,TRUE,1)</f>
        <v>4</v>
      </c>
      <c r="H87">
        <f t="shared" si="1"/>
        <v>11</v>
      </c>
      <c r="I87" t="str" cm="1">
        <f t="array" ref="I87">_xlfn.IFS(H87&gt;=13,"Best Customers",H87&gt;=10,"Loyal Customers",H87&gt;=7,"Potential Loyal Customers",H87&gt;=4,"Need Attention",TRUE,"At Risk")</f>
        <v>Loyal Customers</v>
      </c>
    </row>
    <row r="88" spans="1:9" x14ac:dyDescent="0.25">
      <c r="A88" t="s">
        <v>2284</v>
      </c>
      <c r="B88" s="4">
        <v>980</v>
      </c>
      <c r="C88">
        <v>5</v>
      </c>
      <c r="D88">
        <v>173.2</v>
      </c>
      <c r="E88" cm="1">
        <f t="array" ref="E88">_xlfn.IFS(B88&lt;=_xlfn.PERCENTILE.INC($B$2:$B$726,0.2),5, B88&lt;=_xlfn.PERCENTILE.INC($B$2:$B$726,0.4),4,B88&lt;=_xlfn.PERCENTILE.INC($B$2:$B$726,0.6),3,B88&lt;=_xlfn.PERCENTILE.INC($B$2:$B$726,0.8),4,TRUE,1)</f>
        <v>1</v>
      </c>
      <c r="F88" cm="1">
        <f t="array" ref="F88">_xlfn.IFS(C88&gt;=_xlfn.PERCENTILE.INC($C$2:$C$726,0.8),5,C88&gt;=_xlfn.PERCENTILE.INC($C$2:$C$726,0.6),4,C88&gt;=_xlfn.PERCENTILE.INC($C$2:$C$726,0.4),3,C88&gt;=_xlfn.PERCENTILE.INC($C$2:$C$726,0.2),2,TRUE,1)</f>
        <v>3</v>
      </c>
      <c r="G88" cm="1">
        <f t="array" ref="G88">_xlfn.IFS(D88&gt;=_xlfn.PERCENTILE.INC($D$2:$D$726,0.8),5,D88&gt;=_xlfn.PERCENTILE.INC($D$2:$D$726,0.6),4,D88&gt;=_xlfn.PERCENTILE.INC($D$2:$D$726,0.4),3,D88&gt;=_xlfn.PERCENTILE.INC($D$2:$D$726,0.2),2,TRUE,1)</f>
        <v>2</v>
      </c>
      <c r="H88">
        <f t="shared" si="1"/>
        <v>6</v>
      </c>
      <c r="I88" t="str" cm="1">
        <f t="array" ref="I88">_xlfn.IFS(H88&gt;=13,"Best Customers",H88&gt;=10,"Loyal Customers",H88&gt;=7,"Potential Loyal Customers",H88&gt;=4,"Need Attention",TRUE,"At Risk")</f>
        <v>Need Attention</v>
      </c>
    </row>
    <row r="89" spans="1:9" x14ac:dyDescent="0.25">
      <c r="A89" t="s">
        <v>1924</v>
      </c>
      <c r="B89" s="4">
        <v>689</v>
      </c>
      <c r="C89">
        <v>5</v>
      </c>
      <c r="D89">
        <v>243.2</v>
      </c>
      <c r="E89" cm="1">
        <f t="array" ref="E89">_xlfn.IFS(B89&lt;=_xlfn.PERCENTILE.INC($B$2:$B$726,0.2),5, B89&lt;=_xlfn.PERCENTILE.INC($B$2:$B$726,0.4),4,B89&lt;=_xlfn.PERCENTILE.INC($B$2:$B$726,0.6),3,B89&lt;=_xlfn.PERCENTILE.INC($B$2:$B$726,0.8),4,TRUE,1)</f>
        <v>4</v>
      </c>
      <c r="F89" cm="1">
        <f t="array" ref="F89">_xlfn.IFS(C89&gt;=_xlfn.PERCENTILE.INC($C$2:$C$726,0.8),5,C89&gt;=_xlfn.PERCENTILE.INC($C$2:$C$726,0.6),4,C89&gt;=_xlfn.PERCENTILE.INC($C$2:$C$726,0.4),3,C89&gt;=_xlfn.PERCENTILE.INC($C$2:$C$726,0.2),2,TRUE,1)</f>
        <v>3</v>
      </c>
      <c r="G89" cm="1">
        <f t="array" ref="G89">_xlfn.IFS(D89&gt;=_xlfn.PERCENTILE.INC($D$2:$D$726,0.8),5,D89&gt;=_xlfn.PERCENTILE.INC($D$2:$D$726,0.6),4,D89&gt;=_xlfn.PERCENTILE.INC($D$2:$D$726,0.4),3,D89&gt;=_xlfn.PERCENTILE.INC($D$2:$D$726,0.2),2,TRUE,1)</f>
        <v>3</v>
      </c>
      <c r="H89">
        <f t="shared" si="1"/>
        <v>10</v>
      </c>
      <c r="I89" t="str" cm="1">
        <f t="array" ref="I89">_xlfn.IFS(H89&gt;=13,"Best Customers",H89&gt;=10,"Loyal Customers",H89&gt;=7,"Potential Loyal Customers",H89&gt;=4,"Need Attention",TRUE,"At Risk")</f>
        <v>Loyal Customers</v>
      </c>
    </row>
    <row r="90" spans="1:9" x14ac:dyDescent="0.25">
      <c r="A90" t="s">
        <v>649</v>
      </c>
      <c r="B90" s="4">
        <v>829</v>
      </c>
      <c r="C90">
        <v>7</v>
      </c>
      <c r="D90">
        <v>211.39999999999998</v>
      </c>
      <c r="E90" cm="1">
        <f t="array" ref="E90">_xlfn.IFS(B90&lt;=_xlfn.PERCENTILE.INC($B$2:$B$726,0.2),5, B90&lt;=_xlfn.PERCENTILE.INC($B$2:$B$726,0.4),4,B90&lt;=_xlfn.PERCENTILE.INC($B$2:$B$726,0.6),3,B90&lt;=_xlfn.PERCENTILE.INC($B$2:$B$726,0.8),4,TRUE,1)</f>
        <v>1</v>
      </c>
      <c r="F90" cm="1">
        <f t="array" ref="F90">_xlfn.IFS(C90&gt;=_xlfn.PERCENTILE.INC($C$2:$C$726,0.8),5,C90&gt;=_xlfn.PERCENTILE.INC($C$2:$C$726,0.6),4,C90&gt;=_xlfn.PERCENTILE.INC($C$2:$C$726,0.4),3,C90&gt;=_xlfn.PERCENTILE.INC($C$2:$C$726,0.2),2,TRUE,1)</f>
        <v>4</v>
      </c>
      <c r="G90" cm="1">
        <f t="array" ref="G90">_xlfn.IFS(D90&gt;=_xlfn.PERCENTILE.INC($D$2:$D$726,0.8),5,D90&gt;=_xlfn.PERCENTILE.INC($D$2:$D$726,0.6),4,D90&gt;=_xlfn.PERCENTILE.INC($D$2:$D$726,0.4),3,D90&gt;=_xlfn.PERCENTILE.INC($D$2:$D$726,0.2),2,TRUE,1)</f>
        <v>2</v>
      </c>
      <c r="H90">
        <f t="shared" si="1"/>
        <v>7</v>
      </c>
      <c r="I90" t="str" cm="1">
        <f t="array" ref="I90">_xlfn.IFS(H90&gt;=13,"Best Customers",H90&gt;=10,"Loyal Customers",H90&gt;=7,"Potential Loyal Customers",H90&gt;=4,"Need Attention",TRUE,"At Risk")</f>
        <v>Potential Loyal Customers</v>
      </c>
    </row>
    <row r="91" spans="1:9" x14ac:dyDescent="0.25">
      <c r="A91" t="s">
        <v>1875</v>
      </c>
      <c r="B91" s="4">
        <v>888</v>
      </c>
      <c r="C91">
        <v>7</v>
      </c>
      <c r="D91">
        <v>390.5</v>
      </c>
      <c r="E91" cm="1">
        <f t="array" ref="E91">_xlfn.IFS(B91&lt;=_xlfn.PERCENTILE.INC($B$2:$B$726,0.2),5, B91&lt;=_xlfn.PERCENTILE.INC($B$2:$B$726,0.4),4,B91&lt;=_xlfn.PERCENTILE.INC($B$2:$B$726,0.6),3,B91&lt;=_xlfn.PERCENTILE.INC($B$2:$B$726,0.8),4,TRUE,1)</f>
        <v>1</v>
      </c>
      <c r="F91" cm="1">
        <f t="array" ref="F91">_xlfn.IFS(C91&gt;=_xlfn.PERCENTILE.INC($C$2:$C$726,0.8),5,C91&gt;=_xlfn.PERCENTILE.INC($C$2:$C$726,0.6),4,C91&gt;=_xlfn.PERCENTILE.INC($C$2:$C$726,0.4),3,C91&gt;=_xlfn.PERCENTILE.INC($C$2:$C$726,0.2),2,TRUE,1)</f>
        <v>4</v>
      </c>
      <c r="G91" cm="1">
        <f t="array" ref="G91">_xlfn.IFS(D91&gt;=_xlfn.PERCENTILE.INC($D$2:$D$726,0.8),5,D91&gt;=_xlfn.PERCENTILE.INC($D$2:$D$726,0.6),4,D91&gt;=_xlfn.PERCENTILE.INC($D$2:$D$726,0.4),3,D91&gt;=_xlfn.PERCENTILE.INC($D$2:$D$726,0.2),2,TRUE,1)</f>
        <v>4</v>
      </c>
      <c r="H91">
        <f t="shared" si="1"/>
        <v>9</v>
      </c>
      <c r="I91" t="str" cm="1">
        <f t="array" ref="I91">_xlfn.IFS(H91&gt;=13,"Best Customers",H91&gt;=10,"Loyal Customers",H91&gt;=7,"Potential Loyal Customers",H91&gt;=4,"Need Attention",TRUE,"At Risk")</f>
        <v>Potential Loyal Customers</v>
      </c>
    </row>
    <row r="92" spans="1:9" x14ac:dyDescent="0.25">
      <c r="A92" t="s">
        <v>1896</v>
      </c>
      <c r="B92" s="4">
        <v>348</v>
      </c>
      <c r="C92">
        <v>10</v>
      </c>
      <c r="D92">
        <v>624</v>
      </c>
      <c r="E92" cm="1">
        <f t="array" ref="E92">_xlfn.IFS(B92&lt;=_xlfn.PERCENTILE.INC($B$2:$B$726,0.2),5, B92&lt;=_xlfn.PERCENTILE.INC($B$2:$B$726,0.4),4,B92&lt;=_xlfn.PERCENTILE.INC($B$2:$B$726,0.6),3,B92&lt;=_xlfn.PERCENTILE.INC($B$2:$B$726,0.8),4,TRUE,1)</f>
        <v>5</v>
      </c>
      <c r="F92" cm="1">
        <f t="array" ref="F92">_xlfn.IFS(C92&gt;=_xlfn.PERCENTILE.INC($C$2:$C$726,0.8),5,C92&gt;=_xlfn.PERCENTILE.INC($C$2:$C$726,0.6),4,C92&gt;=_xlfn.PERCENTILE.INC($C$2:$C$726,0.4),3,C92&gt;=_xlfn.PERCENTILE.INC($C$2:$C$726,0.2),2,TRUE,1)</f>
        <v>5</v>
      </c>
      <c r="G92" cm="1">
        <f t="array" ref="G92">_xlfn.IFS(D92&gt;=_xlfn.PERCENTILE.INC($D$2:$D$726,0.8),5,D92&gt;=_xlfn.PERCENTILE.INC($D$2:$D$726,0.6),4,D92&gt;=_xlfn.PERCENTILE.INC($D$2:$D$726,0.4),3,D92&gt;=_xlfn.PERCENTILE.INC($D$2:$D$726,0.2),2,TRUE,1)</f>
        <v>5</v>
      </c>
      <c r="H92">
        <f t="shared" si="1"/>
        <v>15</v>
      </c>
      <c r="I92" t="str" cm="1">
        <f t="array" ref="I92">_xlfn.IFS(H92&gt;=13,"Best Customers",H92&gt;=10,"Loyal Customers",H92&gt;=7,"Potential Loyal Customers",H92&gt;=4,"Need Attention",TRUE,"At Risk")</f>
        <v>Best Customers</v>
      </c>
    </row>
    <row r="93" spans="1:9" x14ac:dyDescent="0.25">
      <c r="A93" t="s">
        <v>2122</v>
      </c>
      <c r="B93" s="4">
        <v>1727</v>
      </c>
      <c r="C93">
        <v>2</v>
      </c>
      <c r="D93">
        <v>28.6</v>
      </c>
      <c r="E93" cm="1">
        <f t="array" ref="E93">_xlfn.IFS(B93&lt;=_xlfn.PERCENTILE.INC($B$2:$B$726,0.2),5, B93&lt;=_xlfn.PERCENTILE.INC($B$2:$B$726,0.4),4,B93&lt;=_xlfn.PERCENTILE.INC($B$2:$B$726,0.6),3,B93&lt;=_xlfn.PERCENTILE.INC($B$2:$B$726,0.8),4,TRUE,1)</f>
        <v>1</v>
      </c>
      <c r="F93" cm="1">
        <f t="array" ref="F93">_xlfn.IFS(C93&gt;=_xlfn.PERCENTILE.INC($C$2:$C$726,0.8),5,C93&gt;=_xlfn.PERCENTILE.INC($C$2:$C$726,0.6),4,C93&gt;=_xlfn.PERCENTILE.INC($C$2:$C$726,0.4),3,C93&gt;=_xlfn.PERCENTILE.INC($C$2:$C$726,0.2),2,TRUE,1)</f>
        <v>1</v>
      </c>
      <c r="G93" cm="1">
        <f t="array" ref="G93">_xlfn.IFS(D93&gt;=_xlfn.PERCENTILE.INC($D$2:$D$726,0.8),5,D93&gt;=_xlfn.PERCENTILE.INC($D$2:$D$726,0.6),4,D93&gt;=_xlfn.PERCENTILE.INC($D$2:$D$726,0.4),3,D93&gt;=_xlfn.PERCENTILE.INC($D$2:$D$726,0.2),2,TRUE,1)</f>
        <v>1</v>
      </c>
      <c r="H93">
        <f t="shared" si="1"/>
        <v>3</v>
      </c>
      <c r="I93" t="str" cm="1">
        <f t="array" ref="I93">_xlfn.IFS(H93&gt;=13,"Best Customers",H93&gt;=10,"Loyal Customers",H93&gt;=7,"Potential Loyal Customers",H93&gt;=4,"Need Attention",TRUE,"At Risk")</f>
        <v>At Risk</v>
      </c>
    </row>
    <row r="94" spans="1:9" x14ac:dyDescent="0.25">
      <c r="A94" t="s">
        <v>2236</v>
      </c>
      <c r="B94" s="4">
        <v>478</v>
      </c>
      <c r="C94">
        <v>11</v>
      </c>
      <c r="D94">
        <v>449.99999999999994</v>
      </c>
      <c r="E94" cm="1">
        <f t="array" ref="E94">_xlfn.IFS(B94&lt;=_xlfn.PERCENTILE.INC($B$2:$B$726,0.2),5, B94&lt;=_xlfn.PERCENTILE.INC($B$2:$B$726,0.4),4,B94&lt;=_xlfn.PERCENTILE.INC($B$2:$B$726,0.6),3,B94&lt;=_xlfn.PERCENTILE.INC($B$2:$B$726,0.8),4,TRUE,1)</f>
        <v>3</v>
      </c>
      <c r="F94" cm="1">
        <f t="array" ref="F94">_xlfn.IFS(C94&gt;=_xlfn.PERCENTILE.INC($C$2:$C$726,0.8),5,C94&gt;=_xlfn.PERCENTILE.INC($C$2:$C$726,0.6),4,C94&gt;=_xlfn.PERCENTILE.INC($C$2:$C$726,0.4),3,C94&gt;=_xlfn.PERCENTILE.INC($C$2:$C$726,0.2),2,TRUE,1)</f>
        <v>5</v>
      </c>
      <c r="G94" cm="1">
        <f t="array" ref="G94">_xlfn.IFS(D94&gt;=_xlfn.PERCENTILE.INC($D$2:$D$726,0.8),5,D94&gt;=_xlfn.PERCENTILE.INC($D$2:$D$726,0.6),4,D94&gt;=_xlfn.PERCENTILE.INC($D$2:$D$726,0.4),3,D94&gt;=_xlfn.PERCENTILE.INC($D$2:$D$726,0.2),2,TRUE,1)</f>
        <v>5</v>
      </c>
      <c r="H94">
        <f t="shared" si="1"/>
        <v>13</v>
      </c>
      <c r="I94" t="str" cm="1">
        <f t="array" ref="I94">_xlfn.IFS(H94&gt;=13,"Best Customers",H94&gt;=10,"Loyal Customers",H94&gt;=7,"Potential Loyal Customers",H94&gt;=4,"Need Attention",TRUE,"At Risk")</f>
        <v>Best Customers</v>
      </c>
    </row>
    <row r="95" spans="1:9" x14ac:dyDescent="0.25">
      <c r="A95" t="s">
        <v>1142</v>
      </c>
      <c r="B95" s="4">
        <v>575</v>
      </c>
      <c r="C95">
        <v>7</v>
      </c>
      <c r="D95">
        <v>319.59999999999997</v>
      </c>
      <c r="E95" cm="1">
        <f t="array" ref="E95">_xlfn.IFS(B95&lt;=_xlfn.PERCENTILE.INC($B$2:$B$726,0.2),5, B95&lt;=_xlfn.PERCENTILE.INC($B$2:$B$726,0.4),4,B95&lt;=_xlfn.PERCENTILE.INC($B$2:$B$726,0.6),3,B95&lt;=_xlfn.PERCENTILE.INC($B$2:$B$726,0.8),4,TRUE,1)</f>
        <v>4</v>
      </c>
      <c r="F95" cm="1">
        <f t="array" ref="F95">_xlfn.IFS(C95&gt;=_xlfn.PERCENTILE.INC($C$2:$C$726,0.8),5,C95&gt;=_xlfn.PERCENTILE.INC($C$2:$C$726,0.6),4,C95&gt;=_xlfn.PERCENTILE.INC($C$2:$C$726,0.4),3,C95&gt;=_xlfn.PERCENTILE.INC($C$2:$C$726,0.2),2,TRUE,1)</f>
        <v>4</v>
      </c>
      <c r="G95" cm="1">
        <f t="array" ref="G95">_xlfn.IFS(D95&gt;=_xlfn.PERCENTILE.INC($D$2:$D$726,0.8),5,D95&gt;=_xlfn.PERCENTILE.INC($D$2:$D$726,0.6),4,D95&gt;=_xlfn.PERCENTILE.INC($D$2:$D$726,0.4),3,D95&gt;=_xlfn.PERCENTILE.INC($D$2:$D$726,0.2),2,TRUE,1)</f>
        <v>4</v>
      </c>
      <c r="H95">
        <f t="shared" si="1"/>
        <v>12</v>
      </c>
      <c r="I95" t="str" cm="1">
        <f t="array" ref="I95">_xlfn.IFS(H95&gt;=13,"Best Customers",H95&gt;=10,"Loyal Customers",H95&gt;=7,"Potential Loyal Customers",H95&gt;=4,"Need Attention",TRUE,"At Risk")</f>
        <v>Loyal Customers</v>
      </c>
    </row>
    <row r="96" spans="1:9" x14ac:dyDescent="0.25">
      <c r="A96" t="s">
        <v>2047</v>
      </c>
      <c r="B96" s="4">
        <v>606</v>
      </c>
      <c r="C96">
        <v>10</v>
      </c>
      <c r="D96">
        <v>542.1</v>
      </c>
      <c r="E96" cm="1">
        <f t="array" ref="E96">_xlfn.IFS(B96&lt;=_xlfn.PERCENTILE.INC($B$2:$B$726,0.2),5, B96&lt;=_xlfn.PERCENTILE.INC($B$2:$B$726,0.4),4,B96&lt;=_xlfn.PERCENTILE.INC($B$2:$B$726,0.6),3,B96&lt;=_xlfn.PERCENTILE.INC($B$2:$B$726,0.8),4,TRUE,1)</f>
        <v>4</v>
      </c>
      <c r="F96" cm="1">
        <f t="array" ref="F96">_xlfn.IFS(C96&gt;=_xlfn.PERCENTILE.INC($C$2:$C$726,0.8),5,C96&gt;=_xlfn.PERCENTILE.INC($C$2:$C$726,0.6),4,C96&gt;=_xlfn.PERCENTILE.INC($C$2:$C$726,0.4),3,C96&gt;=_xlfn.PERCENTILE.INC($C$2:$C$726,0.2),2,TRUE,1)</f>
        <v>5</v>
      </c>
      <c r="G96" cm="1">
        <f t="array" ref="G96">_xlfn.IFS(D96&gt;=_xlfn.PERCENTILE.INC($D$2:$D$726,0.8),5,D96&gt;=_xlfn.PERCENTILE.INC($D$2:$D$726,0.6),4,D96&gt;=_xlfn.PERCENTILE.INC($D$2:$D$726,0.4),3,D96&gt;=_xlfn.PERCENTILE.INC($D$2:$D$726,0.2),2,TRUE,1)</f>
        <v>5</v>
      </c>
      <c r="H96">
        <f t="shared" si="1"/>
        <v>14</v>
      </c>
      <c r="I96" t="str" cm="1">
        <f t="array" ref="I96">_xlfn.IFS(H96&gt;=13,"Best Customers",H96&gt;=10,"Loyal Customers",H96&gt;=7,"Potential Loyal Customers",H96&gt;=4,"Need Attention",TRUE,"At Risk")</f>
        <v>Best Customers</v>
      </c>
    </row>
    <row r="97" spans="1:9" x14ac:dyDescent="0.25">
      <c r="A97" t="s">
        <v>2696</v>
      </c>
      <c r="B97" s="4">
        <v>358</v>
      </c>
      <c r="C97">
        <v>7</v>
      </c>
      <c r="D97">
        <v>129.9</v>
      </c>
      <c r="E97" cm="1">
        <f t="array" ref="E97">_xlfn.IFS(B97&lt;=_xlfn.PERCENTILE.INC($B$2:$B$726,0.2),5, B97&lt;=_xlfn.PERCENTILE.INC($B$2:$B$726,0.4),4,B97&lt;=_xlfn.PERCENTILE.INC($B$2:$B$726,0.6),3,B97&lt;=_xlfn.PERCENTILE.INC($B$2:$B$726,0.8),4,TRUE,1)</f>
        <v>5</v>
      </c>
      <c r="F97" cm="1">
        <f t="array" ref="F97">_xlfn.IFS(C97&gt;=_xlfn.PERCENTILE.INC($C$2:$C$726,0.8),5,C97&gt;=_xlfn.PERCENTILE.INC($C$2:$C$726,0.6),4,C97&gt;=_xlfn.PERCENTILE.INC($C$2:$C$726,0.4),3,C97&gt;=_xlfn.PERCENTILE.INC($C$2:$C$726,0.2),2,TRUE,1)</f>
        <v>4</v>
      </c>
      <c r="G97" cm="1">
        <f t="array" ref="G97">_xlfn.IFS(D97&gt;=_xlfn.PERCENTILE.INC($D$2:$D$726,0.8),5,D97&gt;=_xlfn.PERCENTILE.INC($D$2:$D$726,0.6),4,D97&gt;=_xlfn.PERCENTILE.INC($D$2:$D$726,0.4),3,D97&gt;=_xlfn.PERCENTILE.INC($D$2:$D$726,0.2),2,TRUE,1)</f>
        <v>1</v>
      </c>
      <c r="H97">
        <f t="shared" si="1"/>
        <v>10</v>
      </c>
      <c r="I97" t="str" cm="1">
        <f t="array" ref="I97">_xlfn.IFS(H97&gt;=13,"Best Customers",H97&gt;=10,"Loyal Customers",H97&gt;=7,"Potential Loyal Customers",H97&gt;=4,"Need Attention",TRUE,"At Risk")</f>
        <v>Loyal Customers</v>
      </c>
    </row>
    <row r="98" spans="1:9" x14ac:dyDescent="0.25">
      <c r="A98" t="s">
        <v>2245</v>
      </c>
      <c r="B98" s="4">
        <v>967</v>
      </c>
      <c r="C98">
        <v>3</v>
      </c>
      <c r="D98">
        <v>111.3</v>
      </c>
      <c r="E98" cm="1">
        <f t="array" ref="E98">_xlfn.IFS(B98&lt;=_xlfn.PERCENTILE.INC($B$2:$B$726,0.2),5, B98&lt;=_xlfn.PERCENTILE.INC($B$2:$B$726,0.4),4,B98&lt;=_xlfn.PERCENTILE.INC($B$2:$B$726,0.6),3,B98&lt;=_xlfn.PERCENTILE.INC($B$2:$B$726,0.8),4,TRUE,1)</f>
        <v>1</v>
      </c>
      <c r="F98" cm="1">
        <f t="array" ref="F98">_xlfn.IFS(C98&gt;=_xlfn.PERCENTILE.INC($C$2:$C$726,0.8),5,C98&gt;=_xlfn.PERCENTILE.INC($C$2:$C$726,0.6),4,C98&gt;=_xlfn.PERCENTILE.INC($C$2:$C$726,0.4),3,C98&gt;=_xlfn.PERCENTILE.INC($C$2:$C$726,0.2),2,TRUE,1)</f>
        <v>1</v>
      </c>
      <c r="G98" cm="1">
        <f t="array" ref="G98">_xlfn.IFS(D98&gt;=_xlfn.PERCENTILE.INC($D$2:$D$726,0.8),5,D98&gt;=_xlfn.PERCENTILE.INC($D$2:$D$726,0.6),4,D98&gt;=_xlfn.PERCENTILE.INC($D$2:$D$726,0.4),3,D98&gt;=_xlfn.PERCENTILE.INC($D$2:$D$726,0.2),2,TRUE,1)</f>
        <v>1</v>
      </c>
      <c r="H98">
        <f t="shared" si="1"/>
        <v>3</v>
      </c>
      <c r="I98" t="str" cm="1">
        <f t="array" ref="I98">_xlfn.IFS(H98&gt;=13,"Best Customers",H98&gt;=10,"Loyal Customers",H98&gt;=7,"Potential Loyal Customers",H98&gt;=4,"Need Attention",TRUE,"At Risk")</f>
        <v>At Risk</v>
      </c>
    </row>
    <row r="99" spans="1:9" x14ac:dyDescent="0.25">
      <c r="A99" t="s">
        <v>3072</v>
      </c>
      <c r="B99" s="4">
        <v>498</v>
      </c>
      <c r="C99">
        <v>5</v>
      </c>
      <c r="D99">
        <v>456.90000000000003</v>
      </c>
      <c r="E99" cm="1">
        <f t="array" ref="E99">_xlfn.IFS(B99&lt;=_xlfn.PERCENTILE.INC($B$2:$B$726,0.2),5, B99&lt;=_xlfn.PERCENTILE.INC($B$2:$B$726,0.4),4,B99&lt;=_xlfn.PERCENTILE.INC($B$2:$B$726,0.6),3,B99&lt;=_xlfn.PERCENTILE.INC($B$2:$B$726,0.8),4,TRUE,1)</f>
        <v>3</v>
      </c>
      <c r="F99" cm="1">
        <f t="array" ref="F99">_xlfn.IFS(C99&gt;=_xlfn.PERCENTILE.INC($C$2:$C$726,0.8),5,C99&gt;=_xlfn.PERCENTILE.INC($C$2:$C$726,0.6),4,C99&gt;=_xlfn.PERCENTILE.INC($C$2:$C$726,0.4),3,C99&gt;=_xlfn.PERCENTILE.INC($C$2:$C$726,0.2),2,TRUE,1)</f>
        <v>3</v>
      </c>
      <c r="G99" cm="1">
        <f t="array" ref="G99">_xlfn.IFS(D99&gt;=_xlfn.PERCENTILE.INC($D$2:$D$726,0.8),5,D99&gt;=_xlfn.PERCENTILE.INC($D$2:$D$726,0.6),4,D99&gt;=_xlfn.PERCENTILE.INC($D$2:$D$726,0.4),3,D99&gt;=_xlfn.PERCENTILE.INC($D$2:$D$726,0.2),2,TRUE,1)</f>
        <v>5</v>
      </c>
      <c r="H99">
        <f t="shared" si="1"/>
        <v>11</v>
      </c>
      <c r="I99" t="str" cm="1">
        <f t="array" ref="I99">_xlfn.IFS(H99&gt;=13,"Best Customers",H99&gt;=10,"Loyal Customers",H99&gt;=7,"Potential Loyal Customers",H99&gt;=4,"Need Attention",TRUE,"At Risk")</f>
        <v>Loyal Customers</v>
      </c>
    </row>
    <row r="100" spans="1:9" x14ac:dyDescent="0.25">
      <c r="A100" t="s">
        <v>1660</v>
      </c>
      <c r="B100" s="4">
        <v>566</v>
      </c>
      <c r="C100">
        <v>5</v>
      </c>
      <c r="D100">
        <v>327.8</v>
      </c>
      <c r="E100" cm="1">
        <f t="array" ref="E100">_xlfn.IFS(B100&lt;=_xlfn.PERCENTILE.INC($B$2:$B$726,0.2),5, B100&lt;=_xlfn.PERCENTILE.INC($B$2:$B$726,0.4),4,B100&lt;=_xlfn.PERCENTILE.INC($B$2:$B$726,0.6),3,B100&lt;=_xlfn.PERCENTILE.INC($B$2:$B$726,0.8),4,TRUE,1)</f>
        <v>3</v>
      </c>
      <c r="F100" cm="1">
        <f t="array" ref="F100">_xlfn.IFS(C100&gt;=_xlfn.PERCENTILE.INC($C$2:$C$726,0.8),5,C100&gt;=_xlfn.PERCENTILE.INC($C$2:$C$726,0.6),4,C100&gt;=_xlfn.PERCENTILE.INC($C$2:$C$726,0.4),3,C100&gt;=_xlfn.PERCENTILE.INC($C$2:$C$726,0.2),2,TRUE,1)</f>
        <v>3</v>
      </c>
      <c r="G100" cm="1">
        <f t="array" ref="G100">_xlfn.IFS(D100&gt;=_xlfn.PERCENTILE.INC($D$2:$D$726,0.8),5,D100&gt;=_xlfn.PERCENTILE.INC($D$2:$D$726,0.6),4,D100&gt;=_xlfn.PERCENTILE.INC($D$2:$D$726,0.4),3,D100&gt;=_xlfn.PERCENTILE.INC($D$2:$D$726,0.2),2,TRUE,1)</f>
        <v>4</v>
      </c>
      <c r="H100">
        <f t="shared" si="1"/>
        <v>10</v>
      </c>
      <c r="I100" t="str" cm="1">
        <f t="array" ref="I100">_xlfn.IFS(H100&gt;=13,"Best Customers",H100&gt;=10,"Loyal Customers",H100&gt;=7,"Potential Loyal Customers",H100&gt;=4,"Need Attention",TRUE,"At Risk")</f>
        <v>Loyal Customers</v>
      </c>
    </row>
    <row r="101" spans="1:9" x14ac:dyDescent="0.25">
      <c r="A101" t="s">
        <v>2596</v>
      </c>
      <c r="B101" s="4">
        <v>365</v>
      </c>
      <c r="C101">
        <v>7</v>
      </c>
      <c r="D101">
        <v>160.89999999999998</v>
      </c>
      <c r="E101" cm="1">
        <f t="array" ref="E101">_xlfn.IFS(B101&lt;=_xlfn.PERCENTILE.INC($B$2:$B$726,0.2),5, B101&lt;=_xlfn.PERCENTILE.INC($B$2:$B$726,0.4),4,B101&lt;=_xlfn.PERCENTILE.INC($B$2:$B$726,0.6),3,B101&lt;=_xlfn.PERCENTILE.INC($B$2:$B$726,0.8),4,TRUE,1)</f>
        <v>5</v>
      </c>
      <c r="F101" cm="1">
        <f t="array" ref="F101">_xlfn.IFS(C101&gt;=_xlfn.PERCENTILE.INC($C$2:$C$726,0.8),5,C101&gt;=_xlfn.PERCENTILE.INC($C$2:$C$726,0.6),4,C101&gt;=_xlfn.PERCENTILE.INC($C$2:$C$726,0.4),3,C101&gt;=_xlfn.PERCENTILE.INC($C$2:$C$726,0.2),2,TRUE,1)</f>
        <v>4</v>
      </c>
      <c r="G101" cm="1">
        <f t="array" ref="G101">_xlfn.IFS(D101&gt;=_xlfn.PERCENTILE.INC($D$2:$D$726,0.8),5,D101&gt;=_xlfn.PERCENTILE.INC($D$2:$D$726,0.6),4,D101&gt;=_xlfn.PERCENTILE.INC($D$2:$D$726,0.4),3,D101&gt;=_xlfn.PERCENTILE.INC($D$2:$D$726,0.2),2,TRUE,1)</f>
        <v>2</v>
      </c>
      <c r="H101">
        <f t="shared" si="1"/>
        <v>11</v>
      </c>
      <c r="I101" t="str" cm="1">
        <f t="array" ref="I101">_xlfn.IFS(H101&gt;=13,"Best Customers",H101&gt;=10,"Loyal Customers",H101&gt;=7,"Potential Loyal Customers",H101&gt;=4,"Need Attention",TRUE,"At Risk")</f>
        <v>Loyal Customers</v>
      </c>
    </row>
    <row r="102" spans="1:9" x14ac:dyDescent="0.25">
      <c r="A102" t="s">
        <v>1181</v>
      </c>
      <c r="B102" s="4">
        <v>1390</v>
      </c>
      <c r="C102">
        <v>2</v>
      </c>
      <c r="D102">
        <v>104.3</v>
      </c>
      <c r="E102" cm="1">
        <f t="array" ref="E102">_xlfn.IFS(B102&lt;=_xlfn.PERCENTILE.INC($B$2:$B$726,0.2),5, B102&lt;=_xlfn.PERCENTILE.INC($B$2:$B$726,0.4),4,B102&lt;=_xlfn.PERCENTILE.INC($B$2:$B$726,0.6),3,B102&lt;=_xlfn.PERCENTILE.INC($B$2:$B$726,0.8),4,TRUE,1)</f>
        <v>1</v>
      </c>
      <c r="F102" cm="1">
        <f t="array" ref="F102">_xlfn.IFS(C102&gt;=_xlfn.PERCENTILE.INC($C$2:$C$726,0.8),5,C102&gt;=_xlfn.PERCENTILE.INC($C$2:$C$726,0.6),4,C102&gt;=_xlfn.PERCENTILE.INC($C$2:$C$726,0.4),3,C102&gt;=_xlfn.PERCENTILE.INC($C$2:$C$726,0.2),2,TRUE,1)</f>
        <v>1</v>
      </c>
      <c r="G102" cm="1">
        <f t="array" ref="G102">_xlfn.IFS(D102&gt;=_xlfn.PERCENTILE.INC($D$2:$D$726,0.8),5,D102&gt;=_xlfn.PERCENTILE.INC($D$2:$D$726,0.6),4,D102&gt;=_xlfn.PERCENTILE.INC($D$2:$D$726,0.4),3,D102&gt;=_xlfn.PERCENTILE.INC($D$2:$D$726,0.2),2,TRUE,1)</f>
        <v>1</v>
      </c>
      <c r="H102">
        <f t="shared" si="1"/>
        <v>3</v>
      </c>
      <c r="I102" t="str" cm="1">
        <f t="array" ref="I102">_xlfn.IFS(H102&gt;=13,"Best Customers",H102&gt;=10,"Loyal Customers",H102&gt;=7,"Potential Loyal Customers",H102&gt;=4,"Need Attention",TRUE,"At Risk")</f>
        <v>At Risk</v>
      </c>
    </row>
    <row r="103" spans="1:9" x14ac:dyDescent="0.25">
      <c r="A103" t="s">
        <v>1154</v>
      </c>
      <c r="B103" s="4">
        <v>358</v>
      </c>
      <c r="C103">
        <v>11</v>
      </c>
      <c r="D103">
        <v>330.8</v>
      </c>
      <c r="E103" cm="1">
        <f t="array" ref="E103">_xlfn.IFS(B103&lt;=_xlfn.PERCENTILE.INC($B$2:$B$726,0.2),5, B103&lt;=_xlfn.PERCENTILE.INC($B$2:$B$726,0.4),4,B103&lt;=_xlfn.PERCENTILE.INC($B$2:$B$726,0.6),3,B103&lt;=_xlfn.PERCENTILE.INC($B$2:$B$726,0.8),4,TRUE,1)</f>
        <v>5</v>
      </c>
      <c r="F103" cm="1">
        <f t="array" ref="F103">_xlfn.IFS(C103&gt;=_xlfn.PERCENTILE.INC($C$2:$C$726,0.8),5,C103&gt;=_xlfn.PERCENTILE.INC($C$2:$C$726,0.6),4,C103&gt;=_xlfn.PERCENTILE.INC($C$2:$C$726,0.4),3,C103&gt;=_xlfn.PERCENTILE.INC($C$2:$C$726,0.2),2,TRUE,1)</f>
        <v>5</v>
      </c>
      <c r="G103" cm="1">
        <f t="array" ref="G103">_xlfn.IFS(D103&gt;=_xlfn.PERCENTILE.INC($D$2:$D$726,0.8),5,D103&gt;=_xlfn.PERCENTILE.INC($D$2:$D$726,0.6),4,D103&gt;=_xlfn.PERCENTILE.INC($D$2:$D$726,0.4),3,D103&gt;=_xlfn.PERCENTILE.INC($D$2:$D$726,0.2),2,TRUE,1)</f>
        <v>4</v>
      </c>
      <c r="H103">
        <f t="shared" si="1"/>
        <v>14</v>
      </c>
      <c r="I103" t="str" cm="1">
        <f t="array" ref="I103">_xlfn.IFS(H103&gt;=13,"Best Customers",H103&gt;=10,"Loyal Customers",H103&gt;=7,"Potential Loyal Customers",H103&gt;=4,"Need Attention",TRUE,"At Risk")</f>
        <v>Best Customers</v>
      </c>
    </row>
    <row r="104" spans="1:9" x14ac:dyDescent="0.25">
      <c r="A104" t="s">
        <v>2751</v>
      </c>
      <c r="B104" s="4">
        <v>458</v>
      </c>
      <c r="C104">
        <v>3</v>
      </c>
      <c r="D104">
        <v>102.6</v>
      </c>
      <c r="E104" cm="1">
        <f t="array" ref="E104">_xlfn.IFS(B104&lt;=_xlfn.PERCENTILE.INC($B$2:$B$726,0.2),5, B104&lt;=_xlfn.PERCENTILE.INC($B$2:$B$726,0.4),4,B104&lt;=_xlfn.PERCENTILE.INC($B$2:$B$726,0.6),3,B104&lt;=_xlfn.PERCENTILE.INC($B$2:$B$726,0.8),4,TRUE,1)</f>
        <v>4</v>
      </c>
      <c r="F104" cm="1">
        <f t="array" ref="F104">_xlfn.IFS(C104&gt;=_xlfn.PERCENTILE.INC($C$2:$C$726,0.8),5,C104&gt;=_xlfn.PERCENTILE.INC($C$2:$C$726,0.6),4,C104&gt;=_xlfn.PERCENTILE.INC($C$2:$C$726,0.4),3,C104&gt;=_xlfn.PERCENTILE.INC($C$2:$C$726,0.2),2,TRUE,1)</f>
        <v>1</v>
      </c>
      <c r="G104" cm="1">
        <f t="array" ref="G104">_xlfn.IFS(D104&gt;=_xlfn.PERCENTILE.INC($D$2:$D$726,0.8),5,D104&gt;=_xlfn.PERCENTILE.INC($D$2:$D$726,0.6),4,D104&gt;=_xlfn.PERCENTILE.INC($D$2:$D$726,0.4),3,D104&gt;=_xlfn.PERCENTILE.INC($D$2:$D$726,0.2),2,TRUE,1)</f>
        <v>1</v>
      </c>
      <c r="H104">
        <f t="shared" si="1"/>
        <v>6</v>
      </c>
      <c r="I104" t="str" cm="1">
        <f t="array" ref="I104">_xlfn.IFS(H104&gt;=13,"Best Customers",H104&gt;=10,"Loyal Customers",H104&gt;=7,"Potential Loyal Customers",H104&gt;=4,"Need Attention",TRUE,"At Risk")</f>
        <v>Need Attention</v>
      </c>
    </row>
    <row r="105" spans="1:9" x14ac:dyDescent="0.25">
      <c r="A105" t="s">
        <v>2980</v>
      </c>
      <c r="B105" s="4">
        <v>393</v>
      </c>
      <c r="C105">
        <v>5</v>
      </c>
      <c r="D105">
        <v>222.9</v>
      </c>
      <c r="E105" cm="1">
        <f t="array" ref="E105">_xlfn.IFS(B105&lt;=_xlfn.PERCENTILE.INC($B$2:$B$726,0.2),5, B105&lt;=_xlfn.PERCENTILE.INC($B$2:$B$726,0.4),4,B105&lt;=_xlfn.PERCENTILE.INC($B$2:$B$726,0.6),3,B105&lt;=_xlfn.PERCENTILE.INC($B$2:$B$726,0.8),4,TRUE,1)</f>
        <v>4</v>
      </c>
      <c r="F105" cm="1">
        <f t="array" ref="F105">_xlfn.IFS(C105&gt;=_xlfn.PERCENTILE.INC($C$2:$C$726,0.8),5,C105&gt;=_xlfn.PERCENTILE.INC($C$2:$C$726,0.6),4,C105&gt;=_xlfn.PERCENTILE.INC($C$2:$C$726,0.4),3,C105&gt;=_xlfn.PERCENTILE.INC($C$2:$C$726,0.2),2,TRUE,1)</f>
        <v>3</v>
      </c>
      <c r="G105" cm="1">
        <f t="array" ref="G105">_xlfn.IFS(D105&gt;=_xlfn.PERCENTILE.INC($D$2:$D$726,0.8),5,D105&gt;=_xlfn.PERCENTILE.INC($D$2:$D$726,0.6),4,D105&gt;=_xlfn.PERCENTILE.INC($D$2:$D$726,0.4),3,D105&gt;=_xlfn.PERCENTILE.INC($D$2:$D$726,0.2),2,TRUE,1)</f>
        <v>2</v>
      </c>
      <c r="H105">
        <f t="shared" si="1"/>
        <v>9</v>
      </c>
      <c r="I105" t="str" cm="1">
        <f t="array" ref="I105">_xlfn.IFS(H105&gt;=13,"Best Customers",H105&gt;=10,"Loyal Customers",H105&gt;=7,"Potential Loyal Customers",H105&gt;=4,"Need Attention",TRUE,"At Risk")</f>
        <v>Potential Loyal Customers</v>
      </c>
    </row>
    <row r="106" spans="1:9" x14ac:dyDescent="0.25">
      <c r="A106" t="s">
        <v>1687</v>
      </c>
      <c r="B106" s="4">
        <v>980</v>
      </c>
      <c r="C106">
        <v>4</v>
      </c>
      <c r="D106">
        <v>145</v>
      </c>
      <c r="E106" cm="1">
        <f t="array" ref="E106">_xlfn.IFS(B106&lt;=_xlfn.PERCENTILE.INC($B$2:$B$726,0.2),5, B106&lt;=_xlfn.PERCENTILE.INC($B$2:$B$726,0.4),4,B106&lt;=_xlfn.PERCENTILE.INC($B$2:$B$726,0.6),3,B106&lt;=_xlfn.PERCENTILE.INC($B$2:$B$726,0.8),4,TRUE,1)</f>
        <v>1</v>
      </c>
      <c r="F106" cm="1">
        <f t="array" ref="F106">_xlfn.IFS(C106&gt;=_xlfn.PERCENTILE.INC($C$2:$C$726,0.8),5,C106&gt;=_xlfn.PERCENTILE.INC($C$2:$C$726,0.6),4,C106&gt;=_xlfn.PERCENTILE.INC($C$2:$C$726,0.4),3,C106&gt;=_xlfn.PERCENTILE.INC($C$2:$C$726,0.2),2,TRUE,1)</f>
        <v>2</v>
      </c>
      <c r="G106" cm="1">
        <f t="array" ref="G106">_xlfn.IFS(D106&gt;=_xlfn.PERCENTILE.INC($D$2:$D$726,0.8),5,D106&gt;=_xlfn.PERCENTILE.INC($D$2:$D$726,0.6),4,D106&gt;=_xlfn.PERCENTILE.INC($D$2:$D$726,0.4),3,D106&gt;=_xlfn.PERCENTILE.INC($D$2:$D$726,0.2),2,TRUE,1)</f>
        <v>1</v>
      </c>
      <c r="H106">
        <f t="shared" si="1"/>
        <v>4</v>
      </c>
      <c r="I106" t="str" cm="1">
        <f t="array" ref="I106">_xlfn.IFS(H106&gt;=13,"Best Customers",H106&gt;=10,"Loyal Customers",H106&gt;=7,"Potential Loyal Customers",H106&gt;=4,"Need Attention",TRUE,"At Risk")</f>
        <v>Need Attention</v>
      </c>
    </row>
    <row r="107" spans="1:9" x14ac:dyDescent="0.25">
      <c r="A107" t="s">
        <v>3234</v>
      </c>
      <c r="B107" s="4">
        <v>450</v>
      </c>
      <c r="C107">
        <v>5</v>
      </c>
      <c r="D107">
        <v>268.79999999999995</v>
      </c>
      <c r="E107" cm="1">
        <f t="array" ref="E107">_xlfn.IFS(B107&lt;=_xlfn.PERCENTILE.INC($B$2:$B$726,0.2),5, B107&lt;=_xlfn.PERCENTILE.INC($B$2:$B$726,0.4),4,B107&lt;=_xlfn.PERCENTILE.INC($B$2:$B$726,0.6),3,B107&lt;=_xlfn.PERCENTILE.INC($B$2:$B$726,0.8),4,TRUE,1)</f>
        <v>4</v>
      </c>
      <c r="F107" cm="1">
        <f t="array" ref="F107">_xlfn.IFS(C107&gt;=_xlfn.PERCENTILE.INC($C$2:$C$726,0.8),5,C107&gt;=_xlfn.PERCENTILE.INC($C$2:$C$726,0.6),4,C107&gt;=_xlfn.PERCENTILE.INC($C$2:$C$726,0.4),3,C107&gt;=_xlfn.PERCENTILE.INC($C$2:$C$726,0.2),2,TRUE,1)</f>
        <v>3</v>
      </c>
      <c r="G107" cm="1">
        <f t="array" ref="G107">_xlfn.IFS(D107&gt;=_xlfn.PERCENTILE.INC($D$2:$D$726,0.8),5,D107&gt;=_xlfn.PERCENTILE.INC($D$2:$D$726,0.6),4,D107&gt;=_xlfn.PERCENTILE.INC($D$2:$D$726,0.4),3,D107&gt;=_xlfn.PERCENTILE.INC($D$2:$D$726,0.2),2,TRUE,1)</f>
        <v>3</v>
      </c>
      <c r="H107">
        <f t="shared" si="1"/>
        <v>10</v>
      </c>
      <c r="I107" t="str" cm="1">
        <f t="array" ref="I107">_xlfn.IFS(H107&gt;=13,"Best Customers",H107&gt;=10,"Loyal Customers",H107&gt;=7,"Potential Loyal Customers",H107&gt;=4,"Need Attention",TRUE,"At Risk")</f>
        <v>Loyal Customers</v>
      </c>
    </row>
    <row r="108" spans="1:9" x14ac:dyDescent="0.25">
      <c r="A108" t="s">
        <v>713</v>
      </c>
      <c r="B108" s="4">
        <v>353</v>
      </c>
      <c r="C108">
        <v>4</v>
      </c>
      <c r="D108">
        <v>279.10000000000002</v>
      </c>
      <c r="E108" cm="1">
        <f t="array" ref="E108">_xlfn.IFS(B108&lt;=_xlfn.PERCENTILE.INC($B$2:$B$726,0.2),5, B108&lt;=_xlfn.PERCENTILE.INC($B$2:$B$726,0.4),4,B108&lt;=_xlfn.PERCENTILE.INC($B$2:$B$726,0.6),3,B108&lt;=_xlfn.PERCENTILE.INC($B$2:$B$726,0.8),4,TRUE,1)</f>
        <v>5</v>
      </c>
      <c r="F108" cm="1">
        <f t="array" ref="F108">_xlfn.IFS(C108&gt;=_xlfn.PERCENTILE.INC($C$2:$C$726,0.8),5,C108&gt;=_xlfn.PERCENTILE.INC($C$2:$C$726,0.6),4,C108&gt;=_xlfn.PERCENTILE.INC($C$2:$C$726,0.4),3,C108&gt;=_xlfn.PERCENTILE.INC($C$2:$C$726,0.2),2,TRUE,1)</f>
        <v>2</v>
      </c>
      <c r="G108" cm="1">
        <f t="array" ref="G108">_xlfn.IFS(D108&gt;=_xlfn.PERCENTILE.INC($D$2:$D$726,0.8),5,D108&gt;=_xlfn.PERCENTILE.INC($D$2:$D$726,0.6),4,D108&gt;=_xlfn.PERCENTILE.INC($D$2:$D$726,0.4),3,D108&gt;=_xlfn.PERCENTILE.INC($D$2:$D$726,0.2),2,TRUE,1)</f>
        <v>3</v>
      </c>
      <c r="H108">
        <f t="shared" si="1"/>
        <v>10</v>
      </c>
      <c r="I108" t="str" cm="1">
        <f t="array" ref="I108">_xlfn.IFS(H108&gt;=13,"Best Customers",H108&gt;=10,"Loyal Customers",H108&gt;=7,"Potential Loyal Customers",H108&gt;=4,"Need Attention",TRUE,"At Risk")</f>
        <v>Loyal Customers</v>
      </c>
    </row>
    <row r="109" spans="1:9" x14ac:dyDescent="0.25">
      <c r="A109" t="s">
        <v>2438</v>
      </c>
      <c r="B109" s="4">
        <v>351</v>
      </c>
      <c r="C109">
        <v>8</v>
      </c>
      <c r="D109">
        <v>366.5</v>
      </c>
      <c r="E109" cm="1">
        <f t="array" ref="E109">_xlfn.IFS(B109&lt;=_xlfn.PERCENTILE.INC($B$2:$B$726,0.2),5, B109&lt;=_xlfn.PERCENTILE.INC($B$2:$B$726,0.4),4,B109&lt;=_xlfn.PERCENTILE.INC($B$2:$B$726,0.6),3,B109&lt;=_xlfn.PERCENTILE.INC($B$2:$B$726,0.8),4,TRUE,1)</f>
        <v>5</v>
      </c>
      <c r="F109" cm="1">
        <f t="array" ref="F109">_xlfn.IFS(C109&gt;=_xlfn.PERCENTILE.INC($C$2:$C$726,0.8),5,C109&gt;=_xlfn.PERCENTILE.INC($C$2:$C$726,0.6),4,C109&gt;=_xlfn.PERCENTILE.INC($C$2:$C$726,0.4),3,C109&gt;=_xlfn.PERCENTILE.INC($C$2:$C$726,0.2),2,TRUE,1)</f>
        <v>5</v>
      </c>
      <c r="G109" cm="1">
        <f t="array" ref="G109">_xlfn.IFS(D109&gt;=_xlfn.PERCENTILE.INC($D$2:$D$726,0.8),5,D109&gt;=_xlfn.PERCENTILE.INC($D$2:$D$726,0.6),4,D109&gt;=_xlfn.PERCENTILE.INC($D$2:$D$726,0.4),3,D109&gt;=_xlfn.PERCENTILE.INC($D$2:$D$726,0.2),2,TRUE,1)</f>
        <v>4</v>
      </c>
      <c r="H109">
        <f t="shared" si="1"/>
        <v>14</v>
      </c>
      <c r="I109" t="str" cm="1">
        <f t="array" ref="I109">_xlfn.IFS(H109&gt;=13,"Best Customers",H109&gt;=10,"Loyal Customers",H109&gt;=7,"Potential Loyal Customers",H109&gt;=4,"Need Attention",TRUE,"At Risk")</f>
        <v>Best Customers</v>
      </c>
    </row>
    <row r="110" spans="1:9" x14ac:dyDescent="0.25">
      <c r="A110" t="s">
        <v>947</v>
      </c>
      <c r="B110" s="4">
        <v>565</v>
      </c>
      <c r="C110">
        <v>6</v>
      </c>
      <c r="D110">
        <v>249.70000000000002</v>
      </c>
      <c r="E110" cm="1">
        <f t="array" ref="E110">_xlfn.IFS(B110&lt;=_xlfn.PERCENTILE.INC($B$2:$B$726,0.2),5, B110&lt;=_xlfn.PERCENTILE.INC($B$2:$B$726,0.4),4,B110&lt;=_xlfn.PERCENTILE.INC($B$2:$B$726,0.6),3,B110&lt;=_xlfn.PERCENTILE.INC($B$2:$B$726,0.8),4,TRUE,1)</f>
        <v>3</v>
      </c>
      <c r="F110" cm="1">
        <f t="array" ref="F110">_xlfn.IFS(C110&gt;=_xlfn.PERCENTILE.INC($C$2:$C$726,0.8),5,C110&gt;=_xlfn.PERCENTILE.INC($C$2:$C$726,0.6),4,C110&gt;=_xlfn.PERCENTILE.INC($C$2:$C$726,0.4),3,C110&gt;=_xlfn.PERCENTILE.INC($C$2:$C$726,0.2),2,TRUE,1)</f>
        <v>4</v>
      </c>
      <c r="G110" cm="1">
        <f t="array" ref="G110">_xlfn.IFS(D110&gt;=_xlfn.PERCENTILE.INC($D$2:$D$726,0.8),5,D110&gt;=_xlfn.PERCENTILE.INC($D$2:$D$726,0.6),4,D110&gt;=_xlfn.PERCENTILE.INC($D$2:$D$726,0.4),3,D110&gt;=_xlfn.PERCENTILE.INC($D$2:$D$726,0.2),2,TRUE,1)</f>
        <v>3</v>
      </c>
      <c r="H110">
        <f t="shared" si="1"/>
        <v>10</v>
      </c>
      <c r="I110" t="str" cm="1">
        <f t="array" ref="I110">_xlfn.IFS(H110&gt;=13,"Best Customers",H110&gt;=10,"Loyal Customers",H110&gt;=7,"Potential Loyal Customers",H110&gt;=4,"Need Attention",TRUE,"At Risk")</f>
        <v>Loyal Customers</v>
      </c>
    </row>
    <row r="111" spans="1:9" x14ac:dyDescent="0.25">
      <c r="A111" t="s">
        <v>1256</v>
      </c>
      <c r="B111" s="4">
        <v>343</v>
      </c>
      <c r="C111">
        <v>4</v>
      </c>
      <c r="D111">
        <v>170.5</v>
      </c>
      <c r="E111" cm="1">
        <f t="array" ref="E111">_xlfn.IFS(B111&lt;=_xlfn.PERCENTILE.INC($B$2:$B$726,0.2),5, B111&lt;=_xlfn.PERCENTILE.INC($B$2:$B$726,0.4),4,B111&lt;=_xlfn.PERCENTILE.INC($B$2:$B$726,0.6),3,B111&lt;=_xlfn.PERCENTILE.INC($B$2:$B$726,0.8),4,TRUE,1)</f>
        <v>5</v>
      </c>
      <c r="F111" cm="1">
        <f t="array" ref="F111">_xlfn.IFS(C111&gt;=_xlfn.PERCENTILE.INC($C$2:$C$726,0.8),5,C111&gt;=_xlfn.PERCENTILE.INC($C$2:$C$726,0.6),4,C111&gt;=_xlfn.PERCENTILE.INC($C$2:$C$726,0.4),3,C111&gt;=_xlfn.PERCENTILE.INC($C$2:$C$726,0.2),2,TRUE,1)</f>
        <v>2</v>
      </c>
      <c r="G111" cm="1">
        <f t="array" ref="G111">_xlfn.IFS(D111&gt;=_xlfn.PERCENTILE.INC($D$2:$D$726,0.8),5,D111&gt;=_xlfn.PERCENTILE.INC($D$2:$D$726,0.6),4,D111&gt;=_xlfn.PERCENTILE.INC($D$2:$D$726,0.4),3,D111&gt;=_xlfn.PERCENTILE.INC($D$2:$D$726,0.2),2,TRUE,1)</f>
        <v>2</v>
      </c>
      <c r="H111">
        <f t="shared" si="1"/>
        <v>9</v>
      </c>
      <c r="I111" t="str" cm="1">
        <f t="array" ref="I111">_xlfn.IFS(H111&gt;=13,"Best Customers",H111&gt;=10,"Loyal Customers",H111&gt;=7,"Potential Loyal Customers",H111&gt;=4,"Need Attention",TRUE,"At Risk")</f>
        <v>Potential Loyal Customers</v>
      </c>
    </row>
    <row r="112" spans="1:9" x14ac:dyDescent="0.25">
      <c r="A112" t="s">
        <v>2804</v>
      </c>
      <c r="B112" s="4">
        <v>429</v>
      </c>
      <c r="C112">
        <v>6</v>
      </c>
      <c r="D112">
        <v>208.70000000000002</v>
      </c>
      <c r="E112" cm="1">
        <f t="array" ref="E112">_xlfn.IFS(B112&lt;=_xlfn.PERCENTILE.INC($B$2:$B$726,0.2),5, B112&lt;=_xlfn.PERCENTILE.INC($B$2:$B$726,0.4),4,B112&lt;=_xlfn.PERCENTILE.INC($B$2:$B$726,0.6),3,B112&lt;=_xlfn.PERCENTILE.INC($B$2:$B$726,0.8),4,TRUE,1)</f>
        <v>4</v>
      </c>
      <c r="F112" cm="1">
        <f t="array" ref="F112">_xlfn.IFS(C112&gt;=_xlfn.PERCENTILE.INC($C$2:$C$726,0.8),5,C112&gt;=_xlfn.PERCENTILE.INC($C$2:$C$726,0.6),4,C112&gt;=_xlfn.PERCENTILE.INC($C$2:$C$726,0.4),3,C112&gt;=_xlfn.PERCENTILE.INC($C$2:$C$726,0.2),2,TRUE,1)</f>
        <v>4</v>
      </c>
      <c r="G112" cm="1">
        <f t="array" ref="G112">_xlfn.IFS(D112&gt;=_xlfn.PERCENTILE.INC($D$2:$D$726,0.8),5,D112&gt;=_xlfn.PERCENTILE.INC($D$2:$D$726,0.6),4,D112&gt;=_xlfn.PERCENTILE.INC($D$2:$D$726,0.4),3,D112&gt;=_xlfn.PERCENTILE.INC($D$2:$D$726,0.2),2,TRUE,1)</f>
        <v>2</v>
      </c>
      <c r="H112">
        <f t="shared" si="1"/>
        <v>10</v>
      </c>
      <c r="I112" t="str" cm="1">
        <f t="array" ref="I112">_xlfn.IFS(H112&gt;=13,"Best Customers",H112&gt;=10,"Loyal Customers",H112&gt;=7,"Potential Loyal Customers",H112&gt;=4,"Need Attention",TRUE,"At Risk")</f>
        <v>Loyal Customers</v>
      </c>
    </row>
    <row r="113" spans="1:9" x14ac:dyDescent="0.25">
      <c r="A113" t="s">
        <v>929</v>
      </c>
      <c r="B113" s="4">
        <v>698</v>
      </c>
      <c r="C113">
        <v>7</v>
      </c>
      <c r="D113">
        <v>208.4</v>
      </c>
      <c r="E113" cm="1">
        <f t="array" ref="E113">_xlfn.IFS(B113&lt;=_xlfn.PERCENTILE.INC($B$2:$B$726,0.2),5, B113&lt;=_xlfn.PERCENTILE.INC($B$2:$B$726,0.4),4,B113&lt;=_xlfn.PERCENTILE.INC($B$2:$B$726,0.6),3,B113&lt;=_xlfn.PERCENTILE.INC($B$2:$B$726,0.8),4,TRUE,1)</f>
        <v>4</v>
      </c>
      <c r="F113" cm="1">
        <f t="array" ref="F113">_xlfn.IFS(C113&gt;=_xlfn.PERCENTILE.INC($C$2:$C$726,0.8),5,C113&gt;=_xlfn.PERCENTILE.INC($C$2:$C$726,0.6),4,C113&gt;=_xlfn.PERCENTILE.INC($C$2:$C$726,0.4),3,C113&gt;=_xlfn.PERCENTILE.INC($C$2:$C$726,0.2),2,TRUE,1)</f>
        <v>4</v>
      </c>
      <c r="G113" cm="1">
        <f t="array" ref="G113">_xlfn.IFS(D113&gt;=_xlfn.PERCENTILE.INC($D$2:$D$726,0.8),5,D113&gt;=_xlfn.PERCENTILE.INC($D$2:$D$726,0.6),4,D113&gt;=_xlfn.PERCENTILE.INC($D$2:$D$726,0.4),3,D113&gt;=_xlfn.PERCENTILE.INC($D$2:$D$726,0.2),2,TRUE,1)</f>
        <v>2</v>
      </c>
      <c r="H113">
        <f t="shared" si="1"/>
        <v>10</v>
      </c>
      <c r="I113" t="str" cm="1">
        <f t="array" ref="I113">_xlfn.IFS(H113&gt;=13,"Best Customers",H113&gt;=10,"Loyal Customers",H113&gt;=7,"Potential Loyal Customers",H113&gt;=4,"Need Attention",TRUE,"At Risk")</f>
        <v>Loyal Customers</v>
      </c>
    </row>
    <row r="114" spans="1:9" x14ac:dyDescent="0.25">
      <c r="A114" t="s">
        <v>1296</v>
      </c>
      <c r="B114" s="4">
        <v>478</v>
      </c>
      <c r="C114">
        <v>6</v>
      </c>
      <c r="D114">
        <v>264</v>
      </c>
      <c r="E114" cm="1">
        <f t="array" ref="E114">_xlfn.IFS(B114&lt;=_xlfn.PERCENTILE.INC($B$2:$B$726,0.2),5, B114&lt;=_xlfn.PERCENTILE.INC($B$2:$B$726,0.4),4,B114&lt;=_xlfn.PERCENTILE.INC($B$2:$B$726,0.6),3,B114&lt;=_xlfn.PERCENTILE.INC($B$2:$B$726,0.8),4,TRUE,1)</f>
        <v>3</v>
      </c>
      <c r="F114" cm="1">
        <f t="array" ref="F114">_xlfn.IFS(C114&gt;=_xlfn.PERCENTILE.INC($C$2:$C$726,0.8),5,C114&gt;=_xlfn.PERCENTILE.INC($C$2:$C$726,0.6),4,C114&gt;=_xlfn.PERCENTILE.INC($C$2:$C$726,0.4),3,C114&gt;=_xlfn.PERCENTILE.INC($C$2:$C$726,0.2),2,TRUE,1)</f>
        <v>4</v>
      </c>
      <c r="G114" cm="1">
        <f t="array" ref="G114">_xlfn.IFS(D114&gt;=_xlfn.PERCENTILE.INC($D$2:$D$726,0.8),5,D114&gt;=_xlfn.PERCENTILE.INC($D$2:$D$726,0.6),4,D114&gt;=_xlfn.PERCENTILE.INC($D$2:$D$726,0.4),3,D114&gt;=_xlfn.PERCENTILE.INC($D$2:$D$726,0.2),2,TRUE,1)</f>
        <v>3</v>
      </c>
      <c r="H114">
        <f t="shared" si="1"/>
        <v>10</v>
      </c>
      <c r="I114" t="str" cm="1">
        <f t="array" ref="I114">_xlfn.IFS(H114&gt;=13,"Best Customers",H114&gt;=10,"Loyal Customers",H114&gt;=7,"Potential Loyal Customers",H114&gt;=4,"Need Attention",TRUE,"At Risk")</f>
        <v>Loyal Customers</v>
      </c>
    </row>
    <row r="115" spans="1:9" x14ac:dyDescent="0.25">
      <c r="A115" t="s">
        <v>1202</v>
      </c>
      <c r="B115" s="4">
        <v>740</v>
      </c>
      <c r="C115">
        <v>5</v>
      </c>
      <c r="D115">
        <v>403.99999999999994</v>
      </c>
      <c r="E115" cm="1">
        <f t="array" ref="E115">_xlfn.IFS(B115&lt;=_xlfn.PERCENTILE.INC($B$2:$B$726,0.2),5, B115&lt;=_xlfn.PERCENTILE.INC($B$2:$B$726,0.4),4,B115&lt;=_xlfn.PERCENTILE.INC($B$2:$B$726,0.6),3,B115&lt;=_xlfn.PERCENTILE.INC($B$2:$B$726,0.8),4,TRUE,1)</f>
        <v>4</v>
      </c>
      <c r="F115" cm="1">
        <f t="array" ref="F115">_xlfn.IFS(C115&gt;=_xlfn.PERCENTILE.INC($C$2:$C$726,0.8),5,C115&gt;=_xlfn.PERCENTILE.INC($C$2:$C$726,0.6),4,C115&gt;=_xlfn.PERCENTILE.INC($C$2:$C$726,0.4),3,C115&gt;=_xlfn.PERCENTILE.INC($C$2:$C$726,0.2),2,TRUE,1)</f>
        <v>3</v>
      </c>
      <c r="G115" cm="1">
        <f t="array" ref="G115">_xlfn.IFS(D115&gt;=_xlfn.PERCENTILE.INC($D$2:$D$726,0.8),5,D115&gt;=_xlfn.PERCENTILE.INC($D$2:$D$726,0.6),4,D115&gt;=_xlfn.PERCENTILE.INC($D$2:$D$726,0.4),3,D115&gt;=_xlfn.PERCENTILE.INC($D$2:$D$726,0.2),2,TRUE,1)</f>
        <v>5</v>
      </c>
      <c r="H115">
        <f t="shared" si="1"/>
        <v>12</v>
      </c>
      <c r="I115" t="str" cm="1">
        <f t="array" ref="I115">_xlfn.IFS(H115&gt;=13,"Best Customers",H115&gt;=10,"Loyal Customers",H115&gt;=7,"Potential Loyal Customers",H115&gt;=4,"Need Attention",TRUE,"At Risk")</f>
        <v>Loyal Customers</v>
      </c>
    </row>
    <row r="116" spans="1:9" x14ac:dyDescent="0.25">
      <c r="A116" t="s">
        <v>2933</v>
      </c>
      <c r="B116" s="4">
        <v>630</v>
      </c>
      <c r="C116">
        <v>4</v>
      </c>
      <c r="D116">
        <v>29</v>
      </c>
      <c r="E116" cm="1">
        <f t="array" ref="E116">_xlfn.IFS(B116&lt;=_xlfn.PERCENTILE.INC($B$2:$B$726,0.2),5, B116&lt;=_xlfn.PERCENTILE.INC($B$2:$B$726,0.4),4,B116&lt;=_xlfn.PERCENTILE.INC($B$2:$B$726,0.6),3,B116&lt;=_xlfn.PERCENTILE.INC($B$2:$B$726,0.8),4,TRUE,1)</f>
        <v>4</v>
      </c>
      <c r="F116" cm="1">
        <f t="array" ref="F116">_xlfn.IFS(C116&gt;=_xlfn.PERCENTILE.INC($C$2:$C$726,0.8),5,C116&gt;=_xlfn.PERCENTILE.INC($C$2:$C$726,0.6),4,C116&gt;=_xlfn.PERCENTILE.INC($C$2:$C$726,0.4),3,C116&gt;=_xlfn.PERCENTILE.INC($C$2:$C$726,0.2),2,TRUE,1)</f>
        <v>2</v>
      </c>
      <c r="G116" cm="1">
        <f t="array" ref="G116">_xlfn.IFS(D116&gt;=_xlfn.PERCENTILE.INC($D$2:$D$726,0.8),5,D116&gt;=_xlfn.PERCENTILE.INC($D$2:$D$726,0.6),4,D116&gt;=_xlfn.PERCENTILE.INC($D$2:$D$726,0.4),3,D116&gt;=_xlfn.PERCENTILE.INC($D$2:$D$726,0.2),2,TRUE,1)</f>
        <v>1</v>
      </c>
      <c r="H116">
        <f t="shared" si="1"/>
        <v>7</v>
      </c>
      <c r="I116" t="str" cm="1">
        <f t="array" ref="I116">_xlfn.IFS(H116&gt;=13,"Best Customers",H116&gt;=10,"Loyal Customers",H116&gt;=7,"Potential Loyal Customers",H116&gt;=4,"Need Attention",TRUE,"At Risk")</f>
        <v>Potential Loyal Customers</v>
      </c>
    </row>
    <row r="117" spans="1:9" x14ac:dyDescent="0.25">
      <c r="A117" t="s">
        <v>1485</v>
      </c>
      <c r="B117" s="4">
        <v>351</v>
      </c>
      <c r="C117">
        <v>8</v>
      </c>
      <c r="D117">
        <v>344.6</v>
      </c>
      <c r="E117" cm="1">
        <f t="array" ref="E117">_xlfn.IFS(B117&lt;=_xlfn.PERCENTILE.INC($B$2:$B$726,0.2),5, B117&lt;=_xlfn.PERCENTILE.INC($B$2:$B$726,0.4),4,B117&lt;=_xlfn.PERCENTILE.INC($B$2:$B$726,0.6),3,B117&lt;=_xlfn.PERCENTILE.INC($B$2:$B$726,0.8),4,TRUE,1)</f>
        <v>5</v>
      </c>
      <c r="F117" cm="1">
        <f t="array" ref="F117">_xlfn.IFS(C117&gt;=_xlfn.PERCENTILE.INC($C$2:$C$726,0.8),5,C117&gt;=_xlfn.PERCENTILE.INC($C$2:$C$726,0.6),4,C117&gt;=_xlfn.PERCENTILE.INC($C$2:$C$726,0.4),3,C117&gt;=_xlfn.PERCENTILE.INC($C$2:$C$726,0.2),2,TRUE,1)</f>
        <v>5</v>
      </c>
      <c r="G117" cm="1">
        <f t="array" ref="G117">_xlfn.IFS(D117&gt;=_xlfn.PERCENTILE.INC($D$2:$D$726,0.8),5,D117&gt;=_xlfn.PERCENTILE.INC($D$2:$D$726,0.6),4,D117&gt;=_xlfn.PERCENTILE.INC($D$2:$D$726,0.4),3,D117&gt;=_xlfn.PERCENTILE.INC($D$2:$D$726,0.2),2,TRUE,1)</f>
        <v>4</v>
      </c>
      <c r="H117">
        <f t="shared" si="1"/>
        <v>14</v>
      </c>
      <c r="I117" t="str" cm="1">
        <f t="array" ref="I117">_xlfn.IFS(H117&gt;=13,"Best Customers",H117&gt;=10,"Loyal Customers",H117&gt;=7,"Potential Loyal Customers",H117&gt;=4,"Need Attention",TRUE,"At Risk")</f>
        <v>Best Customers</v>
      </c>
    </row>
    <row r="118" spans="1:9" x14ac:dyDescent="0.25">
      <c r="A118" t="s">
        <v>1729</v>
      </c>
      <c r="B118" s="4">
        <v>414</v>
      </c>
      <c r="C118">
        <v>3</v>
      </c>
      <c r="D118">
        <v>87.7</v>
      </c>
      <c r="E118" cm="1">
        <f t="array" ref="E118">_xlfn.IFS(B118&lt;=_xlfn.PERCENTILE.INC($B$2:$B$726,0.2),5, B118&lt;=_xlfn.PERCENTILE.INC($B$2:$B$726,0.4),4,B118&lt;=_xlfn.PERCENTILE.INC($B$2:$B$726,0.6),3,B118&lt;=_xlfn.PERCENTILE.INC($B$2:$B$726,0.8),4,TRUE,1)</f>
        <v>4</v>
      </c>
      <c r="F118" cm="1">
        <f t="array" ref="F118">_xlfn.IFS(C118&gt;=_xlfn.PERCENTILE.INC($C$2:$C$726,0.8),5,C118&gt;=_xlfn.PERCENTILE.INC($C$2:$C$726,0.6),4,C118&gt;=_xlfn.PERCENTILE.INC($C$2:$C$726,0.4),3,C118&gt;=_xlfn.PERCENTILE.INC($C$2:$C$726,0.2),2,TRUE,1)</f>
        <v>1</v>
      </c>
      <c r="G118" cm="1">
        <f t="array" ref="G118">_xlfn.IFS(D118&gt;=_xlfn.PERCENTILE.INC($D$2:$D$726,0.8),5,D118&gt;=_xlfn.PERCENTILE.INC($D$2:$D$726,0.6),4,D118&gt;=_xlfn.PERCENTILE.INC($D$2:$D$726,0.4),3,D118&gt;=_xlfn.PERCENTILE.INC($D$2:$D$726,0.2),2,TRUE,1)</f>
        <v>1</v>
      </c>
      <c r="H118">
        <f t="shared" si="1"/>
        <v>6</v>
      </c>
      <c r="I118" t="str" cm="1">
        <f t="array" ref="I118">_xlfn.IFS(H118&gt;=13,"Best Customers",H118&gt;=10,"Loyal Customers",H118&gt;=7,"Potential Loyal Customers",H118&gt;=4,"Need Attention",TRUE,"At Risk")</f>
        <v>Need Attention</v>
      </c>
    </row>
    <row r="119" spans="1:9" x14ac:dyDescent="0.25">
      <c r="A119" t="s">
        <v>2989</v>
      </c>
      <c r="B119" s="4">
        <v>360</v>
      </c>
      <c r="C119">
        <v>6</v>
      </c>
      <c r="D119">
        <v>256.60000000000002</v>
      </c>
      <c r="E119" cm="1">
        <f t="array" ref="E119">_xlfn.IFS(B119&lt;=_xlfn.PERCENTILE.INC($B$2:$B$726,0.2),5, B119&lt;=_xlfn.PERCENTILE.INC($B$2:$B$726,0.4),4,B119&lt;=_xlfn.PERCENTILE.INC($B$2:$B$726,0.6),3,B119&lt;=_xlfn.PERCENTILE.INC($B$2:$B$726,0.8),4,TRUE,1)</f>
        <v>5</v>
      </c>
      <c r="F119" cm="1">
        <f t="array" ref="F119">_xlfn.IFS(C119&gt;=_xlfn.PERCENTILE.INC($C$2:$C$726,0.8),5,C119&gt;=_xlfn.PERCENTILE.INC($C$2:$C$726,0.6),4,C119&gt;=_xlfn.PERCENTILE.INC($C$2:$C$726,0.4),3,C119&gt;=_xlfn.PERCENTILE.INC($C$2:$C$726,0.2),2,TRUE,1)</f>
        <v>4</v>
      </c>
      <c r="G119" cm="1">
        <f t="array" ref="G119">_xlfn.IFS(D119&gt;=_xlfn.PERCENTILE.INC($D$2:$D$726,0.8),5,D119&gt;=_xlfn.PERCENTILE.INC($D$2:$D$726,0.6),4,D119&gt;=_xlfn.PERCENTILE.INC($D$2:$D$726,0.4),3,D119&gt;=_xlfn.PERCENTILE.INC($D$2:$D$726,0.2),2,TRUE,1)</f>
        <v>3</v>
      </c>
      <c r="H119">
        <f t="shared" si="1"/>
        <v>12</v>
      </c>
      <c r="I119" t="str" cm="1">
        <f t="array" ref="I119">_xlfn.IFS(H119&gt;=13,"Best Customers",H119&gt;=10,"Loyal Customers",H119&gt;=7,"Potential Loyal Customers",H119&gt;=4,"Need Attention",TRUE,"At Risk")</f>
        <v>Loyal Customers</v>
      </c>
    </row>
    <row r="120" spans="1:9" x14ac:dyDescent="0.25">
      <c r="A120" t="s">
        <v>2140</v>
      </c>
      <c r="B120" s="4">
        <v>1388</v>
      </c>
      <c r="C120">
        <v>4</v>
      </c>
      <c r="D120">
        <v>182.10000000000002</v>
      </c>
      <c r="E120" cm="1">
        <f t="array" ref="E120">_xlfn.IFS(B120&lt;=_xlfn.PERCENTILE.INC($B$2:$B$726,0.2),5, B120&lt;=_xlfn.PERCENTILE.INC($B$2:$B$726,0.4),4,B120&lt;=_xlfn.PERCENTILE.INC($B$2:$B$726,0.6),3,B120&lt;=_xlfn.PERCENTILE.INC($B$2:$B$726,0.8),4,TRUE,1)</f>
        <v>1</v>
      </c>
      <c r="F120" cm="1">
        <f t="array" ref="F120">_xlfn.IFS(C120&gt;=_xlfn.PERCENTILE.INC($C$2:$C$726,0.8),5,C120&gt;=_xlfn.PERCENTILE.INC($C$2:$C$726,0.6),4,C120&gt;=_xlfn.PERCENTILE.INC($C$2:$C$726,0.4),3,C120&gt;=_xlfn.PERCENTILE.INC($C$2:$C$726,0.2),2,TRUE,1)</f>
        <v>2</v>
      </c>
      <c r="G120" cm="1">
        <f t="array" ref="G120">_xlfn.IFS(D120&gt;=_xlfn.PERCENTILE.INC($D$2:$D$726,0.8),5,D120&gt;=_xlfn.PERCENTILE.INC($D$2:$D$726,0.6),4,D120&gt;=_xlfn.PERCENTILE.INC($D$2:$D$726,0.4),3,D120&gt;=_xlfn.PERCENTILE.INC($D$2:$D$726,0.2),2,TRUE,1)</f>
        <v>2</v>
      </c>
      <c r="H120">
        <f t="shared" si="1"/>
        <v>5</v>
      </c>
      <c r="I120" t="str" cm="1">
        <f t="array" ref="I120">_xlfn.IFS(H120&gt;=13,"Best Customers",H120&gt;=10,"Loyal Customers",H120&gt;=7,"Potential Loyal Customers",H120&gt;=4,"Need Attention",TRUE,"At Risk")</f>
        <v>Need Attention</v>
      </c>
    </row>
    <row r="121" spans="1:9" x14ac:dyDescent="0.25">
      <c r="A121" t="s">
        <v>3007</v>
      </c>
      <c r="B121" s="4">
        <v>345</v>
      </c>
      <c r="C121">
        <v>7</v>
      </c>
      <c r="D121">
        <v>196.4</v>
      </c>
      <c r="E121" cm="1">
        <f t="array" ref="E121">_xlfn.IFS(B121&lt;=_xlfn.PERCENTILE.INC($B$2:$B$726,0.2),5, B121&lt;=_xlfn.PERCENTILE.INC($B$2:$B$726,0.4),4,B121&lt;=_xlfn.PERCENTILE.INC($B$2:$B$726,0.6),3,B121&lt;=_xlfn.PERCENTILE.INC($B$2:$B$726,0.8),4,TRUE,1)</f>
        <v>5</v>
      </c>
      <c r="F121" cm="1">
        <f t="array" ref="F121">_xlfn.IFS(C121&gt;=_xlfn.PERCENTILE.INC($C$2:$C$726,0.8),5,C121&gt;=_xlfn.PERCENTILE.INC($C$2:$C$726,0.6),4,C121&gt;=_xlfn.PERCENTILE.INC($C$2:$C$726,0.4),3,C121&gt;=_xlfn.PERCENTILE.INC($C$2:$C$726,0.2),2,TRUE,1)</f>
        <v>4</v>
      </c>
      <c r="G121" cm="1">
        <f t="array" ref="G121">_xlfn.IFS(D121&gt;=_xlfn.PERCENTILE.INC($D$2:$D$726,0.8),5,D121&gt;=_xlfn.PERCENTILE.INC($D$2:$D$726,0.6),4,D121&gt;=_xlfn.PERCENTILE.INC($D$2:$D$726,0.4),3,D121&gt;=_xlfn.PERCENTILE.INC($D$2:$D$726,0.2),2,TRUE,1)</f>
        <v>2</v>
      </c>
      <c r="H121">
        <f t="shared" si="1"/>
        <v>11</v>
      </c>
      <c r="I121" t="str" cm="1">
        <f t="array" ref="I121">_xlfn.IFS(H121&gt;=13,"Best Customers",H121&gt;=10,"Loyal Customers",H121&gt;=7,"Potential Loyal Customers",H121&gt;=4,"Need Attention",TRUE,"At Risk")</f>
        <v>Loyal Customers</v>
      </c>
    </row>
    <row r="122" spans="1:9" x14ac:dyDescent="0.25">
      <c r="A122" t="s">
        <v>2338</v>
      </c>
      <c r="B122" s="4">
        <v>390</v>
      </c>
      <c r="C122">
        <v>6</v>
      </c>
      <c r="D122">
        <v>408</v>
      </c>
      <c r="E122" cm="1">
        <f t="array" ref="E122">_xlfn.IFS(B122&lt;=_xlfn.PERCENTILE.INC($B$2:$B$726,0.2),5, B122&lt;=_xlfn.PERCENTILE.INC($B$2:$B$726,0.4),4,B122&lt;=_xlfn.PERCENTILE.INC($B$2:$B$726,0.6),3,B122&lt;=_xlfn.PERCENTILE.INC($B$2:$B$726,0.8),4,TRUE,1)</f>
        <v>5</v>
      </c>
      <c r="F122" cm="1">
        <f t="array" ref="F122">_xlfn.IFS(C122&gt;=_xlfn.PERCENTILE.INC($C$2:$C$726,0.8),5,C122&gt;=_xlfn.PERCENTILE.INC($C$2:$C$726,0.6),4,C122&gt;=_xlfn.PERCENTILE.INC($C$2:$C$726,0.4),3,C122&gt;=_xlfn.PERCENTILE.INC($C$2:$C$726,0.2),2,TRUE,1)</f>
        <v>4</v>
      </c>
      <c r="G122" cm="1">
        <f t="array" ref="G122">_xlfn.IFS(D122&gt;=_xlfn.PERCENTILE.INC($D$2:$D$726,0.8),5,D122&gt;=_xlfn.PERCENTILE.INC($D$2:$D$726,0.6),4,D122&gt;=_xlfn.PERCENTILE.INC($D$2:$D$726,0.4),3,D122&gt;=_xlfn.PERCENTILE.INC($D$2:$D$726,0.2),2,TRUE,1)</f>
        <v>5</v>
      </c>
      <c r="H122">
        <f t="shared" si="1"/>
        <v>14</v>
      </c>
      <c r="I122" t="str" cm="1">
        <f t="array" ref="I122">_xlfn.IFS(H122&gt;=13,"Best Customers",H122&gt;=10,"Loyal Customers",H122&gt;=7,"Potential Loyal Customers",H122&gt;=4,"Need Attention",TRUE,"At Risk")</f>
        <v>Best Customers</v>
      </c>
    </row>
    <row r="123" spans="1:9" x14ac:dyDescent="0.25">
      <c r="A123" t="s">
        <v>781</v>
      </c>
      <c r="B123" s="4">
        <v>516</v>
      </c>
      <c r="C123">
        <v>5</v>
      </c>
      <c r="D123">
        <v>105.3</v>
      </c>
      <c r="E123" cm="1">
        <f t="array" ref="E123">_xlfn.IFS(B123&lt;=_xlfn.PERCENTILE.INC($B$2:$B$726,0.2),5, B123&lt;=_xlfn.PERCENTILE.INC($B$2:$B$726,0.4),4,B123&lt;=_xlfn.PERCENTILE.INC($B$2:$B$726,0.6),3,B123&lt;=_xlfn.PERCENTILE.INC($B$2:$B$726,0.8),4,TRUE,1)</f>
        <v>3</v>
      </c>
      <c r="F123" cm="1">
        <f t="array" ref="F123">_xlfn.IFS(C123&gt;=_xlfn.PERCENTILE.INC($C$2:$C$726,0.8),5,C123&gt;=_xlfn.PERCENTILE.INC($C$2:$C$726,0.6),4,C123&gt;=_xlfn.PERCENTILE.INC($C$2:$C$726,0.4),3,C123&gt;=_xlfn.PERCENTILE.INC($C$2:$C$726,0.2),2,TRUE,1)</f>
        <v>3</v>
      </c>
      <c r="G123" cm="1">
        <f t="array" ref="G123">_xlfn.IFS(D123&gt;=_xlfn.PERCENTILE.INC($D$2:$D$726,0.8),5,D123&gt;=_xlfn.PERCENTILE.INC($D$2:$D$726,0.6),4,D123&gt;=_xlfn.PERCENTILE.INC($D$2:$D$726,0.4),3,D123&gt;=_xlfn.PERCENTILE.INC($D$2:$D$726,0.2),2,TRUE,1)</f>
        <v>1</v>
      </c>
      <c r="H123">
        <f t="shared" si="1"/>
        <v>7</v>
      </c>
      <c r="I123" t="str" cm="1">
        <f t="array" ref="I123">_xlfn.IFS(H123&gt;=13,"Best Customers",H123&gt;=10,"Loyal Customers",H123&gt;=7,"Potential Loyal Customers",H123&gt;=4,"Need Attention",TRUE,"At Risk")</f>
        <v>Potential Loyal Customers</v>
      </c>
    </row>
    <row r="124" spans="1:9" x14ac:dyDescent="0.25">
      <c r="A124" t="s">
        <v>3246</v>
      </c>
      <c r="B124" s="4">
        <v>991</v>
      </c>
      <c r="C124">
        <v>4</v>
      </c>
      <c r="D124">
        <v>143.80000000000001</v>
      </c>
      <c r="E124" cm="1">
        <f t="array" ref="E124">_xlfn.IFS(B124&lt;=_xlfn.PERCENTILE.INC($B$2:$B$726,0.2),5, B124&lt;=_xlfn.PERCENTILE.INC($B$2:$B$726,0.4),4,B124&lt;=_xlfn.PERCENTILE.INC($B$2:$B$726,0.6),3,B124&lt;=_xlfn.PERCENTILE.INC($B$2:$B$726,0.8),4,TRUE,1)</f>
        <v>1</v>
      </c>
      <c r="F124" cm="1">
        <f t="array" ref="F124">_xlfn.IFS(C124&gt;=_xlfn.PERCENTILE.INC($C$2:$C$726,0.8),5,C124&gt;=_xlfn.PERCENTILE.INC($C$2:$C$726,0.6),4,C124&gt;=_xlfn.PERCENTILE.INC($C$2:$C$726,0.4),3,C124&gt;=_xlfn.PERCENTILE.INC($C$2:$C$726,0.2),2,TRUE,1)</f>
        <v>2</v>
      </c>
      <c r="G124" cm="1">
        <f t="array" ref="G124">_xlfn.IFS(D124&gt;=_xlfn.PERCENTILE.INC($D$2:$D$726,0.8),5,D124&gt;=_xlfn.PERCENTILE.INC($D$2:$D$726,0.6),4,D124&gt;=_xlfn.PERCENTILE.INC($D$2:$D$726,0.4),3,D124&gt;=_xlfn.PERCENTILE.INC($D$2:$D$726,0.2),2,TRUE,1)</f>
        <v>1</v>
      </c>
      <c r="H124">
        <f t="shared" si="1"/>
        <v>4</v>
      </c>
      <c r="I124" t="str" cm="1">
        <f t="array" ref="I124">_xlfn.IFS(H124&gt;=13,"Best Customers",H124&gt;=10,"Loyal Customers",H124&gt;=7,"Potential Loyal Customers",H124&gt;=4,"Need Attention",TRUE,"At Risk")</f>
        <v>Need Attention</v>
      </c>
    </row>
    <row r="125" spans="1:9" x14ac:dyDescent="0.25">
      <c r="A125" t="s">
        <v>2563</v>
      </c>
      <c r="B125" s="4">
        <v>1265</v>
      </c>
      <c r="C125">
        <v>4</v>
      </c>
      <c r="D125">
        <v>109.1</v>
      </c>
      <c r="E125" cm="1">
        <f t="array" ref="E125">_xlfn.IFS(B125&lt;=_xlfn.PERCENTILE.INC($B$2:$B$726,0.2),5, B125&lt;=_xlfn.PERCENTILE.INC($B$2:$B$726,0.4),4,B125&lt;=_xlfn.PERCENTILE.INC($B$2:$B$726,0.6),3,B125&lt;=_xlfn.PERCENTILE.INC($B$2:$B$726,0.8),4,TRUE,1)</f>
        <v>1</v>
      </c>
      <c r="F125" cm="1">
        <f t="array" ref="F125">_xlfn.IFS(C125&gt;=_xlfn.PERCENTILE.INC($C$2:$C$726,0.8),5,C125&gt;=_xlfn.PERCENTILE.INC($C$2:$C$726,0.6),4,C125&gt;=_xlfn.PERCENTILE.INC($C$2:$C$726,0.4),3,C125&gt;=_xlfn.PERCENTILE.INC($C$2:$C$726,0.2),2,TRUE,1)</f>
        <v>2</v>
      </c>
      <c r="G125" cm="1">
        <f t="array" ref="G125">_xlfn.IFS(D125&gt;=_xlfn.PERCENTILE.INC($D$2:$D$726,0.8),5,D125&gt;=_xlfn.PERCENTILE.INC($D$2:$D$726,0.6),4,D125&gt;=_xlfn.PERCENTILE.INC($D$2:$D$726,0.4),3,D125&gt;=_xlfn.PERCENTILE.INC($D$2:$D$726,0.2),2,TRUE,1)</f>
        <v>1</v>
      </c>
      <c r="H125">
        <f t="shared" si="1"/>
        <v>4</v>
      </c>
      <c r="I125" t="str" cm="1">
        <f t="array" ref="I125">_xlfn.IFS(H125&gt;=13,"Best Customers",H125&gt;=10,"Loyal Customers",H125&gt;=7,"Potential Loyal Customers",H125&gt;=4,"Need Attention",TRUE,"At Risk")</f>
        <v>Need Attention</v>
      </c>
    </row>
    <row r="126" spans="1:9" x14ac:dyDescent="0.25">
      <c r="A126" t="s">
        <v>2248</v>
      </c>
      <c r="B126" s="4">
        <v>360</v>
      </c>
      <c r="C126">
        <v>5</v>
      </c>
      <c r="D126">
        <v>133.5</v>
      </c>
      <c r="E126" cm="1">
        <f t="array" ref="E126">_xlfn.IFS(B126&lt;=_xlfn.PERCENTILE.INC($B$2:$B$726,0.2),5, B126&lt;=_xlfn.PERCENTILE.INC($B$2:$B$726,0.4),4,B126&lt;=_xlfn.PERCENTILE.INC($B$2:$B$726,0.6),3,B126&lt;=_xlfn.PERCENTILE.INC($B$2:$B$726,0.8),4,TRUE,1)</f>
        <v>5</v>
      </c>
      <c r="F126" cm="1">
        <f t="array" ref="F126">_xlfn.IFS(C126&gt;=_xlfn.PERCENTILE.INC($C$2:$C$726,0.8),5,C126&gt;=_xlfn.PERCENTILE.INC($C$2:$C$726,0.6),4,C126&gt;=_xlfn.PERCENTILE.INC($C$2:$C$726,0.4),3,C126&gt;=_xlfn.PERCENTILE.INC($C$2:$C$726,0.2),2,TRUE,1)</f>
        <v>3</v>
      </c>
      <c r="G126" cm="1">
        <f t="array" ref="G126">_xlfn.IFS(D126&gt;=_xlfn.PERCENTILE.INC($D$2:$D$726,0.8),5,D126&gt;=_xlfn.PERCENTILE.INC($D$2:$D$726,0.6),4,D126&gt;=_xlfn.PERCENTILE.INC($D$2:$D$726,0.4),3,D126&gt;=_xlfn.PERCENTILE.INC($D$2:$D$726,0.2),2,TRUE,1)</f>
        <v>1</v>
      </c>
      <c r="H126">
        <f t="shared" si="1"/>
        <v>9</v>
      </c>
      <c r="I126" t="str" cm="1">
        <f t="array" ref="I126">_xlfn.IFS(H126&gt;=13,"Best Customers",H126&gt;=10,"Loyal Customers",H126&gt;=7,"Potential Loyal Customers",H126&gt;=4,"Need Attention",TRUE,"At Risk")</f>
        <v>Potential Loyal Customers</v>
      </c>
    </row>
    <row r="127" spans="1:9" x14ac:dyDescent="0.25">
      <c r="A127" t="s">
        <v>1151</v>
      </c>
      <c r="B127" s="4">
        <v>671</v>
      </c>
      <c r="C127">
        <v>5</v>
      </c>
      <c r="D127">
        <v>281</v>
      </c>
      <c r="E127" cm="1">
        <f t="array" ref="E127">_xlfn.IFS(B127&lt;=_xlfn.PERCENTILE.INC($B$2:$B$726,0.2),5, B127&lt;=_xlfn.PERCENTILE.INC($B$2:$B$726,0.4),4,B127&lt;=_xlfn.PERCENTILE.INC($B$2:$B$726,0.6),3,B127&lt;=_xlfn.PERCENTILE.INC($B$2:$B$726,0.8),4,TRUE,1)</f>
        <v>4</v>
      </c>
      <c r="F127" cm="1">
        <f t="array" ref="F127">_xlfn.IFS(C127&gt;=_xlfn.PERCENTILE.INC($C$2:$C$726,0.8),5,C127&gt;=_xlfn.PERCENTILE.INC($C$2:$C$726,0.6),4,C127&gt;=_xlfn.PERCENTILE.INC($C$2:$C$726,0.4),3,C127&gt;=_xlfn.PERCENTILE.INC($C$2:$C$726,0.2),2,TRUE,1)</f>
        <v>3</v>
      </c>
      <c r="G127" cm="1">
        <f t="array" ref="G127">_xlfn.IFS(D127&gt;=_xlfn.PERCENTILE.INC($D$2:$D$726,0.8),5,D127&gt;=_xlfn.PERCENTILE.INC($D$2:$D$726,0.6),4,D127&gt;=_xlfn.PERCENTILE.INC($D$2:$D$726,0.4),3,D127&gt;=_xlfn.PERCENTILE.INC($D$2:$D$726,0.2),2,TRUE,1)</f>
        <v>3</v>
      </c>
      <c r="H127">
        <f t="shared" si="1"/>
        <v>10</v>
      </c>
      <c r="I127" t="str" cm="1">
        <f t="array" ref="I127">_xlfn.IFS(H127&gt;=13,"Best Customers",H127&gt;=10,"Loyal Customers",H127&gt;=7,"Potential Loyal Customers",H127&gt;=4,"Need Attention",TRUE,"At Risk")</f>
        <v>Loyal Customers</v>
      </c>
    </row>
    <row r="128" spans="1:9" x14ac:dyDescent="0.25">
      <c r="A128" t="s">
        <v>766</v>
      </c>
      <c r="B128" s="4">
        <v>642</v>
      </c>
      <c r="C128">
        <v>5</v>
      </c>
      <c r="D128">
        <v>181.3</v>
      </c>
      <c r="E128" cm="1">
        <f t="array" ref="E128">_xlfn.IFS(B128&lt;=_xlfn.PERCENTILE.INC($B$2:$B$726,0.2),5, B128&lt;=_xlfn.PERCENTILE.INC($B$2:$B$726,0.4),4,B128&lt;=_xlfn.PERCENTILE.INC($B$2:$B$726,0.6),3,B128&lt;=_xlfn.PERCENTILE.INC($B$2:$B$726,0.8),4,TRUE,1)</f>
        <v>4</v>
      </c>
      <c r="F128" cm="1">
        <f t="array" ref="F128">_xlfn.IFS(C128&gt;=_xlfn.PERCENTILE.INC($C$2:$C$726,0.8),5,C128&gt;=_xlfn.PERCENTILE.INC($C$2:$C$726,0.6),4,C128&gt;=_xlfn.PERCENTILE.INC($C$2:$C$726,0.4),3,C128&gt;=_xlfn.PERCENTILE.INC($C$2:$C$726,0.2),2,TRUE,1)</f>
        <v>3</v>
      </c>
      <c r="G128" cm="1">
        <f t="array" ref="G128">_xlfn.IFS(D128&gt;=_xlfn.PERCENTILE.INC($D$2:$D$726,0.8),5,D128&gt;=_xlfn.PERCENTILE.INC($D$2:$D$726,0.6),4,D128&gt;=_xlfn.PERCENTILE.INC($D$2:$D$726,0.4),3,D128&gt;=_xlfn.PERCENTILE.INC($D$2:$D$726,0.2),2,TRUE,1)</f>
        <v>2</v>
      </c>
      <c r="H128">
        <f t="shared" si="1"/>
        <v>9</v>
      </c>
      <c r="I128" t="str" cm="1">
        <f t="array" ref="I128">_xlfn.IFS(H128&gt;=13,"Best Customers",H128&gt;=10,"Loyal Customers",H128&gt;=7,"Potential Loyal Customers",H128&gt;=4,"Need Attention",TRUE,"At Risk")</f>
        <v>Potential Loyal Customers</v>
      </c>
    </row>
    <row r="129" spans="1:9" x14ac:dyDescent="0.25">
      <c r="A129" t="s">
        <v>595</v>
      </c>
      <c r="B129" s="4">
        <v>367</v>
      </c>
      <c r="C129">
        <v>5</v>
      </c>
      <c r="D129">
        <v>275.10000000000002</v>
      </c>
      <c r="E129" cm="1">
        <f t="array" ref="E129">_xlfn.IFS(B129&lt;=_xlfn.PERCENTILE.INC($B$2:$B$726,0.2),5, B129&lt;=_xlfn.PERCENTILE.INC($B$2:$B$726,0.4),4,B129&lt;=_xlfn.PERCENTILE.INC($B$2:$B$726,0.6),3,B129&lt;=_xlfn.PERCENTILE.INC($B$2:$B$726,0.8),4,TRUE,1)</f>
        <v>5</v>
      </c>
      <c r="F129" cm="1">
        <f t="array" ref="F129">_xlfn.IFS(C129&gt;=_xlfn.PERCENTILE.INC($C$2:$C$726,0.8),5,C129&gt;=_xlfn.PERCENTILE.INC($C$2:$C$726,0.6),4,C129&gt;=_xlfn.PERCENTILE.INC($C$2:$C$726,0.4),3,C129&gt;=_xlfn.PERCENTILE.INC($C$2:$C$726,0.2),2,TRUE,1)</f>
        <v>3</v>
      </c>
      <c r="G129" cm="1">
        <f t="array" ref="G129">_xlfn.IFS(D129&gt;=_xlfn.PERCENTILE.INC($D$2:$D$726,0.8),5,D129&gt;=_xlfn.PERCENTILE.INC($D$2:$D$726,0.6),4,D129&gt;=_xlfn.PERCENTILE.INC($D$2:$D$726,0.4),3,D129&gt;=_xlfn.PERCENTILE.INC($D$2:$D$726,0.2),2,TRUE,1)</f>
        <v>3</v>
      </c>
      <c r="H129">
        <f t="shared" si="1"/>
        <v>11</v>
      </c>
      <c r="I129" t="str" cm="1">
        <f t="array" ref="I129">_xlfn.IFS(H129&gt;=13,"Best Customers",H129&gt;=10,"Loyal Customers",H129&gt;=7,"Potential Loyal Customers",H129&gt;=4,"Need Attention",TRUE,"At Risk")</f>
        <v>Loyal Customers</v>
      </c>
    </row>
    <row r="130" spans="1:9" x14ac:dyDescent="0.25">
      <c r="A130" t="s">
        <v>1942</v>
      </c>
      <c r="B130" s="4">
        <v>918</v>
      </c>
      <c r="C130">
        <v>5</v>
      </c>
      <c r="D130">
        <v>444.40000000000003</v>
      </c>
      <c r="E130" cm="1">
        <f t="array" ref="E130">_xlfn.IFS(B130&lt;=_xlfn.PERCENTILE.INC($B$2:$B$726,0.2),5, B130&lt;=_xlfn.PERCENTILE.INC($B$2:$B$726,0.4),4,B130&lt;=_xlfn.PERCENTILE.INC($B$2:$B$726,0.6),3,B130&lt;=_xlfn.PERCENTILE.INC($B$2:$B$726,0.8),4,TRUE,1)</f>
        <v>1</v>
      </c>
      <c r="F130" cm="1">
        <f t="array" ref="F130">_xlfn.IFS(C130&gt;=_xlfn.PERCENTILE.INC($C$2:$C$726,0.8),5,C130&gt;=_xlfn.PERCENTILE.INC($C$2:$C$726,0.6),4,C130&gt;=_xlfn.PERCENTILE.INC($C$2:$C$726,0.4),3,C130&gt;=_xlfn.PERCENTILE.INC($C$2:$C$726,0.2),2,TRUE,1)</f>
        <v>3</v>
      </c>
      <c r="G130" cm="1">
        <f t="array" ref="G130">_xlfn.IFS(D130&gt;=_xlfn.PERCENTILE.INC($D$2:$D$726,0.8),5,D130&gt;=_xlfn.PERCENTILE.INC($D$2:$D$726,0.6),4,D130&gt;=_xlfn.PERCENTILE.INC($D$2:$D$726,0.4),3,D130&gt;=_xlfn.PERCENTILE.INC($D$2:$D$726,0.2),2,TRUE,1)</f>
        <v>5</v>
      </c>
      <c r="H130">
        <f t="shared" si="1"/>
        <v>9</v>
      </c>
      <c r="I130" t="str" cm="1">
        <f t="array" ref="I130">_xlfn.IFS(H130&gt;=13,"Best Customers",H130&gt;=10,"Loyal Customers",H130&gt;=7,"Potential Loyal Customers",H130&gt;=4,"Need Attention",TRUE,"At Risk")</f>
        <v>Potential Loyal Customers</v>
      </c>
    </row>
    <row r="131" spans="1:9" x14ac:dyDescent="0.25">
      <c r="A131" t="s">
        <v>691</v>
      </c>
      <c r="B131" s="4">
        <v>540</v>
      </c>
      <c r="C131">
        <v>4</v>
      </c>
      <c r="D131">
        <v>185.8</v>
      </c>
      <c r="E131" cm="1">
        <f t="array" ref="E131">_xlfn.IFS(B131&lt;=_xlfn.PERCENTILE.INC($B$2:$B$726,0.2),5, B131&lt;=_xlfn.PERCENTILE.INC($B$2:$B$726,0.4),4,B131&lt;=_xlfn.PERCENTILE.INC($B$2:$B$726,0.6),3,B131&lt;=_xlfn.PERCENTILE.INC($B$2:$B$726,0.8),4,TRUE,1)</f>
        <v>3</v>
      </c>
      <c r="F131" cm="1">
        <f t="array" ref="F131">_xlfn.IFS(C131&gt;=_xlfn.PERCENTILE.INC($C$2:$C$726,0.8),5,C131&gt;=_xlfn.PERCENTILE.INC($C$2:$C$726,0.6),4,C131&gt;=_xlfn.PERCENTILE.INC($C$2:$C$726,0.4),3,C131&gt;=_xlfn.PERCENTILE.INC($C$2:$C$726,0.2),2,TRUE,1)</f>
        <v>2</v>
      </c>
      <c r="G131" cm="1">
        <f t="array" ref="G131">_xlfn.IFS(D131&gt;=_xlfn.PERCENTILE.INC($D$2:$D$726,0.8),5,D131&gt;=_xlfn.PERCENTILE.INC($D$2:$D$726,0.6),4,D131&gt;=_xlfn.PERCENTILE.INC($D$2:$D$726,0.4),3,D131&gt;=_xlfn.PERCENTILE.INC($D$2:$D$726,0.2),2,TRUE,1)</f>
        <v>2</v>
      </c>
      <c r="H131">
        <f t="shared" ref="H131:H194" si="2">SUM(E131,F131,G131)</f>
        <v>7</v>
      </c>
      <c r="I131" t="str" cm="1">
        <f t="array" ref="I131">_xlfn.IFS(H131&gt;=13,"Best Customers",H131&gt;=10,"Loyal Customers",H131&gt;=7,"Potential Loyal Customers",H131&gt;=4,"Need Attention",TRUE,"At Risk")</f>
        <v>Potential Loyal Customers</v>
      </c>
    </row>
    <row r="132" spans="1:9" x14ac:dyDescent="0.25">
      <c r="A132" t="s">
        <v>1770</v>
      </c>
      <c r="B132" s="4">
        <v>532</v>
      </c>
      <c r="C132">
        <v>4</v>
      </c>
      <c r="D132">
        <v>397.1</v>
      </c>
      <c r="E132" cm="1">
        <f t="array" ref="E132">_xlfn.IFS(B132&lt;=_xlfn.PERCENTILE.INC($B$2:$B$726,0.2),5, B132&lt;=_xlfn.PERCENTILE.INC($B$2:$B$726,0.4),4,B132&lt;=_xlfn.PERCENTILE.INC($B$2:$B$726,0.6),3,B132&lt;=_xlfn.PERCENTILE.INC($B$2:$B$726,0.8),4,TRUE,1)</f>
        <v>3</v>
      </c>
      <c r="F132" cm="1">
        <f t="array" ref="F132">_xlfn.IFS(C132&gt;=_xlfn.PERCENTILE.INC($C$2:$C$726,0.8),5,C132&gt;=_xlfn.PERCENTILE.INC($C$2:$C$726,0.6),4,C132&gt;=_xlfn.PERCENTILE.INC($C$2:$C$726,0.4),3,C132&gt;=_xlfn.PERCENTILE.INC($C$2:$C$726,0.2),2,TRUE,1)</f>
        <v>2</v>
      </c>
      <c r="G132" cm="1">
        <f t="array" ref="G132">_xlfn.IFS(D132&gt;=_xlfn.PERCENTILE.INC($D$2:$D$726,0.8),5,D132&gt;=_xlfn.PERCENTILE.INC($D$2:$D$726,0.6),4,D132&gt;=_xlfn.PERCENTILE.INC($D$2:$D$726,0.4),3,D132&gt;=_xlfn.PERCENTILE.INC($D$2:$D$726,0.2),2,TRUE,1)</f>
        <v>5</v>
      </c>
      <c r="H132">
        <f t="shared" si="2"/>
        <v>10</v>
      </c>
      <c r="I132" t="str" cm="1">
        <f t="array" ref="I132">_xlfn.IFS(H132&gt;=13,"Best Customers",H132&gt;=10,"Loyal Customers",H132&gt;=7,"Potential Loyal Customers",H132&gt;=4,"Need Attention",TRUE,"At Risk")</f>
        <v>Loyal Customers</v>
      </c>
    </row>
    <row r="133" spans="1:9" x14ac:dyDescent="0.25">
      <c r="A133" t="s">
        <v>573</v>
      </c>
      <c r="B133" s="4">
        <v>367</v>
      </c>
      <c r="C133">
        <v>5</v>
      </c>
      <c r="D133">
        <v>155</v>
      </c>
      <c r="E133" cm="1">
        <f t="array" ref="E133">_xlfn.IFS(B133&lt;=_xlfn.PERCENTILE.INC($B$2:$B$726,0.2),5, B133&lt;=_xlfn.PERCENTILE.INC($B$2:$B$726,0.4),4,B133&lt;=_xlfn.PERCENTILE.INC($B$2:$B$726,0.6),3,B133&lt;=_xlfn.PERCENTILE.INC($B$2:$B$726,0.8),4,TRUE,1)</f>
        <v>5</v>
      </c>
      <c r="F133" cm="1">
        <f t="array" ref="F133">_xlfn.IFS(C133&gt;=_xlfn.PERCENTILE.INC($C$2:$C$726,0.8),5,C133&gt;=_xlfn.PERCENTILE.INC($C$2:$C$726,0.6),4,C133&gt;=_xlfn.PERCENTILE.INC($C$2:$C$726,0.4),3,C133&gt;=_xlfn.PERCENTILE.INC($C$2:$C$726,0.2),2,TRUE,1)</f>
        <v>3</v>
      </c>
      <c r="G133" cm="1">
        <f t="array" ref="G133">_xlfn.IFS(D133&gt;=_xlfn.PERCENTILE.INC($D$2:$D$726,0.8),5,D133&gt;=_xlfn.PERCENTILE.INC($D$2:$D$726,0.6),4,D133&gt;=_xlfn.PERCENTILE.INC($D$2:$D$726,0.4),3,D133&gt;=_xlfn.PERCENTILE.INC($D$2:$D$726,0.2),2,TRUE,1)</f>
        <v>2</v>
      </c>
      <c r="H133">
        <f t="shared" si="2"/>
        <v>10</v>
      </c>
      <c r="I133" t="str" cm="1">
        <f t="array" ref="I133">_xlfn.IFS(H133&gt;=13,"Best Customers",H133&gt;=10,"Loyal Customers",H133&gt;=7,"Potential Loyal Customers",H133&gt;=4,"Need Attention",TRUE,"At Risk")</f>
        <v>Loyal Customers</v>
      </c>
    </row>
    <row r="134" spans="1:9" x14ac:dyDescent="0.25">
      <c r="A134" t="s">
        <v>679</v>
      </c>
      <c r="B134" s="4">
        <v>497</v>
      </c>
      <c r="C134">
        <v>12</v>
      </c>
      <c r="D134">
        <v>693</v>
      </c>
      <c r="E134" cm="1">
        <f t="array" ref="E134">_xlfn.IFS(B134&lt;=_xlfn.PERCENTILE.INC($B$2:$B$726,0.2),5, B134&lt;=_xlfn.PERCENTILE.INC($B$2:$B$726,0.4),4,B134&lt;=_xlfn.PERCENTILE.INC($B$2:$B$726,0.6),3,B134&lt;=_xlfn.PERCENTILE.INC($B$2:$B$726,0.8),4,TRUE,1)</f>
        <v>3</v>
      </c>
      <c r="F134" cm="1">
        <f t="array" ref="F134">_xlfn.IFS(C134&gt;=_xlfn.PERCENTILE.INC($C$2:$C$726,0.8),5,C134&gt;=_xlfn.PERCENTILE.INC($C$2:$C$726,0.6),4,C134&gt;=_xlfn.PERCENTILE.INC($C$2:$C$726,0.4),3,C134&gt;=_xlfn.PERCENTILE.INC($C$2:$C$726,0.2),2,TRUE,1)</f>
        <v>5</v>
      </c>
      <c r="G134" cm="1">
        <f t="array" ref="G134">_xlfn.IFS(D134&gt;=_xlfn.PERCENTILE.INC($D$2:$D$726,0.8),5,D134&gt;=_xlfn.PERCENTILE.INC($D$2:$D$726,0.6),4,D134&gt;=_xlfn.PERCENTILE.INC($D$2:$D$726,0.4),3,D134&gt;=_xlfn.PERCENTILE.INC($D$2:$D$726,0.2),2,TRUE,1)</f>
        <v>5</v>
      </c>
      <c r="H134">
        <f t="shared" si="2"/>
        <v>13</v>
      </c>
      <c r="I134" t="str" cm="1">
        <f t="array" ref="I134">_xlfn.IFS(H134&gt;=13,"Best Customers",H134&gt;=10,"Loyal Customers",H134&gt;=7,"Potential Loyal Customers",H134&gt;=4,"Need Attention",TRUE,"At Risk")</f>
        <v>Best Customers</v>
      </c>
    </row>
    <row r="135" spans="1:9" x14ac:dyDescent="0.25">
      <c r="A135" t="s">
        <v>3290</v>
      </c>
      <c r="B135" s="4">
        <v>460</v>
      </c>
      <c r="C135">
        <v>6</v>
      </c>
      <c r="D135">
        <v>380.6</v>
      </c>
      <c r="E135" cm="1">
        <f t="array" ref="E135">_xlfn.IFS(B135&lt;=_xlfn.PERCENTILE.INC($B$2:$B$726,0.2),5, B135&lt;=_xlfn.PERCENTILE.INC($B$2:$B$726,0.4),4,B135&lt;=_xlfn.PERCENTILE.INC($B$2:$B$726,0.6),3,B135&lt;=_xlfn.PERCENTILE.INC($B$2:$B$726,0.8),4,TRUE,1)</f>
        <v>4</v>
      </c>
      <c r="F135" cm="1">
        <f t="array" ref="F135">_xlfn.IFS(C135&gt;=_xlfn.PERCENTILE.INC($C$2:$C$726,0.8),5,C135&gt;=_xlfn.PERCENTILE.INC($C$2:$C$726,0.6),4,C135&gt;=_xlfn.PERCENTILE.INC($C$2:$C$726,0.4),3,C135&gt;=_xlfn.PERCENTILE.INC($C$2:$C$726,0.2),2,TRUE,1)</f>
        <v>4</v>
      </c>
      <c r="G135" cm="1">
        <f t="array" ref="G135">_xlfn.IFS(D135&gt;=_xlfn.PERCENTILE.INC($D$2:$D$726,0.8),5,D135&gt;=_xlfn.PERCENTILE.INC($D$2:$D$726,0.6),4,D135&gt;=_xlfn.PERCENTILE.INC($D$2:$D$726,0.4),3,D135&gt;=_xlfn.PERCENTILE.INC($D$2:$D$726,0.2),2,TRUE,1)</f>
        <v>4</v>
      </c>
      <c r="H135">
        <f t="shared" si="2"/>
        <v>12</v>
      </c>
      <c r="I135" t="str" cm="1">
        <f t="array" ref="I135">_xlfn.IFS(H135&gt;=13,"Best Customers",H135&gt;=10,"Loyal Customers",H135&gt;=7,"Potential Loyal Customers",H135&gt;=4,"Need Attention",TRUE,"At Risk")</f>
        <v>Loyal Customers</v>
      </c>
    </row>
    <row r="136" spans="1:9" x14ac:dyDescent="0.25">
      <c r="A136" t="s">
        <v>1708</v>
      </c>
      <c r="B136" s="4">
        <v>1294</v>
      </c>
      <c r="C136">
        <v>5</v>
      </c>
      <c r="D136">
        <v>225.1</v>
      </c>
      <c r="E136" cm="1">
        <f t="array" ref="E136">_xlfn.IFS(B136&lt;=_xlfn.PERCENTILE.INC($B$2:$B$726,0.2),5, B136&lt;=_xlfn.PERCENTILE.INC($B$2:$B$726,0.4),4,B136&lt;=_xlfn.PERCENTILE.INC($B$2:$B$726,0.6),3,B136&lt;=_xlfn.PERCENTILE.INC($B$2:$B$726,0.8),4,TRUE,1)</f>
        <v>1</v>
      </c>
      <c r="F136" cm="1">
        <f t="array" ref="F136">_xlfn.IFS(C136&gt;=_xlfn.PERCENTILE.INC($C$2:$C$726,0.8),5,C136&gt;=_xlfn.PERCENTILE.INC($C$2:$C$726,0.6),4,C136&gt;=_xlfn.PERCENTILE.INC($C$2:$C$726,0.4),3,C136&gt;=_xlfn.PERCENTILE.INC($C$2:$C$726,0.2),2,TRUE,1)</f>
        <v>3</v>
      </c>
      <c r="G136" cm="1">
        <f t="array" ref="G136">_xlfn.IFS(D136&gt;=_xlfn.PERCENTILE.INC($D$2:$D$726,0.8),5,D136&gt;=_xlfn.PERCENTILE.INC($D$2:$D$726,0.6),4,D136&gt;=_xlfn.PERCENTILE.INC($D$2:$D$726,0.4),3,D136&gt;=_xlfn.PERCENTILE.INC($D$2:$D$726,0.2),2,TRUE,1)</f>
        <v>2</v>
      </c>
      <c r="H136">
        <f t="shared" si="2"/>
        <v>6</v>
      </c>
      <c r="I136" t="str" cm="1">
        <f t="array" ref="I136">_xlfn.IFS(H136&gt;=13,"Best Customers",H136&gt;=10,"Loyal Customers",H136&gt;=7,"Potential Loyal Customers",H136&gt;=4,"Need Attention",TRUE,"At Risk")</f>
        <v>Need Attention</v>
      </c>
    </row>
    <row r="137" spans="1:9" x14ac:dyDescent="0.25">
      <c r="A137" t="s">
        <v>1208</v>
      </c>
      <c r="B137" s="4">
        <v>536</v>
      </c>
      <c r="C137">
        <v>8</v>
      </c>
      <c r="D137">
        <v>297.20000000000005</v>
      </c>
      <c r="E137" cm="1">
        <f t="array" ref="E137">_xlfn.IFS(B137&lt;=_xlfn.PERCENTILE.INC($B$2:$B$726,0.2),5, B137&lt;=_xlfn.PERCENTILE.INC($B$2:$B$726,0.4),4,B137&lt;=_xlfn.PERCENTILE.INC($B$2:$B$726,0.6),3,B137&lt;=_xlfn.PERCENTILE.INC($B$2:$B$726,0.8),4,TRUE,1)</f>
        <v>3</v>
      </c>
      <c r="F137" cm="1">
        <f t="array" ref="F137">_xlfn.IFS(C137&gt;=_xlfn.PERCENTILE.INC($C$2:$C$726,0.8),5,C137&gt;=_xlfn.PERCENTILE.INC($C$2:$C$726,0.6),4,C137&gt;=_xlfn.PERCENTILE.INC($C$2:$C$726,0.4),3,C137&gt;=_xlfn.PERCENTILE.INC($C$2:$C$726,0.2),2,TRUE,1)</f>
        <v>5</v>
      </c>
      <c r="G137" cm="1">
        <f t="array" ref="G137">_xlfn.IFS(D137&gt;=_xlfn.PERCENTILE.INC($D$2:$D$726,0.8),5,D137&gt;=_xlfn.PERCENTILE.INC($D$2:$D$726,0.6),4,D137&gt;=_xlfn.PERCENTILE.INC($D$2:$D$726,0.4),3,D137&gt;=_xlfn.PERCENTILE.INC($D$2:$D$726,0.2),2,TRUE,1)</f>
        <v>3</v>
      </c>
      <c r="H137">
        <f t="shared" si="2"/>
        <v>11</v>
      </c>
      <c r="I137" t="str" cm="1">
        <f t="array" ref="I137">_xlfn.IFS(H137&gt;=13,"Best Customers",H137&gt;=10,"Loyal Customers",H137&gt;=7,"Potential Loyal Customers",H137&gt;=4,"Need Attention",TRUE,"At Risk")</f>
        <v>Loyal Customers</v>
      </c>
    </row>
    <row r="138" spans="1:9" x14ac:dyDescent="0.25">
      <c r="A138" t="s">
        <v>2311</v>
      </c>
      <c r="B138" s="4">
        <v>378</v>
      </c>
      <c r="C138">
        <v>8</v>
      </c>
      <c r="D138">
        <v>281</v>
      </c>
      <c r="E138" cm="1">
        <f t="array" ref="E138">_xlfn.IFS(B138&lt;=_xlfn.PERCENTILE.INC($B$2:$B$726,0.2),5, B138&lt;=_xlfn.PERCENTILE.INC($B$2:$B$726,0.4),4,B138&lt;=_xlfn.PERCENTILE.INC($B$2:$B$726,0.6),3,B138&lt;=_xlfn.PERCENTILE.INC($B$2:$B$726,0.8),4,TRUE,1)</f>
        <v>5</v>
      </c>
      <c r="F138" cm="1">
        <f t="array" ref="F138">_xlfn.IFS(C138&gt;=_xlfn.PERCENTILE.INC($C$2:$C$726,0.8),5,C138&gt;=_xlfn.PERCENTILE.INC($C$2:$C$726,0.6),4,C138&gt;=_xlfn.PERCENTILE.INC($C$2:$C$726,0.4),3,C138&gt;=_xlfn.PERCENTILE.INC($C$2:$C$726,0.2),2,TRUE,1)</f>
        <v>5</v>
      </c>
      <c r="G138" cm="1">
        <f t="array" ref="G138">_xlfn.IFS(D138&gt;=_xlfn.PERCENTILE.INC($D$2:$D$726,0.8),5,D138&gt;=_xlfn.PERCENTILE.INC($D$2:$D$726,0.6),4,D138&gt;=_xlfn.PERCENTILE.INC($D$2:$D$726,0.4),3,D138&gt;=_xlfn.PERCENTILE.INC($D$2:$D$726,0.2),2,TRUE,1)</f>
        <v>3</v>
      </c>
      <c r="H138">
        <f t="shared" si="2"/>
        <v>13</v>
      </c>
      <c r="I138" t="str" cm="1">
        <f t="array" ref="I138">_xlfn.IFS(H138&gt;=13,"Best Customers",H138&gt;=10,"Loyal Customers",H138&gt;=7,"Potential Loyal Customers",H138&gt;=4,"Need Attention",TRUE,"At Risk")</f>
        <v>Best Customers</v>
      </c>
    </row>
    <row r="139" spans="1:9" x14ac:dyDescent="0.25">
      <c r="A139" t="s">
        <v>2350</v>
      </c>
      <c r="B139" s="4">
        <v>352</v>
      </c>
      <c r="C139">
        <v>9</v>
      </c>
      <c r="D139">
        <v>516.09999999999991</v>
      </c>
      <c r="E139" cm="1">
        <f t="array" ref="E139">_xlfn.IFS(B139&lt;=_xlfn.PERCENTILE.INC($B$2:$B$726,0.2),5, B139&lt;=_xlfn.PERCENTILE.INC($B$2:$B$726,0.4),4,B139&lt;=_xlfn.PERCENTILE.INC($B$2:$B$726,0.6),3,B139&lt;=_xlfn.PERCENTILE.INC($B$2:$B$726,0.8),4,TRUE,1)</f>
        <v>5</v>
      </c>
      <c r="F139" cm="1">
        <f t="array" ref="F139">_xlfn.IFS(C139&gt;=_xlfn.PERCENTILE.INC($C$2:$C$726,0.8),5,C139&gt;=_xlfn.PERCENTILE.INC($C$2:$C$726,0.6),4,C139&gt;=_xlfn.PERCENTILE.INC($C$2:$C$726,0.4),3,C139&gt;=_xlfn.PERCENTILE.INC($C$2:$C$726,0.2),2,TRUE,1)</f>
        <v>5</v>
      </c>
      <c r="G139" cm="1">
        <f t="array" ref="G139">_xlfn.IFS(D139&gt;=_xlfn.PERCENTILE.INC($D$2:$D$726,0.8),5,D139&gt;=_xlfn.PERCENTILE.INC($D$2:$D$726,0.6),4,D139&gt;=_xlfn.PERCENTILE.INC($D$2:$D$726,0.4),3,D139&gt;=_xlfn.PERCENTILE.INC($D$2:$D$726,0.2),2,TRUE,1)</f>
        <v>5</v>
      </c>
      <c r="H139">
        <f t="shared" si="2"/>
        <v>15</v>
      </c>
      <c r="I139" t="str" cm="1">
        <f t="array" ref="I139">_xlfn.IFS(H139&gt;=13,"Best Customers",H139&gt;=10,"Loyal Customers",H139&gt;=7,"Potential Loyal Customers",H139&gt;=4,"Need Attention",TRUE,"At Risk")</f>
        <v>Best Customers</v>
      </c>
    </row>
    <row r="140" spans="1:9" x14ac:dyDescent="0.25">
      <c r="A140" t="s">
        <v>2362</v>
      </c>
      <c r="B140" s="4">
        <v>448</v>
      </c>
      <c r="C140">
        <v>4</v>
      </c>
      <c r="D140">
        <v>144.1</v>
      </c>
      <c r="E140" cm="1">
        <f t="array" ref="E140">_xlfn.IFS(B140&lt;=_xlfn.PERCENTILE.INC($B$2:$B$726,0.2),5, B140&lt;=_xlfn.PERCENTILE.INC($B$2:$B$726,0.4),4,B140&lt;=_xlfn.PERCENTILE.INC($B$2:$B$726,0.6),3,B140&lt;=_xlfn.PERCENTILE.INC($B$2:$B$726,0.8),4,TRUE,1)</f>
        <v>4</v>
      </c>
      <c r="F140" cm="1">
        <f t="array" ref="F140">_xlfn.IFS(C140&gt;=_xlfn.PERCENTILE.INC($C$2:$C$726,0.8),5,C140&gt;=_xlfn.PERCENTILE.INC($C$2:$C$726,0.6),4,C140&gt;=_xlfn.PERCENTILE.INC($C$2:$C$726,0.4),3,C140&gt;=_xlfn.PERCENTILE.INC($C$2:$C$726,0.2),2,TRUE,1)</f>
        <v>2</v>
      </c>
      <c r="G140" cm="1">
        <f t="array" ref="G140">_xlfn.IFS(D140&gt;=_xlfn.PERCENTILE.INC($D$2:$D$726,0.8),5,D140&gt;=_xlfn.PERCENTILE.INC($D$2:$D$726,0.6),4,D140&gt;=_xlfn.PERCENTILE.INC($D$2:$D$726,0.4),3,D140&gt;=_xlfn.PERCENTILE.INC($D$2:$D$726,0.2),2,TRUE,1)</f>
        <v>1</v>
      </c>
      <c r="H140">
        <f t="shared" si="2"/>
        <v>7</v>
      </c>
      <c r="I140" t="str" cm="1">
        <f t="array" ref="I140">_xlfn.IFS(H140&gt;=13,"Best Customers",H140&gt;=10,"Loyal Customers",H140&gt;=7,"Potential Loyal Customers",H140&gt;=4,"Need Attention",TRUE,"At Risk")</f>
        <v>Potential Loyal Customers</v>
      </c>
    </row>
    <row r="141" spans="1:9" x14ac:dyDescent="0.25">
      <c r="A141" t="s">
        <v>1997</v>
      </c>
      <c r="B141" s="4">
        <v>448</v>
      </c>
      <c r="C141">
        <v>3</v>
      </c>
      <c r="D141">
        <v>118.4</v>
      </c>
      <c r="E141" cm="1">
        <f t="array" ref="E141">_xlfn.IFS(B141&lt;=_xlfn.PERCENTILE.INC($B$2:$B$726,0.2),5, B141&lt;=_xlfn.PERCENTILE.INC($B$2:$B$726,0.4),4,B141&lt;=_xlfn.PERCENTILE.INC($B$2:$B$726,0.6),3,B141&lt;=_xlfn.PERCENTILE.INC($B$2:$B$726,0.8),4,TRUE,1)</f>
        <v>4</v>
      </c>
      <c r="F141" cm="1">
        <f t="array" ref="F141">_xlfn.IFS(C141&gt;=_xlfn.PERCENTILE.INC($C$2:$C$726,0.8),5,C141&gt;=_xlfn.PERCENTILE.INC($C$2:$C$726,0.6),4,C141&gt;=_xlfn.PERCENTILE.INC($C$2:$C$726,0.4),3,C141&gt;=_xlfn.PERCENTILE.INC($C$2:$C$726,0.2),2,TRUE,1)</f>
        <v>1</v>
      </c>
      <c r="G141" cm="1">
        <f t="array" ref="G141">_xlfn.IFS(D141&gt;=_xlfn.PERCENTILE.INC($D$2:$D$726,0.8),5,D141&gt;=_xlfn.PERCENTILE.INC($D$2:$D$726,0.6),4,D141&gt;=_xlfn.PERCENTILE.INC($D$2:$D$726,0.4),3,D141&gt;=_xlfn.PERCENTILE.INC($D$2:$D$726,0.2),2,TRUE,1)</f>
        <v>1</v>
      </c>
      <c r="H141">
        <f t="shared" si="2"/>
        <v>6</v>
      </c>
      <c r="I141" t="str" cm="1">
        <f t="array" ref="I141">_xlfn.IFS(H141&gt;=13,"Best Customers",H141&gt;=10,"Loyal Customers",H141&gt;=7,"Potential Loyal Customers",H141&gt;=4,"Need Attention",TRUE,"At Risk")</f>
        <v>Need Attention</v>
      </c>
    </row>
    <row r="142" spans="1:9" x14ac:dyDescent="0.25">
      <c r="A142" t="s">
        <v>3321</v>
      </c>
      <c r="B142" s="4">
        <v>397</v>
      </c>
      <c r="C142">
        <v>8</v>
      </c>
      <c r="D142">
        <v>631.6</v>
      </c>
      <c r="E142" cm="1">
        <f t="array" ref="E142">_xlfn.IFS(B142&lt;=_xlfn.PERCENTILE.INC($B$2:$B$726,0.2),5, B142&lt;=_xlfn.PERCENTILE.INC($B$2:$B$726,0.4),4,B142&lt;=_xlfn.PERCENTILE.INC($B$2:$B$726,0.6),3,B142&lt;=_xlfn.PERCENTILE.INC($B$2:$B$726,0.8),4,TRUE,1)</f>
        <v>4</v>
      </c>
      <c r="F142" cm="1">
        <f t="array" ref="F142">_xlfn.IFS(C142&gt;=_xlfn.PERCENTILE.INC($C$2:$C$726,0.8),5,C142&gt;=_xlfn.PERCENTILE.INC($C$2:$C$726,0.6),4,C142&gt;=_xlfn.PERCENTILE.INC($C$2:$C$726,0.4),3,C142&gt;=_xlfn.PERCENTILE.INC($C$2:$C$726,0.2),2,TRUE,1)</f>
        <v>5</v>
      </c>
      <c r="G142" cm="1">
        <f t="array" ref="G142">_xlfn.IFS(D142&gt;=_xlfn.PERCENTILE.INC($D$2:$D$726,0.8),5,D142&gt;=_xlfn.PERCENTILE.INC($D$2:$D$726,0.6),4,D142&gt;=_xlfn.PERCENTILE.INC($D$2:$D$726,0.4),3,D142&gt;=_xlfn.PERCENTILE.INC($D$2:$D$726,0.2),2,TRUE,1)</f>
        <v>5</v>
      </c>
      <c r="H142">
        <f t="shared" si="2"/>
        <v>14</v>
      </c>
      <c r="I142" t="str" cm="1">
        <f t="array" ref="I142">_xlfn.IFS(H142&gt;=13,"Best Customers",H142&gt;=10,"Loyal Customers",H142&gt;=7,"Potential Loyal Customers",H142&gt;=4,"Need Attention",TRUE,"At Risk")</f>
        <v>Best Customers</v>
      </c>
    </row>
    <row r="143" spans="1:9" x14ac:dyDescent="0.25">
      <c r="A143" t="s">
        <v>953</v>
      </c>
      <c r="B143" s="4">
        <v>996</v>
      </c>
      <c r="C143">
        <v>5</v>
      </c>
      <c r="D143">
        <v>213</v>
      </c>
      <c r="E143" cm="1">
        <f t="array" ref="E143">_xlfn.IFS(B143&lt;=_xlfn.PERCENTILE.INC($B$2:$B$726,0.2),5, B143&lt;=_xlfn.PERCENTILE.INC($B$2:$B$726,0.4),4,B143&lt;=_xlfn.PERCENTILE.INC($B$2:$B$726,0.6),3,B143&lt;=_xlfn.PERCENTILE.INC($B$2:$B$726,0.8),4,TRUE,1)</f>
        <v>1</v>
      </c>
      <c r="F143" cm="1">
        <f t="array" ref="F143">_xlfn.IFS(C143&gt;=_xlfn.PERCENTILE.INC($C$2:$C$726,0.8),5,C143&gt;=_xlfn.PERCENTILE.INC($C$2:$C$726,0.6),4,C143&gt;=_xlfn.PERCENTILE.INC($C$2:$C$726,0.4),3,C143&gt;=_xlfn.PERCENTILE.INC($C$2:$C$726,0.2),2,TRUE,1)</f>
        <v>3</v>
      </c>
      <c r="G143" cm="1">
        <f t="array" ref="G143">_xlfn.IFS(D143&gt;=_xlfn.PERCENTILE.INC($D$2:$D$726,0.8),5,D143&gt;=_xlfn.PERCENTILE.INC($D$2:$D$726,0.6),4,D143&gt;=_xlfn.PERCENTILE.INC($D$2:$D$726,0.4),3,D143&gt;=_xlfn.PERCENTILE.INC($D$2:$D$726,0.2),2,TRUE,1)</f>
        <v>2</v>
      </c>
      <c r="H143">
        <f t="shared" si="2"/>
        <v>6</v>
      </c>
      <c r="I143" t="str" cm="1">
        <f t="array" ref="I143">_xlfn.IFS(H143&gt;=13,"Best Customers",H143&gt;=10,"Loyal Customers",H143&gt;=7,"Potential Loyal Customers",H143&gt;=4,"Need Attention",TRUE,"At Risk")</f>
        <v>Need Attention</v>
      </c>
    </row>
    <row r="144" spans="1:9" x14ac:dyDescent="0.25">
      <c r="A144" t="s">
        <v>704</v>
      </c>
      <c r="B144" s="4">
        <v>443</v>
      </c>
      <c r="C144">
        <v>12</v>
      </c>
      <c r="D144">
        <v>518.70000000000005</v>
      </c>
      <c r="E144" cm="1">
        <f t="array" ref="E144">_xlfn.IFS(B144&lt;=_xlfn.PERCENTILE.INC($B$2:$B$726,0.2),5, B144&lt;=_xlfn.PERCENTILE.INC($B$2:$B$726,0.4),4,B144&lt;=_xlfn.PERCENTILE.INC($B$2:$B$726,0.6),3,B144&lt;=_xlfn.PERCENTILE.INC($B$2:$B$726,0.8),4,TRUE,1)</f>
        <v>4</v>
      </c>
      <c r="F144" cm="1">
        <f t="array" ref="F144">_xlfn.IFS(C144&gt;=_xlfn.PERCENTILE.INC($C$2:$C$726,0.8),5,C144&gt;=_xlfn.PERCENTILE.INC($C$2:$C$726,0.6),4,C144&gt;=_xlfn.PERCENTILE.INC($C$2:$C$726,0.4),3,C144&gt;=_xlfn.PERCENTILE.INC($C$2:$C$726,0.2),2,TRUE,1)</f>
        <v>5</v>
      </c>
      <c r="G144" cm="1">
        <f t="array" ref="G144">_xlfn.IFS(D144&gt;=_xlfn.PERCENTILE.INC($D$2:$D$726,0.8),5,D144&gt;=_xlfn.PERCENTILE.INC($D$2:$D$726,0.6),4,D144&gt;=_xlfn.PERCENTILE.INC($D$2:$D$726,0.4),3,D144&gt;=_xlfn.PERCENTILE.INC($D$2:$D$726,0.2),2,TRUE,1)</f>
        <v>5</v>
      </c>
      <c r="H144">
        <f t="shared" si="2"/>
        <v>14</v>
      </c>
      <c r="I144" t="str" cm="1">
        <f t="array" ref="I144">_xlfn.IFS(H144&gt;=13,"Best Customers",H144&gt;=10,"Loyal Customers",H144&gt;=7,"Potential Loyal Customers",H144&gt;=4,"Need Attention",TRUE,"At Risk")</f>
        <v>Best Customers</v>
      </c>
    </row>
    <row r="145" spans="1:9" x14ac:dyDescent="0.25">
      <c r="A145" t="s">
        <v>805</v>
      </c>
      <c r="B145" s="4">
        <v>433</v>
      </c>
      <c r="C145">
        <v>3</v>
      </c>
      <c r="D145">
        <v>55.099999999999994</v>
      </c>
      <c r="E145" cm="1">
        <f t="array" ref="E145">_xlfn.IFS(B145&lt;=_xlfn.PERCENTILE.INC($B$2:$B$726,0.2),5, B145&lt;=_xlfn.PERCENTILE.INC($B$2:$B$726,0.4),4,B145&lt;=_xlfn.PERCENTILE.INC($B$2:$B$726,0.6),3,B145&lt;=_xlfn.PERCENTILE.INC($B$2:$B$726,0.8),4,TRUE,1)</f>
        <v>4</v>
      </c>
      <c r="F145" cm="1">
        <f t="array" ref="F145">_xlfn.IFS(C145&gt;=_xlfn.PERCENTILE.INC($C$2:$C$726,0.8),5,C145&gt;=_xlfn.PERCENTILE.INC($C$2:$C$726,0.6),4,C145&gt;=_xlfn.PERCENTILE.INC($C$2:$C$726,0.4),3,C145&gt;=_xlfn.PERCENTILE.INC($C$2:$C$726,0.2),2,TRUE,1)</f>
        <v>1</v>
      </c>
      <c r="G145" cm="1">
        <f t="array" ref="G145">_xlfn.IFS(D145&gt;=_xlfn.PERCENTILE.INC($D$2:$D$726,0.8),5,D145&gt;=_xlfn.PERCENTILE.INC($D$2:$D$726,0.6),4,D145&gt;=_xlfn.PERCENTILE.INC($D$2:$D$726,0.4),3,D145&gt;=_xlfn.PERCENTILE.INC($D$2:$D$726,0.2),2,TRUE,1)</f>
        <v>1</v>
      </c>
      <c r="H145">
        <f t="shared" si="2"/>
        <v>6</v>
      </c>
      <c r="I145" t="str" cm="1">
        <f t="array" ref="I145">_xlfn.IFS(H145&gt;=13,"Best Customers",H145&gt;=10,"Loyal Customers",H145&gt;=7,"Potential Loyal Customers",H145&gt;=4,"Need Attention",TRUE,"At Risk")</f>
        <v>Need Attention</v>
      </c>
    </row>
    <row r="146" spans="1:9" x14ac:dyDescent="0.25">
      <c r="A146" t="s">
        <v>3309</v>
      </c>
      <c r="B146" s="4">
        <v>676</v>
      </c>
      <c r="C146">
        <v>4</v>
      </c>
      <c r="D146">
        <v>210.8</v>
      </c>
      <c r="E146" cm="1">
        <f t="array" ref="E146">_xlfn.IFS(B146&lt;=_xlfn.PERCENTILE.INC($B$2:$B$726,0.2),5, B146&lt;=_xlfn.PERCENTILE.INC($B$2:$B$726,0.4),4,B146&lt;=_xlfn.PERCENTILE.INC($B$2:$B$726,0.6),3,B146&lt;=_xlfn.PERCENTILE.INC($B$2:$B$726,0.8),4,TRUE,1)</f>
        <v>4</v>
      </c>
      <c r="F146" cm="1">
        <f t="array" ref="F146">_xlfn.IFS(C146&gt;=_xlfn.PERCENTILE.INC($C$2:$C$726,0.8),5,C146&gt;=_xlfn.PERCENTILE.INC($C$2:$C$726,0.6),4,C146&gt;=_xlfn.PERCENTILE.INC($C$2:$C$726,0.4),3,C146&gt;=_xlfn.PERCENTILE.INC($C$2:$C$726,0.2),2,TRUE,1)</f>
        <v>2</v>
      </c>
      <c r="G146" cm="1">
        <f t="array" ref="G146">_xlfn.IFS(D146&gt;=_xlfn.PERCENTILE.INC($D$2:$D$726,0.8),5,D146&gt;=_xlfn.PERCENTILE.INC($D$2:$D$726,0.6),4,D146&gt;=_xlfn.PERCENTILE.INC($D$2:$D$726,0.4),3,D146&gt;=_xlfn.PERCENTILE.INC($D$2:$D$726,0.2),2,TRUE,1)</f>
        <v>2</v>
      </c>
      <c r="H146">
        <f t="shared" si="2"/>
        <v>8</v>
      </c>
      <c r="I146" t="str" cm="1">
        <f t="array" ref="I146">_xlfn.IFS(H146&gt;=13,"Best Customers",H146&gt;=10,"Loyal Customers",H146&gt;=7,"Potential Loyal Customers",H146&gt;=4,"Need Attention",TRUE,"At Risk")</f>
        <v>Potential Loyal Customers</v>
      </c>
    </row>
    <row r="147" spans="1:9" x14ac:dyDescent="0.25">
      <c r="A147" t="s">
        <v>2882</v>
      </c>
      <c r="B147" s="4">
        <v>437</v>
      </c>
      <c r="C147">
        <v>6</v>
      </c>
      <c r="D147">
        <v>347.20000000000005</v>
      </c>
      <c r="E147" cm="1">
        <f t="array" ref="E147">_xlfn.IFS(B147&lt;=_xlfn.PERCENTILE.INC($B$2:$B$726,0.2),5, B147&lt;=_xlfn.PERCENTILE.INC($B$2:$B$726,0.4),4,B147&lt;=_xlfn.PERCENTILE.INC($B$2:$B$726,0.6),3,B147&lt;=_xlfn.PERCENTILE.INC($B$2:$B$726,0.8),4,TRUE,1)</f>
        <v>4</v>
      </c>
      <c r="F147" cm="1">
        <f t="array" ref="F147">_xlfn.IFS(C147&gt;=_xlfn.PERCENTILE.INC($C$2:$C$726,0.8),5,C147&gt;=_xlfn.PERCENTILE.INC($C$2:$C$726,0.6),4,C147&gt;=_xlfn.PERCENTILE.INC($C$2:$C$726,0.4),3,C147&gt;=_xlfn.PERCENTILE.INC($C$2:$C$726,0.2),2,TRUE,1)</f>
        <v>4</v>
      </c>
      <c r="G147" cm="1">
        <f t="array" ref="G147">_xlfn.IFS(D147&gt;=_xlfn.PERCENTILE.INC($D$2:$D$726,0.8),5,D147&gt;=_xlfn.PERCENTILE.INC($D$2:$D$726,0.6),4,D147&gt;=_xlfn.PERCENTILE.INC($D$2:$D$726,0.4),3,D147&gt;=_xlfn.PERCENTILE.INC($D$2:$D$726,0.2),2,TRUE,1)</f>
        <v>4</v>
      </c>
      <c r="H147">
        <f t="shared" si="2"/>
        <v>12</v>
      </c>
      <c r="I147" t="str" cm="1">
        <f t="array" ref="I147">_xlfn.IFS(H147&gt;=13,"Best Customers",H147&gt;=10,"Loyal Customers",H147&gt;=7,"Potential Loyal Customers",H147&gt;=4,"Need Attention",TRUE,"At Risk")</f>
        <v>Loyal Customers</v>
      </c>
    </row>
    <row r="148" spans="1:9" x14ac:dyDescent="0.25">
      <c r="A148" t="s">
        <v>3054</v>
      </c>
      <c r="B148" s="4">
        <v>609</v>
      </c>
      <c r="C148">
        <v>6</v>
      </c>
      <c r="D148">
        <v>301.7</v>
      </c>
      <c r="E148" cm="1">
        <f t="array" ref="E148">_xlfn.IFS(B148&lt;=_xlfn.PERCENTILE.INC($B$2:$B$726,0.2),5, B148&lt;=_xlfn.PERCENTILE.INC($B$2:$B$726,0.4),4,B148&lt;=_xlfn.PERCENTILE.INC($B$2:$B$726,0.6),3,B148&lt;=_xlfn.PERCENTILE.INC($B$2:$B$726,0.8),4,TRUE,1)</f>
        <v>4</v>
      </c>
      <c r="F148" cm="1">
        <f t="array" ref="F148">_xlfn.IFS(C148&gt;=_xlfn.PERCENTILE.INC($C$2:$C$726,0.8),5,C148&gt;=_xlfn.PERCENTILE.INC($C$2:$C$726,0.6),4,C148&gt;=_xlfn.PERCENTILE.INC($C$2:$C$726,0.4),3,C148&gt;=_xlfn.PERCENTILE.INC($C$2:$C$726,0.2),2,TRUE,1)</f>
        <v>4</v>
      </c>
      <c r="G148" cm="1">
        <f t="array" ref="G148">_xlfn.IFS(D148&gt;=_xlfn.PERCENTILE.INC($D$2:$D$726,0.8),5,D148&gt;=_xlfn.PERCENTILE.INC($D$2:$D$726,0.6),4,D148&gt;=_xlfn.PERCENTILE.INC($D$2:$D$726,0.4),3,D148&gt;=_xlfn.PERCENTILE.INC($D$2:$D$726,0.2),2,TRUE,1)</f>
        <v>3</v>
      </c>
      <c r="H148">
        <f t="shared" si="2"/>
        <v>11</v>
      </c>
      <c r="I148" t="str" cm="1">
        <f t="array" ref="I148">_xlfn.IFS(H148&gt;=13,"Best Customers",H148&gt;=10,"Loyal Customers",H148&gt;=7,"Potential Loyal Customers",H148&gt;=4,"Need Attention",TRUE,"At Risk")</f>
        <v>Loyal Customers</v>
      </c>
    </row>
    <row r="149" spans="1:9" x14ac:dyDescent="0.25">
      <c r="A149" t="s">
        <v>629</v>
      </c>
      <c r="B149" s="4">
        <v>515</v>
      </c>
      <c r="C149">
        <v>4</v>
      </c>
      <c r="D149">
        <v>318.70000000000005</v>
      </c>
      <c r="E149" cm="1">
        <f t="array" ref="E149">_xlfn.IFS(B149&lt;=_xlfn.PERCENTILE.INC($B$2:$B$726,0.2),5, B149&lt;=_xlfn.PERCENTILE.INC($B$2:$B$726,0.4),4,B149&lt;=_xlfn.PERCENTILE.INC($B$2:$B$726,0.6),3,B149&lt;=_xlfn.PERCENTILE.INC($B$2:$B$726,0.8),4,TRUE,1)</f>
        <v>3</v>
      </c>
      <c r="F149" cm="1">
        <f t="array" ref="F149">_xlfn.IFS(C149&gt;=_xlfn.PERCENTILE.INC($C$2:$C$726,0.8),5,C149&gt;=_xlfn.PERCENTILE.INC($C$2:$C$726,0.6),4,C149&gt;=_xlfn.PERCENTILE.INC($C$2:$C$726,0.4),3,C149&gt;=_xlfn.PERCENTILE.INC($C$2:$C$726,0.2),2,TRUE,1)</f>
        <v>2</v>
      </c>
      <c r="G149" cm="1">
        <f t="array" ref="G149">_xlfn.IFS(D149&gt;=_xlfn.PERCENTILE.INC($D$2:$D$726,0.8),5,D149&gt;=_xlfn.PERCENTILE.INC($D$2:$D$726,0.6),4,D149&gt;=_xlfn.PERCENTILE.INC($D$2:$D$726,0.4),3,D149&gt;=_xlfn.PERCENTILE.INC($D$2:$D$726,0.2),2,TRUE,1)</f>
        <v>4</v>
      </c>
      <c r="H149">
        <f t="shared" si="2"/>
        <v>9</v>
      </c>
      <c r="I149" t="str" cm="1">
        <f t="array" ref="I149">_xlfn.IFS(H149&gt;=13,"Best Customers",H149&gt;=10,"Loyal Customers",H149&gt;=7,"Potential Loyal Customers",H149&gt;=4,"Need Attention",TRUE,"At Risk")</f>
        <v>Potential Loyal Customers</v>
      </c>
    </row>
    <row r="150" spans="1:9" x14ac:dyDescent="0.25">
      <c r="A150" t="s">
        <v>1845</v>
      </c>
      <c r="B150" s="4">
        <v>1304</v>
      </c>
      <c r="C150">
        <v>4</v>
      </c>
      <c r="D150">
        <v>136.1</v>
      </c>
      <c r="E150" cm="1">
        <f t="array" ref="E150">_xlfn.IFS(B150&lt;=_xlfn.PERCENTILE.INC($B$2:$B$726,0.2),5, B150&lt;=_xlfn.PERCENTILE.INC($B$2:$B$726,0.4),4,B150&lt;=_xlfn.PERCENTILE.INC($B$2:$B$726,0.6),3,B150&lt;=_xlfn.PERCENTILE.INC($B$2:$B$726,0.8),4,TRUE,1)</f>
        <v>1</v>
      </c>
      <c r="F150" cm="1">
        <f t="array" ref="F150">_xlfn.IFS(C150&gt;=_xlfn.PERCENTILE.INC($C$2:$C$726,0.8),5,C150&gt;=_xlfn.PERCENTILE.INC($C$2:$C$726,0.6),4,C150&gt;=_xlfn.PERCENTILE.INC($C$2:$C$726,0.4),3,C150&gt;=_xlfn.PERCENTILE.INC($C$2:$C$726,0.2),2,TRUE,1)</f>
        <v>2</v>
      </c>
      <c r="G150" cm="1">
        <f t="array" ref="G150">_xlfn.IFS(D150&gt;=_xlfn.PERCENTILE.INC($D$2:$D$726,0.8),5,D150&gt;=_xlfn.PERCENTILE.INC($D$2:$D$726,0.6),4,D150&gt;=_xlfn.PERCENTILE.INC($D$2:$D$726,0.4),3,D150&gt;=_xlfn.PERCENTILE.INC($D$2:$D$726,0.2),2,TRUE,1)</f>
        <v>1</v>
      </c>
      <c r="H150">
        <f t="shared" si="2"/>
        <v>4</v>
      </c>
      <c r="I150" t="str" cm="1">
        <f t="array" ref="I150">_xlfn.IFS(H150&gt;=13,"Best Customers",H150&gt;=10,"Loyal Customers",H150&gt;=7,"Potential Loyal Customers",H150&gt;=4,"Need Attention",TRUE,"At Risk")</f>
        <v>Need Attention</v>
      </c>
    </row>
    <row r="151" spans="1:9" x14ac:dyDescent="0.25">
      <c r="A151" t="s">
        <v>2530</v>
      </c>
      <c r="B151" s="4">
        <v>395</v>
      </c>
      <c r="C151">
        <v>7</v>
      </c>
      <c r="D151">
        <v>384.6</v>
      </c>
      <c r="E151" cm="1">
        <f t="array" ref="E151">_xlfn.IFS(B151&lt;=_xlfn.PERCENTILE.INC($B$2:$B$726,0.2),5, B151&lt;=_xlfn.PERCENTILE.INC($B$2:$B$726,0.4),4,B151&lt;=_xlfn.PERCENTILE.INC($B$2:$B$726,0.6),3,B151&lt;=_xlfn.PERCENTILE.INC($B$2:$B$726,0.8),4,TRUE,1)</f>
        <v>4</v>
      </c>
      <c r="F151" cm="1">
        <f t="array" ref="F151">_xlfn.IFS(C151&gt;=_xlfn.PERCENTILE.INC($C$2:$C$726,0.8),5,C151&gt;=_xlfn.PERCENTILE.INC($C$2:$C$726,0.6),4,C151&gt;=_xlfn.PERCENTILE.INC($C$2:$C$726,0.4),3,C151&gt;=_xlfn.PERCENTILE.INC($C$2:$C$726,0.2),2,TRUE,1)</f>
        <v>4</v>
      </c>
      <c r="G151" cm="1">
        <f t="array" ref="G151">_xlfn.IFS(D151&gt;=_xlfn.PERCENTILE.INC($D$2:$D$726,0.8),5,D151&gt;=_xlfn.PERCENTILE.INC($D$2:$D$726,0.6),4,D151&gt;=_xlfn.PERCENTILE.INC($D$2:$D$726,0.4),3,D151&gt;=_xlfn.PERCENTILE.INC($D$2:$D$726,0.2),2,TRUE,1)</f>
        <v>4</v>
      </c>
      <c r="H151">
        <f t="shared" si="2"/>
        <v>12</v>
      </c>
      <c r="I151" t="str" cm="1">
        <f t="array" ref="I151">_xlfn.IFS(H151&gt;=13,"Best Customers",H151&gt;=10,"Loyal Customers",H151&gt;=7,"Potential Loyal Customers",H151&gt;=4,"Need Attention",TRUE,"At Risk")</f>
        <v>Loyal Customers</v>
      </c>
    </row>
    <row r="152" spans="1:9" x14ac:dyDescent="0.25">
      <c r="A152" t="s">
        <v>1696</v>
      </c>
      <c r="B152" s="4">
        <v>395</v>
      </c>
      <c r="C152">
        <v>7</v>
      </c>
      <c r="D152">
        <v>436.3</v>
      </c>
      <c r="E152" cm="1">
        <f t="array" ref="E152">_xlfn.IFS(B152&lt;=_xlfn.PERCENTILE.INC($B$2:$B$726,0.2),5, B152&lt;=_xlfn.PERCENTILE.INC($B$2:$B$726,0.4),4,B152&lt;=_xlfn.PERCENTILE.INC($B$2:$B$726,0.6),3,B152&lt;=_xlfn.PERCENTILE.INC($B$2:$B$726,0.8),4,TRUE,1)</f>
        <v>4</v>
      </c>
      <c r="F152" cm="1">
        <f t="array" ref="F152">_xlfn.IFS(C152&gt;=_xlfn.PERCENTILE.INC($C$2:$C$726,0.8),5,C152&gt;=_xlfn.PERCENTILE.INC($C$2:$C$726,0.6),4,C152&gt;=_xlfn.PERCENTILE.INC($C$2:$C$726,0.4),3,C152&gt;=_xlfn.PERCENTILE.INC($C$2:$C$726,0.2),2,TRUE,1)</f>
        <v>4</v>
      </c>
      <c r="G152" cm="1">
        <f t="array" ref="G152">_xlfn.IFS(D152&gt;=_xlfn.PERCENTILE.INC($D$2:$D$726,0.8),5,D152&gt;=_xlfn.PERCENTILE.INC($D$2:$D$726,0.6),4,D152&gt;=_xlfn.PERCENTILE.INC($D$2:$D$726,0.4),3,D152&gt;=_xlfn.PERCENTILE.INC($D$2:$D$726,0.2),2,TRUE,1)</f>
        <v>5</v>
      </c>
      <c r="H152">
        <f t="shared" si="2"/>
        <v>13</v>
      </c>
      <c r="I152" t="str" cm="1">
        <f t="array" ref="I152">_xlfn.IFS(H152&gt;=13,"Best Customers",H152&gt;=10,"Loyal Customers",H152&gt;=7,"Potential Loyal Customers",H152&gt;=4,"Need Attention",TRUE,"At Risk")</f>
        <v>Best Customers</v>
      </c>
    </row>
    <row r="153" spans="1:9" x14ac:dyDescent="0.25">
      <c r="A153" t="s">
        <v>1749</v>
      </c>
      <c r="B153" s="4">
        <v>349</v>
      </c>
      <c r="C153">
        <v>6</v>
      </c>
      <c r="D153">
        <v>417.29999999999995</v>
      </c>
      <c r="E153" cm="1">
        <f t="array" ref="E153">_xlfn.IFS(B153&lt;=_xlfn.PERCENTILE.INC($B$2:$B$726,0.2),5, B153&lt;=_xlfn.PERCENTILE.INC($B$2:$B$726,0.4),4,B153&lt;=_xlfn.PERCENTILE.INC($B$2:$B$726,0.6),3,B153&lt;=_xlfn.PERCENTILE.INC($B$2:$B$726,0.8),4,TRUE,1)</f>
        <v>5</v>
      </c>
      <c r="F153" cm="1">
        <f t="array" ref="F153">_xlfn.IFS(C153&gt;=_xlfn.PERCENTILE.INC($C$2:$C$726,0.8),5,C153&gt;=_xlfn.PERCENTILE.INC($C$2:$C$726,0.6),4,C153&gt;=_xlfn.PERCENTILE.INC($C$2:$C$726,0.4),3,C153&gt;=_xlfn.PERCENTILE.INC($C$2:$C$726,0.2),2,TRUE,1)</f>
        <v>4</v>
      </c>
      <c r="G153" cm="1">
        <f t="array" ref="G153">_xlfn.IFS(D153&gt;=_xlfn.PERCENTILE.INC($D$2:$D$726,0.8),5,D153&gt;=_xlfn.PERCENTILE.INC($D$2:$D$726,0.6),4,D153&gt;=_xlfn.PERCENTILE.INC($D$2:$D$726,0.4),3,D153&gt;=_xlfn.PERCENTILE.INC($D$2:$D$726,0.2),2,TRUE,1)</f>
        <v>5</v>
      </c>
      <c r="H153">
        <f t="shared" si="2"/>
        <v>14</v>
      </c>
      <c r="I153" t="str" cm="1">
        <f t="array" ref="I153">_xlfn.IFS(H153&gt;=13,"Best Customers",H153&gt;=10,"Loyal Customers",H153&gt;=7,"Potential Loyal Customers",H153&gt;=4,"Need Attention",TRUE,"At Risk")</f>
        <v>Best Customers</v>
      </c>
    </row>
    <row r="154" spans="1:9" x14ac:dyDescent="0.25">
      <c r="A154" t="s">
        <v>1306</v>
      </c>
      <c r="B154" s="4">
        <v>851</v>
      </c>
      <c r="C154">
        <v>4</v>
      </c>
      <c r="D154">
        <v>343.8</v>
      </c>
      <c r="E154" cm="1">
        <f t="array" ref="E154">_xlfn.IFS(B154&lt;=_xlfn.PERCENTILE.INC($B$2:$B$726,0.2),5, B154&lt;=_xlfn.PERCENTILE.INC($B$2:$B$726,0.4),4,B154&lt;=_xlfn.PERCENTILE.INC($B$2:$B$726,0.6),3,B154&lt;=_xlfn.PERCENTILE.INC($B$2:$B$726,0.8),4,TRUE,1)</f>
        <v>1</v>
      </c>
      <c r="F154" cm="1">
        <f t="array" ref="F154">_xlfn.IFS(C154&gt;=_xlfn.PERCENTILE.INC($C$2:$C$726,0.8),5,C154&gt;=_xlfn.PERCENTILE.INC($C$2:$C$726,0.6),4,C154&gt;=_xlfn.PERCENTILE.INC($C$2:$C$726,0.4),3,C154&gt;=_xlfn.PERCENTILE.INC($C$2:$C$726,0.2),2,TRUE,1)</f>
        <v>2</v>
      </c>
      <c r="G154" cm="1">
        <f t="array" ref="G154">_xlfn.IFS(D154&gt;=_xlfn.PERCENTILE.INC($D$2:$D$726,0.8),5,D154&gt;=_xlfn.PERCENTILE.INC($D$2:$D$726,0.6),4,D154&gt;=_xlfn.PERCENTILE.INC($D$2:$D$726,0.4),3,D154&gt;=_xlfn.PERCENTILE.INC($D$2:$D$726,0.2),2,TRUE,1)</f>
        <v>4</v>
      </c>
      <c r="H154">
        <f t="shared" si="2"/>
        <v>7</v>
      </c>
      <c r="I154" t="str" cm="1">
        <f t="array" ref="I154">_xlfn.IFS(H154&gt;=13,"Best Customers",H154&gt;=10,"Loyal Customers",H154&gt;=7,"Potential Loyal Customers",H154&gt;=4,"Need Attention",TRUE,"At Risk")</f>
        <v>Potential Loyal Customers</v>
      </c>
    </row>
    <row r="155" spans="1:9" x14ac:dyDescent="0.25">
      <c r="A155" t="s">
        <v>3181</v>
      </c>
      <c r="B155" s="4">
        <v>570</v>
      </c>
      <c r="C155">
        <v>3</v>
      </c>
      <c r="D155">
        <v>240</v>
      </c>
      <c r="E155" cm="1">
        <f t="array" ref="E155">_xlfn.IFS(B155&lt;=_xlfn.PERCENTILE.INC($B$2:$B$726,0.2),5, B155&lt;=_xlfn.PERCENTILE.INC($B$2:$B$726,0.4),4,B155&lt;=_xlfn.PERCENTILE.INC($B$2:$B$726,0.6),3,B155&lt;=_xlfn.PERCENTILE.INC($B$2:$B$726,0.8),4,TRUE,1)</f>
        <v>4</v>
      </c>
      <c r="F155" cm="1">
        <f t="array" ref="F155">_xlfn.IFS(C155&gt;=_xlfn.PERCENTILE.INC($C$2:$C$726,0.8),5,C155&gt;=_xlfn.PERCENTILE.INC($C$2:$C$726,0.6),4,C155&gt;=_xlfn.PERCENTILE.INC($C$2:$C$726,0.4),3,C155&gt;=_xlfn.PERCENTILE.INC($C$2:$C$726,0.2),2,TRUE,1)</f>
        <v>1</v>
      </c>
      <c r="G155" cm="1">
        <f t="array" ref="G155">_xlfn.IFS(D155&gt;=_xlfn.PERCENTILE.INC($D$2:$D$726,0.8),5,D155&gt;=_xlfn.PERCENTILE.INC($D$2:$D$726,0.6),4,D155&gt;=_xlfn.PERCENTILE.INC($D$2:$D$726,0.4),3,D155&gt;=_xlfn.PERCENTILE.INC($D$2:$D$726,0.2),2,TRUE,1)</f>
        <v>3</v>
      </c>
      <c r="H155">
        <f t="shared" si="2"/>
        <v>8</v>
      </c>
      <c r="I155" t="str" cm="1">
        <f t="array" ref="I155">_xlfn.IFS(H155&gt;=13,"Best Customers",H155&gt;=10,"Loyal Customers",H155&gt;=7,"Potential Loyal Customers",H155&gt;=4,"Need Attention",TRUE,"At Risk")</f>
        <v>Potential Loyal Customers</v>
      </c>
    </row>
    <row r="156" spans="1:9" x14ac:dyDescent="0.25">
      <c r="A156" t="s">
        <v>1833</v>
      </c>
      <c r="B156" s="4">
        <v>388</v>
      </c>
      <c r="C156">
        <v>6</v>
      </c>
      <c r="D156">
        <v>325.39999999999998</v>
      </c>
      <c r="E156" cm="1">
        <f t="array" ref="E156">_xlfn.IFS(B156&lt;=_xlfn.PERCENTILE.INC($B$2:$B$726,0.2),5, B156&lt;=_xlfn.PERCENTILE.INC($B$2:$B$726,0.4),4,B156&lt;=_xlfn.PERCENTILE.INC($B$2:$B$726,0.6),3,B156&lt;=_xlfn.PERCENTILE.INC($B$2:$B$726,0.8),4,TRUE,1)</f>
        <v>5</v>
      </c>
      <c r="F156" cm="1">
        <f t="array" ref="F156">_xlfn.IFS(C156&gt;=_xlfn.PERCENTILE.INC($C$2:$C$726,0.8),5,C156&gt;=_xlfn.PERCENTILE.INC($C$2:$C$726,0.6),4,C156&gt;=_xlfn.PERCENTILE.INC($C$2:$C$726,0.4),3,C156&gt;=_xlfn.PERCENTILE.INC($C$2:$C$726,0.2),2,TRUE,1)</f>
        <v>4</v>
      </c>
      <c r="G156" cm="1">
        <f t="array" ref="G156">_xlfn.IFS(D156&gt;=_xlfn.PERCENTILE.INC($D$2:$D$726,0.8),5,D156&gt;=_xlfn.PERCENTILE.INC($D$2:$D$726,0.6),4,D156&gt;=_xlfn.PERCENTILE.INC($D$2:$D$726,0.4),3,D156&gt;=_xlfn.PERCENTILE.INC($D$2:$D$726,0.2),2,TRUE,1)</f>
        <v>4</v>
      </c>
      <c r="H156">
        <f t="shared" si="2"/>
        <v>13</v>
      </c>
      <c r="I156" t="str" cm="1">
        <f t="array" ref="I156">_xlfn.IFS(H156&gt;=13,"Best Customers",H156&gt;=10,"Loyal Customers",H156&gt;=7,"Potential Loyal Customers",H156&gt;=4,"Need Attention",TRUE,"At Risk")</f>
        <v>Best Customers</v>
      </c>
    </row>
    <row r="157" spans="1:9" x14ac:dyDescent="0.25">
      <c r="A157" t="s">
        <v>1390</v>
      </c>
      <c r="B157" s="4">
        <v>514</v>
      </c>
      <c r="C157">
        <v>9</v>
      </c>
      <c r="D157">
        <v>266.8</v>
      </c>
      <c r="E157" cm="1">
        <f t="array" ref="E157">_xlfn.IFS(B157&lt;=_xlfn.PERCENTILE.INC($B$2:$B$726,0.2),5, B157&lt;=_xlfn.PERCENTILE.INC($B$2:$B$726,0.4),4,B157&lt;=_xlfn.PERCENTILE.INC($B$2:$B$726,0.6),3,B157&lt;=_xlfn.PERCENTILE.INC($B$2:$B$726,0.8),4,TRUE,1)</f>
        <v>3</v>
      </c>
      <c r="F157" cm="1">
        <f t="array" ref="F157">_xlfn.IFS(C157&gt;=_xlfn.PERCENTILE.INC($C$2:$C$726,0.8),5,C157&gt;=_xlfn.PERCENTILE.INC($C$2:$C$726,0.6),4,C157&gt;=_xlfn.PERCENTILE.INC($C$2:$C$726,0.4),3,C157&gt;=_xlfn.PERCENTILE.INC($C$2:$C$726,0.2),2,TRUE,1)</f>
        <v>5</v>
      </c>
      <c r="G157" cm="1">
        <f t="array" ref="G157">_xlfn.IFS(D157&gt;=_xlfn.PERCENTILE.INC($D$2:$D$726,0.8),5,D157&gt;=_xlfn.PERCENTILE.INC($D$2:$D$726,0.6),4,D157&gt;=_xlfn.PERCENTILE.INC($D$2:$D$726,0.4),3,D157&gt;=_xlfn.PERCENTILE.INC($D$2:$D$726,0.2),2,TRUE,1)</f>
        <v>3</v>
      </c>
      <c r="H157">
        <f t="shared" si="2"/>
        <v>11</v>
      </c>
      <c r="I157" t="str" cm="1">
        <f t="array" ref="I157">_xlfn.IFS(H157&gt;=13,"Best Customers",H157&gt;=10,"Loyal Customers",H157&gt;=7,"Potential Loyal Customers",H157&gt;=4,"Need Attention",TRUE,"At Risk")</f>
        <v>Loyal Customers</v>
      </c>
    </row>
    <row r="158" spans="1:9" x14ac:dyDescent="0.25">
      <c r="A158" t="s">
        <v>3095</v>
      </c>
      <c r="B158" s="4">
        <v>432</v>
      </c>
      <c r="C158">
        <v>11</v>
      </c>
      <c r="D158">
        <v>548.79999999999995</v>
      </c>
      <c r="E158" cm="1">
        <f t="array" ref="E158">_xlfn.IFS(B158&lt;=_xlfn.PERCENTILE.INC($B$2:$B$726,0.2),5, B158&lt;=_xlfn.PERCENTILE.INC($B$2:$B$726,0.4),4,B158&lt;=_xlfn.PERCENTILE.INC($B$2:$B$726,0.6),3,B158&lt;=_xlfn.PERCENTILE.INC($B$2:$B$726,0.8),4,TRUE,1)</f>
        <v>4</v>
      </c>
      <c r="F158" cm="1">
        <f t="array" ref="F158">_xlfn.IFS(C158&gt;=_xlfn.PERCENTILE.INC($C$2:$C$726,0.8),5,C158&gt;=_xlfn.PERCENTILE.INC($C$2:$C$726,0.6),4,C158&gt;=_xlfn.PERCENTILE.INC($C$2:$C$726,0.4),3,C158&gt;=_xlfn.PERCENTILE.INC($C$2:$C$726,0.2),2,TRUE,1)</f>
        <v>5</v>
      </c>
      <c r="G158" cm="1">
        <f t="array" ref="G158">_xlfn.IFS(D158&gt;=_xlfn.PERCENTILE.INC($D$2:$D$726,0.8),5,D158&gt;=_xlfn.PERCENTILE.INC($D$2:$D$726,0.6),4,D158&gt;=_xlfn.PERCENTILE.INC($D$2:$D$726,0.4),3,D158&gt;=_xlfn.PERCENTILE.INC($D$2:$D$726,0.2),2,TRUE,1)</f>
        <v>5</v>
      </c>
      <c r="H158">
        <f t="shared" si="2"/>
        <v>14</v>
      </c>
      <c r="I158" t="str" cm="1">
        <f t="array" ref="I158">_xlfn.IFS(H158&gt;=13,"Best Customers",H158&gt;=10,"Loyal Customers",H158&gt;=7,"Potential Loyal Customers",H158&gt;=4,"Need Attention",TRUE,"At Risk")</f>
        <v>Best Customers</v>
      </c>
    </row>
    <row r="159" spans="1:9" x14ac:dyDescent="0.25">
      <c r="A159" t="s">
        <v>1594</v>
      </c>
      <c r="B159" s="4">
        <v>655</v>
      </c>
      <c r="C159">
        <v>11</v>
      </c>
      <c r="D159">
        <v>676.6</v>
      </c>
      <c r="E159" cm="1">
        <f t="array" ref="E159">_xlfn.IFS(B159&lt;=_xlfn.PERCENTILE.INC($B$2:$B$726,0.2),5, B159&lt;=_xlfn.PERCENTILE.INC($B$2:$B$726,0.4),4,B159&lt;=_xlfn.PERCENTILE.INC($B$2:$B$726,0.6),3,B159&lt;=_xlfn.PERCENTILE.INC($B$2:$B$726,0.8),4,TRUE,1)</f>
        <v>4</v>
      </c>
      <c r="F159" cm="1">
        <f t="array" ref="F159">_xlfn.IFS(C159&gt;=_xlfn.PERCENTILE.INC($C$2:$C$726,0.8),5,C159&gt;=_xlfn.PERCENTILE.INC($C$2:$C$726,0.6),4,C159&gt;=_xlfn.PERCENTILE.INC($C$2:$C$726,0.4),3,C159&gt;=_xlfn.PERCENTILE.INC($C$2:$C$726,0.2),2,TRUE,1)</f>
        <v>5</v>
      </c>
      <c r="G159" cm="1">
        <f t="array" ref="G159">_xlfn.IFS(D159&gt;=_xlfn.PERCENTILE.INC($D$2:$D$726,0.8),5,D159&gt;=_xlfn.PERCENTILE.INC($D$2:$D$726,0.6),4,D159&gt;=_xlfn.PERCENTILE.INC($D$2:$D$726,0.4),3,D159&gt;=_xlfn.PERCENTILE.INC($D$2:$D$726,0.2),2,TRUE,1)</f>
        <v>5</v>
      </c>
      <c r="H159">
        <f t="shared" si="2"/>
        <v>14</v>
      </c>
      <c r="I159" t="str" cm="1">
        <f t="array" ref="I159">_xlfn.IFS(H159&gt;=13,"Best Customers",H159&gt;=10,"Loyal Customers",H159&gt;=7,"Potential Loyal Customers",H159&gt;=4,"Need Attention",TRUE,"At Risk")</f>
        <v>Best Customers</v>
      </c>
    </row>
    <row r="160" spans="1:9" x14ac:dyDescent="0.25">
      <c r="A160" t="s">
        <v>1071</v>
      </c>
      <c r="B160" s="4">
        <v>408</v>
      </c>
      <c r="C160">
        <v>11</v>
      </c>
      <c r="D160">
        <v>641.9</v>
      </c>
      <c r="E160" cm="1">
        <f t="array" ref="E160">_xlfn.IFS(B160&lt;=_xlfn.PERCENTILE.INC($B$2:$B$726,0.2),5, B160&lt;=_xlfn.PERCENTILE.INC($B$2:$B$726,0.4),4,B160&lt;=_xlfn.PERCENTILE.INC($B$2:$B$726,0.6),3,B160&lt;=_xlfn.PERCENTILE.INC($B$2:$B$726,0.8),4,TRUE,1)</f>
        <v>4</v>
      </c>
      <c r="F160" cm="1">
        <f t="array" ref="F160">_xlfn.IFS(C160&gt;=_xlfn.PERCENTILE.INC($C$2:$C$726,0.8),5,C160&gt;=_xlfn.PERCENTILE.INC($C$2:$C$726,0.6),4,C160&gt;=_xlfn.PERCENTILE.INC($C$2:$C$726,0.4),3,C160&gt;=_xlfn.PERCENTILE.INC($C$2:$C$726,0.2),2,TRUE,1)</f>
        <v>5</v>
      </c>
      <c r="G160" cm="1">
        <f t="array" ref="G160">_xlfn.IFS(D160&gt;=_xlfn.PERCENTILE.INC($D$2:$D$726,0.8),5,D160&gt;=_xlfn.PERCENTILE.INC($D$2:$D$726,0.6),4,D160&gt;=_xlfn.PERCENTILE.INC($D$2:$D$726,0.4),3,D160&gt;=_xlfn.PERCENTILE.INC($D$2:$D$726,0.2),2,TRUE,1)</f>
        <v>5</v>
      </c>
      <c r="H160">
        <f t="shared" si="2"/>
        <v>14</v>
      </c>
      <c r="I160" t="str" cm="1">
        <f t="array" ref="I160">_xlfn.IFS(H160&gt;=13,"Best Customers",H160&gt;=10,"Loyal Customers",H160&gt;=7,"Potential Loyal Customers",H160&gt;=4,"Need Attention",TRUE,"At Risk")</f>
        <v>Best Customers</v>
      </c>
    </row>
    <row r="161" spans="1:9" x14ac:dyDescent="0.25">
      <c r="A161" t="s">
        <v>1640</v>
      </c>
      <c r="B161" s="4">
        <v>871</v>
      </c>
      <c r="C161">
        <v>4</v>
      </c>
      <c r="D161">
        <v>196.5</v>
      </c>
      <c r="E161" cm="1">
        <f t="array" ref="E161">_xlfn.IFS(B161&lt;=_xlfn.PERCENTILE.INC($B$2:$B$726,0.2),5, B161&lt;=_xlfn.PERCENTILE.INC($B$2:$B$726,0.4),4,B161&lt;=_xlfn.PERCENTILE.INC($B$2:$B$726,0.6),3,B161&lt;=_xlfn.PERCENTILE.INC($B$2:$B$726,0.8),4,TRUE,1)</f>
        <v>1</v>
      </c>
      <c r="F161" cm="1">
        <f t="array" ref="F161">_xlfn.IFS(C161&gt;=_xlfn.PERCENTILE.INC($C$2:$C$726,0.8),5,C161&gt;=_xlfn.PERCENTILE.INC($C$2:$C$726,0.6),4,C161&gt;=_xlfn.PERCENTILE.INC($C$2:$C$726,0.4),3,C161&gt;=_xlfn.PERCENTILE.INC($C$2:$C$726,0.2),2,TRUE,1)</f>
        <v>2</v>
      </c>
      <c r="G161" cm="1">
        <f t="array" ref="G161">_xlfn.IFS(D161&gt;=_xlfn.PERCENTILE.INC($D$2:$D$726,0.8),5,D161&gt;=_xlfn.PERCENTILE.INC($D$2:$D$726,0.6),4,D161&gt;=_xlfn.PERCENTILE.INC($D$2:$D$726,0.4),3,D161&gt;=_xlfn.PERCENTILE.INC($D$2:$D$726,0.2),2,TRUE,1)</f>
        <v>2</v>
      </c>
      <c r="H161">
        <f t="shared" si="2"/>
        <v>5</v>
      </c>
      <c r="I161" t="str" cm="1">
        <f t="array" ref="I161">_xlfn.IFS(H161&gt;=13,"Best Customers",H161&gt;=10,"Loyal Customers",H161&gt;=7,"Potential Loyal Customers",H161&gt;=4,"Need Attention",TRUE,"At Risk")</f>
        <v>Need Attention</v>
      </c>
    </row>
    <row r="162" spans="1:9" x14ac:dyDescent="0.25">
      <c r="A162" t="s">
        <v>2332</v>
      </c>
      <c r="B162" s="4">
        <v>640</v>
      </c>
      <c r="C162">
        <v>4</v>
      </c>
      <c r="D162">
        <v>107.3</v>
      </c>
      <c r="E162" cm="1">
        <f t="array" ref="E162">_xlfn.IFS(B162&lt;=_xlfn.PERCENTILE.INC($B$2:$B$726,0.2),5, B162&lt;=_xlfn.PERCENTILE.INC($B$2:$B$726,0.4),4,B162&lt;=_xlfn.PERCENTILE.INC($B$2:$B$726,0.6),3,B162&lt;=_xlfn.PERCENTILE.INC($B$2:$B$726,0.8),4,TRUE,1)</f>
        <v>4</v>
      </c>
      <c r="F162" cm="1">
        <f t="array" ref="F162">_xlfn.IFS(C162&gt;=_xlfn.PERCENTILE.INC($C$2:$C$726,0.8),5,C162&gt;=_xlfn.PERCENTILE.INC($C$2:$C$726,0.6),4,C162&gt;=_xlfn.PERCENTILE.INC($C$2:$C$726,0.4),3,C162&gt;=_xlfn.PERCENTILE.INC($C$2:$C$726,0.2),2,TRUE,1)</f>
        <v>2</v>
      </c>
      <c r="G162" cm="1">
        <f t="array" ref="G162">_xlfn.IFS(D162&gt;=_xlfn.PERCENTILE.INC($D$2:$D$726,0.8),5,D162&gt;=_xlfn.PERCENTILE.INC($D$2:$D$726,0.6),4,D162&gt;=_xlfn.PERCENTILE.INC($D$2:$D$726,0.4),3,D162&gt;=_xlfn.PERCENTILE.INC($D$2:$D$726,0.2),2,TRUE,1)</f>
        <v>1</v>
      </c>
      <c r="H162">
        <f t="shared" si="2"/>
        <v>7</v>
      </c>
      <c r="I162" t="str" cm="1">
        <f t="array" ref="I162">_xlfn.IFS(H162&gt;=13,"Best Customers",H162&gt;=10,"Loyal Customers",H162&gt;=7,"Potential Loyal Customers",H162&gt;=4,"Need Attention",TRUE,"At Risk")</f>
        <v>Potential Loyal Customers</v>
      </c>
    </row>
    <row r="163" spans="1:9" x14ac:dyDescent="0.25">
      <c r="A163" t="s">
        <v>2378</v>
      </c>
      <c r="B163" s="4">
        <v>550</v>
      </c>
      <c r="C163">
        <v>5</v>
      </c>
      <c r="D163">
        <v>128.30000000000001</v>
      </c>
      <c r="E163" cm="1">
        <f t="array" ref="E163">_xlfn.IFS(B163&lt;=_xlfn.PERCENTILE.INC($B$2:$B$726,0.2),5, B163&lt;=_xlfn.PERCENTILE.INC($B$2:$B$726,0.4),4,B163&lt;=_xlfn.PERCENTILE.INC($B$2:$B$726,0.6),3,B163&lt;=_xlfn.PERCENTILE.INC($B$2:$B$726,0.8),4,TRUE,1)</f>
        <v>3</v>
      </c>
      <c r="F163" cm="1">
        <f t="array" ref="F163">_xlfn.IFS(C163&gt;=_xlfn.PERCENTILE.INC($C$2:$C$726,0.8),5,C163&gt;=_xlfn.PERCENTILE.INC($C$2:$C$726,0.6),4,C163&gt;=_xlfn.PERCENTILE.INC($C$2:$C$726,0.4),3,C163&gt;=_xlfn.PERCENTILE.INC($C$2:$C$726,0.2),2,TRUE,1)</f>
        <v>3</v>
      </c>
      <c r="G163" cm="1">
        <f t="array" ref="G163">_xlfn.IFS(D163&gt;=_xlfn.PERCENTILE.INC($D$2:$D$726,0.8),5,D163&gt;=_xlfn.PERCENTILE.INC($D$2:$D$726,0.6),4,D163&gt;=_xlfn.PERCENTILE.INC($D$2:$D$726,0.4),3,D163&gt;=_xlfn.PERCENTILE.INC($D$2:$D$726,0.2),2,TRUE,1)</f>
        <v>1</v>
      </c>
      <c r="H163">
        <f t="shared" si="2"/>
        <v>7</v>
      </c>
      <c r="I163" t="str" cm="1">
        <f t="array" ref="I163">_xlfn.IFS(H163&gt;=13,"Best Customers",H163&gt;=10,"Loyal Customers",H163&gt;=7,"Potential Loyal Customers",H163&gt;=4,"Need Attention",TRUE,"At Risk")</f>
        <v>Potential Loyal Customers</v>
      </c>
    </row>
    <row r="164" spans="1:9" x14ac:dyDescent="0.25">
      <c r="A164" t="s">
        <v>760</v>
      </c>
      <c r="B164" s="4">
        <v>756</v>
      </c>
      <c r="C164">
        <v>4</v>
      </c>
      <c r="D164">
        <v>151.19999999999999</v>
      </c>
      <c r="E164" cm="1">
        <f t="array" ref="E164">_xlfn.IFS(B164&lt;=_xlfn.PERCENTILE.INC($B$2:$B$726,0.2),5, B164&lt;=_xlfn.PERCENTILE.INC($B$2:$B$726,0.4),4,B164&lt;=_xlfn.PERCENTILE.INC($B$2:$B$726,0.6),3,B164&lt;=_xlfn.PERCENTILE.INC($B$2:$B$726,0.8),4,TRUE,1)</f>
        <v>1</v>
      </c>
      <c r="F164" cm="1">
        <f t="array" ref="F164">_xlfn.IFS(C164&gt;=_xlfn.PERCENTILE.INC($C$2:$C$726,0.8),5,C164&gt;=_xlfn.PERCENTILE.INC($C$2:$C$726,0.6),4,C164&gt;=_xlfn.PERCENTILE.INC($C$2:$C$726,0.4),3,C164&gt;=_xlfn.PERCENTILE.INC($C$2:$C$726,0.2),2,TRUE,1)</f>
        <v>2</v>
      </c>
      <c r="G164" cm="1">
        <f t="array" ref="G164">_xlfn.IFS(D164&gt;=_xlfn.PERCENTILE.INC($D$2:$D$726,0.8),5,D164&gt;=_xlfn.PERCENTILE.INC($D$2:$D$726,0.6),4,D164&gt;=_xlfn.PERCENTILE.INC($D$2:$D$726,0.4),3,D164&gt;=_xlfn.PERCENTILE.INC($D$2:$D$726,0.2),2,TRUE,1)</f>
        <v>1</v>
      </c>
      <c r="H164">
        <f t="shared" si="2"/>
        <v>4</v>
      </c>
      <c r="I164" t="str" cm="1">
        <f t="array" ref="I164">_xlfn.IFS(H164&gt;=13,"Best Customers",H164&gt;=10,"Loyal Customers",H164&gt;=7,"Potential Loyal Customers",H164&gt;=4,"Need Attention",TRUE,"At Risk")</f>
        <v>Need Attention</v>
      </c>
    </row>
    <row r="165" spans="1:9" x14ac:dyDescent="0.25">
      <c r="A165" t="s">
        <v>962</v>
      </c>
      <c r="B165" s="4">
        <v>722</v>
      </c>
      <c r="C165">
        <v>4</v>
      </c>
      <c r="D165">
        <v>141.9</v>
      </c>
      <c r="E165" cm="1">
        <f t="array" ref="E165">_xlfn.IFS(B165&lt;=_xlfn.PERCENTILE.INC($B$2:$B$726,0.2),5, B165&lt;=_xlfn.PERCENTILE.INC($B$2:$B$726,0.4),4,B165&lt;=_xlfn.PERCENTILE.INC($B$2:$B$726,0.6),3,B165&lt;=_xlfn.PERCENTILE.INC($B$2:$B$726,0.8),4,TRUE,1)</f>
        <v>4</v>
      </c>
      <c r="F165" cm="1">
        <f t="array" ref="F165">_xlfn.IFS(C165&gt;=_xlfn.PERCENTILE.INC($C$2:$C$726,0.8),5,C165&gt;=_xlfn.PERCENTILE.INC($C$2:$C$726,0.6),4,C165&gt;=_xlfn.PERCENTILE.INC($C$2:$C$726,0.4),3,C165&gt;=_xlfn.PERCENTILE.INC($C$2:$C$726,0.2),2,TRUE,1)</f>
        <v>2</v>
      </c>
      <c r="G165" cm="1">
        <f t="array" ref="G165">_xlfn.IFS(D165&gt;=_xlfn.PERCENTILE.INC($D$2:$D$726,0.8),5,D165&gt;=_xlfn.PERCENTILE.INC($D$2:$D$726,0.6),4,D165&gt;=_xlfn.PERCENTILE.INC($D$2:$D$726,0.4),3,D165&gt;=_xlfn.PERCENTILE.INC($D$2:$D$726,0.2),2,TRUE,1)</f>
        <v>1</v>
      </c>
      <c r="H165">
        <f t="shared" si="2"/>
        <v>7</v>
      </c>
      <c r="I165" t="str" cm="1">
        <f t="array" ref="I165">_xlfn.IFS(H165&gt;=13,"Best Customers",H165&gt;=10,"Loyal Customers",H165&gt;=7,"Potential Loyal Customers",H165&gt;=4,"Need Attention",TRUE,"At Risk")</f>
        <v>Potential Loyal Customers</v>
      </c>
    </row>
    <row r="166" spans="1:9" x14ac:dyDescent="0.25">
      <c r="A166" t="s">
        <v>3115</v>
      </c>
      <c r="B166" s="4">
        <v>1078</v>
      </c>
      <c r="C166">
        <v>4</v>
      </c>
      <c r="D166">
        <v>58.800000000000004</v>
      </c>
      <c r="E166" cm="1">
        <f t="array" ref="E166">_xlfn.IFS(B166&lt;=_xlfn.PERCENTILE.INC($B$2:$B$726,0.2),5, B166&lt;=_xlfn.PERCENTILE.INC($B$2:$B$726,0.4),4,B166&lt;=_xlfn.PERCENTILE.INC($B$2:$B$726,0.6),3,B166&lt;=_xlfn.PERCENTILE.INC($B$2:$B$726,0.8),4,TRUE,1)</f>
        <v>1</v>
      </c>
      <c r="F166" cm="1">
        <f t="array" ref="F166">_xlfn.IFS(C166&gt;=_xlfn.PERCENTILE.INC($C$2:$C$726,0.8),5,C166&gt;=_xlfn.PERCENTILE.INC($C$2:$C$726,0.6),4,C166&gt;=_xlfn.PERCENTILE.INC($C$2:$C$726,0.4),3,C166&gt;=_xlfn.PERCENTILE.INC($C$2:$C$726,0.2),2,TRUE,1)</f>
        <v>2</v>
      </c>
      <c r="G166" cm="1">
        <f t="array" ref="G166">_xlfn.IFS(D166&gt;=_xlfn.PERCENTILE.INC($D$2:$D$726,0.8),5,D166&gt;=_xlfn.PERCENTILE.INC($D$2:$D$726,0.6),4,D166&gt;=_xlfn.PERCENTILE.INC($D$2:$D$726,0.4),3,D166&gt;=_xlfn.PERCENTILE.INC($D$2:$D$726,0.2),2,TRUE,1)</f>
        <v>1</v>
      </c>
      <c r="H166">
        <f t="shared" si="2"/>
        <v>4</v>
      </c>
      <c r="I166" t="str" cm="1">
        <f t="array" ref="I166">_xlfn.IFS(H166&gt;=13,"Best Customers",H166&gt;=10,"Loyal Customers",H166&gt;=7,"Potential Loyal Customers",H166&gt;=4,"Need Attention",TRUE,"At Risk")</f>
        <v>Need Attention</v>
      </c>
    </row>
    <row r="167" spans="1:9" x14ac:dyDescent="0.25">
      <c r="A167" t="s">
        <v>1345</v>
      </c>
      <c r="B167" s="4">
        <v>731</v>
      </c>
      <c r="C167">
        <v>5</v>
      </c>
      <c r="D167">
        <v>377.3</v>
      </c>
      <c r="E167" cm="1">
        <f t="array" ref="E167">_xlfn.IFS(B167&lt;=_xlfn.PERCENTILE.INC($B$2:$B$726,0.2),5, B167&lt;=_xlfn.PERCENTILE.INC($B$2:$B$726,0.4),4,B167&lt;=_xlfn.PERCENTILE.INC($B$2:$B$726,0.6),3,B167&lt;=_xlfn.PERCENTILE.INC($B$2:$B$726,0.8),4,TRUE,1)</f>
        <v>4</v>
      </c>
      <c r="F167" cm="1">
        <f t="array" ref="F167">_xlfn.IFS(C167&gt;=_xlfn.PERCENTILE.INC($C$2:$C$726,0.8),5,C167&gt;=_xlfn.PERCENTILE.INC($C$2:$C$726,0.6),4,C167&gt;=_xlfn.PERCENTILE.INC($C$2:$C$726,0.4),3,C167&gt;=_xlfn.PERCENTILE.INC($C$2:$C$726,0.2),2,TRUE,1)</f>
        <v>3</v>
      </c>
      <c r="G167" cm="1">
        <f t="array" ref="G167">_xlfn.IFS(D167&gt;=_xlfn.PERCENTILE.INC($D$2:$D$726,0.8),5,D167&gt;=_xlfn.PERCENTILE.INC($D$2:$D$726,0.6),4,D167&gt;=_xlfn.PERCENTILE.INC($D$2:$D$726,0.4),3,D167&gt;=_xlfn.PERCENTILE.INC($D$2:$D$726,0.2),2,TRUE,1)</f>
        <v>4</v>
      </c>
      <c r="H167">
        <f t="shared" si="2"/>
        <v>11</v>
      </c>
      <c r="I167" t="str" cm="1">
        <f t="array" ref="I167">_xlfn.IFS(H167&gt;=13,"Best Customers",H167&gt;=10,"Loyal Customers",H167&gt;=7,"Potential Loyal Customers",H167&gt;=4,"Need Attention",TRUE,"At Risk")</f>
        <v>Loyal Customers</v>
      </c>
    </row>
    <row r="168" spans="1:9" x14ac:dyDescent="0.25">
      <c r="A168" t="s">
        <v>487</v>
      </c>
      <c r="B168" s="4">
        <v>336</v>
      </c>
      <c r="C168">
        <v>8</v>
      </c>
      <c r="D168">
        <v>325</v>
      </c>
      <c r="E168" cm="1">
        <f t="array" ref="E168">_xlfn.IFS(B168&lt;=_xlfn.PERCENTILE.INC($B$2:$B$726,0.2),5, B168&lt;=_xlfn.PERCENTILE.INC($B$2:$B$726,0.4),4,B168&lt;=_xlfn.PERCENTILE.INC($B$2:$B$726,0.6),3,B168&lt;=_xlfn.PERCENTILE.INC($B$2:$B$726,0.8),4,TRUE,1)</f>
        <v>5</v>
      </c>
      <c r="F168" cm="1">
        <f t="array" ref="F168">_xlfn.IFS(C168&gt;=_xlfn.PERCENTILE.INC($C$2:$C$726,0.8),5,C168&gt;=_xlfn.PERCENTILE.INC($C$2:$C$726,0.6),4,C168&gt;=_xlfn.PERCENTILE.INC($C$2:$C$726,0.4),3,C168&gt;=_xlfn.PERCENTILE.INC($C$2:$C$726,0.2),2,TRUE,1)</f>
        <v>5</v>
      </c>
      <c r="G168" cm="1">
        <f t="array" ref="G168">_xlfn.IFS(D168&gt;=_xlfn.PERCENTILE.INC($D$2:$D$726,0.8),5,D168&gt;=_xlfn.PERCENTILE.INC($D$2:$D$726,0.6),4,D168&gt;=_xlfn.PERCENTILE.INC($D$2:$D$726,0.4),3,D168&gt;=_xlfn.PERCENTILE.INC($D$2:$D$726,0.2),2,TRUE,1)</f>
        <v>4</v>
      </c>
      <c r="H168">
        <f t="shared" si="2"/>
        <v>14</v>
      </c>
      <c r="I168" t="str" cm="1">
        <f t="array" ref="I168">_xlfn.IFS(H168&gt;=13,"Best Customers",H168&gt;=10,"Loyal Customers",H168&gt;=7,"Potential Loyal Customers",H168&gt;=4,"Need Attention",TRUE,"At Risk")</f>
        <v>Best Customers</v>
      </c>
    </row>
    <row r="169" spans="1:9" x14ac:dyDescent="0.25">
      <c r="A169" t="s">
        <v>2687</v>
      </c>
      <c r="B169" s="4">
        <v>393</v>
      </c>
      <c r="C169">
        <v>8</v>
      </c>
      <c r="D169">
        <v>354</v>
      </c>
      <c r="E169" cm="1">
        <f t="array" ref="E169">_xlfn.IFS(B169&lt;=_xlfn.PERCENTILE.INC($B$2:$B$726,0.2),5, B169&lt;=_xlfn.PERCENTILE.INC($B$2:$B$726,0.4),4,B169&lt;=_xlfn.PERCENTILE.INC($B$2:$B$726,0.6),3,B169&lt;=_xlfn.PERCENTILE.INC($B$2:$B$726,0.8),4,TRUE,1)</f>
        <v>4</v>
      </c>
      <c r="F169" cm="1">
        <f t="array" ref="F169">_xlfn.IFS(C169&gt;=_xlfn.PERCENTILE.INC($C$2:$C$726,0.8),5,C169&gt;=_xlfn.PERCENTILE.INC($C$2:$C$726,0.6),4,C169&gt;=_xlfn.PERCENTILE.INC($C$2:$C$726,0.4),3,C169&gt;=_xlfn.PERCENTILE.INC($C$2:$C$726,0.2),2,TRUE,1)</f>
        <v>5</v>
      </c>
      <c r="G169" cm="1">
        <f t="array" ref="G169">_xlfn.IFS(D169&gt;=_xlfn.PERCENTILE.INC($D$2:$D$726,0.8),5,D169&gt;=_xlfn.PERCENTILE.INC($D$2:$D$726,0.6),4,D169&gt;=_xlfn.PERCENTILE.INC($D$2:$D$726,0.4),3,D169&gt;=_xlfn.PERCENTILE.INC($D$2:$D$726,0.2),2,TRUE,1)</f>
        <v>4</v>
      </c>
      <c r="H169">
        <f t="shared" si="2"/>
        <v>13</v>
      </c>
      <c r="I169" t="str" cm="1">
        <f t="array" ref="I169">_xlfn.IFS(H169&gt;=13,"Best Customers",H169&gt;=10,"Loyal Customers",H169&gt;=7,"Potential Loyal Customers",H169&gt;=4,"Need Attention",TRUE,"At Risk")</f>
        <v>Best Customers</v>
      </c>
    </row>
    <row r="170" spans="1:9" x14ac:dyDescent="0.25">
      <c r="A170" t="s">
        <v>2296</v>
      </c>
      <c r="B170" s="4">
        <v>825</v>
      </c>
      <c r="C170">
        <v>7</v>
      </c>
      <c r="D170">
        <v>355.9</v>
      </c>
      <c r="E170" cm="1">
        <f t="array" ref="E170">_xlfn.IFS(B170&lt;=_xlfn.PERCENTILE.INC($B$2:$B$726,0.2),5, B170&lt;=_xlfn.PERCENTILE.INC($B$2:$B$726,0.4),4,B170&lt;=_xlfn.PERCENTILE.INC($B$2:$B$726,0.6),3,B170&lt;=_xlfn.PERCENTILE.INC($B$2:$B$726,0.8),4,TRUE,1)</f>
        <v>1</v>
      </c>
      <c r="F170" cm="1">
        <f t="array" ref="F170">_xlfn.IFS(C170&gt;=_xlfn.PERCENTILE.INC($C$2:$C$726,0.8),5,C170&gt;=_xlfn.PERCENTILE.INC($C$2:$C$726,0.6),4,C170&gt;=_xlfn.PERCENTILE.INC($C$2:$C$726,0.4),3,C170&gt;=_xlfn.PERCENTILE.INC($C$2:$C$726,0.2),2,TRUE,1)</f>
        <v>4</v>
      </c>
      <c r="G170" cm="1">
        <f t="array" ref="G170">_xlfn.IFS(D170&gt;=_xlfn.PERCENTILE.INC($D$2:$D$726,0.8),5,D170&gt;=_xlfn.PERCENTILE.INC($D$2:$D$726,0.6),4,D170&gt;=_xlfn.PERCENTILE.INC($D$2:$D$726,0.4),3,D170&gt;=_xlfn.PERCENTILE.INC($D$2:$D$726,0.2),2,TRUE,1)</f>
        <v>4</v>
      </c>
      <c r="H170">
        <f t="shared" si="2"/>
        <v>9</v>
      </c>
      <c r="I170" t="str" cm="1">
        <f t="array" ref="I170">_xlfn.IFS(H170&gt;=13,"Best Customers",H170&gt;=10,"Loyal Customers",H170&gt;=7,"Potential Loyal Customers",H170&gt;=4,"Need Attention",TRUE,"At Risk")</f>
        <v>Potential Loyal Customers</v>
      </c>
    </row>
    <row r="171" spans="1:9" x14ac:dyDescent="0.25">
      <c r="A171" t="s">
        <v>2992</v>
      </c>
      <c r="B171" s="4">
        <v>381</v>
      </c>
      <c r="C171">
        <v>9</v>
      </c>
      <c r="D171">
        <v>317.10000000000002</v>
      </c>
      <c r="E171" cm="1">
        <f t="array" ref="E171">_xlfn.IFS(B171&lt;=_xlfn.PERCENTILE.INC($B$2:$B$726,0.2),5, B171&lt;=_xlfn.PERCENTILE.INC($B$2:$B$726,0.4),4,B171&lt;=_xlfn.PERCENTILE.INC($B$2:$B$726,0.6),3,B171&lt;=_xlfn.PERCENTILE.INC($B$2:$B$726,0.8),4,TRUE,1)</f>
        <v>5</v>
      </c>
      <c r="F171" cm="1">
        <f t="array" ref="F171">_xlfn.IFS(C171&gt;=_xlfn.PERCENTILE.INC($C$2:$C$726,0.8),5,C171&gt;=_xlfn.PERCENTILE.INC($C$2:$C$726,0.6),4,C171&gt;=_xlfn.PERCENTILE.INC($C$2:$C$726,0.4),3,C171&gt;=_xlfn.PERCENTILE.INC($C$2:$C$726,0.2),2,TRUE,1)</f>
        <v>5</v>
      </c>
      <c r="G171" cm="1">
        <f t="array" ref="G171">_xlfn.IFS(D171&gt;=_xlfn.PERCENTILE.INC($D$2:$D$726,0.8),5,D171&gt;=_xlfn.PERCENTILE.INC($D$2:$D$726,0.6),4,D171&gt;=_xlfn.PERCENTILE.INC($D$2:$D$726,0.4),3,D171&gt;=_xlfn.PERCENTILE.INC($D$2:$D$726,0.2),2,TRUE,1)</f>
        <v>4</v>
      </c>
      <c r="H171">
        <f t="shared" si="2"/>
        <v>14</v>
      </c>
      <c r="I171" t="str" cm="1">
        <f t="array" ref="I171">_xlfn.IFS(H171&gt;=13,"Best Customers",H171&gt;=10,"Loyal Customers",H171&gt;=7,"Potential Loyal Customers",H171&gt;=4,"Need Attention",TRUE,"At Risk")</f>
        <v>Best Customers</v>
      </c>
    </row>
    <row r="172" spans="1:9" x14ac:dyDescent="0.25">
      <c r="A172" t="s">
        <v>2059</v>
      </c>
      <c r="B172" s="4">
        <v>533</v>
      </c>
      <c r="C172">
        <v>6</v>
      </c>
      <c r="D172">
        <v>194.60000000000002</v>
      </c>
      <c r="E172" cm="1">
        <f t="array" ref="E172">_xlfn.IFS(B172&lt;=_xlfn.PERCENTILE.INC($B$2:$B$726,0.2),5, B172&lt;=_xlfn.PERCENTILE.INC($B$2:$B$726,0.4),4,B172&lt;=_xlfn.PERCENTILE.INC($B$2:$B$726,0.6),3,B172&lt;=_xlfn.PERCENTILE.INC($B$2:$B$726,0.8),4,TRUE,1)</f>
        <v>3</v>
      </c>
      <c r="F172" cm="1">
        <f t="array" ref="F172">_xlfn.IFS(C172&gt;=_xlfn.PERCENTILE.INC($C$2:$C$726,0.8),5,C172&gt;=_xlfn.PERCENTILE.INC($C$2:$C$726,0.6),4,C172&gt;=_xlfn.PERCENTILE.INC($C$2:$C$726,0.4),3,C172&gt;=_xlfn.PERCENTILE.INC($C$2:$C$726,0.2),2,TRUE,1)</f>
        <v>4</v>
      </c>
      <c r="G172" cm="1">
        <f t="array" ref="G172">_xlfn.IFS(D172&gt;=_xlfn.PERCENTILE.INC($D$2:$D$726,0.8),5,D172&gt;=_xlfn.PERCENTILE.INC($D$2:$D$726,0.6),4,D172&gt;=_xlfn.PERCENTILE.INC($D$2:$D$726,0.4),3,D172&gt;=_xlfn.PERCENTILE.INC($D$2:$D$726,0.2),2,TRUE,1)</f>
        <v>2</v>
      </c>
      <c r="H172">
        <f t="shared" si="2"/>
        <v>9</v>
      </c>
      <c r="I172" t="str" cm="1">
        <f t="array" ref="I172">_xlfn.IFS(H172&gt;=13,"Best Customers",H172&gt;=10,"Loyal Customers",H172&gt;=7,"Potential Loyal Customers",H172&gt;=4,"Need Attention",TRUE,"At Risk")</f>
        <v>Potential Loyal Customers</v>
      </c>
    </row>
    <row r="173" spans="1:9" x14ac:dyDescent="0.25">
      <c r="A173" t="s">
        <v>2506</v>
      </c>
      <c r="B173" s="4">
        <v>451</v>
      </c>
      <c r="C173">
        <v>5</v>
      </c>
      <c r="D173">
        <v>101.5</v>
      </c>
      <c r="E173" cm="1">
        <f t="array" ref="E173">_xlfn.IFS(B173&lt;=_xlfn.PERCENTILE.INC($B$2:$B$726,0.2),5, B173&lt;=_xlfn.PERCENTILE.INC($B$2:$B$726,0.4),4,B173&lt;=_xlfn.PERCENTILE.INC($B$2:$B$726,0.6),3,B173&lt;=_xlfn.PERCENTILE.INC($B$2:$B$726,0.8),4,TRUE,1)</f>
        <v>4</v>
      </c>
      <c r="F173" cm="1">
        <f t="array" ref="F173">_xlfn.IFS(C173&gt;=_xlfn.PERCENTILE.INC($C$2:$C$726,0.8),5,C173&gt;=_xlfn.PERCENTILE.INC($C$2:$C$726,0.6),4,C173&gt;=_xlfn.PERCENTILE.INC($C$2:$C$726,0.4),3,C173&gt;=_xlfn.PERCENTILE.INC($C$2:$C$726,0.2),2,TRUE,1)</f>
        <v>3</v>
      </c>
      <c r="G173" cm="1">
        <f t="array" ref="G173">_xlfn.IFS(D173&gt;=_xlfn.PERCENTILE.INC($D$2:$D$726,0.8),5,D173&gt;=_xlfn.PERCENTILE.INC($D$2:$D$726,0.6),4,D173&gt;=_xlfn.PERCENTILE.INC($D$2:$D$726,0.4),3,D173&gt;=_xlfn.PERCENTILE.INC($D$2:$D$726,0.2),2,TRUE,1)</f>
        <v>1</v>
      </c>
      <c r="H173">
        <f t="shared" si="2"/>
        <v>8</v>
      </c>
      <c r="I173" t="str" cm="1">
        <f t="array" ref="I173">_xlfn.IFS(H173&gt;=13,"Best Customers",H173&gt;=10,"Loyal Customers",H173&gt;=7,"Potential Loyal Customers",H173&gt;=4,"Need Attention",TRUE,"At Risk")</f>
        <v>Potential Loyal Customers</v>
      </c>
    </row>
    <row r="174" spans="1:9" x14ac:dyDescent="0.25">
      <c r="A174" t="s">
        <v>2162</v>
      </c>
      <c r="B174" s="4">
        <v>407</v>
      </c>
      <c r="C174">
        <v>4</v>
      </c>
      <c r="D174">
        <v>243.6</v>
      </c>
      <c r="E174" cm="1">
        <f t="array" ref="E174">_xlfn.IFS(B174&lt;=_xlfn.PERCENTILE.INC($B$2:$B$726,0.2),5, B174&lt;=_xlfn.PERCENTILE.INC($B$2:$B$726,0.4),4,B174&lt;=_xlfn.PERCENTILE.INC($B$2:$B$726,0.6),3,B174&lt;=_xlfn.PERCENTILE.INC($B$2:$B$726,0.8),4,TRUE,1)</f>
        <v>4</v>
      </c>
      <c r="F174" cm="1">
        <f t="array" ref="F174">_xlfn.IFS(C174&gt;=_xlfn.PERCENTILE.INC($C$2:$C$726,0.8),5,C174&gt;=_xlfn.PERCENTILE.INC($C$2:$C$726,0.6),4,C174&gt;=_xlfn.PERCENTILE.INC($C$2:$C$726,0.4),3,C174&gt;=_xlfn.PERCENTILE.INC($C$2:$C$726,0.2),2,TRUE,1)</f>
        <v>2</v>
      </c>
      <c r="G174" cm="1">
        <f t="array" ref="G174">_xlfn.IFS(D174&gt;=_xlfn.PERCENTILE.INC($D$2:$D$726,0.8),5,D174&gt;=_xlfn.PERCENTILE.INC($D$2:$D$726,0.6),4,D174&gt;=_xlfn.PERCENTILE.INC($D$2:$D$726,0.4),3,D174&gt;=_xlfn.PERCENTILE.INC($D$2:$D$726,0.2),2,TRUE,1)</f>
        <v>3</v>
      </c>
      <c r="H174">
        <f t="shared" si="2"/>
        <v>9</v>
      </c>
      <c r="I174" t="str" cm="1">
        <f t="array" ref="I174">_xlfn.IFS(H174&gt;=13,"Best Customers",H174&gt;=10,"Loyal Customers",H174&gt;=7,"Potential Loyal Customers",H174&gt;=4,"Need Attention",TRUE,"At Risk")</f>
        <v>Potential Loyal Customers</v>
      </c>
    </row>
    <row r="175" spans="1:9" x14ac:dyDescent="0.25">
      <c r="A175" t="s">
        <v>1714</v>
      </c>
      <c r="B175" s="4">
        <v>386</v>
      </c>
      <c r="C175">
        <v>5</v>
      </c>
      <c r="D175">
        <v>167.8</v>
      </c>
      <c r="E175" cm="1">
        <f t="array" ref="E175">_xlfn.IFS(B175&lt;=_xlfn.PERCENTILE.INC($B$2:$B$726,0.2),5, B175&lt;=_xlfn.PERCENTILE.INC($B$2:$B$726,0.4),4,B175&lt;=_xlfn.PERCENTILE.INC($B$2:$B$726,0.6),3,B175&lt;=_xlfn.PERCENTILE.INC($B$2:$B$726,0.8),4,TRUE,1)</f>
        <v>5</v>
      </c>
      <c r="F175" cm="1">
        <f t="array" ref="F175">_xlfn.IFS(C175&gt;=_xlfn.PERCENTILE.INC($C$2:$C$726,0.8),5,C175&gt;=_xlfn.PERCENTILE.INC($C$2:$C$726,0.6),4,C175&gt;=_xlfn.PERCENTILE.INC($C$2:$C$726,0.4),3,C175&gt;=_xlfn.PERCENTILE.INC($C$2:$C$726,0.2),2,TRUE,1)</f>
        <v>3</v>
      </c>
      <c r="G175" cm="1">
        <f t="array" ref="G175">_xlfn.IFS(D175&gt;=_xlfn.PERCENTILE.INC($D$2:$D$726,0.8),5,D175&gt;=_xlfn.PERCENTILE.INC($D$2:$D$726,0.6),4,D175&gt;=_xlfn.PERCENTILE.INC($D$2:$D$726,0.4),3,D175&gt;=_xlfn.PERCENTILE.INC($D$2:$D$726,0.2),2,TRUE,1)</f>
        <v>2</v>
      </c>
      <c r="H175">
        <f t="shared" si="2"/>
        <v>10</v>
      </c>
      <c r="I175" t="str" cm="1">
        <f t="array" ref="I175">_xlfn.IFS(H175&gt;=13,"Best Customers",H175&gt;=10,"Loyal Customers",H175&gt;=7,"Potential Loyal Customers",H175&gt;=4,"Need Attention",TRUE,"At Risk")</f>
        <v>Loyal Customers</v>
      </c>
    </row>
    <row r="176" spans="1:9" x14ac:dyDescent="0.25">
      <c r="A176" t="s">
        <v>2587</v>
      </c>
      <c r="B176" s="4">
        <v>632</v>
      </c>
      <c r="C176">
        <v>9</v>
      </c>
      <c r="D176">
        <v>245.70000000000002</v>
      </c>
      <c r="E176" cm="1">
        <f t="array" ref="E176">_xlfn.IFS(B176&lt;=_xlfn.PERCENTILE.INC($B$2:$B$726,0.2),5, B176&lt;=_xlfn.PERCENTILE.INC($B$2:$B$726,0.4),4,B176&lt;=_xlfn.PERCENTILE.INC($B$2:$B$726,0.6),3,B176&lt;=_xlfn.PERCENTILE.INC($B$2:$B$726,0.8),4,TRUE,1)</f>
        <v>4</v>
      </c>
      <c r="F176" cm="1">
        <f t="array" ref="F176">_xlfn.IFS(C176&gt;=_xlfn.PERCENTILE.INC($C$2:$C$726,0.8),5,C176&gt;=_xlfn.PERCENTILE.INC($C$2:$C$726,0.6),4,C176&gt;=_xlfn.PERCENTILE.INC($C$2:$C$726,0.4),3,C176&gt;=_xlfn.PERCENTILE.INC($C$2:$C$726,0.2),2,TRUE,1)</f>
        <v>5</v>
      </c>
      <c r="G176" cm="1">
        <f t="array" ref="G176">_xlfn.IFS(D176&gt;=_xlfn.PERCENTILE.INC($D$2:$D$726,0.8),5,D176&gt;=_xlfn.PERCENTILE.INC($D$2:$D$726,0.6),4,D176&gt;=_xlfn.PERCENTILE.INC($D$2:$D$726,0.4),3,D176&gt;=_xlfn.PERCENTILE.INC($D$2:$D$726,0.2),2,TRUE,1)</f>
        <v>3</v>
      </c>
      <c r="H176">
        <f t="shared" si="2"/>
        <v>12</v>
      </c>
      <c r="I176" t="str" cm="1">
        <f t="array" ref="I176">_xlfn.IFS(H176&gt;=13,"Best Customers",H176&gt;=10,"Loyal Customers",H176&gt;=7,"Potential Loyal Customers",H176&gt;=4,"Need Attention",TRUE,"At Risk")</f>
        <v>Loyal Customers</v>
      </c>
    </row>
    <row r="177" spans="1:9" x14ac:dyDescent="0.25">
      <c r="A177" t="s">
        <v>2372</v>
      </c>
      <c r="B177" s="4">
        <v>438</v>
      </c>
      <c r="C177">
        <v>11</v>
      </c>
      <c r="D177">
        <v>553</v>
      </c>
      <c r="E177" cm="1">
        <f t="array" ref="E177">_xlfn.IFS(B177&lt;=_xlfn.PERCENTILE.INC($B$2:$B$726,0.2),5, B177&lt;=_xlfn.PERCENTILE.INC($B$2:$B$726,0.4),4,B177&lt;=_xlfn.PERCENTILE.INC($B$2:$B$726,0.6),3,B177&lt;=_xlfn.PERCENTILE.INC($B$2:$B$726,0.8),4,TRUE,1)</f>
        <v>4</v>
      </c>
      <c r="F177" cm="1">
        <f t="array" ref="F177">_xlfn.IFS(C177&gt;=_xlfn.PERCENTILE.INC($C$2:$C$726,0.8),5,C177&gt;=_xlfn.PERCENTILE.INC($C$2:$C$726,0.6),4,C177&gt;=_xlfn.PERCENTILE.INC($C$2:$C$726,0.4),3,C177&gt;=_xlfn.PERCENTILE.INC($C$2:$C$726,0.2),2,TRUE,1)</f>
        <v>5</v>
      </c>
      <c r="G177" cm="1">
        <f t="array" ref="G177">_xlfn.IFS(D177&gt;=_xlfn.PERCENTILE.INC($D$2:$D$726,0.8),5,D177&gt;=_xlfn.PERCENTILE.INC($D$2:$D$726,0.6),4,D177&gt;=_xlfn.PERCENTILE.INC($D$2:$D$726,0.4),3,D177&gt;=_xlfn.PERCENTILE.INC($D$2:$D$726,0.2),2,TRUE,1)</f>
        <v>5</v>
      </c>
      <c r="H177">
        <f t="shared" si="2"/>
        <v>14</v>
      </c>
      <c r="I177" t="str" cm="1">
        <f t="array" ref="I177">_xlfn.IFS(H177&gt;=13,"Best Customers",H177&gt;=10,"Loyal Customers",H177&gt;=7,"Potential Loyal Customers",H177&gt;=4,"Need Attention",TRUE,"At Risk")</f>
        <v>Best Customers</v>
      </c>
    </row>
    <row r="178" spans="1:9" x14ac:dyDescent="0.25">
      <c r="A178" t="s">
        <v>1402</v>
      </c>
      <c r="B178" s="4">
        <v>349</v>
      </c>
      <c r="C178">
        <v>9</v>
      </c>
      <c r="D178">
        <v>328.8</v>
      </c>
      <c r="E178" cm="1">
        <f t="array" ref="E178">_xlfn.IFS(B178&lt;=_xlfn.PERCENTILE.INC($B$2:$B$726,0.2),5, B178&lt;=_xlfn.PERCENTILE.INC($B$2:$B$726,0.4),4,B178&lt;=_xlfn.PERCENTILE.INC($B$2:$B$726,0.6),3,B178&lt;=_xlfn.PERCENTILE.INC($B$2:$B$726,0.8),4,TRUE,1)</f>
        <v>5</v>
      </c>
      <c r="F178" cm="1">
        <f t="array" ref="F178">_xlfn.IFS(C178&gt;=_xlfn.PERCENTILE.INC($C$2:$C$726,0.8),5,C178&gt;=_xlfn.PERCENTILE.INC($C$2:$C$726,0.6),4,C178&gt;=_xlfn.PERCENTILE.INC($C$2:$C$726,0.4),3,C178&gt;=_xlfn.PERCENTILE.INC($C$2:$C$726,0.2),2,TRUE,1)</f>
        <v>5</v>
      </c>
      <c r="G178" cm="1">
        <f t="array" ref="G178">_xlfn.IFS(D178&gt;=_xlfn.PERCENTILE.INC($D$2:$D$726,0.8),5,D178&gt;=_xlfn.PERCENTILE.INC($D$2:$D$726,0.6),4,D178&gt;=_xlfn.PERCENTILE.INC($D$2:$D$726,0.4),3,D178&gt;=_xlfn.PERCENTILE.INC($D$2:$D$726,0.2),2,TRUE,1)</f>
        <v>4</v>
      </c>
      <c r="H178">
        <f t="shared" si="2"/>
        <v>14</v>
      </c>
      <c r="I178" t="str" cm="1">
        <f t="array" ref="I178">_xlfn.IFS(H178&gt;=13,"Best Customers",H178&gt;=10,"Loyal Customers",H178&gt;=7,"Potential Loyal Customers",H178&gt;=4,"Need Attention",TRUE,"At Risk")</f>
        <v>Best Customers</v>
      </c>
    </row>
    <row r="179" spans="1:9" x14ac:dyDescent="0.25">
      <c r="A179" t="s">
        <v>866</v>
      </c>
      <c r="B179" s="4">
        <v>743</v>
      </c>
      <c r="C179">
        <v>5</v>
      </c>
      <c r="D179">
        <v>183.6</v>
      </c>
      <c r="E179" cm="1">
        <f t="array" ref="E179">_xlfn.IFS(B179&lt;=_xlfn.PERCENTILE.INC($B$2:$B$726,0.2),5, B179&lt;=_xlfn.PERCENTILE.INC($B$2:$B$726,0.4),4,B179&lt;=_xlfn.PERCENTILE.INC($B$2:$B$726,0.6),3,B179&lt;=_xlfn.PERCENTILE.INC($B$2:$B$726,0.8),4,TRUE,1)</f>
        <v>4</v>
      </c>
      <c r="F179" cm="1">
        <f t="array" ref="F179">_xlfn.IFS(C179&gt;=_xlfn.PERCENTILE.INC($C$2:$C$726,0.8),5,C179&gt;=_xlfn.PERCENTILE.INC($C$2:$C$726,0.6),4,C179&gt;=_xlfn.PERCENTILE.INC($C$2:$C$726,0.4),3,C179&gt;=_xlfn.PERCENTILE.INC($C$2:$C$726,0.2),2,TRUE,1)</f>
        <v>3</v>
      </c>
      <c r="G179" cm="1">
        <f t="array" ref="G179">_xlfn.IFS(D179&gt;=_xlfn.PERCENTILE.INC($D$2:$D$726,0.8),5,D179&gt;=_xlfn.PERCENTILE.INC($D$2:$D$726,0.6),4,D179&gt;=_xlfn.PERCENTILE.INC($D$2:$D$726,0.4),3,D179&gt;=_xlfn.PERCENTILE.INC($D$2:$D$726,0.2),2,TRUE,1)</f>
        <v>2</v>
      </c>
      <c r="H179">
        <f t="shared" si="2"/>
        <v>9</v>
      </c>
      <c r="I179" t="str" cm="1">
        <f t="array" ref="I179">_xlfn.IFS(H179&gt;=13,"Best Customers",H179&gt;=10,"Loyal Customers",H179&gt;=7,"Potential Loyal Customers",H179&gt;=4,"Need Attention",TRUE,"At Risk")</f>
        <v>Potential Loyal Customers</v>
      </c>
    </row>
    <row r="180" spans="1:9" x14ac:dyDescent="0.25">
      <c r="A180" t="s">
        <v>1717</v>
      </c>
      <c r="B180" s="4">
        <v>515</v>
      </c>
      <c r="C180">
        <v>8</v>
      </c>
      <c r="D180">
        <v>469.5</v>
      </c>
      <c r="E180" cm="1">
        <f t="array" ref="E180">_xlfn.IFS(B180&lt;=_xlfn.PERCENTILE.INC($B$2:$B$726,0.2),5, B180&lt;=_xlfn.PERCENTILE.INC($B$2:$B$726,0.4),4,B180&lt;=_xlfn.PERCENTILE.INC($B$2:$B$726,0.6),3,B180&lt;=_xlfn.PERCENTILE.INC($B$2:$B$726,0.8),4,TRUE,1)</f>
        <v>3</v>
      </c>
      <c r="F180" cm="1">
        <f t="array" ref="F180">_xlfn.IFS(C180&gt;=_xlfn.PERCENTILE.INC($C$2:$C$726,0.8),5,C180&gt;=_xlfn.PERCENTILE.INC($C$2:$C$726,0.6),4,C180&gt;=_xlfn.PERCENTILE.INC($C$2:$C$726,0.4),3,C180&gt;=_xlfn.PERCENTILE.INC($C$2:$C$726,0.2),2,TRUE,1)</f>
        <v>5</v>
      </c>
      <c r="G180" cm="1">
        <f t="array" ref="G180">_xlfn.IFS(D180&gt;=_xlfn.PERCENTILE.INC($D$2:$D$726,0.8),5,D180&gt;=_xlfn.PERCENTILE.INC($D$2:$D$726,0.6),4,D180&gt;=_xlfn.PERCENTILE.INC($D$2:$D$726,0.4),3,D180&gt;=_xlfn.PERCENTILE.INC($D$2:$D$726,0.2),2,TRUE,1)</f>
        <v>5</v>
      </c>
      <c r="H180">
        <f t="shared" si="2"/>
        <v>13</v>
      </c>
      <c r="I180" t="str" cm="1">
        <f t="array" ref="I180">_xlfn.IFS(H180&gt;=13,"Best Customers",H180&gt;=10,"Loyal Customers",H180&gt;=7,"Potential Loyal Customers",H180&gt;=4,"Need Attention",TRUE,"At Risk")</f>
        <v>Best Customers</v>
      </c>
    </row>
    <row r="181" spans="1:9" x14ac:dyDescent="0.25">
      <c r="A181" t="s">
        <v>2789</v>
      </c>
      <c r="B181" s="4">
        <v>432</v>
      </c>
      <c r="C181">
        <v>6</v>
      </c>
      <c r="D181">
        <v>323.10000000000008</v>
      </c>
      <c r="E181" cm="1">
        <f t="array" ref="E181">_xlfn.IFS(B181&lt;=_xlfn.PERCENTILE.INC($B$2:$B$726,0.2),5, B181&lt;=_xlfn.PERCENTILE.INC($B$2:$B$726,0.4),4,B181&lt;=_xlfn.PERCENTILE.INC($B$2:$B$726,0.6),3,B181&lt;=_xlfn.PERCENTILE.INC($B$2:$B$726,0.8),4,TRUE,1)</f>
        <v>4</v>
      </c>
      <c r="F181" cm="1">
        <f t="array" ref="F181">_xlfn.IFS(C181&gt;=_xlfn.PERCENTILE.INC($C$2:$C$726,0.8),5,C181&gt;=_xlfn.PERCENTILE.INC($C$2:$C$726,0.6),4,C181&gt;=_xlfn.PERCENTILE.INC($C$2:$C$726,0.4),3,C181&gt;=_xlfn.PERCENTILE.INC($C$2:$C$726,0.2),2,TRUE,1)</f>
        <v>4</v>
      </c>
      <c r="G181" cm="1">
        <f t="array" ref="G181">_xlfn.IFS(D181&gt;=_xlfn.PERCENTILE.INC($D$2:$D$726,0.8),5,D181&gt;=_xlfn.PERCENTILE.INC($D$2:$D$726,0.6),4,D181&gt;=_xlfn.PERCENTILE.INC($D$2:$D$726,0.4),3,D181&gt;=_xlfn.PERCENTILE.INC($D$2:$D$726,0.2),2,TRUE,1)</f>
        <v>4</v>
      </c>
      <c r="H181">
        <f t="shared" si="2"/>
        <v>12</v>
      </c>
      <c r="I181" t="str" cm="1">
        <f t="array" ref="I181">_xlfn.IFS(H181&gt;=13,"Best Customers",H181&gt;=10,"Loyal Customers",H181&gt;=7,"Potential Loyal Customers",H181&gt;=4,"Need Attention",TRUE,"At Risk")</f>
        <v>Loyal Customers</v>
      </c>
    </row>
    <row r="182" spans="1:9" x14ac:dyDescent="0.25">
      <c r="A182" t="s">
        <v>2888</v>
      </c>
      <c r="B182" s="4">
        <v>598</v>
      </c>
      <c r="C182">
        <v>9</v>
      </c>
      <c r="D182">
        <v>306.89999999999998</v>
      </c>
      <c r="E182" cm="1">
        <f t="array" ref="E182">_xlfn.IFS(B182&lt;=_xlfn.PERCENTILE.INC($B$2:$B$726,0.2),5, B182&lt;=_xlfn.PERCENTILE.INC($B$2:$B$726,0.4),4,B182&lt;=_xlfn.PERCENTILE.INC($B$2:$B$726,0.6),3,B182&lt;=_xlfn.PERCENTILE.INC($B$2:$B$726,0.8),4,TRUE,1)</f>
        <v>4</v>
      </c>
      <c r="F182" cm="1">
        <f t="array" ref="F182">_xlfn.IFS(C182&gt;=_xlfn.PERCENTILE.INC($C$2:$C$726,0.8),5,C182&gt;=_xlfn.PERCENTILE.INC($C$2:$C$726,0.6),4,C182&gt;=_xlfn.PERCENTILE.INC($C$2:$C$726,0.4),3,C182&gt;=_xlfn.PERCENTILE.INC($C$2:$C$726,0.2),2,TRUE,1)</f>
        <v>5</v>
      </c>
      <c r="G182" cm="1">
        <f t="array" ref="G182">_xlfn.IFS(D182&gt;=_xlfn.PERCENTILE.INC($D$2:$D$726,0.8),5,D182&gt;=_xlfn.PERCENTILE.INC($D$2:$D$726,0.6),4,D182&gt;=_xlfn.PERCENTILE.INC($D$2:$D$726,0.4),3,D182&gt;=_xlfn.PERCENTILE.INC($D$2:$D$726,0.2),2,TRUE,1)</f>
        <v>3</v>
      </c>
      <c r="H182">
        <f t="shared" si="2"/>
        <v>12</v>
      </c>
      <c r="I182" t="str" cm="1">
        <f t="array" ref="I182">_xlfn.IFS(H182&gt;=13,"Best Customers",H182&gt;=10,"Loyal Customers",H182&gt;=7,"Potential Loyal Customers",H182&gt;=4,"Need Attention",TRUE,"At Risk")</f>
        <v>Loyal Customers</v>
      </c>
    </row>
    <row r="183" spans="1:9" x14ac:dyDescent="0.25">
      <c r="A183" t="s">
        <v>2207</v>
      </c>
      <c r="B183" s="4">
        <v>516</v>
      </c>
      <c r="C183">
        <v>9</v>
      </c>
      <c r="D183">
        <v>548.5</v>
      </c>
      <c r="E183" cm="1">
        <f t="array" ref="E183">_xlfn.IFS(B183&lt;=_xlfn.PERCENTILE.INC($B$2:$B$726,0.2),5, B183&lt;=_xlfn.PERCENTILE.INC($B$2:$B$726,0.4),4,B183&lt;=_xlfn.PERCENTILE.INC($B$2:$B$726,0.6),3,B183&lt;=_xlfn.PERCENTILE.INC($B$2:$B$726,0.8),4,TRUE,1)</f>
        <v>3</v>
      </c>
      <c r="F183" cm="1">
        <f t="array" ref="F183">_xlfn.IFS(C183&gt;=_xlfn.PERCENTILE.INC($C$2:$C$726,0.8),5,C183&gt;=_xlfn.PERCENTILE.INC($C$2:$C$726,0.6),4,C183&gt;=_xlfn.PERCENTILE.INC($C$2:$C$726,0.4),3,C183&gt;=_xlfn.PERCENTILE.INC($C$2:$C$726,0.2),2,TRUE,1)</f>
        <v>5</v>
      </c>
      <c r="G183" cm="1">
        <f t="array" ref="G183">_xlfn.IFS(D183&gt;=_xlfn.PERCENTILE.INC($D$2:$D$726,0.8),5,D183&gt;=_xlfn.PERCENTILE.INC($D$2:$D$726,0.6),4,D183&gt;=_xlfn.PERCENTILE.INC($D$2:$D$726,0.4),3,D183&gt;=_xlfn.PERCENTILE.INC($D$2:$D$726,0.2),2,TRUE,1)</f>
        <v>5</v>
      </c>
      <c r="H183">
        <f t="shared" si="2"/>
        <v>13</v>
      </c>
      <c r="I183" t="str" cm="1">
        <f t="array" ref="I183">_xlfn.IFS(H183&gt;=13,"Best Customers",H183&gt;=10,"Loyal Customers",H183&gt;=7,"Potential Loyal Customers",H183&gt;=4,"Need Attention",TRUE,"At Risk")</f>
        <v>Best Customers</v>
      </c>
    </row>
    <row r="184" spans="1:9" x14ac:dyDescent="0.25">
      <c r="A184" t="s">
        <v>2308</v>
      </c>
      <c r="B184" s="4">
        <v>581</v>
      </c>
      <c r="C184">
        <v>9</v>
      </c>
      <c r="D184">
        <v>675.2</v>
      </c>
      <c r="E184" cm="1">
        <f t="array" ref="E184">_xlfn.IFS(B184&lt;=_xlfn.PERCENTILE.INC($B$2:$B$726,0.2),5, B184&lt;=_xlfn.PERCENTILE.INC($B$2:$B$726,0.4),4,B184&lt;=_xlfn.PERCENTILE.INC($B$2:$B$726,0.6),3,B184&lt;=_xlfn.PERCENTILE.INC($B$2:$B$726,0.8),4,TRUE,1)</f>
        <v>4</v>
      </c>
      <c r="F184" cm="1">
        <f t="array" ref="F184">_xlfn.IFS(C184&gt;=_xlfn.PERCENTILE.INC($C$2:$C$726,0.8),5,C184&gt;=_xlfn.PERCENTILE.INC($C$2:$C$726,0.6),4,C184&gt;=_xlfn.PERCENTILE.INC($C$2:$C$726,0.4),3,C184&gt;=_xlfn.PERCENTILE.INC($C$2:$C$726,0.2),2,TRUE,1)</f>
        <v>5</v>
      </c>
      <c r="G184" cm="1">
        <f t="array" ref="G184">_xlfn.IFS(D184&gt;=_xlfn.PERCENTILE.INC($D$2:$D$726,0.8),5,D184&gt;=_xlfn.PERCENTILE.INC($D$2:$D$726,0.6),4,D184&gt;=_xlfn.PERCENTILE.INC($D$2:$D$726,0.4),3,D184&gt;=_xlfn.PERCENTILE.INC($D$2:$D$726,0.2),2,TRUE,1)</f>
        <v>5</v>
      </c>
      <c r="H184">
        <f t="shared" si="2"/>
        <v>14</v>
      </c>
      <c r="I184" t="str" cm="1">
        <f t="array" ref="I184">_xlfn.IFS(H184&gt;=13,"Best Customers",H184&gt;=10,"Loyal Customers",H184&gt;=7,"Potential Loyal Customers",H184&gt;=4,"Need Attention",TRUE,"At Risk")</f>
        <v>Best Customers</v>
      </c>
    </row>
    <row r="185" spans="1:9" x14ac:dyDescent="0.25">
      <c r="A185" t="s">
        <v>1452</v>
      </c>
      <c r="B185" s="4">
        <v>481</v>
      </c>
      <c r="C185">
        <v>10</v>
      </c>
      <c r="D185">
        <v>569.5</v>
      </c>
      <c r="E185" cm="1">
        <f t="array" ref="E185">_xlfn.IFS(B185&lt;=_xlfn.PERCENTILE.INC($B$2:$B$726,0.2),5, B185&lt;=_xlfn.PERCENTILE.INC($B$2:$B$726,0.4),4,B185&lt;=_xlfn.PERCENTILE.INC($B$2:$B$726,0.6),3,B185&lt;=_xlfn.PERCENTILE.INC($B$2:$B$726,0.8),4,TRUE,1)</f>
        <v>3</v>
      </c>
      <c r="F185" cm="1">
        <f t="array" ref="F185">_xlfn.IFS(C185&gt;=_xlfn.PERCENTILE.INC($C$2:$C$726,0.8),5,C185&gt;=_xlfn.PERCENTILE.INC($C$2:$C$726,0.6),4,C185&gt;=_xlfn.PERCENTILE.INC($C$2:$C$726,0.4),3,C185&gt;=_xlfn.PERCENTILE.INC($C$2:$C$726,0.2),2,TRUE,1)</f>
        <v>5</v>
      </c>
      <c r="G185" cm="1">
        <f t="array" ref="G185">_xlfn.IFS(D185&gt;=_xlfn.PERCENTILE.INC($D$2:$D$726,0.8),5,D185&gt;=_xlfn.PERCENTILE.INC($D$2:$D$726,0.6),4,D185&gt;=_xlfn.PERCENTILE.INC($D$2:$D$726,0.4),3,D185&gt;=_xlfn.PERCENTILE.INC($D$2:$D$726,0.2),2,TRUE,1)</f>
        <v>5</v>
      </c>
      <c r="H185">
        <f t="shared" si="2"/>
        <v>13</v>
      </c>
      <c r="I185" t="str" cm="1">
        <f t="array" ref="I185">_xlfn.IFS(H185&gt;=13,"Best Customers",H185&gt;=10,"Loyal Customers",H185&gt;=7,"Potential Loyal Customers",H185&gt;=4,"Need Attention",TRUE,"At Risk")</f>
        <v>Best Customers</v>
      </c>
    </row>
    <row r="186" spans="1:9" x14ac:dyDescent="0.25">
      <c r="A186" t="s">
        <v>3087</v>
      </c>
      <c r="B186" s="4">
        <v>390</v>
      </c>
      <c r="C186">
        <v>7</v>
      </c>
      <c r="D186">
        <v>336.5</v>
      </c>
      <c r="E186" cm="1">
        <f t="array" ref="E186">_xlfn.IFS(B186&lt;=_xlfn.PERCENTILE.INC($B$2:$B$726,0.2),5, B186&lt;=_xlfn.PERCENTILE.INC($B$2:$B$726,0.4),4,B186&lt;=_xlfn.PERCENTILE.INC($B$2:$B$726,0.6),3,B186&lt;=_xlfn.PERCENTILE.INC($B$2:$B$726,0.8),4,TRUE,1)</f>
        <v>5</v>
      </c>
      <c r="F186" cm="1">
        <f t="array" ref="F186">_xlfn.IFS(C186&gt;=_xlfn.PERCENTILE.INC($C$2:$C$726,0.8),5,C186&gt;=_xlfn.PERCENTILE.INC($C$2:$C$726,0.6),4,C186&gt;=_xlfn.PERCENTILE.INC($C$2:$C$726,0.4),3,C186&gt;=_xlfn.PERCENTILE.INC($C$2:$C$726,0.2),2,TRUE,1)</f>
        <v>4</v>
      </c>
      <c r="G186" cm="1">
        <f t="array" ref="G186">_xlfn.IFS(D186&gt;=_xlfn.PERCENTILE.INC($D$2:$D$726,0.8),5,D186&gt;=_xlfn.PERCENTILE.INC($D$2:$D$726,0.6),4,D186&gt;=_xlfn.PERCENTILE.INC($D$2:$D$726,0.4),3,D186&gt;=_xlfn.PERCENTILE.INC($D$2:$D$726,0.2),2,TRUE,1)</f>
        <v>4</v>
      </c>
      <c r="H186">
        <f t="shared" si="2"/>
        <v>13</v>
      </c>
      <c r="I186" t="str" cm="1">
        <f t="array" ref="I186">_xlfn.IFS(H186&gt;=13,"Best Customers",H186&gt;=10,"Loyal Customers",H186&gt;=7,"Potential Loyal Customers",H186&gt;=4,"Need Attention",TRUE,"At Risk")</f>
        <v>Best Customers</v>
      </c>
    </row>
    <row r="187" spans="1:9" x14ac:dyDescent="0.25">
      <c r="A187" t="s">
        <v>2593</v>
      </c>
      <c r="B187" s="4">
        <v>667</v>
      </c>
      <c r="C187">
        <v>6</v>
      </c>
      <c r="D187">
        <v>364.9</v>
      </c>
      <c r="E187" cm="1">
        <f t="array" ref="E187">_xlfn.IFS(B187&lt;=_xlfn.PERCENTILE.INC($B$2:$B$726,0.2),5, B187&lt;=_xlfn.PERCENTILE.INC($B$2:$B$726,0.4),4,B187&lt;=_xlfn.PERCENTILE.INC($B$2:$B$726,0.6),3,B187&lt;=_xlfn.PERCENTILE.INC($B$2:$B$726,0.8),4,TRUE,1)</f>
        <v>4</v>
      </c>
      <c r="F187" cm="1">
        <f t="array" ref="F187">_xlfn.IFS(C187&gt;=_xlfn.PERCENTILE.INC($C$2:$C$726,0.8),5,C187&gt;=_xlfn.PERCENTILE.INC($C$2:$C$726,0.6),4,C187&gt;=_xlfn.PERCENTILE.INC($C$2:$C$726,0.4),3,C187&gt;=_xlfn.PERCENTILE.INC($C$2:$C$726,0.2),2,TRUE,1)</f>
        <v>4</v>
      </c>
      <c r="G187" cm="1">
        <f t="array" ref="G187">_xlfn.IFS(D187&gt;=_xlfn.PERCENTILE.INC($D$2:$D$726,0.8),5,D187&gt;=_xlfn.PERCENTILE.INC($D$2:$D$726,0.6),4,D187&gt;=_xlfn.PERCENTILE.INC($D$2:$D$726,0.4),3,D187&gt;=_xlfn.PERCENTILE.INC($D$2:$D$726,0.2),2,TRUE,1)</f>
        <v>4</v>
      </c>
      <c r="H187">
        <f t="shared" si="2"/>
        <v>12</v>
      </c>
      <c r="I187" t="str" cm="1">
        <f t="array" ref="I187">_xlfn.IFS(H187&gt;=13,"Best Customers",H187&gt;=10,"Loyal Customers",H187&gt;=7,"Potential Loyal Customers",H187&gt;=4,"Need Attention",TRUE,"At Risk")</f>
        <v>Loyal Customers</v>
      </c>
    </row>
    <row r="188" spans="1:9" x14ac:dyDescent="0.25">
      <c r="A188" t="s">
        <v>1038</v>
      </c>
      <c r="B188" s="4">
        <v>396</v>
      </c>
      <c r="C188">
        <v>6</v>
      </c>
      <c r="D188">
        <v>284.5</v>
      </c>
      <c r="E188" cm="1">
        <f t="array" ref="E188">_xlfn.IFS(B188&lt;=_xlfn.PERCENTILE.INC($B$2:$B$726,0.2),5, B188&lt;=_xlfn.PERCENTILE.INC($B$2:$B$726,0.4),4,B188&lt;=_xlfn.PERCENTILE.INC($B$2:$B$726,0.6),3,B188&lt;=_xlfn.PERCENTILE.INC($B$2:$B$726,0.8),4,TRUE,1)</f>
        <v>4</v>
      </c>
      <c r="F188" cm="1">
        <f t="array" ref="F188">_xlfn.IFS(C188&gt;=_xlfn.PERCENTILE.INC($C$2:$C$726,0.8),5,C188&gt;=_xlfn.PERCENTILE.INC($C$2:$C$726,0.6),4,C188&gt;=_xlfn.PERCENTILE.INC($C$2:$C$726,0.4),3,C188&gt;=_xlfn.PERCENTILE.INC($C$2:$C$726,0.2),2,TRUE,1)</f>
        <v>4</v>
      </c>
      <c r="G188" cm="1">
        <f t="array" ref="G188">_xlfn.IFS(D188&gt;=_xlfn.PERCENTILE.INC($D$2:$D$726,0.8),5,D188&gt;=_xlfn.PERCENTILE.INC($D$2:$D$726,0.6),4,D188&gt;=_xlfn.PERCENTILE.INC($D$2:$D$726,0.4),3,D188&gt;=_xlfn.PERCENTILE.INC($D$2:$D$726,0.2),2,TRUE,1)</f>
        <v>3</v>
      </c>
      <c r="H188">
        <f t="shared" si="2"/>
        <v>11</v>
      </c>
      <c r="I188" t="str" cm="1">
        <f t="array" ref="I188">_xlfn.IFS(H188&gt;=13,"Best Customers",H188&gt;=10,"Loyal Customers",H188&gt;=7,"Potential Loyal Customers",H188&gt;=4,"Need Attention",TRUE,"At Risk")</f>
        <v>Loyal Customers</v>
      </c>
    </row>
    <row r="189" spans="1:9" x14ac:dyDescent="0.25">
      <c r="A189" t="s">
        <v>3193</v>
      </c>
      <c r="B189" s="4">
        <v>583</v>
      </c>
      <c r="C189">
        <v>5</v>
      </c>
      <c r="D189">
        <v>199.2</v>
      </c>
      <c r="E189" cm="1">
        <f t="array" ref="E189">_xlfn.IFS(B189&lt;=_xlfn.PERCENTILE.INC($B$2:$B$726,0.2),5, B189&lt;=_xlfn.PERCENTILE.INC($B$2:$B$726,0.4),4,B189&lt;=_xlfn.PERCENTILE.INC($B$2:$B$726,0.6),3,B189&lt;=_xlfn.PERCENTILE.INC($B$2:$B$726,0.8),4,TRUE,1)</f>
        <v>4</v>
      </c>
      <c r="F189" cm="1">
        <f t="array" ref="F189">_xlfn.IFS(C189&gt;=_xlfn.PERCENTILE.INC($C$2:$C$726,0.8),5,C189&gt;=_xlfn.PERCENTILE.INC($C$2:$C$726,0.6),4,C189&gt;=_xlfn.PERCENTILE.INC($C$2:$C$726,0.4),3,C189&gt;=_xlfn.PERCENTILE.INC($C$2:$C$726,0.2),2,TRUE,1)</f>
        <v>3</v>
      </c>
      <c r="G189" cm="1">
        <f t="array" ref="G189">_xlfn.IFS(D189&gt;=_xlfn.PERCENTILE.INC($D$2:$D$726,0.8),5,D189&gt;=_xlfn.PERCENTILE.INC($D$2:$D$726,0.6),4,D189&gt;=_xlfn.PERCENTILE.INC($D$2:$D$726,0.4),3,D189&gt;=_xlfn.PERCENTILE.INC($D$2:$D$726,0.2),2,TRUE,1)</f>
        <v>2</v>
      </c>
      <c r="H189">
        <f t="shared" si="2"/>
        <v>9</v>
      </c>
      <c r="I189" t="str" cm="1">
        <f t="array" ref="I189">_xlfn.IFS(H189&gt;=13,"Best Customers",H189&gt;=10,"Loyal Customers",H189&gt;=7,"Potential Loyal Customers",H189&gt;=4,"Need Attention",TRUE,"At Risk")</f>
        <v>Potential Loyal Customers</v>
      </c>
    </row>
    <row r="190" spans="1:9" x14ac:dyDescent="0.25">
      <c r="A190" t="s">
        <v>3098</v>
      </c>
      <c r="B190" s="4">
        <v>387</v>
      </c>
      <c r="C190">
        <v>9</v>
      </c>
      <c r="D190">
        <v>404.79999999999995</v>
      </c>
      <c r="E190" cm="1">
        <f t="array" ref="E190">_xlfn.IFS(B190&lt;=_xlfn.PERCENTILE.INC($B$2:$B$726,0.2),5, B190&lt;=_xlfn.PERCENTILE.INC($B$2:$B$726,0.4),4,B190&lt;=_xlfn.PERCENTILE.INC($B$2:$B$726,0.6),3,B190&lt;=_xlfn.PERCENTILE.INC($B$2:$B$726,0.8),4,TRUE,1)</f>
        <v>5</v>
      </c>
      <c r="F190" cm="1">
        <f t="array" ref="F190">_xlfn.IFS(C190&gt;=_xlfn.PERCENTILE.INC($C$2:$C$726,0.8),5,C190&gt;=_xlfn.PERCENTILE.INC($C$2:$C$726,0.6),4,C190&gt;=_xlfn.PERCENTILE.INC($C$2:$C$726,0.4),3,C190&gt;=_xlfn.PERCENTILE.INC($C$2:$C$726,0.2),2,TRUE,1)</f>
        <v>5</v>
      </c>
      <c r="G190" cm="1">
        <f t="array" ref="G190">_xlfn.IFS(D190&gt;=_xlfn.PERCENTILE.INC($D$2:$D$726,0.8),5,D190&gt;=_xlfn.PERCENTILE.INC($D$2:$D$726,0.6),4,D190&gt;=_xlfn.PERCENTILE.INC($D$2:$D$726,0.4),3,D190&gt;=_xlfn.PERCENTILE.INC($D$2:$D$726,0.2),2,TRUE,1)</f>
        <v>5</v>
      </c>
      <c r="H190">
        <f t="shared" si="2"/>
        <v>15</v>
      </c>
      <c r="I190" t="str" cm="1">
        <f t="array" ref="I190">_xlfn.IFS(H190&gt;=13,"Best Customers",H190&gt;=10,"Loyal Customers",H190&gt;=7,"Potential Loyal Customers",H190&gt;=4,"Need Attention",TRUE,"At Risk")</f>
        <v>Best Customers</v>
      </c>
    </row>
    <row r="191" spans="1:9" x14ac:dyDescent="0.25">
      <c r="A191" t="s">
        <v>832</v>
      </c>
      <c r="B191" s="4">
        <v>456</v>
      </c>
      <c r="C191">
        <v>4</v>
      </c>
      <c r="D191">
        <v>101</v>
      </c>
      <c r="E191" cm="1">
        <f t="array" ref="E191">_xlfn.IFS(B191&lt;=_xlfn.PERCENTILE.INC($B$2:$B$726,0.2),5, B191&lt;=_xlfn.PERCENTILE.INC($B$2:$B$726,0.4),4,B191&lt;=_xlfn.PERCENTILE.INC($B$2:$B$726,0.6),3,B191&lt;=_xlfn.PERCENTILE.INC($B$2:$B$726,0.8),4,TRUE,1)</f>
        <v>4</v>
      </c>
      <c r="F191" cm="1">
        <f t="array" ref="F191">_xlfn.IFS(C191&gt;=_xlfn.PERCENTILE.INC($C$2:$C$726,0.8),5,C191&gt;=_xlfn.PERCENTILE.INC($C$2:$C$726,0.6),4,C191&gt;=_xlfn.PERCENTILE.INC($C$2:$C$726,0.4),3,C191&gt;=_xlfn.PERCENTILE.INC($C$2:$C$726,0.2),2,TRUE,1)</f>
        <v>2</v>
      </c>
      <c r="G191" cm="1">
        <f t="array" ref="G191">_xlfn.IFS(D191&gt;=_xlfn.PERCENTILE.INC($D$2:$D$726,0.8),5,D191&gt;=_xlfn.PERCENTILE.INC($D$2:$D$726,0.6),4,D191&gt;=_xlfn.PERCENTILE.INC($D$2:$D$726,0.4),3,D191&gt;=_xlfn.PERCENTILE.INC($D$2:$D$726,0.2),2,TRUE,1)</f>
        <v>1</v>
      </c>
      <c r="H191">
        <f t="shared" si="2"/>
        <v>7</v>
      </c>
      <c r="I191" t="str" cm="1">
        <f t="array" ref="I191">_xlfn.IFS(H191&gt;=13,"Best Customers",H191&gt;=10,"Loyal Customers",H191&gt;=7,"Potential Loyal Customers",H191&gt;=4,"Need Attention",TRUE,"At Risk")</f>
        <v>Potential Loyal Customers</v>
      </c>
    </row>
    <row r="192" spans="1:9" x14ac:dyDescent="0.25">
      <c r="A192" t="s">
        <v>2669</v>
      </c>
      <c r="B192" s="4">
        <v>617</v>
      </c>
      <c r="C192">
        <v>9</v>
      </c>
      <c r="D192">
        <v>596.20000000000005</v>
      </c>
      <c r="E192" cm="1">
        <f t="array" ref="E192">_xlfn.IFS(B192&lt;=_xlfn.PERCENTILE.INC($B$2:$B$726,0.2),5, B192&lt;=_xlfn.PERCENTILE.INC($B$2:$B$726,0.4),4,B192&lt;=_xlfn.PERCENTILE.INC($B$2:$B$726,0.6),3,B192&lt;=_xlfn.PERCENTILE.INC($B$2:$B$726,0.8),4,TRUE,1)</f>
        <v>4</v>
      </c>
      <c r="F192" cm="1">
        <f t="array" ref="F192">_xlfn.IFS(C192&gt;=_xlfn.PERCENTILE.INC($C$2:$C$726,0.8),5,C192&gt;=_xlfn.PERCENTILE.INC($C$2:$C$726,0.6),4,C192&gt;=_xlfn.PERCENTILE.INC($C$2:$C$726,0.4),3,C192&gt;=_xlfn.PERCENTILE.INC($C$2:$C$726,0.2),2,TRUE,1)</f>
        <v>5</v>
      </c>
      <c r="G192" cm="1">
        <f t="array" ref="G192">_xlfn.IFS(D192&gt;=_xlfn.PERCENTILE.INC($D$2:$D$726,0.8),5,D192&gt;=_xlfn.PERCENTILE.INC($D$2:$D$726,0.6),4,D192&gt;=_xlfn.PERCENTILE.INC($D$2:$D$726,0.4),3,D192&gt;=_xlfn.PERCENTILE.INC($D$2:$D$726,0.2),2,TRUE,1)</f>
        <v>5</v>
      </c>
      <c r="H192">
        <f t="shared" si="2"/>
        <v>14</v>
      </c>
      <c r="I192" t="str" cm="1">
        <f t="array" ref="I192">_xlfn.IFS(H192&gt;=13,"Best Customers",H192&gt;=10,"Loyal Customers",H192&gt;=7,"Potential Loyal Customers",H192&gt;=4,"Need Attention",TRUE,"At Risk")</f>
        <v>Best Customers</v>
      </c>
    </row>
    <row r="193" spans="1:9" x14ac:dyDescent="0.25">
      <c r="A193" t="s">
        <v>2320</v>
      </c>
      <c r="B193" s="4">
        <v>410</v>
      </c>
      <c r="C193">
        <v>5</v>
      </c>
      <c r="D193">
        <v>213.30000000000004</v>
      </c>
      <c r="E193" cm="1">
        <f t="array" ref="E193">_xlfn.IFS(B193&lt;=_xlfn.PERCENTILE.INC($B$2:$B$726,0.2),5, B193&lt;=_xlfn.PERCENTILE.INC($B$2:$B$726,0.4),4,B193&lt;=_xlfn.PERCENTILE.INC($B$2:$B$726,0.6),3,B193&lt;=_xlfn.PERCENTILE.INC($B$2:$B$726,0.8),4,TRUE,1)</f>
        <v>4</v>
      </c>
      <c r="F193" cm="1">
        <f t="array" ref="F193">_xlfn.IFS(C193&gt;=_xlfn.PERCENTILE.INC($C$2:$C$726,0.8),5,C193&gt;=_xlfn.PERCENTILE.INC($C$2:$C$726,0.6),4,C193&gt;=_xlfn.PERCENTILE.INC($C$2:$C$726,0.4),3,C193&gt;=_xlfn.PERCENTILE.INC($C$2:$C$726,0.2),2,TRUE,1)</f>
        <v>3</v>
      </c>
      <c r="G193" cm="1">
        <f t="array" ref="G193">_xlfn.IFS(D193&gt;=_xlfn.PERCENTILE.INC($D$2:$D$726,0.8),5,D193&gt;=_xlfn.PERCENTILE.INC($D$2:$D$726,0.6),4,D193&gt;=_xlfn.PERCENTILE.INC($D$2:$D$726,0.4),3,D193&gt;=_xlfn.PERCENTILE.INC($D$2:$D$726,0.2),2,TRUE,1)</f>
        <v>2</v>
      </c>
      <c r="H193">
        <f t="shared" si="2"/>
        <v>9</v>
      </c>
      <c r="I193" t="str" cm="1">
        <f t="array" ref="I193">_xlfn.IFS(H193&gt;=13,"Best Customers",H193&gt;=10,"Loyal Customers",H193&gt;=7,"Potential Loyal Customers",H193&gt;=4,"Need Attention",TRUE,"At Risk")</f>
        <v>Potential Loyal Customers</v>
      </c>
    </row>
    <row r="194" spans="1:9" x14ac:dyDescent="0.25">
      <c r="A194" t="s">
        <v>3112</v>
      </c>
      <c r="B194" s="4">
        <v>458</v>
      </c>
      <c r="C194">
        <v>6</v>
      </c>
      <c r="D194">
        <v>176.3</v>
      </c>
      <c r="E194" cm="1">
        <f t="array" ref="E194">_xlfn.IFS(B194&lt;=_xlfn.PERCENTILE.INC($B$2:$B$726,0.2),5, B194&lt;=_xlfn.PERCENTILE.INC($B$2:$B$726,0.4),4,B194&lt;=_xlfn.PERCENTILE.INC($B$2:$B$726,0.6),3,B194&lt;=_xlfn.PERCENTILE.INC($B$2:$B$726,0.8),4,TRUE,1)</f>
        <v>4</v>
      </c>
      <c r="F194" cm="1">
        <f t="array" ref="F194">_xlfn.IFS(C194&gt;=_xlfn.PERCENTILE.INC($C$2:$C$726,0.8),5,C194&gt;=_xlfn.PERCENTILE.INC($C$2:$C$726,0.6),4,C194&gt;=_xlfn.PERCENTILE.INC($C$2:$C$726,0.4),3,C194&gt;=_xlfn.PERCENTILE.INC($C$2:$C$726,0.2),2,TRUE,1)</f>
        <v>4</v>
      </c>
      <c r="G194" cm="1">
        <f t="array" ref="G194">_xlfn.IFS(D194&gt;=_xlfn.PERCENTILE.INC($D$2:$D$726,0.8),5,D194&gt;=_xlfn.PERCENTILE.INC($D$2:$D$726,0.6),4,D194&gt;=_xlfn.PERCENTILE.INC($D$2:$D$726,0.4),3,D194&gt;=_xlfn.PERCENTILE.INC($D$2:$D$726,0.2),2,TRUE,1)</f>
        <v>2</v>
      </c>
      <c r="H194">
        <f t="shared" si="2"/>
        <v>10</v>
      </c>
      <c r="I194" t="str" cm="1">
        <f t="array" ref="I194">_xlfn.IFS(H194&gt;=13,"Best Customers",H194&gt;=10,"Loyal Customers",H194&gt;=7,"Potential Loyal Customers",H194&gt;=4,"Need Attention",TRUE,"At Risk")</f>
        <v>Loyal Customers</v>
      </c>
    </row>
    <row r="195" spans="1:9" x14ac:dyDescent="0.25">
      <c r="A195" t="s">
        <v>1223</v>
      </c>
      <c r="B195" s="4">
        <v>447</v>
      </c>
      <c r="C195">
        <v>12</v>
      </c>
      <c r="D195">
        <v>434.40000000000003</v>
      </c>
      <c r="E195" cm="1">
        <f t="array" ref="E195">_xlfn.IFS(B195&lt;=_xlfn.PERCENTILE.INC($B$2:$B$726,0.2),5, B195&lt;=_xlfn.PERCENTILE.INC($B$2:$B$726,0.4),4,B195&lt;=_xlfn.PERCENTILE.INC($B$2:$B$726,0.6),3,B195&lt;=_xlfn.PERCENTILE.INC($B$2:$B$726,0.8),4,TRUE,1)</f>
        <v>4</v>
      </c>
      <c r="F195" cm="1">
        <f t="array" ref="F195">_xlfn.IFS(C195&gt;=_xlfn.PERCENTILE.INC($C$2:$C$726,0.8),5,C195&gt;=_xlfn.PERCENTILE.INC($C$2:$C$726,0.6),4,C195&gt;=_xlfn.PERCENTILE.INC($C$2:$C$726,0.4),3,C195&gt;=_xlfn.PERCENTILE.INC($C$2:$C$726,0.2),2,TRUE,1)</f>
        <v>5</v>
      </c>
      <c r="G195" cm="1">
        <f t="array" ref="G195">_xlfn.IFS(D195&gt;=_xlfn.PERCENTILE.INC($D$2:$D$726,0.8),5,D195&gt;=_xlfn.PERCENTILE.INC($D$2:$D$726,0.6),4,D195&gt;=_xlfn.PERCENTILE.INC($D$2:$D$726,0.4),3,D195&gt;=_xlfn.PERCENTILE.INC($D$2:$D$726,0.2),2,TRUE,1)</f>
        <v>5</v>
      </c>
      <c r="H195">
        <f t="shared" ref="H195:H258" si="3">SUM(E195,F195,G195)</f>
        <v>14</v>
      </c>
      <c r="I195" t="str" cm="1">
        <f t="array" ref="I195">_xlfn.IFS(H195&gt;=13,"Best Customers",H195&gt;=10,"Loyal Customers",H195&gt;=7,"Potential Loyal Customers",H195&gt;=4,"Need Attention",TRUE,"At Risk")</f>
        <v>Best Customers</v>
      </c>
    </row>
    <row r="196" spans="1:9" x14ac:dyDescent="0.25">
      <c r="A196" t="s">
        <v>2822</v>
      </c>
      <c r="B196" s="4">
        <v>433</v>
      </c>
      <c r="C196">
        <v>4</v>
      </c>
      <c r="D196">
        <v>252.1</v>
      </c>
      <c r="E196" cm="1">
        <f t="array" ref="E196">_xlfn.IFS(B196&lt;=_xlfn.PERCENTILE.INC($B$2:$B$726,0.2),5, B196&lt;=_xlfn.PERCENTILE.INC($B$2:$B$726,0.4),4,B196&lt;=_xlfn.PERCENTILE.INC($B$2:$B$726,0.6),3,B196&lt;=_xlfn.PERCENTILE.INC($B$2:$B$726,0.8),4,TRUE,1)</f>
        <v>4</v>
      </c>
      <c r="F196" cm="1">
        <f t="array" ref="F196">_xlfn.IFS(C196&gt;=_xlfn.PERCENTILE.INC($C$2:$C$726,0.8),5,C196&gt;=_xlfn.PERCENTILE.INC($C$2:$C$726,0.6),4,C196&gt;=_xlfn.PERCENTILE.INC($C$2:$C$726,0.4),3,C196&gt;=_xlfn.PERCENTILE.INC($C$2:$C$726,0.2),2,TRUE,1)</f>
        <v>2</v>
      </c>
      <c r="G196" cm="1">
        <f t="array" ref="G196">_xlfn.IFS(D196&gt;=_xlfn.PERCENTILE.INC($D$2:$D$726,0.8),5,D196&gt;=_xlfn.PERCENTILE.INC($D$2:$D$726,0.6),4,D196&gt;=_xlfn.PERCENTILE.INC($D$2:$D$726,0.4),3,D196&gt;=_xlfn.PERCENTILE.INC($D$2:$D$726,0.2),2,TRUE,1)</f>
        <v>3</v>
      </c>
      <c r="H196">
        <f t="shared" si="3"/>
        <v>9</v>
      </c>
      <c r="I196" t="str" cm="1">
        <f t="array" ref="I196">_xlfn.IFS(H196&gt;=13,"Best Customers",H196&gt;=10,"Loyal Customers",H196&gt;=7,"Potential Loyal Customers",H196&gt;=4,"Need Attention",TRUE,"At Risk")</f>
        <v>Potential Loyal Customers</v>
      </c>
    </row>
    <row r="197" spans="1:9" x14ac:dyDescent="0.25">
      <c r="A197" t="s">
        <v>492</v>
      </c>
      <c r="B197" s="4">
        <v>1293</v>
      </c>
      <c r="C197">
        <v>2</v>
      </c>
      <c r="D197">
        <v>26.5</v>
      </c>
      <c r="E197" cm="1">
        <f t="array" ref="E197">_xlfn.IFS(B197&lt;=_xlfn.PERCENTILE.INC($B$2:$B$726,0.2),5, B197&lt;=_xlfn.PERCENTILE.INC($B$2:$B$726,0.4),4,B197&lt;=_xlfn.PERCENTILE.INC($B$2:$B$726,0.6),3,B197&lt;=_xlfn.PERCENTILE.INC($B$2:$B$726,0.8),4,TRUE,1)</f>
        <v>1</v>
      </c>
      <c r="F197" cm="1">
        <f t="array" ref="F197">_xlfn.IFS(C197&gt;=_xlfn.PERCENTILE.INC($C$2:$C$726,0.8),5,C197&gt;=_xlfn.PERCENTILE.INC($C$2:$C$726,0.6),4,C197&gt;=_xlfn.PERCENTILE.INC($C$2:$C$726,0.4),3,C197&gt;=_xlfn.PERCENTILE.INC($C$2:$C$726,0.2),2,TRUE,1)</f>
        <v>1</v>
      </c>
      <c r="G197" cm="1">
        <f t="array" ref="G197">_xlfn.IFS(D197&gt;=_xlfn.PERCENTILE.INC($D$2:$D$726,0.8),5,D197&gt;=_xlfn.PERCENTILE.INC($D$2:$D$726,0.6),4,D197&gt;=_xlfn.PERCENTILE.INC($D$2:$D$726,0.4),3,D197&gt;=_xlfn.PERCENTILE.INC($D$2:$D$726,0.2),2,TRUE,1)</f>
        <v>1</v>
      </c>
      <c r="H197">
        <f t="shared" si="3"/>
        <v>3</v>
      </c>
      <c r="I197" t="str" cm="1">
        <f t="array" ref="I197">_xlfn.IFS(H197&gt;=13,"Best Customers",H197&gt;=10,"Loyal Customers",H197&gt;=7,"Potential Loyal Customers",H197&gt;=4,"Need Attention",TRUE,"At Risk")</f>
        <v>At Risk</v>
      </c>
    </row>
    <row r="198" spans="1:9" x14ac:dyDescent="0.25">
      <c r="A198" t="s">
        <v>508</v>
      </c>
      <c r="B198" s="4">
        <v>382</v>
      </c>
      <c r="C198">
        <v>4</v>
      </c>
      <c r="D198">
        <v>203.1</v>
      </c>
      <c r="E198" cm="1">
        <f t="array" ref="E198">_xlfn.IFS(B198&lt;=_xlfn.PERCENTILE.INC($B$2:$B$726,0.2),5, B198&lt;=_xlfn.PERCENTILE.INC($B$2:$B$726,0.4),4,B198&lt;=_xlfn.PERCENTILE.INC($B$2:$B$726,0.6),3,B198&lt;=_xlfn.PERCENTILE.INC($B$2:$B$726,0.8),4,TRUE,1)</f>
        <v>5</v>
      </c>
      <c r="F198" cm="1">
        <f t="array" ref="F198">_xlfn.IFS(C198&gt;=_xlfn.PERCENTILE.INC($C$2:$C$726,0.8),5,C198&gt;=_xlfn.PERCENTILE.INC($C$2:$C$726,0.6),4,C198&gt;=_xlfn.PERCENTILE.INC($C$2:$C$726,0.4),3,C198&gt;=_xlfn.PERCENTILE.INC($C$2:$C$726,0.2),2,TRUE,1)</f>
        <v>2</v>
      </c>
      <c r="G198" cm="1">
        <f t="array" ref="G198">_xlfn.IFS(D198&gt;=_xlfn.PERCENTILE.INC($D$2:$D$726,0.8),5,D198&gt;=_xlfn.PERCENTILE.INC($D$2:$D$726,0.6),4,D198&gt;=_xlfn.PERCENTILE.INC($D$2:$D$726,0.4),3,D198&gt;=_xlfn.PERCENTILE.INC($D$2:$D$726,0.2),2,TRUE,1)</f>
        <v>2</v>
      </c>
      <c r="H198">
        <f t="shared" si="3"/>
        <v>9</v>
      </c>
      <c r="I198" t="str" cm="1">
        <f t="array" ref="I198">_xlfn.IFS(H198&gt;=13,"Best Customers",H198&gt;=10,"Loyal Customers",H198&gt;=7,"Potential Loyal Customers",H198&gt;=4,"Need Attention",TRUE,"At Risk")</f>
        <v>Potential Loyal Customers</v>
      </c>
    </row>
    <row r="199" spans="1:9" x14ac:dyDescent="0.25">
      <c r="A199" t="s">
        <v>2599</v>
      </c>
      <c r="B199" s="4">
        <v>486</v>
      </c>
      <c r="C199">
        <v>9</v>
      </c>
      <c r="D199">
        <v>297.60000000000002</v>
      </c>
      <c r="E199" cm="1">
        <f t="array" ref="E199">_xlfn.IFS(B199&lt;=_xlfn.PERCENTILE.INC($B$2:$B$726,0.2),5, B199&lt;=_xlfn.PERCENTILE.INC($B$2:$B$726,0.4),4,B199&lt;=_xlfn.PERCENTILE.INC($B$2:$B$726,0.6),3,B199&lt;=_xlfn.PERCENTILE.INC($B$2:$B$726,0.8),4,TRUE,1)</f>
        <v>3</v>
      </c>
      <c r="F199" cm="1">
        <f t="array" ref="F199">_xlfn.IFS(C199&gt;=_xlfn.PERCENTILE.INC($C$2:$C$726,0.8),5,C199&gt;=_xlfn.PERCENTILE.INC($C$2:$C$726,0.6),4,C199&gt;=_xlfn.PERCENTILE.INC($C$2:$C$726,0.4),3,C199&gt;=_xlfn.PERCENTILE.INC($C$2:$C$726,0.2),2,TRUE,1)</f>
        <v>5</v>
      </c>
      <c r="G199" cm="1">
        <f t="array" ref="G199">_xlfn.IFS(D199&gt;=_xlfn.PERCENTILE.INC($D$2:$D$726,0.8),5,D199&gt;=_xlfn.PERCENTILE.INC($D$2:$D$726,0.6),4,D199&gt;=_xlfn.PERCENTILE.INC($D$2:$D$726,0.4),3,D199&gt;=_xlfn.PERCENTILE.INC($D$2:$D$726,0.2),2,TRUE,1)</f>
        <v>3</v>
      </c>
      <c r="H199">
        <f t="shared" si="3"/>
        <v>11</v>
      </c>
      <c r="I199" t="str" cm="1">
        <f t="array" ref="I199">_xlfn.IFS(H199&gt;=13,"Best Customers",H199&gt;=10,"Loyal Customers",H199&gt;=7,"Potential Loyal Customers",H199&gt;=4,"Need Attention",TRUE,"At Risk")</f>
        <v>Loyal Customers</v>
      </c>
    </row>
    <row r="200" spans="1:9" x14ac:dyDescent="0.25">
      <c r="A200" t="s">
        <v>1363</v>
      </c>
      <c r="B200" s="4">
        <v>745</v>
      </c>
      <c r="C200">
        <v>6</v>
      </c>
      <c r="D200">
        <v>174</v>
      </c>
      <c r="E200" cm="1">
        <f t="array" ref="E200">_xlfn.IFS(B200&lt;=_xlfn.PERCENTILE.INC($B$2:$B$726,0.2),5, B200&lt;=_xlfn.PERCENTILE.INC($B$2:$B$726,0.4),4,B200&lt;=_xlfn.PERCENTILE.INC($B$2:$B$726,0.6),3,B200&lt;=_xlfn.PERCENTILE.INC($B$2:$B$726,0.8),4,TRUE,1)</f>
        <v>4</v>
      </c>
      <c r="F200" cm="1">
        <f t="array" ref="F200">_xlfn.IFS(C200&gt;=_xlfn.PERCENTILE.INC($C$2:$C$726,0.8),5,C200&gt;=_xlfn.PERCENTILE.INC($C$2:$C$726,0.6),4,C200&gt;=_xlfn.PERCENTILE.INC($C$2:$C$726,0.4),3,C200&gt;=_xlfn.PERCENTILE.INC($C$2:$C$726,0.2),2,TRUE,1)</f>
        <v>4</v>
      </c>
      <c r="G200" cm="1">
        <f t="array" ref="G200">_xlfn.IFS(D200&gt;=_xlfn.PERCENTILE.INC($D$2:$D$726,0.8),5,D200&gt;=_xlfn.PERCENTILE.INC($D$2:$D$726,0.6),4,D200&gt;=_xlfn.PERCENTILE.INC($D$2:$D$726,0.4),3,D200&gt;=_xlfn.PERCENTILE.INC($D$2:$D$726,0.2),2,TRUE,1)</f>
        <v>2</v>
      </c>
      <c r="H200">
        <f t="shared" si="3"/>
        <v>10</v>
      </c>
      <c r="I200" t="str" cm="1">
        <f t="array" ref="I200">_xlfn.IFS(H200&gt;=13,"Best Customers",H200&gt;=10,"Loyal Customers",H200&gt;=7,"Potential Loyal Customers",H200&gt;=4,"Need Attention",TRUE,"At Risk")</f>
        <v>Loyal Customers</v>
      </c>
    </row>
    <row r="201" spans="1:9" x14ac:dyDescent="0.25">
      <c r="A201" t="s">
        <v>604</v>
      </c>
      <c r="B201" s="4">
        <v>819</v>
      </c>
      <c r="C201">
        <v>6</v>
      </c>
      <c r="D201">
        <v>189.4</v>
      </c>
      <c r="E201" cm="1">
        <f t="array" ref="E201">_xlfn.IFS(B201&lt;=_xlfn.PERCENTILE.INC($B$2:$B$726,0.2),5, B201&lt;=_xlfn.PERCENTILE.INC($B$2:$B$726,0.4),4,B201&lt;=_xlfn.PERCENTILE.INC($B$2:$B$726,0.6),3,B201&lt;=_xlfn.PERCENTILE.INC($B$2:$B$726,0.8),4,TRUE,1)</f>
        <v>1</v>
      </c>
      <c r="F201" cm="1">
        <f t="array" ref="F201">_xlfn.IFS(C201&gt;=_xlfn.PERCENTILE.INC($C$2:$C$726,0.8),5,C201&gt;=_xlfn.PERCENTILE.INC($C$2:$C$726,0.6),4,C201&gt;=_xlfn.PERCENTILE.INC($C$2:$C$726,0.4),3,C201&gt;=_xlfn.PERCENTILE.INC($C$2:$C$726,0.2),2,TRUE,1)</f>
        <v>4</v>
      </c>
      <c r="G201" cm="1">
        <f t="array" ref="G201">_xlfn.IFS(D201&gt;=_xlfn.PERCENTILE.INC($D$2:$D$726,0.8),5,D201&gt;=_xlfn.PERCENTILE.INC($D$2:$D$726,0.6),4,D201&gt;=_xlfn.PERCENTILE.INC($D$2:$D$726,0.4),3,D201&gt;=_xlfn.PERCENTILE.INC($D$2:$D$726,0.2),2,TRUE,1)</f>
        <v>2</v>
      </c>
      <c r="H201">
        <f t="shared" si="3"/>
        <v>7</v>
      </c>
      <c r="I201" t="str" cm="1">
        <f t="array" ref="I201">_xlfn.IFS(H201&gt;=13,"Best Customers",H201&gt;=10,"Loyal Customers",H201&gt;=7,"Potential Loyal Customers",H201&gt;=4,"Need Attention",TRUE,"At Risk")</f>
        <v>Potential Loyal Customers</v>
      </c>
    </row>
    <row r="202" spans="1:9" x14ac:dyDescent="0.25">
      <c r="A202" t="s">
        <v>2858</v>
      </c>
      <c r="B202" s="4">
        <v>1610</v>
      </c>
      <c r="C202">
        <v>4</v>
      </c>
      <c r="D202">
        <v>377.6</v>
      </c>
      <c r="E202" cm="1">
        <f t="array" ref="E202">_xlfn.IFS(B202&lt;=_xlfn.PERCENTILE.INC($B$2:$B$726,0.2),5, B202&lt;=_xlfn.PERCENTILE.INC($B$2:$B$726,0.4),4,B202&lt;=_xlfn.PERCENTILE.INC($B$2:$B$726,0.6),3,B202&lt;=_xlfn.PERCENTILE.INC($B$2:$B$726,0.8),4,TRUE,1)</f>
        <v>1</v>
      </c>
      <c r="F202" cm="1">
        <f t="array" ref="F202">_xlfn.IFS(C202&gt;=_xlfn.PERCENTILE.INC($C$2:$C$726,0.8),5,C202&gt;=_xlfn.PERCENTILE.INC($C$2:$C$726,0.6),4,C202&gt;=_xlfn.PERCENTILE.INC($C$2:$C$726,0.4),3,C202&gt;=_xlfn.PERCENTILE.INC($C$2:$C$726,0.2),2,TRUE,1)</f>
        <v>2</v>
      </c>
      <c r="G202" cm="1">
        <f t="array" ref="G202">_xlfn.IFS(D202&gt;=_xlfn.PERCENTILE.INC($D$2:$D$726,0.8),5,D202&gt;=_xlfn.PERCENTILE.INC($D$2:$D$726,0.6),4,D202&gt;=_xlfn.PERCENTILE.INC($D$2:$D$726,0.4),3,D202&gt;=_xlfn.PERCENTILE.INC($D$2:$D$726,0.2),2,TRUE,1)</f>
        <v>4</v>
      </c>
      <c r="H202">
        <f t="shared" si="3"/>
        <v>7</v>
      </c>
      <c r="I202" t="str" cm="1">
        <f t="array" ref="I202">_xlfn.IFS(H202&gt;=13,"Best Customers",H202&gt;=10,"Loyal Customers",H202&gt;=7,"Potential Loyal Customers",H202&gt;=4,"Need Attention",TRUE,"At Risk")</f>
        <v>Potential Loyal Customers</v>
      </c>
    </row>
    <row r="203" spans="1:9" x14ac:dyDescent="0.25">
      <c r="A203" t="s">
        <v>3109</v>
      </c>
      <c r="B203" s="4">
        <v>415</v>
      </c>
      <c r="C203">
        <v>5</v>
      </c>
      <c r="D203">
        <v>388.9</v>
      </c>
      <c r="E203" cm="1">
        <f t="array" ref="E203">_xlfn.IFS(B203&lt;=_xlfn.PERCENTILE.INC($B$2:$B$726,0.2),5, B203&lt;=_xlfn.PERCENTILE.INC($B$2:$B$726,0.4),4,B203&lt;=_xlfn.PERCENTILE.INC($B$2:$B$726,0.6),3,B203&lt;=_xlfn.PERCENTILE.INC($B$2:$B$726,0.8),4,TRUE,1)</f>
        <v>4</v>
      </c>
      <c r="F203" cm="1">
        <f t="array" ref="F203">_xlfn.IFS(C203&gt;=_xlfn.PERCENTILE.INC($C$2:$C$726,0.8),5,C203&gt;=_xlfn.PERCENTILE.INC($C$2:$C$726,0.6),4,C203&gt;=_xlfn.PERCENTILE.INC($C$2:$C$726,0.4),3,C203&gt;=_xlfn.PERCENTILE.INC($C$2:$C$726,0.2),2,TRUE,1)</f>
        <v>3</v>
      </c>
      <c r="G203" cm="1">
        <f t="array" ref="G203">_xlfn.IFS(D203&gt;=_xlfn.PERCENTILE.INC($D$2:$D$726,0.8),5,D203&gt;=_xlfn.PERCENTILE.INC($D$2:$D$726,0.6),4,D203&gt;=_xlfn.PERCENTILE.INC($D$2:$D$726,0.4),3,D203&gt;=_xlfn.PERCENTILE.INC($D$2:$D$726,0.2),2,TRUE,1)</f>
        <v>4</v>
      </c>
      <c r="H203">
        <f t="shared" si="3"/>
        <v>11</v>
      </c>
      <c r="I203" t="str" cm="1">
        <f t="array" ref="I203">_xlfn.IFS(H203&gt;=13,"Best Customers",H203&gt;=10,"Loyal Customers",H203&gt;=7,"Potential Loyal Customers",H203&gt;=4,"Need Attention",TRUE,"At Risk")</f>
        <v>Loyal Customers</v>
      </c>
    </row>
    <row r="204" spans="1:9" x14ac:dyDescent="0.25">
      <c r="A204" t="s">
        <v>2536</v>
      </c>
      <c r="B204" s="4">
        <v>389</v>
      </c>
      <c r="C204">
        <v>8</v>
      </c>
      <c r="D204">
        <v>395.4</v>
      </c>
      <c r="E204" cm="1">
        <f t="array" ref="E204">_xlfn.IFS(B204&lt;=_xlfn.PERCENTILE.INC($B$2:$B$726,0.2),5, B204&lt;=_xlfn.PERCENTILE.INC($B$2:$B$726,0.4),4,B204&lt;=_xlfn.PERCENTILE.INC($B$2:$B$726,0.6),3,B204&lt;=_xlfn.PERCENTILE.INC($B$2:$B$726,0.8),4,TRUE,1)</f>
        <v>5</v>
      </c>
      <c r="F204" cm="1">
        <f t="array" ref="F204">_xlfn.IFS(C204&gt;=_xlfn.PERCENTILE.INC($C$2:$C$726,0.8),5,C204&gt;=_xlfn.PERCENTILE.INC($C$2:$C$726,0.6),4,C204&gt;=_xlfn.PERCENTILE.INC($C$2:$C$726,0.4),3,C204&gt;=_xlfn.PERCENTILE.INC($C$2:$C$726,0.2),2,TRUE,1)</f>
        <v>5</v>
      </c>
      <c r="G204" cm="1">
        <f t="array" ref="G204">_xlfn.IFS(D204&gt;=_xlfn.PERCENTILE.INC($D$2:$D$726,0.8),5,D204&gt;=_xlfn.PERCENTILE.INC($D$2:$D$726,0.6),4,D204&gt;=_xlfn.PERCENTILE.INC($D$2:$D$726,0.4),3,D204&gt;=_xlfn.PERCENTILE.INC($D$2:$D$726,0.2),2,TRUE,1)</f>
        <v>5</v>
      </c>
      <c r="H204">
        <f t="shared" si="3"/>
        <v>15</v>
      </c>
      <c r="I204" t="str" cm="1">
        <f t="array" ref="I204">_xlfn.IFS(H204&gt;=13,"Best Customers",H204&gt;=10,"Loyal Customers",H204&gt;=7,"Potential Loyal Customers",H204&gt;=4,"Need Attention",TRUE,"At Risk")</f>
        <v>Best Customers</v>
      </c>
    </row>
    <row r="205" spans="1:9" x14ac:dyDescent="0.25">
      <c r="A205" t="s">
        <v>1776</v>
      </c>
      <c r="B205" s="4">
        <v>1303</v>
      </c>
      <c r="C205">
        <v>3</v>
      </c>
      <c r="D205">
        <v>278.39999999999998</v>
      </c>
      <c r="E205" cm="1">
        <f t="array" ref="E205">_xlfn.IFS(B205&lt;=_xlfn.PERCENTILE.INC($B$2:$B$726,0.2),5, B205&lt;=_xlfn.PERCENTILE.INC($B$2:$B$726,0.4),4,B205&lt;=_xlfn.PERCENTILE.INC($B$2:$B$726,0.6),3,B205&lt;=_xlfn.PERCENTILE.INC($B$2:$B$726,0.8),4,TRUE,1)</f>
        <v>1</v>
      </c>
      <c r="F205" cm="1">
        <f t="array" ref="F205">_xlfn.IFS(C205&gt;=_xlfn.PERCENTILE.INC($C$2:$C$726,0.8),5,C205&gt;=_xlfn.PERCENTILE.INC($C$2:$C$726,0.6),4,C205&gt;=_xlfn.PERCENTILE.INC($C$2:$C$726,0.4),3,C205&gt;=_xlfn.PERCENTILE.INC($C$2:$C$726,0.2),2,TRUE,1)</f>
        <v>1</v>
      </c>
      <c r="G205" cm="1">
        <f t="array" ref="G205">_xlfn.IFS(D205&gt;=_xlfn.PERCENTILE.INC($D$2:$D$726,0.8),5,D205&gt;=_xlfn.PERCENTILE.INC($D$2:$D$726,0.6),4,D205&gt;=_xlfn.PERCENTILE.INC($D$2:$D$726,0.4),3,D205&gt;=_xlfn.PERCENTILE.INC($D$2:$D$726,0.2),2,TRUE,1)</f>
        <v>3</v>
      </c>
      <c r="H205">
        <f t="shared" si="3"/>
        <v>5</v>
      </c>
      <c r="I205" t="str" cm="1">
        <f t="array" ref="I205">_xlfn.IFS(H205&gt;=13,"Best Customers",H205&gt;=10,"Loyal Customers",H205&gt;=7,"Potential Loyal Customers",H205&gt;=4,"Need Attention",TRUE,"At Risk")</f>
        <v>Need Attention</v>
      </c>
    </row>
    <row r="206" spans="1:9" x14ac:dyDescent="0.25">
      <c r="A206" t="s">
        <v>1628</v>
      </c>
      <c r="B206" s="4">
        <v>974</v>
      </c>
      <c r="C206">
        <v>4</v>
      </c>
      <c r="D206">
        <v>261.10000000000002</v>
      </c>
      <c r="E206" cm="1">
        <f t="array" ref="E206">_xlfn.IFS(B206&lt;=_xlfn.PERCENTILE.INC($B$2:$B$726,0.2),5, B206&lt;=_xlfn.PERCENTILE.INC($B$2:$B$726,0.4),4,B206&lt;=_xlfn.PERCENTILE.INC($B$2:$B$726,0.6),3,B206&lt;=_xlfn.PERCENTILE.INC($B$2:$B$726,0.8),4,TRUE,1)</f>
        <v>1</v>
      </c>
      <c r="F206" cm="1">
        <f t="array" ref="F206">_xlfn.IFS(C206&gt;=_xlfn.PERCENTILE.INC($C$2:$C$726,0.8),5,C206&gt;=_xlfn.PERCENTILE.INC($C$2:$C$726,0.6),4,C206&gt;=_xlfn.PERCENTILE.INC($C$2:$C$726,0.4),3,C206&gt;=_xlfn.PERCENTILE.INC($C$2:$C$726,0.2),2,TRUE,1)</f>
        <v>2</v>
      </c>
      <c r="G206" cm="1">
        <f t="array" ref="G206">_xlfn.IFS(D206&gt;=_xlfn.PERCENTILE.INC($D$2:$D$726,0.8),5,D206&gt;=_xlfn.PERCENTILE.INC($D$2:$D$726,0.6),4,D206&gt;=_xlfn.PERCENTILE.INC($D$2:$D$726,0.4),3,D206&gt;=_xlfn.PERCENTILE.INC($D$2:$D$726,0.2),2,TRUE,1)</f>
        <v>3</v>
      </c>
      <c r="H206">
        <f t="shared" si="3"/>
        <v>6</v>
      </c>
      <c r="I206" t="str" cm="1">
        <f t="array" ref="I206">_xlfn.IFS(H206&gt;=13,"Best Customers",H206&gt;=10,"Loyal Customers",H206&gt;=7,"Potential Loyal Customers",H206&gt;=4,"Need Attention",TRUE,"At Risk")</f>
        <v>Need Attention</v>
      </c>
    </row>
    <row r="207" spans="1:9" x14ac:dyDescent="0.25">
      <c r="A207" t="s">
        <v>646</v>
      </c>
      <c r="B207" s="4">
        <v>340</v>
      </c>
      <c r="C207">
        <v>9</v>
      </c>
      <c r="D207">
        <v>529.30000000000007</v>
      </c>
      <c r="E207" cm="1">
        <f t="array" ref="E207">_xlfn.IFS(B207&lt;=_xlfn.PERCENTILE.INC($B$2:$B$726,0.2),5, B207&lt;=_xlfn.PERCENTILE.INC($B$2:$B$726,0.4),4,B207&lt;=_xlfn.PERCENTILE.INC($B$2:$B$726,0.6),3,B207&lt;=_xlfn.PERCENTILE.INC($B$2:$B$726,0.8),4,TRUE,1)</f>
        <v>5</v>
      </c>
      <c r="F207" cm="1">
        <f t="array" ref="F207">_xlfn.IFS(C207&gt;=_xlfn.PERCENTILE.INC($C$2:$C$726,0.8),5,C207&gt;=_xlfn.PERCENTILE.INC($C$2:$C$726,0.6),4,C207&gt;=_xlfn.PERCENTILE.INC($C$2:$C$726,0.4),3,C207&gt;=_xlfn.PERCENTILE.INC($C$2:$C$726,0.2),2,TRUE,1)</f>
        <v>5</v>
      </c>
      <c r="G207" cm="1">
        <f t="array" ref="G207">_xlfn.IFS(D207&gt;=_xlfn.PERCENTILE.INC($D$2:$D$726,0.8),5,D207&gt;=_xlfn.PERCENTILE.INC($D$2:$D$726,0.6),4,D207&gt;=_xlfn.PERCENTILE.INC($D$2:$D$726,0.4),3,D207&gt;=_xlfn.PERCENTILE.INC($D$2:$D$726,0.2),2,TRUE,1)</f>
        <v>5</v>
      </c>
      <c r="H207">
        <f t="shared" si="3"/>
        <v>15</v>
      </c>
      <c r="I207" t="str" cm="1">
        <f t="array" ref="I207">_xlfn.IFS(H207&gt;=13,"Best Customers",H207&gt;=10,"Loyal Customers",H207&gt;=7,"Potential Loyal Customers",H207&gt;=4,"Need Attention",TRUE,"At Risk")</f>
        <v>Best Customers</v>
      </c>
    </row>
    <row r="208" spans="1:9" x14ac:dyDescent="0.25">
      <c r="A208" t="s">
        <v>1881</v>
      </c>
      <c r="B208" s="4">
        <v>1288</v>
      </c>
      <c r="C208">
        <v>4</v>
      </c>
      <c r="D208">
        <v>193.6</v>
      </c>
      <c r="E208" cm="1">
        <f t="array" ref="E208">_xlfn.IFS(B208&lt;=_xlfn.PERCENTILE.INC($B$2:$B$726,0.2),5, B208&lt;=_xlfn.PERCENTILE.INC($B$2:$B$726,0.4),4,B208&lt;=_xlfn.PERCENTILE.INC($B$2:$B$726,0.6),3,B208&lt;=_xlfn.PERCENTILE.INC($B$2:$B$726,0.8),4,TRUE,1)</f>
        <v>1</v>
      </c>
      <c r="F208" cm="1">
        <f t="array" ref="F208">_xlfn.IFS(C208&gt;=_xlfn.PERCENTILE.INC($C$2:$C$726,0.8),5,C208&gt;=_xlfn.PERCENTILE.INC($C$2:$C$726,0.6),4,C208&gt;=_xlfn.PERCENTILE.INC($C$2:$C$726,0.4),3,C208&gt;=_xlfn.PERCENTILE.INC($C$2:$C$726,0.2),2,TRUE,1)</f>
        <v>2</v>
      </c>
      <c r="G208" cm="1">
        <f t="array" ref="G208">_xlfn.IFS(D208&gt;=_xlfn.PERCENTILE.INC($D$2:$D$726,0.8),5,D208&gt;=_xlfn.PERCENTILE.INC($D$2:$D$726,0.6),4,D208&gt;=_xlfn.PERCENTILE.INC($D$2:$D$726,0.4),3,D208&gt;=_xlfn.PERCENTILE.INC($D$2:$D$726,0.2),2,TRUE,1)</f>
        <v>2</v>
      </c>
      <c r="H208">
        <f t="shared" si="3"/>
        <v>5</v>
      </c>
      <c r="I208" t="str" cm="1">
        <f t="array" ref="I208">_xlfn.IFS(H208&gt;=13,"Best Customers",H208&gt;=10,"Loyal Customers",H208&gt;=7,"Potential Loyal Customers",H208&gt;=4,"Need Attention",TRUE,"At Risk")</f>
        <v>Need Attention</v>
      </c>
    </row>
    <row r="209" spans="1:9" x14ac:dyDescent="0.25">
      <c r="A209" t="s">
        <v>811</v>
      </c>
      <c r="B209" s="4">
        <v>787</v>
      </c>
      <c r="C209">
        <v>8</v>
      </c>
      <c r="D209">
        <v>323.5</v>
      </c>
      <c r="E209" cm="1">
        <f t="array" ref="E209">_xlfn.IFS(B209&lt;=_xlfn.PERCENTILE.INC($B$2:$B$726,0.2),5, B209&lt;=_xlfn.PERCENTILE.INC($B$2:$B$726,0.4),4,B209&lt;=_xlfn.PERCENTILE.INC($B$2:$B$726,0.6),3,B209&lt;=_xlfn.PERCENTILE.INC($B$2:$B$726,0.8),4,TRUE,1)</f>
        <v>1</v>
      </c>
      <c r="F209" cm="1">
        <f t="array" ref="F209">_xlfn.IFS(C209&gt;=_xlfn.PERCENTILE.INC($C$2:$C$726,0.8),5,C209&gt;=_xlfn.PERCENTILE.INC($C$2:$C$726,0.6),4,C209&gt;=_xlfn.PERCENTILE.INC($C$2:$C$726,0.4),3,C209&gt;=_xlfn.PERCENTILE.INC($C$2:$C$726,0.2),2,TRUE,1)</f>
        <v>5</v>
      </c>
      <c r="G209" cm="1">
        <f t="array" ref="G209">_xlfn.IFS(D209&gt;=_xlfn.PERCENTILE.INC($D$2:$D$726,0.8),5,D209&gt;=_xlfn.PERCENTILE.INC($D$2:$D$726,0.6),4,D209&gt;=_xlfn.PERCENTILE.INC($D$2:$D$726,0.4),3,D209&gt;=_xlfn.PERCENTILE.INC($D$2:$D$726,0.2),2,TRUE,1)</f>
        <v>4</v>
      </c>
      <c r="H209">
        <f t="shared" si="3"/>
        <v>10</v>
      </c>
      <c r="I209" t="str" cm="1">
        <f t="array" ref="I209">_xlfn.IFS(H209&gt;=13,"Best Customers",H209&gt;=10,"Loyal Customers",H209&gt;=7,"Potential Loyal Customers",H209&gt;=4,"Need Attention",TRUE,"At Risk")</f>
        <v>Loyal Customers</v>
      </c>
    </row>
    <row r="210" spans="1:9" x14ac:dyDescent="0.25">
      <c r="A210" t="s">
        <v>1396</v>
      </c>
      <c r="B210" s="4">
        <v>493</v>
      </c>
      <c r="C210">
        <v>6</v>
      </c>
      <c r="D210">
        <v>195.6</v>
      </c>
      <c r="E210" cm="1">
        <f t="array" ref="E210">_xlfn.IFS(B210&lt;=_xlfn.PERCENTILE.INC($B$2:$B$726,0.2),5, B210&lt;=_xlfn.PERCENTILE.INC($B$2:$B$726,0.4),4,B210&lt;=_xlfn.PERCENTILE.INC($B$2:$B$726,0.6),3,B210&lt;=_xlfn.PERCENTILE.INC($B$2:$B$726,0.8),4,TRUE,1)</f>
        <v>3</v>
      </c>
      <c r="F210" cm="1">
        <f t="array" ref="F210">_xlfn.IFS(C210&gt;=_xlfn.PERCENTILE.INC($C$2:$C$726,0.8),5,C210&gt;=_xlfn.PERCENTILE.INC($C$2:$C$726,0.6),4,C210&gt;=_xlfn.PERCENTILE.INC($C$2:$C$726,0.4),3,C210&gt;=_xlfn.PERCENTILE.INC($C$2:$C$726,0.2),2,TRUE,1)</f>
        <v>4</v>
      </c>
      <c r="G210" cm="1">
        <f t="array" ref="G210">_xlfn.IFS(D210&gt;=_xlfn.PERCENTILE.INC($D$2:$D$726,0.8),5,D210&gt;=_xlfn.PERCENTILE.INC($D$2:$D$726,0.6),4,D210&gt;=_xlfn.PERCENTILE.INC($D$2:$D$726,0.4),3,D210&gt;=_xlfn.PERCENTILE.INC($D$2:$D$726,0.2),2,TRUE,1)</f>
        <v>2</v>
      </c>
      <c r="H210">
        <f t="shared" si="3"/>
        <v>9</v>
      </c>
      <c r="I210" t="str" cm="1">
        <f t="array" ref="I210">_xlfn.IFS(H210&gt;=13,"Best Customers",H210&gt;=10,"Loyal Customers",H210&gt;=7,"Potential Loyal Customers",H210&gt;=4,"Need Attention",TRUE,"At Risk")</f>
        <v>Potential Loyal Customers</v>
      </c>
    </row>
    <row r="211" spans="1:9" x14ac:dyDescent="0.25">
      <c r="A211" t="s">
        <v>3048</v>
      </c>
      <c r="B211" s="4">
        <v>394</v>
      </c>
      <c r="C211">
        <v>5</v>
      </c>
      <c r="D211">
        <v>151.69999999999999</v>
      </c>
      <c r="E211" cm="1">
        <f t="array" ref="E211">_xlfn.IFS(B211&lt;=_xlfn.PERCENTILE.INC($B$2:$B$726,0.2),5, B211&lt;=_xlfn.PERCENTILE.INC($B$2:$B$726,0.4),4,B211&lt;=_xlfn.PERCENTILE.INC($B$2:$B$726,0.6),3,B211&lt;=_xlfn.PERCENTILE.INC($B$2:$B$726,0.8),4,TRUE,1)</f>
        <v>4</v>
      </c>
      <c r="F211" cm="1">
        <f t="array" ref="F211">_xlfn.IFS(C211&gt;=_xlfn.PERCENTILE.INC($C$2:$C$726,0.8),5,C211&gt;=_xlfn.PERCENTILE.INC($C$2:$C$726,0.6),4,C211&gt;=_xlfn.PERCENTILE.INC($C$2:$C$726,0.4),3,C211&gt;=_xlfn.PERCENTILE.INC($C$2:$C$726,0.2),2,TRUE,1)</f>
        <v>3</v>
      </c>
      <c r="G211" cm="1">
        <f t="array" ref="G211">_xlfn.IFS(D211&gt;=_xlfn.PERCENTILE.INC($D$2:$D$726,0.8),5,D211&gt;=_xlfn.PERCENTILE.INC($D$2:$D$726,0.6),4,D211&gt;=_xlfn.PERCENTILE.INC($D$2:$D$726,0.4),3,D211&gt;=_xlfn.PERCENTILE.INC($D$2:$D$726,0.2),2,TRUE,1)</f>
        <v>1</v>
      </c>
      <c r="H211">
        <f t="shared" si="3"/>
        <v>8</v>
      </c>
      <c r="I211" t="str" cm="1">
        <f t="array" ref="I211">_xlfn.IFS(H211&gt;=13,"Best Customers",H211&gt;=10,"Loyal Customers",H211&gt;=7,"Potential Loyal Customers",H211&gt;=4,"Need Attention",TRUE,"At Risk")</f>
        <v>Potential Loyal Customers</v>
      </c>
    </row>
    <row r="212" spans="1:9" x14ac:dyDescent="0.25">
      <c r="A212" t="s">
        <v>1982</v>
      </c>
      <c r="B212" s="4">
        <v>362</v>
      </c>
      <c r="C212">
        <v>12</v>
      </c>
      <c r="D212">
        <v>362.59999999999997</v>
      </c>
      <c r="E212" cm="1">
        <f t="array" ref="E212">_xlfn.IFS(B212&lt;=_xlfn.PERCENTILE.INC($B$2:$B$726,0.2),5, B212&lt;=_xlfn.PERCENTILE.INC($B$2:$B$726,0.4),4,B212&lt;=_xlfn.PERCENTILE.INC($B$2:$B$726,0.6),3,B212&lt;=_xlfn.PERCENTILE.INC($B$2:$B$726,0.8),4,TRUE,1)</f>
        <v>5</v>
      </c>
      <c r="F212" cm="1">
        <f t="array" ref="F212">_xlfn.IFS(C212&gt;=_xlfn.PERCENTILE.INC($C$2:$C$726,0.8),5,C212&gt;=_xlfn.PERCENTILE.INC($C$2:$C$726,0.6),4,C212&gt;=_xlfn.PERCENTILE.INC($C$2:$C$726,0.4),3,C212&gt;=_xlfn.PERCENTILE.INC($C$2:$C$726,0.2),2,TRUE,1)</f>
        <v>5</v>
      </c>
      <c r="G212" cm="1">
        <f t="array" ref="G212">_xlfn.IFS(D212&gt;=_xlfn.PERCENTILE.INC($D$2:$D$726,0.8),5,D212&gt;=_xlfn.PERCENTILE.INC($D$2:$D$726,0.6),4,D212&gt;=_xlfn.PERCENTILE.INC($D$2:$D$726,0.4),3,D212&gt;=_xlfn.PERCENTILE.INC($D$2:$D$726,0.2),2,TRUE,1)</f>
        <v>4</v>
      </c>
      <c r="H212">
        <f t="shared" si="3"/>
        <v>14</v>
      </c>
      <c r="I212" t="str" cm="1">
        <f t="array" ref="I212">_xlfn.IFS(H212&gt;=13,"Best Customers",H212&gt;=10,"Loyal Customers",H212&gt;=7,"Potential Loyal Customers",H212&gt;=4,"Need Attention",TRUE,"At Risk")</f>
        <v>Best Customers</v>
      </c>
    </row>
    <row r="213" spans="1:9" x14ac:dyDescent="0.25">
      <c r="A213" t="s">
        <v>2065</v>
      </c>
      <c r="B213" s="4">
        <v>1156</v>
      </c>
      <c r="C213">
        <v>3</v>
      </c>
      <c r="D213">
        <v>256.8</v>
      </c>
      <c r="E213" cm="1">
        <f t="array" ref="E213">_xlfn.IFS(B213&lt;=_xlfn.PERCENTILE.INC($B$2:$B$726,0.2),5, B213&lt;=_xlfn.PERCENTILE.INC($B$2:$B$726,0.4),4,B213&lt;=_xlfn.PERCENTILE.INC($B$2:$B$726,0.6),3,B213&lt;=_xlfn.PERCENTILE.INC($B$2:$B$726,0.8),4,TRUE,1)</f>
        <v>1</v>
      </c>
      <c r="F213" cm="1">
        <f t="array" ref="F213">_xlfn.IFS(C213&gt;=_xlfn.PERCENTILE.INC($C$2:$C$726,0.8),5,C213&gt;=_xlfn.PERCENTILE.INC($C$2:$C$726,0.6),4,C213&gt;=_xlfn.PERCENTILE.INC($C$2:$C$726,0.4),3,C213&gt;=_xlfn.PERCENTILE.INC($C$2:$C$726,0.2),2,TRUE,1)</f>
        <v>1</v>
      </c>
      <c r="G213" cm="1">
        <f t="array" ref="G213">_xlfn.IFS(D213&gt;=_xlfn.PERCENTILE.INC($D$2:$D$726,0.8),5,D213&gt;=_xlfn.PERCENTILE.INC($D$2:$D$726,0.6),4,D213&gt;=_xlfn.PERCENTILE.INC($D$2:$D$726,0.4),3,D213&gt;=_xlfn.PERCENTILE.INC($D$2:$D$726,0.2),2,TRUE,1)</f>
        <v>3</v>
      </c>
      <c r="H213">
        <f t="shared" si="3"/>
        <v>5</v>
      </c>
      <c r="I213" t="str" cm="1">
        <f t="array" ref="I213">_xlfn.IFS(H213&gt;=13,"Best Customers",H213&gt;=10,"Loyal Customers",H213&gt;=7,"Potential Loyal Customers",H213&gt;=4,"Need Attention",TRUE,"At Risk")</f>
        <v>Need Attention</v>
      </c>
    </row>
    <row r="214" spans="1:9" x14ac:dyDescent="0.25">
      <c r="A214" t="s">
        <v>2224</v>
      </c>
      <c r="B214" s="4">
        <v>372</v>
      </c>
      <c r="C214">
        <v>6</v>
      </c>
      <c r="D214">
        <v>318.40000000000003</v>
      </c>
      <c r="E214" cm="1">
        <f t="array" ref="E214">_xlfn.IFS(B214&lt;=_xlfn.PERCENTILE.INC($B$2:$B$726,0.2),5, B214&lt;=_xlfn.PERCENTILE.INC($B$2:$B$726,0.4),4,B214&lt;=_xlfn.PERCENTILE.INC($B$2:$B$726,0.6),3,B214&lt;=_xlfn.PERCENTILE.INC($B$2:$B$726,0.8),4,TRUE,1)</f>
        <v>5</v>
      </c>
      <c r="F214" cm="1">
        <f t="array" ref="F214">_xlfn.IFS(C214&gt;=_xlfn.PERCENTILE.INC($C$2:$C$726,0.8),5,C214&gt;=_xlfn.PERCENTILE.INC($C$2:$C$726,0.6),4,C214&gt;=_xlfn.PERCENTILE.INC($C$2:$C$726,0.4),3,C214&gt;=_xlfn.PERCENTILE.INC($C$2:$C$726,0.2),2,TRUE,1)</f>
        <v>4</v>
      </c>
      <c r="G214" cm="1">
        <f t="array" ref="G214">_xlfn.IFS(D214&gt;=_xlfn.PERCENTILE.INC($D$2:$D$726,0.8),5,D214&gt;=_xlfn.PERCENTILE.INC($D$2:$D$726,0.6),4,D214&gt;=_xlfn.PERCENTILE.INC($D$2:$D$726,0.4),3,D214&gt;=_xlfn.PERCENTILE.INC($D$2:$D$726,0.2),2,TRUE,1)</f>
        <v>4</v>
      </c>
      <c r="H214">
        <f t="shared" si="3"/>
        <v>13</v>
      </c>
      <c r="I214" t="str" cm="1">
        <f t="array" ref="I214">_xlfn.IFS(H214&gt;=13,"Best Customers",H214&gt;=10,"Loyal Customers",H214&gt;=7,"Potential Loyal Customers",H214&gt;=4,"Need Attention",TRUE,"At Risk")</f>
        <v>Best Customers</v>
      </c>
    </row>
    <row r="215" spans="1:9" x14ac:dyDescent="0.25">
      <c r="A215" t="s">
        <v>1544</v>
      </c>
      <c r="B215" s="4">
        <v>973</v>
      </c>
      <c r="C215">
        <v>4</v>
      </c>
      <c r="D215">
        <v>359.7</v>
      </c>
      <c r="E215" cm="1">
        <f t="array" ref="E215">_xlfn.IFS(B215&lt;=_xlfn.PERCENTILE.INC($B$2:$B$726,0.2),5, B215&lt;=_xlfn.PERCENTILE.INC($B$2:$B$726,0.4),4,B215&lt;=_xlfn.PERCENTILE.INC($B$2:$B$726,0.6),3,B215&lt;=_xlfn.PERCENTILE.INC($B$2:$B$726,0.8),4,TRUE,1)</f>
        <v>1</v>
      </c>
      <c r="F215" cm="1">
        <f t="array" ref="F215">_xlfn.IFS(C215&gt;=_xlfn.PERCENTILE.INC($C$2:$C$726,0.8),5,C215&gt;=_xlfn.PERCENTILE.INC($C$2:$C$726,0.6),4,C215&gt;=_xlfn.PERCENTILE.INC($C$2:$C$726,0.4),3,C215&gt;=_xlfn.PERCENTILE.INC($C$2:$C$726,0.2),2,TRUE,1)</f>
        <v>2</v>
      </c>
      <c r="G215" cm="1">
        <f t="array" ref="G215">_xlfn.IFS(D215&gt;=_xlfn.PERCENTILE.INC($D$2:$D$726,0.8),5,D215&gt;=_xlfn.PERCENTILE.INC($D$2:$D$726,0.6),4,D215&gt;=_xlfn.PERCENTILE.INC($D$2:$D$726,0.4),3,D215&gt;=_xlfn.PERCENTILE.INC($D$2:$D$726,0.2),2,TRUE,1)</f>
        <v>4</v>
      </c>
      <c r="H215">
        <f t="shared" si="3"/>
        <v>7</v>
      </c>
      <c r="I215" t="str" cm="1">
        <f t="array" ref="I215">_xlfn.IFS(H215&gt;=13,"Best Customers",H215&gt;=10,"Loyal Customers",H215&gt;=7,"Potential Loyal Customers",H215&gt;=4,"Need Attention",TRUE,"At Risk")</f>
        <v>Potential Loyal Customers</v>
      </c>
    </row>
    <row r="216" spans="1:9" x14ac:dyDescent="0.25">
      <c r="A216" t="s">
        <v>2062</v>
      </c>
      <c r="B216" s="4">
        <v>355</v>
      </c>
      <c r="C216">
        <v>8</v>
      </c>
      <c r="D216">
        <v>659.5</v>
      </c>
      <c r="E216" cm="1">
        <f t="array" ref="E216">_xlfn.IFS(B216&lt;=_xlfn.PERCENTILE.INC($B$2:$B$726,0.2),5, B216&lt;=_xlfn.PERCENTILE.INC($B$2:$B$726,0.4),4,B216&lt;=_xlfn.PERCENTILE.INC($B$2:$B$726,0.6),3,B216&lt;=_xlfn.PERCENTILE.INC($B$2:$B$726,0.8),4,TRUE,1)</f>
        <v>5</v>
      </c>
      <c r="F216" cm="1">
        <f t="array" ref="F216">_xlfn.IFS(C216&gt;=_xlfn.PERCENTILE.INC($C$2:$C$726,0.8),5,C216&gt;=_xlfn.PERCENTILE.INC($C$2:$C$726,0.6),4,C216&gt;=_xlfn.PERCENTILE.INC($C$2:$C$726,0.4),3,C216&gt;=_xlfn.PERCENTILE.INC($C$2:$C$726,0.2),2,TRUE,1)</f>
        <v>5</v>
      </c>
      <c r="G216" cm="1">
        <f t="array" ref="G216">_xlfn.IFS(D216&gt;=_xlfn.PERCENTILE.INC($D$2:$D$726,0.8),5,D216&gt;=_xlfn.PERCENTILE.INC($D$2:$D$726,0.6),4,D216&gt;=_xlfn.PERCENTILE.INC($D$2:$D$726,0.4),3,D216&gt;=_xlfn.PERCENTILE.INC($D$2:$D$726,0.2),2,TRUE,1)</f>
        <v>5</v>
      </c>
      <c r="H216">
        <f t="shared" si="3"/>
        <v>15</v>
      </c>
      <c r="I216" t="str" cm="1">
        <f t="array" ref="I216">_xlfn.IFS(H216&gt;=13,"Best Customers",H216&gt;=10,"Loyal Customers",H216&gt;=7,"Potential Loyal Customers",H216&gt;=4,"Need Attention",TRUE,"At Risk")</f>
        <v>Best Customers</v>
      </c>
    </row>
    <row r="217" spans="1:9" x14ac:dyDescent="0.25">
      <c r="A217" t="s">
        <v>2444</v>
      </c>
      <c r="B217" s="4">
        <v>801</v>
      </c>
      <c r="C217">
        <v>4</v>
      </c>
      <c r="D217">
        <v>256.8</v>
      </c>
      <c r="E217" cm="1">
        <f t="array" ref="E217">_xlfn.IFS(B217&lt;=_xlfn.PERCENTILE.INC($B$2:$B$726,0.2),5, B217&lt;=_xlfn.PERCENTILE.INC($B$2:$B$726,0.4),4,B217&lt;=_xlfn.PERCENTILE.INC($B$2:$B$726,0.6),3,B217&lt;=_xlfn.PERCENTILE.INC($B$2:$B$726,0.8),4,TRUE,1)</f>
        <v>1</v>
      </c>
      <c r="F217" cm="1">
        <f t="array" ref="F217">_xlfn.IFS(C217&gt;=_xlfn.PERCENTILE.INC($C$2:$C$726,0.8),5,C217&gt;=_xlfn.PERCENTILE.INC($C$2:$C$726,0.6),4,C217&gt;=_xlfn.PERCENTILE.INC($C$2:$C$726,0.4),3,C217&gt;=_xlfn.PERCENTILE.INC($C$2:$C$726,0.2),2,TRUE,1)</f>
        <v>2</v>
      </c>
      <c r="G217" cm="1">
        <f t="array" ref="G217">_xlfn.IFS(D217&gt;=_xlfn.PERCENTILE.INC($D$2:$D$726,0.8),5,D217&gt;=_xlfn.PERCENTILE.INC($D$2:$D$726,0.6),4,D217&gt;=_xlfn.PERCENTILE.INC($D$2:$D$726,0.4),3,D217&gt;=_xlfn.PERCENTILE.INC($D$2:$D$726,0.2),2,TRUE,1)</f>
        <v>3</v>
      </c>
      <c r="H217">
        <f t="shared" si="3"/>
        <v>6</v>
      </c>
      <c r="I217" t="str" cm="1">
        <f t="array" ref="I217">_xlfn.IFS(H217&gt;=13,"Best Customers",H217&gt;=10,"Loyal Customers",H217&gt;=7,"Potential Loyal Customers",H217&gt;=4,"Need Attention",TRUE,"At Risk")</f>
        <v>Need Attention</v>
      </c>
    </row>
    <row r="218" spans="1:9" x14ac:dyDescent="0.25">
      <c r="A218" t="s">
        <v>1851</v>
      </c>
      <c r="B218" s="4">
        <v>511</v>
      </c>
      <c r="C218">
        <v>8</v>
      </c>
      <c r="D218">
        <v>324.8</v>
      </c>
      <c r="E218" cm="1">
        <f t="array" ref="E218">_xlfn.IFS(B218&lt;=_xlfn.PERCENTILE.INC($B$2:$B$726,0.2),5, B218&lt;=_xlfn.PERCENTILE.INC($B$2:$B$726,0.4),4,B218&lt;=_xlfn.PERCENTILE.INC($B$2:$B$726,0.6),3,B218&lt;=_xlfn.PERCENTILE.INC($B$2:$B$726,0.8),4,TRUE,1)</f>
        <v>3</v>
      </c>
      <c r="F218" cm="1">
        <f t="array" ref="F218">_xlfn.IFS(C218&gt;=_xlfn.PERCENTILE.INC($C$2:$C$726,0.8),5,C218&gt;=_xlfn.PERCENTILE.INC($C$2:$C$726,0.6),4,C218&gt;=_xlfn.PERCENTILE.INC($C$2:$C$726,0.4),3,C218&gt;=_xlfn.PERCENTILE.INC($C$2:$C$726,0.2),2,TRUE,1)</f>
        <v>5</v>
      </c>
      <c r="G218" cm="1">
        <f t="array" ref="G218">_xlfn.IFS(D218&gt;=_xlfn.PERCENTILE.INC($D$2:$D$726,0.8),5,D218&gt;=_xlfn.PERCENTILE.INC($D$2:$D$726,0.6),4,D218&gt;=_xlfn.PERCENTILE.INC($D$2:$D$726,0.4),3,D218&gt;=_xlfn.PERCENTILE.INC($D$2:$D$726,0.2),2,TRUE,1)</f>
        <v>4</v>
      </c>
      <c r="H218">
        <f t="shared" si="3"/>
        <v>12</v>
      </c>
      <c r="I218" t="str" cm="1">
        <f t="array" ref="I218">_xlfn.IFS(H218&gt;=13,"Best Customers",H218&gt;=10,"Loyal Customers",H218&gt;=7,"Potential Loyal Customers",H218&gt;=4,"Need Attention",TRUE,"At Risk")</f>
        <v>Loyal Customers</v>
      </c>
    </row>
    <row r="219" spans="1:9" x14ac:dyDescent="0.25">
      <c r="A219" t="s">
        <v>1848</v>
      </c>
      <c r="B219" s="4">
        <v>504</v>
      </c>
      <c r="C219">
        <v>6</v>
      </c>
      <c r="D219">
        <v>159.1</v>
      </c>
      <c r="E219" cm="1">
        <f t="array" ref="E219">_xlfn.IFS(B219&lt;=_xlfn.PERCENTILE.INC($B$2:$B$726,0.2),5, B219&lt;=_xlfn.PERCENTILE.INC($B$2:$B$726,0.4),4,B219&lt;=_xlfn.PERCENTILE.INC($B$2:$B$726,0.6),3,B219&lt;=_xlfn.PERCENTILE.INC($B$2:$B$726,0.8),4,TRUE,1)</f>
        <v>3</v>
      </c>
      <c r="F219" cm="1">
        <f t="array" ref="F219">_xlfn.IFS(C219&gt;=_xlfn.PERCENTILE.INC($C$2:$C$726,0.8),5,C219&gt;=_xlfn.PERCENTILE.INC($C$2:$C$726,0.6),4,C219&gt;=_xlfn.PERCENTILE.INC($C$2:$C$726,0.4),3,C219&gt;=_xlfn.PERCENTILE.INC($C$2:$C$726,0.2),2,TRUE,1)</f>
        <v>4</v>
      </c>
      <c r="G219" cm="1">
        <f t="array" ref="G219">_xlfn.IFS(D219&gt;=_xlfn.PERCENTILE.INC($D$2:$D$726,0.8),5,D219&gt;=_xlfn.PERCENTILE.INC($D$2:$D$726,0.6),4,D219&gt;=_xlfn.PERCENTILE.INC($D$2:$D$726,0.4),3,D219&gt;=_xlfn.PERCENTILE.INC($D$2:$D$726,0.2),2,TRUE,1)</f>
        <v>2</v>
      </c>
      <c r="H219">
        <f t="shared" si="3"/>
        <v>9</v>
      </c>
      <c r="I219" t="str" cm="1">
        <f t="array" ref="I219">_xlfn.IFS(H219&gt;=13,"Best Customers",H219&gt;=10,"Loyal Customers",H219&gt;=7,"Potential Loyal Customers",H219&gt;=4,"Need Attention",TRUE,"At Risk")</f>
        <v>Potential Loyal Customers</v>
      </c>
    </row>
    <row r="220" spans="1:9" x14ac:dyDescent="0.25">
      <c r="A220" t="s">
        <v>1172</v>
      </c>
      <c r="B220" s="4">
        <v>1488</v>
      </c>
      <c r="C220">
        <v>4</v>
      </c>
      <c r="D220">
        <v>83</v>
      </c>
      <c r="E220" cm="1">
        <f t="array" ref="E220">_xlfn.IFS(B220&lt;=_xlfn.PERCENTILE.INC($B$2:$B$726,0.2),5, B220&lt;=_xlfn.PERCENTILE.INC($B$2:$B$726,0.4),4,B220&lt;=_xlfn.PERCENTILE.INC($B$2:$B$726,0.6),3,B220&lt;=_xlfn.PERCENTILE.INC($B$2:$B$726,0.8),4,TRUE,1)</f>
        <v>1</v>
      </c>
      <c r="F220" cm="1">
        <f t="array" ref="F220">_xlfn.IFS(C220&gt;=_xlfn.PERCENTILE.INC($C$2:$C$726,0.8),5,C220&gt;=_xlfn.PERCENTILE.INC($C$2:$C$726,0.6),4,C220&gt;=_xlfn.PERCENTILE.INC($C$2:$C$726,0.4),3,C220&gt;=_xlfn.PERCENTILE.INC($C$2:$C$726,0.2),2,TRUE,1)</f>
        <v>2</v>
      </c>
      <c r="G220" cm="1">
        <f t="array" ref="G220">_xlfn.IFS(D220&gt;=_xlfn.PERCENTILE.INC($D$2:$D$726,0.8),5,D220&gt;=_xlfn.PERCENTILE.INC($D$2:$D$726,0.6),4,D220&gt;=_xlfn.PERCENTILE.INC($D$2:$D$726,0.4),3,D220&gt;=_xlfn.PERCENTILE.INC($D$2:$D$726,0.2),2,TRUE,1)</f>
        <v>1</v>
      </c>
      <c r="H220">
        <f t="shared" si="3"/>
        <v>4</v>
      </c>
      <c r="I220" t="str" cm="1">
        <f t="array" ref="I220">_xlfn.IFS(H220&gt;=13,"Best Customers",H220&gt;=10,"Loyal Customers",H220&gt;=7,"Potential Loyal Customers",H220&gt;=4,"Need Attention",TRUE,"At Risk")</f>
        <v>Need Attention</v>
      </c>
    </row>
    <row r="221" spans="1:9" x14ac:dyDescent="0.25">
      <c r="A221" t="s">
        <v>938</v>
      </c>
      <c r="B221" s="4">
        <v>965</v>
      </c>
      <c r="C221">
        <v>4</v>
      </c>
      <c r="D221">
        <v>181.1</v>
      </c>
      <c r="E221" cm="1">
        <f t="array" ref="E221">_xlfn.IFS(B221&lt;=_xlfn.PERCENTILE.INC($B$2:$B$726,0.2),5, B221&lt;=_xlfn.PERCENTILE.INC($B$2:$B$726,0.4),4,B221&lt;=_xlfn.PERCENTILE.INC($B$2:$B$726,0.6),3,B221&lt;=_xlfn.PERCENTILE.INC($B$2:$B$726,0.8),4,TRUE,1)</f>
        <v>1</v>
      </c>
      <c r="F221" cm="1">
        <f t="array" ref="F221">_xlfn.IFS(C221&gt;=_xlfn.PERCENTILE.INC($C$2:$C$726,0.8),5,C221&gt;=_xlfn.PERCENTILE.INC($C$2:$C$726,0.6),4,C221&gt;=_xlfn.PERCENTILE.INC($C$2:$C$726,0.4),3,C221&gt;=_xlfn.PERCENTILE.INC($C$2:$C$726,0.2),2,TRUE,1)</f>
        <v>2</v>
      </c>
      <c r="G221" cm="1">
        <f t="array" ref="G221">_xlfn.IFS(D221&gt;=_xlfn.PERCENTILE.INC($D$2:$D$726,0.8),5,D221&gt;=_xlfn.PERCENTILE.INC($D$2:$D$726,0.6),4,D221&gt;=_xlfn.PERCENTILE.INC($D$2:$D$726,0.4),3,D221&gt;=_xlfn.PERCENTILE.INC($D$2:$D$726,0.2),2,TRUE,1)</f>
        <v>2</v>
      </c>
      <c r="H221">
        <f t="shared" si="3"/>
        <v>5</v>
      </c>
      <c r="I221" t="str" cm="1">
        <f t="array" ref="I221">_xlfn.IFS(H221&gt;=13,"Best Customers",H221&gt;=10,"Loyal Customers",H221&gt;=7,"Potential Loyal Customers",H221&gt;=4,"Need Attention",TRUE,"At Risk")</f>
        <v>Need Attention</v>
      </c>
    </row>
    <row r="222" spans="1:9" x14ac:dyDescent="0.25">
      <c r="A222" t="s">
        <v>497</v>
      </c>
      <c r="B222" s="4">
        <v>947</v>
      </c>
      <c r="C222">
        <v>8</v>
      </c>
      <c r="D222">
        <v>209.2</v>
      </c>
      <c r="E222" cm="1">
        <f t="array" ref="E222">_xlfn.IFS(B222&lt;=_xlfn.PERCENTILE.INC($B$2:$B$726,0.2),5, B222&lt;=_xlfn.PERCENTILE.INC($B$2:$B$726,0.4),4,B222&lt;=_xlfn.PERCENTILE.INC($B$2:$B$726,0.6),3,B222&lt;=_xlfn.PERCENTILE.INC($B$2:$B$726,0.8),4,TRUE,1)</f>
        <v>1</v>
      </c>
      <c r="F222" cm="1">
        <f t="array" ref="F222">_xlfn.IFS(C222&gt;=_xlfn.PERCENTILE.INC($C$2:$C$726,0.8),5,C222&gt;=_xlfn.PERCENTILE.INC($C$2:$C$726,0.6),4,C222&gt;=_xlfn.PERCENTILE.INC($C$2:$C$726,0.4),3,C222&gt;=_xlfn.PERCENTILE.INC($C$2:$C$726,0.2),2,TRUE,1)</f>
        <v>5</v>
      </c>
      <c r="G222" cm="1">
        <f t="array" ref="G222">_xlfn.IFS(D222&gt;=_xlfn.PERCENTILE.INC($D$2:$D$726,0.8),5,D222&gt;=_xlfn.PERCENTILE.INC($D$2:$D$726,0.6),4,D222&gt;=_xlfn.PERCENTILE.INC($D$2:$D$726,0.4),3,D222&gt;=_xlfn.PERCENTILE.INC($D$2:$D$726,0.2),2,TRUE,1)</f>
        <v>2</v>
      </c>
      <c r="H222">
        <f t="shared" si="3"/>
        <v>8</v>
      </c>
      <c r="I222" t="str" cm="1">
        <f t="array" ref="I222">_xlfn.IFS(H222&gt;=13,"Best Customers",H222&gt;=10,"Loyal Customers",H222&gt;=7,"Potential Loyal Customers",H222&gt;=4,"Need Attention",TRUE,"At Risk")</f>
        <v>Potential Loyal Customers</v>
      </c>
    </row>
    <row r="223" spans="1:9" x14ac:dyDescent="0.25">
      <c r="A223" t="s">
        <v>2974</v>
      </c>
      <c r="B223" s="4">
        <v>369</v>
      </c>
      <c r="C223">
        <v>5</v>
      </c>
      <c r="D223">
        <v>197.89999999999998</v>
      </c>
      <c r="E223" cm="1">
        <f t="array" ref="E223">_xlfn.IFS(B223&lt;=_xlfn.PERCENTILE.INC($B$2:$B$726,0.2),5, B223&lt;=_xlfn.PERCENTILE.INC($B$2:$B$726,0.4),4,B223&lt;=_xlfn.PERCENTILE.INC($B$2:$B$726,0.6),3,B223&lt;=_xlfn.PERCENTILE.INC($B$2:$B$726,0.8),4,TRUE,1)</f>
        <v>5</v>
      </c>
      <c r="F223" cm="1">
        <f t="array" ref="F223">_xlfn.IFS(C223&gt;=_xlfn.PERCENTILE.INC($C$2:$C$726,0.8),5,C223&gt;=_xlfn.PERCENTILE.INC($C$2:$C$726,0.6),4,C223&gt;=_xlfn.PERCENTILE.INC($C$2:$C$726,0.4),3,C223&gt;=_xlfn.PERCENTILE.INC($C$2:$C$726,0.2),2,TRUE,1)</f>
        <v>3</v>
      </c>
      <c r="G223" cm="1">
        <f t="array" ref="G223">_xlfn.IFS(D223&gt;=_xlfn.PERCENTILE.INC($D$2:$D$726,0.8),5,D223&gt;=_xlfn.PERCENTILE.INC($D$2:$D$726,0.6),4,D223&gt;=_xlfn.PERCENTILE.INC($D$2:$D$726,0.4),3,D223&gt;=_xlfn.PERCENTILE.INC($D$2:$D$726,0.2),2,TRUE,1)</f>
        <v>2</v>
      </c>
      <c r="H223">
        <f t="shared" si="3"/>
        <v>10</v>
      </c>
      <c r="I223" t="str" cm="1">
        <f t="array" ref="I223">_xlfn.IFS(H223&gt;=13,"Best Customers",H223&gt;=10,"Loyal Customers",H223&gt;=7,"Potential Loyal Customers",H223&gt;=4,"Need Attention",TRUE,"At Risk")</f>
        <v>Loyal Customers</v>
      </c>
    </row>
    <row r="224" spans="1:9" x14ac:dyDescent="0.25">
      <c r="A224" t="s">
        <v>558</v>
      </c>
      <c r="B224" s="4">
        <v>477</v>
      </c>
      <c r="C224">
        <v>6</v>
      </c>
      <c r="D224">
        <v>242.1</v>
      </c>
      <c r="E224" cm="1">
        <f t="array" ref="E224">_xlfn.IFS(B224&lt;=_xlfn.PERCENTILE.INC($B$2:$B$726,0.2),5, B224&lt;=_xlfn.PERCENTILE.INC($B$2:$B$726,0.4),4,B224&lt;=_xlfn.PERCENTILE.INC($B$2:$B$726,0.6),3,B224&lt;=_xlfn.PERCENTILE.INC($B$2:$B$726,0.8),4,TRUE,1)</f>
        <v>3</v>
      </c>
      <c r="F224" cm="1">
        <f t="array" ref="F224">_xlfn.IFS(C224&gt;=_xlfn.PERCENTILE.INC($C$2:$C$726,0.8),5,C224&gt;=_xlfn.PERCENTILE.INC($C$2:$C$726,0.6),4,C224&gt;=_xlfn.PERCENTILE.INC($C$2:$C$726,0.4),3,C224&gt;=_xlfn.PERCENTILE.INC($C$2:$C$726,0.2),2,TRUE,1)</f>
        <v>4</v>
      </c>
      <c r="G224" cm="1">
        <f t="array" ref="G224">_xlfn.IFS(D224&gt;=_xlfn.PERCENTILE.INC($D$2:$D$726,0.8),5,D224&gt;=_xlfn.PERCENTILE.INC($D$2:$D$726,0.6),4,D224&gt;=_xlfn.PERCENTILE.INC($D$2:$D$726,0.4),3,D224&gt;=_xlfn.PERCENTILE.INC($D$2:$D$726,0.2),2,TRUE,1)</f>
        <v>3</v>
      </c>
      <c r="H224">
        <f t="shared" si="3"/>
        <v>10</v>
      </c>
      <c r="I224" t="str" cm="1">
        <f t="array" ref="I224">_xlfn.IFS(H224&gt;=13,"Best Customers",H224&gt;=10,"Loyal Customers",H224&gt;=7,"Potential Loyal Customers",H224&gt;=4,"Need Attention",TRUE,"At Risk")</f>
        <v>Loyal Customers</v>
      </c>
    </row>
    <row r="225" spans="1:9" x14ac:dyDescent="0.25">
      <c r="A225" t="s">
        <v>2305</v>
      </c>
      <c r="B225" s="4">
        <v>517</v>
      </c>
      <c r="C225">
        <v>6</v>
      </c>
      <c r="D225">
        <v>387.59999999999997</v>
      </c>
      <c r="E225" cm="1">
        <f t="array" ref="E225">_xlfn.IFS(B225&lt;=_xlfn.PERCENTILE.INC($B$2:$B$726,0.2),5, B225&lt;=_xlfn.PERCENTILE.INC($B$2:$B$726,0.4),4,B225&lt;=_xlfn.PERCENTILE.INC($B$2:$B$726,0.6),3,B225&lt;=_xlfn.PERCENTILE.INC($B$2:$B$726,0.8),4,TRUE,1)</f>
        <v>3</v>
      </c>
      <c r="F225" cm="1">
        <f t="array" ref="F225">_xlfn.IFS(C225&gt;=_xlfn.PERCENTILE.INC($C$2:$C$726,0.8),5,C225&gt;=_xlfn.PERCENTILE.INC($C$2:$C$726,0.6),4,C225&gt;=_xlfn.PERCENTILE.INC($C$2:$C$726,0.4),3,C225&gt;=_xlfn.PERCENTILE.INC($C$2:$C$726,0.2),2,TRUE,1)</f>
        <v>4</v>
      </c>
      <c r="G225" cm="1">
        <f t="array" ref="G225">_xlfn.IFS(D225&gt;=_xlfn.PERCENTILE.INC($D$2:$D$726,0.8),5,D225&gt;=_xlfn.PERCENTILE.INC($D$2:$D$726,0.6),4,D225&gt;=_xlfn.PERCENTILE.INC($D$2:$D$726,0.4),3,D225&gt;=_xlfn.PERCENTILE.INC($D$2:$D$726,0.2),2,TRUE,1)</f>
        <v>4</v>
      </c>
      <c r="H225">
        <f t="shared" si="3"/>
        <v>11</v>
      </c>
      <c r="I225" t="str" cm="1">
        <f t="array" ref="I225">_xlfn.IFS(H225&gt;=13,"Best Customers",H225&gt;=10,"Loyal Customers",H225&gt;=7,"Potential Loyal Customers",H225&gt;=4,"Need Attention",TRUE,"At Risk")</f>
        <v>Loyal Customers</v>
      </c>
    </row>
    <row r="226" spans="1:9" x14ac:dyDescent="0.25">
      <c r="A226" t="s">
        <v>3357</v>
      </c>
      <c r="B226" s="4">
        <v>370</v>
      </c>
      <c r="C226">
        <v>3</v>
      </c>
      <c r="D226">
        <v>66.599999999999994</v>
      </c>
      <c r="E226" cm="1">
        <f t="array" ref="E226">_xlfn.IFS(B226&lt;=_xlfn.PERCENTILE.INC($B$2:$B$726,0.2),5, B226&lt;=_xlfn.PERCENTILE.INC($B$2:$B$726,0.4),4,B226&lt;=_xlfn.PERCENTILE.INC($B$2:$B$726,0.6),3,B226&lt;=_xlfn.PERCENTILE.INC($B$2:$B$726,0.8),4,TRUE,1)</f>
        <v>5</v>
      </c>
      <c r="F226" cm="1">
        <f t="array" ref="F226">_xlfn.IFS(C226&gt;=_xlfn.PERCENTILE.INC($C$2:$C$726,0.8),5,C226&gt;=_xlfn.PERCENTILE.INC($C$2:$C$726,0.6),4,C226&gt;=_xlfn.PERCENTILE.INC($C$2:$C$726,0.4),3,C226&gt;=_xlfn.PERCENTILE.INC($C$2:$C$726,0.2),2,TRUE,1)</f>
        <v>1</v>
      </c>
      <c r="G226" cm="1">
        <f t="array" ref="G226">_xlfn.IFS(D226&gt;=_xlfn.PERCENTILE.INC($D$2:$D$726,0.8),5,D226&gt;=_xlfn.PERCENTILE.INC($D$2:$D$726,0.6),4,D226&gt;=_xlfn.PERCENTILE.INC($D$2:$D$726,0.4),3,D226&gt;=_xlfn.PERCENTILE.INC($D$2:$D$726,0.2),2,TRUE,1)</f>
        <v>1</v>
      </c>
      <c r="H226">
        <f t="shared" si="3"/>
        <v>7</v>
      </c>
      <c r="I226" t="str" cm="1">
        <f t="array" ref="I226">_xlfn.IFS(H226&gt;=13,"Best Customers",H226&gt;=10,"Loyal Customers",H226&gt;=7,"Potential Loyal Customers",H226&gt;=4,"Need Attention",TRUE,"At Risk")</f>
        <v>Potential Loyal Customers</v>
      </c>
    </row>
    <row r="227" spans="1:9" x14ac:dyDescent="0.25">
      <c r="A227" t="s">
        <v>2714</v>
      </c>
      <c r="B227" s="4">
        <v>361</v>
      </c>
      <c r="C227">
        <v>6</v>
      </c>
      <c r="D227">
        <v>157.60000000000002</v>
      </c>
      <c r="E227" cm="1">
        <f t="array" ref="E227">_xlfn.IFS(B227&lt;=_xlfn.PERCENTILE.INC($B$2:$B$726,0.2),5, B227&lt;=_xlfn.PERCENTILE.INC($B$2:$B$726,0.4),4,B227&lt;=_xlfn.PERCENTILE.INC($B$2:$B$726,0.6),3,B227&lt;=_xlfn.PERCENTILE.INC($B$2:$B$726,0.8),4,TRUE,1)</f>
        <v>5</v>
      </c>
      <c r="F227" cm="1">
        <f t="array" ref="F227">_xlfn.IFS(C227&gt;=_xlfn.PERCENTILE.INC($C$2:$C$726,0.8),5,C227&gt;=_xlfn.PERCENTILE.INC($C$2:$C$726,0.6),4,C227&gt;=_xlfn.PERCENTILE.INC($C$2:$C$726,0.4),3,C227&gt;=_xlfn.PERCENTILE.INC($C$2:$C$726,0.2),2,TRUE,1)</f>
        <v>4</v>
      </c>
      <c r="G227" cm="1">
        <f t="array" ref="G227">_xlfn.IFS(D227&gt;=_xlfn.PERCENTILE.INC($D$2:$D$726,0.8),5,D227&gt;=_xlfn.PERCENTILE.INC($D$2:$D$726,0.6),4,D227&gt;=_xlfn.PERCENTILE.INC($D$2:$D$726,0.4),3,D227&gt;=_xlfn.PERCENTILE.INC($D$2:$D$726,0.2),2,TRUE,1)</f>
        <v>2</v>
      </c>
      <c r="H227">
        <f t="shared" si="3"/>
        <v>11</v>
      </c>
      <c r="I227" t="str" cm="1">
        <f t="array" ref="I227">_xlfn.IFS(H227&gt;=13,"Best Customers",H227&gt;=10,"Loyal Customers",H227&gt;=7,"Potential Loyal Customers",H227&gt;=4,"Need Attention",TRUE,"At Risk")</f>
        <v>Loyal Customers</v>
      </c>
    </row>
    <row r="228" spans="1:9" x14ac:dyDescent="0.25">
      <c r="A228" t="s">
        <v>1899</v>
      </c>
      <c r="B228" s="4">
        <v>1389</v>
      </c>
      <c r="C228">
        <v>2</v>
      </c>
      <c r="D228">
        <v>35.4</v>
      </c>
      <c r="E228" cm="1">
        <f t="array" ref="E228">_xlfn.IFS(B228&lt;=_xlfn.PERCENTILE.INC($B$2:$B$726,0.2),5, B228&lt;=_xlfn.PERCENTILE.INC($B$2:$B$726,0.4),4,B228&lt;=_xlfn.PERCENTILE.INC($B$2:$B$726,0.6),3,B228&lt;=_xlfn.PERCENTILE.INC($B$2:$B$726,0.8),4,TRUE,1)</f>
        <v>1</v>
      </c>
      <c r="F228" cm="1">
        <f t="array" ref="F228">_xlfn.IFS(C228&gt;=_xlfn.PERCENTILE.INC($C$2:$C$726,0.8),5,C228&gt;=_xlfn.PERCENTILE.INC($C$2:$C$726,0.6),4,C228&gt;=_xlfn.PERCENTILE.INC($C$2:$C$726,0.4),3,C228&gt;=_xlfn.PERCENTILE.INC($C$2:$C$726,0.2),2,TRUE,1)</f>
        <v>1</v>
      </c>
      <c r="G228" cm="1">
        <f t="array" ref="G228">_xlfn.IFS(D228&gt;=_xlfn.PERCENTILE.INC($D$2:$D$726,0.8),5,D228&gt;=_xlfn.PERCENTILE.INC($D$2:$D$726,0.6),4,D228&gt;=_xlfn.PERCENTILE.INC($D$2:$D$726,0.4),3,D228&gt;=_xlfn.PERCENTILE.INC($D$2:$D$726,0.2),2,TRUE,1)</f>
        <v>1</v>
      </c>
      <c r="H228">
        <f t="shared" si="3"/>
        <v>3</v>
      </c>
      <c r="I228" t="str" cm="1">
        <f t="array" ref="I228">_xlfn.IFS(H228&gt;=13,"Best Customers",H228&gt;=10,"Loyal Customers",H228&gt;=7,"Potential Loyal Customers",H228&gt;=4,"Need Attention",TRUE,"At Risk")</f>
        <v>At Risk</v>
      </c>
    </row>
    <row r="229" spans="1:9" x14ac:dyDescent="0.25">
      <c r="A229" t="s">
        <v>2423</v>
      </c>
      <c r="B229" s="4">
        <v>587</v>
      </c>
      <c r="C229">
        <v>5</v>
      </c>
      <c r="D229">
        <v>422</v>
      </c>
      <c r="E229" cm="1">
        <f t="array" ref="E229">_xlfn.IFS(B229&lt;=_xlfn.PERCENTILE.INC($B$2:$B$726,0.2),5, B229&lt;=_xlfn.PERCENTILE.INC($B$2:$B$726,0.4),4,B229&lt;=_xlfn.PERCENTILE.INC($B$2:$B$726,0.6),3,B229&lt;=_xlfn.PERCENTILE.INC($B$2:$B$726,0.8),4,TRUE,1)</f>
        <v>4</v>
      </c>
      <c r="F229" cm="1">
        <f t="array" ref="F229">_xlfn.IFS(C229&gt;=_xlfn.PERCENTILE.INC($C$2:$C$726,0.8),5,C229&gt;=_xlfn.PERCENTILE.INC($C$2:$C$726,0.6),4,C229&gt;=_xlfn.PERCENTILE.INC($C$2:$C$726,0.4),3,C229&gt;=_xlfn.PERCENTILE.INC($C$2:$C$726,0.2),2,TRUE,1)</f>
        <v>3</v>
      </c>
      <c r="G229" cm="1">
        <f t="array" ref="G229">_xlfn.IFS(D229&gt;=_xlfn.PERCENTILE.INC($D$2:$D$726,0.8),5,D229&gt;=_xlfn.PERCENTILE.INC($D$2:$D$726,0.6),4,D229&gt;=_xlfn.PERCENTILE.INC($D$2:$D$726,0.4),3,D229&gt;=_xlfn.PERCENTILE.INC($D$2:$D$726,0.2),2,TRUE,1)</f>
        <v>5</v>
      </c>
      <c r="H229">
        <f t="shared" si="3"/>
        <v>12</v>
      </c>
      <c r="I229" t="str" cm="1">
        <f t="array" ref="I229">_xlfn.IFS(H229&gt;=13,"Best Customers",H229&gt;=10,"Loyal Customers",H229&gt;=7,"Potential Loyal Customers",H229&gt;=4,"Need Attention",TRUE,"At Risk")</f>
        <v>Loyal Customers</v>
      </c>
    </row>
    <row r="230" spans="1:9" x14ac:dyDescent="0.25">
      <c r="A230" t="s">
        <v>1094</v>
      </c>
      <c r="B230" s="4">
        <v>427</v>
      </c>
      <c r="C230">
        <v>6</v>
      </c>
      <c r="D230">
        <v>71.199999999999989</v>
      </c>
      <c r="E230" cm="1">
        <f t="array" ref="E230">_xlfn.IFS(B230&lt;=_xlfn.PERCENTILE.INC($B$2:$B$726,0.2),5, B230&lt;=_xlfn.PERCENTILE.INC($B$2:$B$726,0.4),4,B230&lt;=_xlfn.PERCENTILE.INC($B$2:$B$726,0.6),3,B230&lt;=_xlfn.PERCENTILE.INC($B$2:$B$726,0.8),4,TRUE,1)</f>
        <v>4</v>
      </c>
      <c r="F230" cm="1">
        <f t="array" ref="F230">_xlfn.IFS(C230&gt;=_xlfn.PERCENTILE.INC($C$2:$C$726,0.8),5,C230&gt;=_xlfn.PERCENTILE.INC($C$2:$C$726,0.6),4,C230&gt;=_xlfn.PERCENTILE.INC($C$2:$C$726,0.4),3,C230&gt;=_xlfn.PERCENTILE.INC($C$2:$C$726,0.2),2,TRUE,1)</f>
        <v>4</v>
      </c>
      <c r="G230" cm="1">
        <f t="array" ref="G230">_xlfn.IFS(D230&gt;=_xlfn.PERCENTILE.INC($D$2:$D$726,0.8),5,D230&gt;=_xlfn.PERCENTILE.INC($D$2:$D$726,0.6),4,D230&gt;=_xlfn.PERCENTILE.INC($D$2:$D$726,0.4),3,D230&gt;=_xlfn.PERCENTILE.INC($D$2:$D$726,0.2),2,TRUE,1)</f>
        <v>1</v>
      </c>
      <c r="H230">
        <f t="shared" si="3"/>
        <v>9</v>
      </c>
      <c r="I230" t="str" cm="1">
        <f t="array" ref="I230">_xlfn.IFS(H230&gt;=13,"Best Customers",H230&gt;=10,"Loyal Customers",H230&gt;=7,"Potential Loyal Customers",H230&gt;=4,"Need Attention",TRUE,"At Risk")</f>
        <v>Potential Loyal Customers</v>
      </c>
    </row>
    <row r="231" spans="1:9" x14ac:dyDescent="0.25">
      <c r="A231" t="s">
        <v>589</v>
      </c>
      <c r="B231" s="4">
        <v>569</v>
      </c>
      <c r="C231">
        <v>6</v>
      </c>
      <c r="D231">
        <v>249.60000000000002</v>
      </c>
      <c r="E231" cm="1">
        <f t="array" ref="E231">_xlfn.IFS(B231&lt;=_xlfn.PERCENTILE.INC($B$2:$B$726,0.2),5, B231&lt;=_xlfn.PERCENTILE.INC($B$2:$B$726,0.4),4,B231&lt;=_xlfn.PERCENTILE.INC($B$2:$B$726,0.6),3,B231&lt;=_xlfn.PERCENTILE.INC($B$2:$B$726,0.8),4,TRUE,1)</f>
        <v>3</v>
      </c>
      <c r="F231" cm="1">
        <f t="array" ref="F231">_xlfn.IFS(C231&gt;=_xlfn.PERCENTILE.INC($C$2:$C$726,0.8),5,C231&gt;=_xlfn.PERCENTILE.INC($C$2:$C$726,0.6),4,C231&gt;=_xlfn.PERCENTILE.INC($C$2:$C$726,0.4),3,C231&gt;=_xlfn.PERCENTILE.INC($C$2:$C$726,0.2),2,TRUE,1)</f>
        <v>4</v>
      </c>
      <c r="G231" cm="1">
        <f t="array" ref="G231">_xlfn.IFS(D231&gt;=_xlfn.PERCENTILE.INC($D$2:$D$726,0.8),5,D231&gt;=_xlfn.PERCENTILE.INC($D$2:$D$726,0.6),4,D231&gt;=_xlfn.PERCENTILE.INC($D$2:$D$726,0.4),3,D231&gt;=_xlfn.PERCENTILE.INC($D$2:$D$726,0.2),2,TRUE,1)</f>
        <v>3</v>
      </c>
      <c r="H231">
        <f t="shared" si="3"/>
        <v>10</v>
      </c>
      <c r="I231" t="str" cm="1">
        <f t="array" ref="I231">_xlfn.IFS(H231&gt;=13,"Best Customers",H231&gt;=10,"Loyal Customers",H231&gt;=7,"Potential Loyal Customers",H231&gt;=4,"Need Attention",TRUE,"At Risk")</f>
        <v>Loyal Customers</v>
      </c>
    </row>
    <row r="232" spans="1:9" x14ac:dyDescent="0.25">
      <c r="A232" t="s">
        <v>2143</v>
      </c>
      <c r="B232" s="4">
        <v>568</v>
      </c>
      <c r="C232">
        <v>11</v>
      </c>
      <c r="D232">
        <v>324.60000000000002</v>
      </c>
      <c r="E232" cm="1">
        <f t="array" ref="E232">_xlfn.IFS(B232&lt;=_xlfn.PERCENTILE.INC($B$2:$B$726,0.2),5, B232&lt;=_xlfn.PERCENTILE.INC($B$2:$B$726,0.4),4,B232&lt;=_xlfn.PERCENTILE.INC($B$2:$B$726,0.6),3,B232&lt;=_xlfn.PERCENTILE.INC($B$2:$B$726,0.8),4,TRUE,1)</f>
        <v>3</v>
      </c>
      <c r="F232" cm="1">
        <f t="array" ref="F232">_xlfn.IFS(C232&gt;=_xlfn.PERCENTILE.INC($C$2:$C$726,0.8),5,C232&gt;=_xlfn.PERCENTILE.INC($C$2:$C$726,0.6),4,C232&gt;=_xlfn.PERCENTILE.INC($C$2:$C$726,0.4),3,C232&gt;=_xlfn.PERCENTILE.INC($C$2:$C$726,0.2),2,TRUE,1)</f>
        <v>5</v>
      </c>
      <c r="G232" cm="1">
        <f t="array" ref="G232">_xlfn.IFS(D232&gt;=_xlfn.PERCENTILE.INC($D$2:$D$726,0.8),5,D232&gt;=_xlfn.PERCENTILE.INC($D$2:$D$726,0.6),4,D232&gt;=_xlfn.PERCENTILE.INC($D$2:$D$726,0.4),3,D232&gt;=_xlfn.PERCENTILE.INC($D$2:$D$726,0.2),2,TRUE,1)</f>
        <v>4</v>
      </c>
      <c r="H232">
        <f t="shared" si="3"/>
        <v>12</v>
      </c>
      <c r="I232" t="str" cm="1">
        <f t="array" ref="I232">_xlfn.IFS(H232&gt;=13,"Best Customers",H232&gt;=10,"Loyal Customers",H232&gt;=7,"Potential Loyal Customers",H232&gt;=4,"Need Attention",TRUE,"At Risk")</f>
        <v>Loyal Customers</v>
      </c>
    </row>
    <row r="233" spans="1:9" x14ac:dyDescent="0.25">
      <c r="A233" t="s">
        <v>2660</v>
      </c>
      <c r="B233" s="4">
        <v>881</v>
      </c>
      <c r="C233">
        <v>4</v>
      </c>
      <c r="D233">
        <v>148.10000000000002</v>
      </c>
      <c r="E233" cm="1">
        <f t="array" ref="E233">_xlfn.IFS(B233&lt;=_xlfn.PERCENTILE.INC($B$2:$B$726,0.2),5, B233&lt;=_xlfn.PERCENTILE.INC($B$2:$B$726,0.4),4,B233&lt;=_xlfn.PERCENTILE.INC($B$2:$B$726,0.6),3,B233&lt;=_xlfn.PERCENTILE.INC($B$2:$B$726,0.8),4,TRUE,1)</f>
        <v>1</v>
      </c>
      <c r="F233" cm="1">
        <f t="array" ref="F233">_xlfn.IFS(C233&gt;=_xlfn.PERCENTILE.INC($C$2:$C$726,0.8),5,C233&gt;=_xlfn.PERCENTILE.INC($C$2:$C$726,0.6),4,C233&gt;=_xlfn.PERCENTILE.INC($C$2:$C$726,0.4),3,C233&gt;=_xlfn.PERCENTILE.INC($C$2:$C$726,0.2),2,TRUE,1)</f>
        <v>2</v>
      </c>
      <c r="G233" cm="1">
        <f t="array" ref="G233">_xlfn.IFS(D233&gt;=_xlfn.PERCENTILE.INC($D$2:$D$726,0.8),5,D233&gt;=_xlfn.PERCENTILE.INC($D$2:$D$726,0.6),4,D233&gt;=_xlfn.PERCENTILE.INC($D$2:$D$726,0.4),3,D233&gt;=_xlfn.PERCENTILE.INC($D$2:$D$726,0.2),2,TRUE,1)</f>
        <v>1</v>
      </c>
      <c r="H233">
        <f t="shared" si="3"/>
        <v>4</v>
      </c>
      <c r="I233" t="str" cm="1">
        <f t="array" ref="I233">_xlfn.IFS(H233&gt;=13,"Best Customers",H233&gt;=10,"Loyal Customers",H233&gt;=7,"Potential Loyal Customers",H233&gt;=4,"Need Attention",TRUE,"At Risk")</f>
        <v>Need Attention</v>
      </c>
    </row>
    <row r="234" spans="1:9" x14ac:dyDescent="0.25">
      <c r="A234" t="s">
        <v>2742</v>
      </c>
      <c r="B234" s="4">
        <v>489</v>
      </c>
      <c r="C234">
        <v>9</v>
      </c>
      <c r="D234">
        <v>489</v>
      </c>
      <c r="E234" cm="1">
        <f t="array" ref="E234">_xlfn.IFS(B234&lt;=_xlfn.PERCENTILE.INC($B$2:$B$726,0.2),5, B234&lt;=_xlfn.PERCENTILE.INC($B$2:$B$726,0.4),4,B234&lt;=_xlfn.PERCENTILE.INC($B$2:$B$726,0.6),3,B234&lt;=_xlfn.PERCENTILE.INC($B$2:$B$726,0.8),4,TRUE,1)</f>
        <v>3</v>
      </c>
      <c r="F234" cm="1">
        <f t="array" ref="F234">_xlfn.IFS(C234&gt;=_xlfn.PERCENTILE.INC($C$2:$C$726,0.8),5,C234&gt;=_xlfn.PERCENTILE.INC($C$2:$C$726,0.6),4,C234&gt;=_xlfn.PERCENTILE.INC($C$2:$C$726,0.4),3,C234&gt;=_xlfn.PERCENTILE.INC($C$2:$C$726,0.2),2,TRUE,1)</f>
        <v>5</v>
      </c>
      <c r="G234" cm="1">
        <f t="array" ref="G234">_xlfn.IFS(D234&gt;=_xlfn.PERCENTILE.INC($D$2:$D$726,0.8),5,D234&gt;=_xlfn.PERCENTILE.INC($D$2:$D$726,0.6),4,D234&gt;=_xlfn.PERCENTILE.INC($D$2:$D$726,0.4),3,D234&gt;=_xlfn.PERCENTILE.INC($D$2:$D$726,0.2),2,TRUE,1)</f>
        <v>5</v>
      </c>
      <c r="H234">
        <f t="shared" si="3"/>
        <v>13</v>
      </c>
      <c r="I234" t="str" cm="1">
        <f t="array" ref="I234">_xlfn.IFS(H234&gt;=13,"Best Customers",H234&gt;=10,"Loyal Customers",H234&gt;=7,"Potential Loyal Customers",H234&gt;=4,"Need Attention",TRUE,"At Risk")</f>
        <v>Best Customers</v>
      </c>
    </row>
    <row r="235" spans="1:9" x14ac:dyDescent="0.25">
      <c r="A235" t="s">
        <v>2705</v>
      </c>
      <c r="B235" s="4">
        <v>689</v>
      </c>
      <c r="C235">
        <v>4</v>
      </c>
      <c r="D235">
        <v>45.899999999999991</v>
      </c>
      <c r="E235" cm="1">
        <f t="array" ref="E235">_xlfn.IFS(B235&lt;=_xlfn.PERCENTILE.INC($B$2:$B$726,0.2),5, B235&lt;=_xlfn.PERCENTILE.INC($B$2:$B$726,0.4),4,B235&lt;=_xlfn.PERCENTILE.INC($B$2:$B$726,0.6),3,B235&lt;=_xlfn.PERCENTILE.INC($B$2:$B$726,0.8),4,TRUE,1)</f>
        <v>4</v>
      </c>
      <c r="F235" cm="1">
        <f t="array" ref="F235">_xlfn.IFS(C235&gt;=_xlfn.PERCENTILE.INC($C$2:$C$726,0.8),5,C235&gt;=_xlfn.PERCENTILE.INC($C$2:$C$726,0.6),4,C235&gt;=_xlfn.PERCENTILE.INC($C$2:$C$726,0.4),3,C235&gt;=_xlfn.PERCENTILE.INC($C$2:$C$726,0.2),2,TRUE,1)</f>
        <v>2</v>
      </c>
      <c r="G235" cm="1">
        <f t="array" ref="G235">_xlfn.IFS(D235&gt;=_xlfn.PERCENTILE.INC($D$2:$D$726,0.8),5,D235&gt;=_xlfn.PERCENTILE.INC($D$2:$D$726,0.6),4,D235&gt;=_xlfn.PERCENTILE.INC($D$2:$D$726,0.4),3,D235&gt;=_xlfn.PERCENTILE.INC($D$2:$D$726,0.2),2,TRUE,1)</f>
        <v>1</v>
      </c>
      <c r="H235">
        <f t="shared" si="3"/>
        <v>7</v>
      </c>
      <c r="I235" t="str" cm="1">
        <f t="array" ref="I235">_xlfn.IFS(H235&gt;=13,"Best Customers",H235&gt;=10,"Loyal Customers",H235&gt;=7,"Potential Loyal Customers",H235&gt;=4,"Need Attention",TRUE,"At Risk")</f>
        <v>Potential Loyal Customers</v>
      </c>
    </row>
    <row r="236" spans="1:9" x14ac:dyDescent="0.25">
      <c r="A236" t="s">
        <v>2482</v>
      </c>
      <c r="B236" s="4">
        <v>555</v>
      </c>
      <c r="C236">
        <v>5</v>
      </c>
      <c r="D236">
        <v>181</v>
      </c>
      <c r="E236" cm="1">
        <f t="array" ref="E236">_xlfn.IFS(B236&lt;=_xlfn.PERCENTILE.INC($B$2:$B$726,0.2),5, B236&lt;=_xlfn.PERCENTILE.INC($B$2:$B$726,0.4),4,B236&lt;=_xlfn.PERCENTILE.INC($B$2:$B$726,0.6),3,B236&lt;=_xlfn.PERCENTILE.INC($B$2:$B$726,0.8),4,TRUE,1)</f>
        <v>3</v>
      </c>
      <c r="F236" cm="1">
        <f t="array" ref="F236">_xlfn.IFS(C236&gt;=_xlfn.PERCENTILE.INC($C$2:$C$726,0.8),5,C236&gt;=_xlfn.PERCENTILE.INC($C$2:$C$726,0.6),4,C236&gt;=_xlfn.PERCENTILE.INC($C$2:$C$726,0.4),3,C236&gt;=_xlfn.PERCENTILE.INC($C$2:$C$726,0.2),2,TRUE,1)</f>
        <v>3</v>
      </c>
      <c r="G236" cm="1">
        <f t="array" ref="G236">_xlfn.IFS(D236&gt;=_xlfn.PERCENTILE.INC($D$2:$D$726,0.8),5,D236&gt;=_xlfn.PERCENTILE.INC($D$2:$D$726,0.6),4,D236&gt;=_xlfn.PERCENTILE.INC($D$2:$D$726,0.4),3,D236&gt;=_xlfn.PERCENTILE.INC($D$2:$D$726,0.2),2,TRUE,1)</f>
        <v>2</v>
      </c>
      <c r="H236">
        <f t="shared" si="3"/>
        <v>8</v>
      </c>
      <c r="I236" t="str" cm="1">
        <f t="array" ref="I236">_xlfn.IFS(H236&gt;=13,"Best Customers",H236&gt;=10,"Loyal Customers",H236&gt;=7,"Potential Loyal Customers",H236&gt;=4,"Need Attention",TRUE,"At Risk")</f>
        <v>Potential Loyal Customers</v>
      </c>
    </row>
    <row r="237" spans="1:9" x14ac:dyDescent="0.25">
      <c r="A237" t="s">
        <v>532</v>
      </c>
      <c r="B237" s="4">
        <v>1037</v>
      </c>
      <c r="C237">
        <v>3</v>
      </c>
      <c r="D237">
        <v>146.20000000000002</v>
      </c>
      <c r="E237" cm="1">
        <f t="array" ref="E237">_xlfn.IFS(B237&lt;=_xlfn.PERCENTILE.INC($B$2:$B$726,0.2),5, B237&lt;=_xlfn.PERCENTILE.INC($B$2:$B$726,0.4),4,B237&lt;=_xlfn.PERCENTILE.INC($B$2:$B$726,0.6),3,B237&lt;=_xlfn.PERCENTILE.INC($B$2:$B$726,0.8),4,TRUE,1)</f>
        <v>1</v>
      </c>
      <c r="F237" cm="1">
        <f t="array" ref="F237">_xlfn.IFS(C237&gt;=_xlfn.PERCENTILE.INC($C$2:$C$726,0.8),5,C237&gt;=_xlfn.PERCENTILE.INC($C$2:$C$726,0.6),4,C237&gt;=_xlfn.PERCENTILE.INC($C$2:$C$726,0.4),3,C237&gt;=_xlfn.PERCENTILE.INC($C$2:$C$726,0.2),2,TRUE,1)</f>
        <v>1</v>
      </c>
      <c r="G237" cm="1">
        <f t="array" ref="G237">_xlfn.IFS(D237&gt;=_xlfn.PERCENTILE.INC($D$2:$D$726,0.8),5,D237&gt;=_xlfn.PERCENTILE.INC($D$2:$D$726,0.6),4,D237&gt;=_xlfn.PERCENTILE.INC($D$2:$D$726,0.4),3,D237&gt;=_xlfn.PERCENTILE.INC($D$2:$D$726,0.2),2,TRUE,1)</f>
        <v>1</v>
      </c>
      <c r="H237">
        <f t="shared" si="3"/>
        <v>3</v>
      </c>
      <c r="I237" t="str" cm="1">
        <f t="array" ref="I237">_xlfn.IFS(H237&gt;=13,"Best Customers",H237&gt;=10,"Loyal Customers",H237&gt;=7,"Potential Loyal Customers",H237&gt;=4,"Need Attention",TRUE,"At Risk")</f>
        <v>At Risk</v>
      </c>
    </row>
    <row r="238" spans="1:9" x14ac:dyDescent="0.25">
      <c r="A238" t="s">
        <v>2572</v>
      </c>
      <c r="B238" s="4">
        <v>1146</v>
      </c>
      <c r="C238">
        <v>2</v>
      </c>
      <c r="D238">
        <v>101.9</v>
      </c>
      <c r="E238" cm="1">
        <f t="array" ref="E238">_xlfn.IFS(B238&lt;=_xlfn.PERCENTILE.INC($B$2:$B$726,0.2),5, B238&lt;=_xlfn.PERCENTILE.INC($B$2:$B$726,0.4),4,B238&lt;=_xlfn.PERCENTILE.INC($B$2:$B$726,0.6),3,B238&lt;=_xlfn.PERCENTILE.INC($B$2:$B$726,0.8),4,TRUE,1)</f>
        <v>1</v>
      </c>
      <c r="F238" cm="1">
        <f t="array" ref="F238">_xlfn.IFS(C238&gt;=_xlfn.PERCENTILE.INC($C$2:$C$726,0.8),5,C238&gt;=_xlfn.PERCENTILE.INC($C$2:$C$726,0.6),4,C238&gt;=_xlfn.PERCENTILE.INC($C$2:$C$726,0.4),3,C238&gt;=_xlfn.PERCENTILE.INC($C$2:$C$726,0.2),2,TRUE,1)</f>
        <v>1</v>
      </c>
      <c r="G238" cm="1">
        <f t="array" ref="G238">_xlfn.IFS(D238&gt;=_xlfn.PERCENTILE.INC($D$2:$D$726,0.8),5,D238&gt;=_xlfn.PERCENTILE.INC($D$2:$D$726,0.6),4,D238&gt;=_xlfn.PERCENTILE.INC($D$2:$D$726,0.4),3,D238&gt;=_xlfn.PERCENTILE.INC($D$2:$D$726,0.2),2,TRUE,1)</f>
        <v>1</v>
      </c>
      <c r="H238">
        <f t="shared" si="3"/>
        <v>3</v>
      </c>
      <c r="I238" t="str" cm="1">
        <f t="array" ref="I238">_xlfn.IFS(H238&gt;=13,"Best Customers",H238&gt;=10,"Loyal Customers",H238&gt;=7,"Potential Loyal Customers",H238&gt;=4,"Need Attention",TRUE,"At Risk")</f>
        <v>At Risk</v>
      </c>
    </row>
    <row r="239" spans="1:9" x14ac:dyDescent="0.25">
      <c r="A239" t="s">
        <v>1287</v>
      </c>
      <c r="B239" s="4">
        <v>373</v>
      </c>
      <c r="C239">
        <v>6</v>
      </c>
      <c r="D239">
        <v>227.2</v>
      </c>
      <c r="E239" cm="1">
        <f t="array" ref="E239">_xlfn.IFS(B239&lt;=_xlfn.PERCENTILE.INC($B$2:$B$726,0.2),5, B239&lt;=_xlfn.PERCENTILE.INC($B$2:$B$726,0.4),4,B239&lt;=_xlfn.PERCENTILE.INC($B$2:$B$726,0.6),3,B239&lt;=_xlfn.PERCENTILE.INC($B$2:$B$726,0.8),4,TRUE,1)</f>
        <v>5</v>
      </c>
      <c r="F239" cm="1">
        <f t="array" ref="F239">_xlfn.IFS(C239&gt;=_xlfn.PERCENTILE.INC($C$2:$C$726,0.8),5,C239&gt;=_xlfn.PERCENTILE.INC($C$2:$C$726,0.6),4,C239&gt;=_xlfn.PERCENTILE.INC($C$2:$C$726,0.4),3,C239&gt;=_xlfn.PERCENTILE.INC($C$2:$C$726,0.2),2,TRUE,1)</f>
        <v>4</v>
      </c>
      <c r="G239" cm="1">
        <f t="array" ref="G239">_xlfn.IFS(D239&gt;=_xlfn.PERCENTILE.INC($D$2:$D$726,0.8),5,D239&gt;=_xlfn.PERCENTILE.INC($D$2:$D$726,0.6),4,D239&gt;=_xlfn.PERCENTILE.INC($D$2:$D$726,0.4),3,D239&gt;=_xlfn.PERCENTILE.INC($D$2:$D$726,0.2),2,TRUE,1)</f>
        <v>2</v>
      </c>
      <c r="H239">
        <f t="shared" si="3"/>
        <v>11</v>
      </c>
      <c r="I239" t="str" cm="1">
        <f t="array" ref="I239">_xlfn.IFS(H239&gt;=13,"Best Customers",H239&gt;=10,"Loyal Customers",H239&gt;=7,"Potential Loyal Customers",H239&gt;=4,"Need Attention",TRUE,"At Risk")</f>
        <v>Loyal Customers</v>
      </c>
    </row>
    <row r="240" spans="1:9" x14ac:dyDescent="0.25">
      <c r="A240" t="s">
        <v>3036</v>
      </c>
      <c r="B240" s="4">
        <v>464</v>
      </c>
      <c r="C240">
        <v>9</v>
      </c>
      <c r="D240">
        <v>335.4</v>
      </c>
      <c r="E240" cm="1">
        <f t="array" ref="E240">_xlfn.IFS(B240&lt;=_xlfn.PERCENTILE.INC($B$2:$B$726,0.2),5, B240&lt;=_xlfn.PERCENTILE.INC($B$2:$B$726,0.4),4,B240&lt;=_xlfn.PERCENTILE.INC($B$2:$B$726,0.6),3,B240&lt;=_xlfn.PERCENTILE.INC($B$2:$B$726,0.8),4,TRUE,1)</f>
        <v>3</v>
      </c>
      <c r="F240" cm="1">
        <f t="array" ref="F240">_xlfn.IFS(C240&gt;=_xlfn.PERCENTILE.INC($C$2:$C$726,0.8),5,C240&gt;=_xlfn.PERCENTILE.INC($C$2:$C$726,0.6),4,C240&gt;=_xlfn.PERCENTILE.INC($C$2:$C$726,0.4),3,C240&gt;=_xlfn.PERCENTILE.INC($C$2:$C$726,0.2),2,TRUE,1)</f>
        <v>5</v>
      </c>
      <c r="G240" cm="1">
        <f t="array" ref="G240">_xlfn.IFS(D240&gt;=_xlfn.PERCENTILE.INC($D$2:$D$726,0.8),5,D240&gt;=_xlfn.PERCENTILE.INC($D$2:$D$726,0.6),4,D240&gt;=_xlfn.PERCENTILE.INC($D$2:$D$726,0.4),3,D240&gt;=_xlfn.PERCENTILE.INC($D$2:$D$726,0.2),2,TRUE,1)</f>
        <v>4</v>
      </c>
      <c r="H240">
        <f t="shared" si="3"/>
        <v>12</v>
      </c>
      <c r="I240" t="str" cm="1">
        <f t="array" ref="I240">_xlfn.IFS(H240&gt;=13,"Best Customers",H240&gt;=10,"Loyal Customers",H240&gt;=7,"Potential Loyal Customers",H240&gt;=4,"Need Attention",TRUE,"At Risk")</f>
        <v>Loyal Customers</v>
      </c>
    </row>
    <row r="241" spans="1:9" x14ac:dyDescent="0.25">
      <c r="A241" t="s">
        <v>1994</v>
      </c>
      <c r="B241" s="4">
        <v>386</v>
      </c>
      <c r="C241">
        <v>8</v>
      </c>
      <c r="D241">
        <v>773.7</v>
      </c>
      <c r="E241" cm="1">
        <f t="array" ref="E241">_xlfn.IFS(B241&lt;=_xlfn.PERCENTILE.INC($B$2:$B$726,0.2),5, B241&lt;=_xlfn.PERCENTILE.INC($B$2:$B$726,0.4),4,B241&lt;=_xlfn.PERCENTILE.INC($B$2:$B$726,0.6),3,B241&lt;=_xlfn.PERCENTILE.INC($B$2:$B$726,0.8),4,TRUE,1)</f>
        <v>5</v>
      </c>
      <c r="F241" cm="1">
        <f t="array" ref="F241">_xlfn.IFS(C241&gt;=_xlfn.PERCENTILE.INC($C$2:$C$726,0.8),5,C241&gt;=_xlfn.PERCENTILE.INC($C$2:$C$726,0.6),4,C241&gt;=_xlfn.PERCENTILE.INC($C$2:$C$726,0.4),3,C241&gt;=_xlfn.PERCENTILE.INC($C$2:$C$726,0.2),2,TRUE,1)</f>
        <v>5</v>
      </c>
      <c r="G241" cm="1">
        <f t="array" ref="G241">_xlfn.IFS(D241&gt;=_xlfn.PERCENTILE.INC($D$2:$D$726,0.8),5,D241&gt;=_xlfn.PERCENTILE.INC($D$2:$D$726,0.6),4,D241&gt;=_xlfn.PERCENTILE.INC($D$2:$D$726,0.4),3,D241&gt;=_xlfn.PERCENTILE.INC($D$2:$D$726,0.2),2,TRUE,1)</f>
        <v>5</v>
      </c>
      <c r="H241">
        <f t="shared" si="3"/>
        <v>15</v>
      </c>
      <c r="I241" t="str" cm="1">
        <f t="array" ref="I241">_xlfn.IFS(H241&gt;=13,"Best Customers",H241&gt;=10,"Loyal Customers",H241&gt;=7,"Potential Loyal Customers",H241&gt;=4,"Need Attention",TRUE,"At Risk")</f>
        <v>Best Customers</v>
      </c>
    </row>
    <row r="242" spans="1:9" x14ac:dyDescent="0.25">
      <c r="A242" t="s">
        <v>655</v>
      </c>
      <c r="B242" s="4">
        <v>868</v>
      </c>
      <c r="C242">
        <v>5</v>
      </c>
      <c r="D242">
        <v>252.9</v>
      </c>
      <c r="E242" cm="1">
        <f t="array" ref="E242">_xlfn.IFS(B242&lt;=_xlfn.PERCENTILE.INC($B$2:$B$726,0.2),5, B242&lt;=_xlfn.PERCENTILE.INC($B$2:$B$726,0.4),4,B242&lt;=_xlfn.PERCENTILE.INC($B$2:$B$726,0.6),3,B242&lt;=_xlfn.PERCENTILE.INC($B$2:$B$726,0.8),4,TRUE,1)</f>
        <v>1</v>
      </c>
      <c r="F242" cm="1">
        <f t="array" ref="F242">_xlfn.IFS(C242&gt;=_xlfn.PERCENTILE.INC($C$2:$C$726,0.8),5,C242&gt;=_xlfn.PERCENTILE.INC($C$2:$C$726,0.6),4,C242&gt;=_xlfn.PERCENTILE.INC($C$2:$C$726,0.4),3,C242&gt;=_xlfn.PERCENTILE.INC($C$2:$C$726,0.2),2,TRUE,1)</f>
        <v>3</v>
      </c>
      <c r="G242" cm="1">
        <f t="array" ref="G242">_xlfn.IFS(D242&gt;=_xlfn.PERCENTILE.INC($D$2:$D$726,0.8),5,D242&gt;=_xlfn.PERCENTILE.INC($D$2:$D$726,0.6),4,D242&gt;=_xlfn.PERCENTILE.INC($D$2:$D$726,0.4),3,D242&gt;=_xlfn.PERCENTILE.INC($D$2:$D$726,0.2),2,TRUE,1)</f>
        <v>3</v>
      </c>
      <c r="H242">
        <f t="shared" si="3"/>
        <v>7</v>
      </c>
      <c r="I242" t="str" cm="1">
        <f t="array" ref="I242">_xlfn.IFS(H242&gt;=13,"Best Customers",H242&gt;=10,"Loyal Customers",H242&gt;=7,"Potential Loyal Customers",H242&gt;=4,"Need Attention",TRUE,"At Risk")</f>
        <v>Potential Loyal Customers</v>
      </c>
    </row>
    <row r="243" spans="1:9" x14ac:dyDescent="0.25">
      <c r="A243" t="s">
        <v>1268</v>
      </c>
      <c r="B243" s="4">
        <v>357</v>
      </c>
      <c r="C243">
        <v>7</v>
      </c>
      <c r="D243">
        <v>253</v>
      </c>
      <c r="E243" cm="1">
        <f t="array" ref="E243">_xlfn.IFS(B243&lt;=_xlfn.PERCENTILE.INC($B$2:$B$726,0.2),5, B243&lt;=_xlfn.PERCENTILE.INC($B$2:$B$726,0.4),4,B243&lt;=_xlfn.PERCENTILE.INC($B$2:$B$726,0.6),3,B243&lt;=_xlfn.PERCENTILE.INC($B$2:$B$726,0.8),4,TRUE,1)</f>
        <v>5</v>
      </c>
      <c r="F243" cm="1">
        <f t="array" ref="F243">_xlfn.IFS(C243&gt;=_xlfn.PERCENTILE.INC($C$2:$C$726,0.8),5,C243&gt;=_xlfn.PERCENTILE.INC($C$2:$C$726,0.6),4,C243&gt;=_xlfn.PERCENTILE.INC($C$2:$C$726,0.4),3,C243&gt;=_xlfn.PERCENTILE.INC($C$2:$C$726,0.2),2,TRUE,1)</f>
        <v>4</v>
      </c>
      <c r="G243" cm="1">
        <f t="array" ref="G243">_xlfn.IFS(D243&gt;=_xlfn.PERCENTILE.INC($D$2:$D$726,0.8),5,D243&gt;=_xlfn.PERCENTILE.INC($D$2:$D$726,0.6),4,D243&gt;=_xlfn.PERCENTILE.INC($D$2:$D$726,0.4),3,D243&gt;=_xlfn.PERCENTILE.INC($D$2:$D$726,0.2),2,TRUE,1)</f>
        <v>3</v>
      </c>
      <c r="H243">
        <f t="shared" si="3"/>
        <v>12</v>
      </c>
      <c r="I243" t="str" cm="1">
        <f t="array" ref="I243">_xlfn.IFS(H243&gt;=13,"Best Customers",H243&gt;=10,"Loyal Customers",H243&gt;=7,"Potential Loyal Customers",H243&gt;=4,"Need Attention",TRUE,"At Risk")</f>
        <v>Loyal Customers</v>
      </c>
    </row>
    <row r="244" spans="1:9" x14ac:dyDescent="0.25">
      <c r="A244" t="s">
        <v>725</v>
      </c>
      <c r="B244" s="4">
        <v>433</v>
      </c>
      <c r="C244">
        <v>3</v>
      </c>
      <c r="D244">
        <v>81.899999999999991</v>
      </c>
      <c r="E244" cm="1">
        <f t="array" ref="E244">_xlfn.IFS(B244&lt;=_xlfn.PERCENTILE.INC($B$2:$B$726,0.2),5, B244&lt;=_xlfn.PERCENTILE.INC($B$2:$B$726,0.4),4,B244&lt;=_xlfn.PERCENTILE.INC($B$2:$B$726,0.6),3,B244&lt;=_xlfn.PERCENTILE.INC($B$2:$B$726,0.8),4,TRUE,1)</f>
        <v>4</v>
      </c>
      <c r="F244" cm="1">
        <f t="array" ref="F244">_xlfn.IFS(C244&gt;=_xlfn.PERCENTILE.INC($C$2:$C$726,0.8),5,C244&gt;=_xlfn.PERCENTILE.INC($C$2:$C$726,0.6),4,C244&gt;=_xlfn.PERCENTILE.INC($C$2:$C$726,0.4),3,C244&gt;=_xlfn.PERCENTILE.INC($C$2:$C$726,0.2),2,TRUE,1)</f>
        <v>1</v>
      </c>
      <c r="G244" cm="1">
        <f t="array" ref="G244">_xlfn.IFS(D244&gt;=_xlfn.PERCENTILE.INC($D$2:$D$726,0.8),5,D244&gt;=_xlfn.PERCENTILE.INC($D$2:$D$726,0.6),4,D244&gt;=_xlfn.PERCENTILE.INC($D$2:$D$726,0.4),3,D244&gt;=_xlfn.PERCENTILE.INC($D$2:$D$726,0.2),2,TRUE,1)</f>
        <v>1</v>
      </c>
      <c r="H244">
        <f t="shared" si="3"/>
        <v>6</v>
      </c>
      <c r="I244" t="str" cm="1">
        <f t="array" ref="I244">_xlfn.IFS(H244&gt;=13,"Best Customers",H244&gt;=10,"Loyal Customers",H244&gt;=7,"Potential Loyal Customers",H244&gt;=4,"Need Attention",TRUE,"At Risk")</f>
        <v>Need Attention</v>
      </c>
    </row>
    <row r="245" spans="1:9" x14ac:dyDescent="0.25">
      <c r="A245" t="s">
        <v>2204</v>
      </c>
      <c r="B245" s="4">
        <v>587</v>
      </c>
      <c r="C245">
        <v>5</v>
      </c>
      <c r="D245">
        <v>158.1</v>
      </c>
      <c r="E245" cm="1">
        <f t="array" ref="E245">_xlfn.IFS(B245&lt;=_xlfn.PERCENTILE.INC($B$2:$B$726,0.2),5, B245&lt;=_xlfn.PERCENTILE.INC($B$2:$B$726,0.4),4,B245&lt;=_xlfn.PERCENTILE.INC($B$2:$B$726,0.6),3,B245&lt;=_xlfn.PERCENTILE.INC($B$2:$B$726,0.8),4,TRUE,1)</f>
        <v>4</v>
      </c>
      <c r="F245" cm="1">
        <f t="array" ref="F245">_xlfn.IFS(C245&gt;=_xlfn.PERCENTILE.INC($C$2:$C$726,0.8),5,C245&gt;=_xlfn.PERCENTILE.INC($C$2:$C$726,0.6),4,C245&gt;=_xlfn.PERCENTILE.INC($C$2:$C$726,0.4),3,C245&gt;=_xlfn.PERCENTILE.INC($C$2:$C$726,0.2),2,TRUE,1)</f>
        <v>3</v>
      </c>
      <c r="G245" cm="1">
        <f t="array" ref="G245">_xlfn.IFS(D245&gt;=_xlfn.PERCENTILE.INC($D$2:$D$726,0.8),5,D245&gt;=_xlfn.PERCENTILE.INC($D$2:$D$726,0.6),4,D245&gt;=_xlfn.PERCENTILE.INC($D$2:$D$726,0.4),3,D245&gt;=_xlfn.PERCENTILE.INC($D$2:$D$726,0.2),2,TRUE,1)</f>
        <v>2</v>
      </c>
      <c r="H245">
        <f t="shared" si="3"/>
        <v>9</v>
      </c>
      <c r="I245" t="str" cm="1">
        <f t="array" ref="I245">_xlfn.IFS(H245&gt;=13,"Best Customers",H245&gt;=10,"Loyal Customers",H245&gt;=7,"Potential Loyal Customers",H245&gt;=4,"Need Attention",TRUE,"At Risk")</f>
        <v>Potential Loyal Customers</v>
      </c>
    </row>
    <row r="246" spans="1:9" x14ac:dyDescent="0.25">
      <c r="A246" t="s">
        <v>2551</v>
      </c>
      <c r="B246" s="4">
        <v>999</v>
      </c>
      <c r="C246">
        <v>3</v>
      </c>
      <c r="D246">
        <v>90.8</v>
      </c>
      <c r="E246" cm="1">
        <f t="array" ref="E246">_xlfn.IFS(B246&lt;=_xlfn.PERCENTILE.INC($B$2:$B$726,0.2),5, B246&lt;=_xlfn.PERCENTILE.INC($B$2:$B$726,0.4),4,B246&lt;=_xlfn.PERCENTILE.INC($B$2:$B$726,0.6),3,B246&lt;=_xlfn.PERCENTILE.INC($B$2:$B$726,0.8),4,TRUE,1)</f>
        <v>1</v>
      </c>
      <c r="F246" cm="1">
        <f t="array" ref="F246">_xlfn.IFS(C246&gt;=_xlfn.PERCENTILE.INC($C$2:$C$726,0.8),5,C246&gt;=_xlfn.PERCENTILE.INC($C$2:$C$726,0.6),4,C246&gt;=_xlfn.PERCENTILE.INC($C$2:$C$726,0.4),3,C246&gt;=_xlfn.PERCENTILE.INC($C$2:$C$726,0.2),2,TRUE,1)</f>
        <v>1</v>
      </c>
      <c r="G246" cm="1">
        <f t="array" ref="G246">_xlfn.IFS(D246&gt;=_xlfn.PERCENTILE.INC($D$2:$D$726,0.8),5,D246&gt;=_xlfn.PERCENTILE.INC($D$2:$D$726,0.6),4,D246&gt;=_xlfn.PERCENTILE.INC($D$2:$D$726,0.4),3,D246&gt;=_xlfn.PERCENTILE.INC($D$2:$D$726,0.2),2,TRUE,1)</f>
        <v>1</v>
      </c>
      <c r="H246">
        <f t="shared" si="3"/>
        <v>3</v>
      </c>
      <c r="I246" t="str" cm="1">
        <f t="array" ref="I246">_xlfn.IFS(H246&gt;=13,"Best Customers",H246&gt;=10,"Loyal Customers",H246&gt;=7,"Potential Loyal Customers",H246&gt;=4,"Need Attention",TRUE,"At Risk")</f>
        <v>At Risk</v>
      </c>
    </row>
    <row r="247" spans="1:9" x14ac:dyDescent="0.25">
      <c r="A247" t="s">
        <v>2733</v>
      </c>
      <c r="B247" s="4">
        <v>414</v>
      </c>
      <c r="C247">
        <v>4</v>
      </c>
      <c r="D247">
        <v>192.5</v>
      </c>
      <c r="E247" cm="1">
        <f t="array" ref="E247">_xlfn.IFS(B247&lt;=_xlfn.PERCENTILE.INC($B$2:$B$726,0.2),5, B247&lt;=_xlfn.PERCENTILE.INC($B$2:$B$726,0.4),4,B247&lt;=_xlfn.PERCENTILE.INC($B$2:$B$726,0.6),3,B247&lt;=_xlfn.PERCENTILE.INC($B$2:$B$726,0.8),4,TRUE,1)</f>
        <v>4</v>
      </c>
      <c r="F247" cm="1">
        <f t="array" ref="F247">_xlfn.IFS(C247&gt;=_xlfn.PERCENTILE.INC($C$2:$C$726,0.8),5,C247&gt;=_xlfn.PERCENTILE.INC($C$2:$C$726,0.6),4,C247&gt;=_xlfn.PERCENTILE.INC($C$2:$C$726,0.4),3,C247&gt;=_xlfn.PERCENTILE.INC($C$2:$C$726,0.2),2,TRUE,1)</f>
        <v>2</v>
      </c>
      <c r="G247" cm="1">
        <f t="array" ref="G247">_xlfn.IFS(D247&gt;=_xlfn.PERCENTILE.INC($D$2:$D$726,0.8),5,D247&gt;=_xlfn.PERCENTILE.INC($D$2:$D$726,0.6),4,D247&gt;=_xlfn.PERCENTILE.INC($D$2:$D$726,0.4),3,D247&gt;=_xlfn.PERCENTILE.INC($D$2:$D$726,0.2),2,TRUE,1)</f>
        <v>2</v>
      </c>
      <c r="H247">
        <f t="shared" si="3"/>
        <v>8</v>
      </c>
      <c r="I247" t="str" cm="1">
        <f t="array" ref="I247">_xlfn.IFS(H247&gt;=13,"Best Customers",H247&gt;=10,"Loyal Customers",H247&gt;=7,"Potential Loyal Customers",H247&gt;=4,"Need Attention",TRUE,"At Risk")</f>
        <v>Potential Loyal Customers</v>
      </c>
    </row>
    <row r="248" spans="1:9" x14ac:dyDescent="0.25">
      <c r="A248" t="s">
        <v>641</v>
      </c>
      <c r="B248" s="4">
        <v>879</v>
      </c>
      <c r="C248">
        <v>6</v>
      </c>
      <c r="D248">
        <v>335.20000000000005</v>
      </c>
      <c r="E248" cm="1">
        <f t="array" ref="E248">_xlfn.IFS(B248&lt;=_xlfn.PERCENTILE.INC($B$2:$B$726,0.2),5, B248&lt;=_xlfn.PERCENTILE.INC($B$2:$B$726,0.4),4,B248&lt;=_xlfn.PERCENTILE.INC($B$2:$B$726,0.6),3,B248&lt;=_xlfn.PERCENTILE.INC($B$2:$B$726,0.8),4,TRUE,1)</f>
        <v>1</v>
      </c>
      <c r="F248" cm="1">
        <f t="array" ref="F248">_xlfn.IFS(C248&gt;=_xlfn.PERCENTILE.INC($C$2:$C$726,0.8),5,C248&gt;=_xlfn.PERCENTILE.INC($C$2:$C$726,0.6),4,C248&gt;=_xlfn.PERCENTILE.INC($C$2:$C$726,0.4),3,C248&gt;=_xlfn.PERCENTILE.INC($C$2:$C$726,0.2),2,TRUE,1)</f>
        <v>4</v>
      </c>
      <c r="G248" cm="1">
        <f t="array" ref="G248">_xlfn.IFS(D248&gt;=_xlfn.PERCENTILE.INC($D$2:$D$726,0.8),5,D248&gt;=_xlfn.PERCENTILE.INC($D$2:$D$726,0.6),4,D248&gt;=_xlfn.PERCENTILE.INC($D$2:$D$726,0.4),3,D248&gt;=_xlfn.PERCENTILE.INC($D$2:$D$726,0.2),2,TRUE,1)</f>
        <v>4</v>
      </c>
      <c r="H248">
        <f t="shared" si="3"/>
        <v>9</v>
      </c>
      <c r="I248" t="str" cm="1">
        <f t="array" ref="I248">_xlfn.IFS(H248&gt;=13,"Best Customers",H248&gt;=10,"Loyal Customers",H248&gt;=7,"Potential Loyal Customers",H248&gt;=4,"Need Attention",TRUE,"At Risk")</f>
        <v>Potential Loyal Customers</v>
      </c>
    </row>
    <row r="249" spans="1:9" x14ac:dyDescent="0.25">
      <c r="A249" t="s">
        <v>1438</v>
      </c>
      <c r="B249" s="4">
        <v>681</v>
      </c>
      <c r="C249">
        <v>7</v>
      </c>
      <c r="D249">
        <v>166.4</v>
      </c>
      <c r="E249" cm="1">
        <f t="array" ref="E249">_xlfn.IFS(B249&lt;=_xlfn.PERCENTILE.INC($B$2:$B$726,0.2),5, B249&lt;=_xlfn.PERCENTILE.INC($B$2:$B$726,0.4),4,B249&lt;=_xlfn.PERCENTILE.INC($B$2:$B$726,0.6),3,B249&lt;=_xlfn.PERCENTILE.INC($B$2:$B$726,0.8),4,TRUE,1)</f>
        <v>4</v>
      </c>
      <c r="F249" cm="1">
        <f t="array" ref="F249">_xlfn.IFS(C249&gt;=_xlfn.PERCENTILE.INC($C$2:$C$726,0.8),5,C249&gt;=_xlfn.PERCENTILE.INC($C$2:$C$726,0.6),4,C249&gt;=_xlfn.PERCENTILE.INC($C$2:$C$726,0.4),3,C249&gt;=_xlfn.PERCENTILE.INC($C$2:$C$726,0.2),2,TRUE,1)</f>
        <v>4</v>
      </c>
      <c r="G249" cm="1">
        <f t="array" ref="G249">_xlfn.IFS(D249&gt;=_xlfn.PERCENTILE.INC($D$2:$D$726,0.8),5,D249&gt;=_xlfn.PERCENTILE.INC($D$2:$D$726,0.6),4,D249&gt;=_xlfn.PERCENTILE.INC($D$2:$D$726,0.4),3,D249&gt;=_xlfn.PERCENTILE.INC($D$2:$D$726,0.2),2,TRUE,1)</f>
        <v>2</v>
      </c>
      <c r="H249">
        <f t="shared" si="3"/>
        <v>10</v>
      </c>
      <c r="I249" t="str" cm="1">
        <f t="array" ref="I249">_xlfn.IFS(H249&gt;=13,"Best Customers",H249&gt;=10,"Loyal Customers",H249&gt;=7,"Potential Loyal Customers",H249&gt;=4,"Need Attention",TRUE,"At Risk")</f>
        <v>Loyal Customers</v>
      </c>
    </row>
    <row r="250" spans="1:9" x14ac:dyDescent="0.25">
      <c r="A250" t="s">
        <v>1914</v>
      </c>
      <c r="B250" s="4">
        <v>572</v>
      </c>
      <c r="C250">
        <v>7</v>
      </c>
      <c r="D250">
        <v>317.39999999999998</v>
      </c>
      <c r="E250" cm="1">
        <f t="array" ref="E250">_xlfn.IFS(B250&lt;=_xlfn.PERCENTILE.INC($B$2:$B$726,0.2),5, B250&lt;=_xlfn.PERCENTILE.INC($B$2:$B$726,0.4),4,B250&lt;=_xlfn.PERCENTILE.INC($B$2:$B$726,0.6),3,B250&lt;=_xlfn.PERCENTILE.INC($B$2:$B$726,0.8),4,TRUE,1)</f>
        <v>4</v>
      </c>
      <c r="F250" cm="1">
        <f t="array" ref="F250">_xlfn.IFS(C250&gt;=_xlfn.PERCENTILE.INC($C$2:$C$726,0.8),5,C250&gt;=_xlfn.PERCENTILE.INC($C$2:$C$726,0.6),4,C250&gt;=_xlfn.PERCENTILE.INC($C$2:$C$726,0.4),3,C250&gt;=_xlfn.PERCENTILE.INC($C$2:$C$726,0.2),2,TRUE,1)</f>
        <v>4</v>
      </c>
      <c r="G250" cm="1">
        <f t="array" ref="G250">_xlfn.IFS(D250&gt;=_xlfn.PERCENTILE.INC($D$2:$D$726,0.8),5,D250&gt;=_xlfn.PERCENTILE.INC($D$2:$D$726,0.6),4,D250&gt;=_xlfn.PERCENTILE.INC($D$2:$D$726,0.4),3,D250&gt;=_xlfn.PERCENTILE.INC($D$2:$D$726,0.2),2,TRUE,1)</f>
        <v>4</v>
      </c>
      <c r="H250">
        <f t="shared" si="3"/>
        <v>12</v>
      </c>
      <c r="I250" t="str" cm="1">
        <f t="array" ref="I250">_xlfn.IFS(H250&gt;=13,"Best Customers",H250&gt;=10,"Loyal Customers",H250&gt;=7,"Potential Loyal Customers",H250&gt;=4,"Need Attention",TRUE,"At Risk")</f>
        <v>Loyal Customers</v>
      </c>
    </row>
    <row r="251" spans="1:9" x14ac:dyDescent="0.25">
      <c r="A251" t="s">
        <v>1125</v>
      </c>
      <c r="B251" s="4">
        <v>537</v>
      </c>
      <c r="C251">
        <v>6</v>
      </c>
      <c r="D251">
        <v>325.7</v>
      </c>
      <c r="E251" cm="1">
        <f t="array" ref="E251">_xlfn.IFS(B251&lt;=_xlfn.PERCENTILE.INC($B$2:$B$726,0.2),5, B251&lt;=_xlfn.PERCENTILE.INC($B$2:$B$726,0.4),4,B251&lt;=_xlfn.PERCENTILE.INC($B$2:$B$726,0.6),3,B251&lt;=_xlfn.PERCENTILE.INC($B$2:$B$726,0.8),4,TRUE,1)</f>
        <v>3</v>
      </c>
      <c r="F251" cm="1">
        <f t="array" ref="F251">_xlfn.IFS(C251&gt;=_xlfn.PERCENTILE.INC($C$2:$C$726,0.8),5,C251&gt;=_xlfn.PERCENTILE.INC($C$2:$C$726,0.6),4,C251&gt;=_xlfn.PERCENTILE.INC($C$2:$C$726,0.4),3,C251&gt;=_xlfn.PERCENTILE.INC($C$2:$C$726,0.2),2,TRUE,1)</f>
        <v>4</v>
      </c>
      <c r="G251" cm="1">
        <f t="array" ref="G251">_xlfn.IFS(D251&gt;=_xlfn.PERCENTILE.INC($D$2:$D$726,0.8),5,D251&gt;=_xlfn.PERCENTILE.INC($D$2:$D$726,0.6),4,D251&gt;=_xlfn.PERCENTILE.INC($D$2:$D$726,0.4),3,D251&gt;=_xlfn.PERCENTILE.INC($D$2:$D$726,0.2),2,TRUE,1)</f>
        <v>4</v>
      </c>
      <c r="H251">
        <f t="shared" si="3"/>
        <v>11</v>
      </c>
      <c r="I251" t="str" cm="1">
        <f t="array" ref="I251">_xlfn.IFS(H251&gt;=13,"Best Customers",H251&gt;=10,"Loyal Customers",H251&gt;=7,"Potential Loyal Customers",H251&gt;=4,"Need Attention",TRUE,"At Risk")</f>
        <v>Loyal Customers</v>
      </c>
    </row>
    <row r="252" spans="1:9" x14ac:dyDescent="0.25">
      <c r="A252" t="s">
        <v>1911</v>
      </c>
      <c r="B252" s="4">
        <v>521</v>
      </c>
      <c r="C252">
        <v>8</v>
      </c>
      <c r="D252">
        <v>272.60000000000002</v>
      </c>
      <c r="E252" cm="1">
        <f t="array" ref="E252">_xlfn.IFS(B252&lt;=_xlfn.PERCENTILE.INC($B$2:$B$726,0.2),5, B252&lt;=_xlfn.PERCENTILE.INC($B$2:$B$726,0.4),4,B252&lt;=_xlfn.PERCENTILE.INC($B$2:$B$726,0.6),3,B252&lt;=_xlfn.PERCENTILE.INC($B$2:$B$726,0.8),4,TRUE,1)</f>
        <v>3</v>
      </c>
      <c r="F252" cm="1">
        <f t="array" ref="F252">_xlfn.IFS(C252&gt;=_xlfn.PERCENTILE.INC($C$2:$C$726,0.8),5,C252&gt;=_xlfn.PERCENTILE.INC($C$2:$C$726,0.6),4,C252&gt;=_xlfn.PERCENTILE.INC($C$2:$C$726,0.4),3,C252&gt;=_xlfn.PERCENTILE.INC($C$2:$C$726,0.2),2,TRUE,1)</f>
        <v>5</v>
      </c>
      <c r="G252" cm="1">
        <f t="array" ref="G252">_xlfn.IFS(D252&gt;=_xlfn.PERCENTILE.INC($D$2:$D$726,0.8),5,D252&gt;=_xlfn.PERCENTILE.INC($D$2:$D$726,0.6),4,D252&gt;=_xlfn.PERCENTILE.INC($D$2:$D$726,0.4),3,D252&gt;=_xlfn.PERCENTILE.INC($D$2:$D$726,0.2),2,TRUE,1)</f>
        <v>3</v>
      </c>
      <c r="H252">
        <f t="shared" si="3"/>
        <v>11</v>
      </c>
      <c r="I252" t="str" cm="1">
        <f t="array" ref="I252">_xlfn.IFS(H252&gt;=13,"Best Customers",H252&gt;=10,"Loyal Customers",H252&gt;=7,"Potential Loyal Customers",H252&gt;=4,"Need Attention",TRUE,"At Risk")</f>
        <v>Loyal Customers</v>
      </c>
    </row>
    <row r="253" spans="1:9" x14ac:dyDescent="0.25">
      <c r="A253" t="s">
        <v>2723</v>
      </c>
      <c r="B253" s="4">
        <v>388</v>
      </c>
      <c r="C253">
        <v>8</v>
      </c>
      <c r="D253">
        <v>468</v>
      </c>
      <c r="E253" cm="1">
        <f t="array" ref="E253">_xlfn.IFS(B253&lt;=_xlfn.PERCENTILE.INC($B$2:$B$726,0.2),5, B253&lt;=_xlfn.PERCENTILE.INC($B$2:$B$726,0.4),4,B253&lt;=_xlfn.PERCENTILE.INC($B$2:$B$726,0.6),3,B253&lt;=_xlfn.PERCENTILE.INC($B$2:$B$726,0.8),4,TRUE,1)</f>
        <v>5</v>
      </c>
      <c r="F253" cm="1">
        <f t="array" ref="F253">_xlfn.IFS(C253&gt;=_xlfn.PERCENTILE.INC($C$2:$C$726,0.8),5,C253&gt;=_xlfn.PERCENTILE.INC($C$2:$C$726,0.6),4,C253&gt;=_xlfn.PERCENTILE.INC($C$2:$C$726,0.4),3,C253&gt;=_xlfn.PERCENTILE.INC($C$2:$C$726,0.2),2,TRUE,1)</f>
        <v>5</v>
      </c>
      <c r="G253" cm="1">
        <f t="array" ref="G253">_xlfn.IFS(D253&gt;=_xlfn.PERCENTILE.INC($D$2:$D$726,0.8),5,D253&gt;=_xlfn.PERCENTILE.INC($D$2:$D$726,0.6),4,D253&gt;=_xlfn.PERCENTILE.INC($D$2:$D$726,0.4),3,D253&gt;=_xlfn.PERCENTILE.INC($D$2:$D$726,0.2),2,TRUE,1)</f>
        <v>5</v>
      </c>
      <c r="H253">
        <f t="shared" si="3"/>
        <v>15</v>
      </c>
      <c r="I253" t="str" cm="1">
        <f t="array" ref="I253">_xlfn.IFS(H253&gt;=13,"Best Customers",H253&gt;=10,"Loyal Customers",H253&gt;=7,"Potential Loyal Customers",H253&gt;=4,"Need Attention",TRUE,"At Risk")</f>
        <v>Best Customers</v>
      </c>
    </row>
    <row r="254" spans="1:9" x14ac:dyDescent="0.25">
      <c r="A254" t="s">
        <v>2180</v>
      </c>
      <c r="B254" s="4">
        <v>478</v>
      </c>
      <c r="C254">
        <v>4</v>
      </c>
      <c r="D254">
        <v>106.5</v>
      </c>
      <c r="E254" cm="1">
        <f t="array" ref="E254">_xlfn.IFS(B254&lt;=_xlfn.PERCENTILE.INC($B$2:$B$726,0.2),5, B254&lt;=_xlfn.PERCENTILE.INC($B$2:$B$726,0.4),4,B254&lt;=_xlfn.PERCENTILE.INC($B$2:$B$726,0.6),3,B254&lt;=_xlfn.PERCENTILE.INC($B$2:$B$726,0.8),4,TRUE,1)</f>
        <v>3</v>
      </c>
      <c r="F254" cm="1">
        <f t="array" ref="F254">_xlfn.IFS(C254&gt;=_xlfn.PERCENTILE.INC($C$2:$C$726,0.8),5,C254&gt;=_xlfn.PERCENTILE.INC($C$2:$C$726,0.6),4,C254&gt;=_xlfn.PERCENTILE.INC($C$2:$C$726,0.4),3,C254&gt;=_xlfn.PERCENTILE.INC($C$2:$C$726,0.2),2,TRUE,1)</f>
        <v>2</v>
      </c>
      <c r="G254" cm="1">
        <f t="array" ref="G254">_xlfn.IFS(D254&gt;=_xlfn.PERCENTILE.INC($D$2:$D$726,0.8),5,D254&gt;=_xlfn.PERCENTILE.INC($D$2:$D$726,0.6),4,D254&gt;=_xlfn.PERCENTILE.INC($D$2:$D$726,0.4),3,D254&gt;=_xlfn.PERCENTILE.INC($D$2:$D$726,0.2),2,TRUE,1)</f>
        <v>1</v>
      </c>
      <c r="H254">
        <f t="shared" si="3"/>
        <v>6</v>
      </c>
      <c r="I254" t="str" cm="1">
        <f t="array" ref="I254">_xlfn.IFS(H254&gt;=13,"Best Customers",H254&gt;=10,"Loyal Customers",H254&gt;=7,"Potential Loyal Customers",H254&gt;=4,"Need Attention",TRUE,"At Risk")</f>
        <v>Need Attention</v>
      </c>
    </row>
    <row r="255" spans="1:9" x14ac:dyDescent="0.25">
      <c r="A255" t="s">
        <v>3384</v>
      </c>
      <c r="B255" s="4">
        <v>425</v>
      </c>
      <c r="C255">
        <v>5</v>
      </c>
      <c r="D255">
        <v>351.09999999999997</v>
      </c>
      <c r="E255" cm="1">
        <f t="array" ref="E255">_xlfn.IFS(B255&lt;=_xlfn.PERCENTILE.INC($B$2:$B$726,0.2),5, B255&lt;=_xlfn.PERCENTILE.INC($B$2:$B$726,0.4),4,B255&lt;=_xlfn.PERCENTILE.INC($B$2:$B$726,0.6),3,B255&lt;=_xlfn.PERCENTILE.INC($B$2:$B$726,0.8),4,TRUE,1)</f>
        <v>4</v>
      </c>
      <c r="F255" cm="1">
        <f t="array" ref="F255">_xlfn.IFS(C255&gt;=_xlfn.PERCENTILE.INC($C$2:$C$726,0.8),5,C255&gt;=_xlfn.PERCENTILE.INC($C$2:$C$726,0.6),4,C255&gt;=_xlfn.PERCENTILE.INC($C$2:$C$726,0.4),3,C255&gt;=_xlfn.PERCENTILE.INC($C$2:$C$726,0.2),2,TRUE,1)</f>
        <v>3</v>
      </c>
      <c r="G255" cm="1">
        <f t="array" ref="G255">_xlfn.IFS(D255&gt;=_xlfn.PERCENTILE.INC($D$2:$D$726,0.8),5,D255&gt;=_xlfn.PERCENTILE.INC($D$2:$D$726,0.6),4,D255&gt;=_xlfn.PERCENTILE.INC($D$2:$D$726,0.4),3,D255&gt;=_xlfn.PERCENTILE.INC($D$2:$D$726,0.2),2,TRUE,1)</f>
        <v>4</v>
      </c>
      <c r="H255">
        <f t="shared" si="3"/>
        <v>11</v>
      </c>
      <c r="I255" t="str" cm="1">
        <f t="array" ref="I255">_xlfn.IFS(H255&gt;=13,"Best Customers",H255&gt;=10,"Loyal Customers",H255&gt;=7,"Potential Loyal Customers",H255&gt;=4,"Need Attention",TRUE,"At Risk")</f>
        <v>Loyal Customers</v>
      </c>
    </row>
    <row r="256" spans="1:9" x14ac:dyDescent="0.25">
      <c r="A256" t="s">
        <v>1309</v>
      </c>
      <c r="B256" s="4">
        <v>405</v>
      </c>
      <c r="C256">
        <v>9</v>
      </c>
      <c r="D256">
        <v>374.80000000000007</v>
      </c>
      <c r="E256" cm="1">
        <f t="array" ref="E256">_xlfn.IFS(B256&lt;=_xlfn.PERCENTILE.INC($B$2:$B$726,0.2),5, B256&lt;=_xlfn.PERCENTILE.INC($B$2:$B$726,0.4),4,B256&lt;=_xlfn.PERCENTILE.INC($B$2:$B$726,0.6),3,B256&lt;=_xlfn.PERCENTILE.INC($B$2:$B$726,0.8),4,TRUE,1)</f>
        <v>4</v>
      </c>
      <c r="F256" cm="1">
        <f t="array" ref="F256">_xlfn.IFS(C256&gt;=_xlfn.PERCENTILE.INC($C$2:$C$726,0.8),5,C256&gt;=_xlfn.PERCENTILE.INC($C$2:$C$726,0.6),4,C256&gt;=_xlfn.PERCENTILE.INC($C$2:$C$726,0.4),3,C256&gt;=_xlfn.PERCENTILE.INC($C$2:$C$726,0.2),2,TRUE,1)</f>
        <v>5</v>
      </c>
      <c r="G256" cm="1">
        <f t="array" ref="G256">_xlfn.IFS(D256&gt;=_xlfn.PERCENTILE.INC($D$2:$D$726,0.8),5,D256&gt;=_xlfn.PERCENTILE.INC($D$2:$D$726,0.6),4,D256&gt;=_xlfn.PERCENTILE.INC($D$2:$D$726,0.4),3,D256&gt;=_xlfn.PERCENTILE.INC($D$2:$D$726,0.2),2,TRUE,1)</f>
        <v>4</v>
      </c>
      <c r="H256">
        <f t="shared" si="3"/>
        <v>13</v>
      </c>
      <c r="I256" t="str" cm="1">
        <f t="array" ref="I256">_xlfn.IFS(H256&gt;=13,"Best Customers",H256&gt;=10,"Loyal Customers",H256&gt;=7,"Potential Loyal Customers",H256&gt;=4,"Need Attention",TRUE,"At Risk")</f>
        <v>Best Customers</v>
      </c>
    </row>
    <row r="257" spans="1:9" x14ac:dyDescent="0.25">
      <c r="A257" t="s">
        <v>2476</v>
      </c>
      <c r="B257" s="4">
        <v>387</v>
      </c>
      <c r="C257">
        <v>4</v>
      </c>
      <c r="D257">
        <v>278.7</v>
      </c>
      <c r="E257" cm="1">
        <f t="array" ref="E257">_xlfn.IFS(B257&lt;=_xlfn.PERCENTILE.INC($B$2:$B$726,0.2),5, B257&lt;=_xlfn.PERCENTILE.INC($B$2:$B$726,0.4),4,B257&lt;=_xlfn.PERCENTILE.INC($B$2:$B$726,0.6),3,B257&lt;=_xlfn.PERCENTILE.INC($B$2:$B$726,0.8),4,TRUE,1)</f>
        <v>5</v>
      </c>
      <c r="F257" cm="1">
        <f t="array" ref="F257">_xlfn.IFS(C257&gt;=_xlfn.PERCENTILE.INC($C$2:$C$726,0.8),5,C257&gt;=_xlfn.PERCENTILE.INC($C$2:$C$726,0.6),4,C257&gt;=_xlfn.PERCENTILE.INC($C$2:$C$726,0.4),3,C257&gt;=_xlfn.PERCENTILE.INC($C$2:$C$726,0.2),2,TRUE,1)</f>
        <v>2</v>
      </c>
      <c r="G257" cm="1">
        <f t="array" ref="G257">_xlfn.IFS(D257&gt;=_xlfn.PERCENTILE.INC($D$2:$D$726,0.8),5,D257&gt;=_xlfn.PERCENTILE.INC($D$2:$D$726,0.6),4,D257&gt;=_xlfn.PERCENTILE.INC($D$2:$D$726,0.4),3,D257&gt;=_xlfn.PERCENTILE.INC($D$2:$D$726,0.2),2,TRUE,1)</f>
        <v>3</v>
      </c>
      <c r="H257">
        <f t="shared" si="3"/>
        <v>10</v>
      </c>
      <c r="I257" t="str" cm="1">
        <f t="array" ref="I257">_xlfn.IFS(H257&gt;=13,"Best Customers",H257&gt;=10,"Loyal Customers",H257&gt;=7,"Potential Loyal Customers",H257&gt;=4,"Need Attention",TRUE,"At Risk")</f>
        <v>Loyal Customers</v>
      </c>
    </row>
    <row r="258" spans="1:9" x14ac:dyDescent="0.25">
      <c r="A258" t="s">
        <v>2930</v>
      </c>
      <c r="B258" s="4">
        <v>1231</v>
      </c>
      <c r="C258">
        <v>4</v>
      </c>
      <c r="D258">
        <v>334.70000000000005</v>
      </c>
      <c r="E258" cm="1">
        <f t="array" ref="E258">_xlfn.IFS(B258&lt;=_xlfn.PERCENTILE.INC($B$2:$B$726,0.2),5, B258&lt;=_xlfn.PERCENTILE.INC($B$2:$B$726,0.4),4,B258&lt;=_xlfn.PERCENTILE.INC($B$2:$B$726,0.6),3,B258&lt;=_xlfn.PERCENTILE.INC($B$2:$B$726,0.8),4,TRUE,1)</f>
        <v>1</v>
      </c>
      <c r="F258" cm="1">
        <f t="array" ref="F258">_xlfn.IFS(C258&gt;=_xlfn.PERCENTILE.INC($C$2:$C$726,0.8),5,C258&gt;=_xlfn.PERCENTILE.INC($C$2:$C$726,0.6),4,C258&gt;=_xlfn.PERCENTILE.INC($C$2:$C$726,0.4),3,C258&gt;=_xlfn.PERCENTILE.INC($C$2:$C$726,0.2),2,TRUE,1)</f>
        <v>2</v>
      </c>
      <c r="G258" cm="1">
        <f t="array" ref="G258">_xlfn.IFS(D258&gt;=_xlfn.PERCENTILE.INC($D$2:$D$726,0.8),5,D258&gt;=_xlfn.PERCENTILE.INC($D$2:$D$726,0.6),4,D258&gt;=_xlfn.PERCENTILE.INC($D$2:$D$726,0.4),3,D258&gt;=_xlfn.PERCENTILE.INC($D$2:$D$726,0.2),2,TRUE,1)</f>
        <v>4</v>
      </c>
      <c r="H258">
        <f t="shared" si="3"/>
        <v>7</v>
      </c>
      <c r="I258" t="str" cm="1">
        <f t="array" ref="I258">_xlfn.IFS(H258&gt;=13,"Best Customers",H258&gt;=10,"Loyal Customers",H258&gt;=7,"Potential Loyal Customers",H258&gt;=4,"Need Attention",TRUE,"At Risk")</f>
        <v>Potential Loyal Customers</v>
      </c>
    </row>
    <row r="259" spans="1:9" x14ac:dyDescent="0.25">
      <c r="A259" t="s">
        <v>2681</v>
      </c>
      <c r="B259" s="4">
        <v>865</v>
      </c>
      <c r="C259">
        <v>8</v>
      </c>
      <c r="D259">
        <v>383.9</v>
      </c>
      <c r="E259" cm="1">
        <f t="array" ref="E259">_xlfn.IFS(B259&lt;=_xlfn.PERCENTILE.INC($B$2:$B$726,0.2),5, B259&lt;=_xlfn.PERCENTILE.INC($B$2:$B$726,0.4),4,B259&lt;=_xlfn.PERCENTILE.INC($B$2:$B$726,0.6),3,B259&lt;=_xlfn.PERCENTILE.INC($B$2:$B$726,0.8),4,TRUE,1)</f>
        <v>1</v>
      </c>
      <c r="F259" cm="1">
        <f t="array" ref="F259">_xlfn.IFS(C259&gt;=_xlfn.PERCENTILE.INC($C$2:$C$726,0.8),5,C259&gt;=_xlfn.PERCENTILE.INC($C$2:$C$726,0.6),4,C259&gt;=_xlfn.PERCENTILE.INC($C$2:$C$726,0.4),3,C259&gt;=_xlfn.PERCENTILE.INC($C$2:$C$726,0.2),2,TRUE,1)</f>
        <v>5</v>
      </c>
      <c r="G259" cm="1">
        <f t="array" ref="G259">_xlfn.IFS(D259&gt;=_xlfn.PERCENTILE.INC($D$2:$D$726,0.8),5,D259&gt;=_xlfn.PERCENTILE.INC($D$2:$D$726,0.6),4,D259&gt;=_xlfn.PERCENTILE.INC($D$2:$D$726,0.4),3,D259&gt;=_xlfn.PERCENTILE.INC($D$2:$D$726,0.2),2,TRUE,1)</f>
        <v>4</v>
      </c>
      <c r="H259">
        <f t="shared" ref="H259:H322" si="4">SUM(E259,F259,G259)</f>
        <v>10</v>
      </c>
      <c r="I259" t="str" cm="1">
        <f t="array" ref="I259">_xlfn.IFS(H259&gt;=13,"Best Customers",H259&gt;=10,"Loyal Customers",H259&gt;=7,"Potential Loyal Customers",H259&gt;=4,"Need Attention",TRUE,"At Risk")</f>
        <v>Loyal Customers</v>
      </c>
    </row>
    <row r="260" spans="1:9" x14ac:dyDescent="0.25">
      <c r="A260" t="s">
        <v>3264</v>
      </c>
      <c r="B260" s="4">
        <v>470</v>
      </c>
      <c r="C260">
        <v>4</v>
      </c>
      <c r="D260">
        <v>129.89999999999998</v>
      </c>
      <c r="E260" cm="1">
        <f t="array" ref="E260">_xlfn.IFS(B260&lt;=_xlfn.PERCENTILE.INC($B$2:$B$726,0.2),5, B260&lt;=_xlfn.PERCENTILE.INC($B$2:$B$726,0.4),4,B260&lt;=_xlfn.PERCENTILE.INC($B$2:$B$726,0.6),3,B260&lt;=_xlfn.PERCENTILE.INC($B$2:$B$726,0.8),4,TRUE,1)</f>
        <v>3</v>
      </c>
      <c r="F260" cm="1">
        <f t="array" ref="F260">_xlfn.IFS(C260&gt;=_xlfn.PERCENTILE.INC($C$2:$C$726,0.8),5,C260&gt;=_xlfn.PERCENTILE.INC($C$2:$C$726,0.6),4,C260&gt;=_xlfn.PERCENTILE.INC($C$2:$C$726,0.4),3,C260&gt;=_xlfn.PERCENTILE.INC($C$2:$C$726,0.2),2,TRUE,1)</f>
        <v>2</v>
      </c>
      <c r="G260" cm="1">
        <f t="array" ref="G260">_xlfn.IFS(D260&gt;=_xlfn.PERCENTILE.INC($D$2:$D$726,0.8),5,D260&gt;=_xlfn.PERCENTILE.INC($D$2:$D$726,0.6),4,D260&gt;=_xlfn.PERCENTILE.INC($D$2:$D$726,0.4),3,D260&gt;=_xlfn.PERCENTILE.INC($D$2:$D$726,0.2),2,TRUE,1)</f>
        <v>1</v>
      </c>
      <c r="H260">
        <f t="shared" si="4"/>
        <v>6</v>
      </c>
      <c r="I260" t="str" cm="1">
        <f t="array" ref="I260">_xlfn.IFS(H260&gt;=13,"Best Customers",H260&gt;=10,"Loyal Customers",H260&gt;=7,"Potential Loyal Customers",H260&gt;=4,"Need Attention",TRUE,"At Risk")</f>
        <v>Need Attention</v>
      </c>
    </row>
    <row r="261" spans="1:9" x14ac:dyDescent="0.25">
      <c r="A261" t="s">
        <v>1009</v>
      </c>
      <c r="B261" s="4">
        <v>551</v>
      </c>
      <c r="C261">
        <v>7</v>
      </c>
      <c r="D261">
        <v>457</v>
      </c>
      <c r="E261" cm="1">
        <f t="array" ref="E261">_xlfn.IFS(B261&lt;=_xlfn.PERCENTILE.INC($B$2:$B$726,0.2),5, B261&lt;=_xlfn.PERCENTILE.INC($B$2:$B$726,0.4),4,B261&lt;=_xlfn.PERCENTILE.INC($B$2:$B$726,0.6),3,B261&lt;=_xlfn.PERCENTILE.INC($B$2:$B$726,0.8),4,TRUE,1)</f>
        <v>3</v>
      </c>
      <c r="F261" cm="1">
        <f t="array" ref="F261">_xlfn.IFS(C261&gt;=_xlfn.PERCENTILE.INC($C$2:$C$726,0.8),5,C261&gt;=_xlfn.PERCENTILE.INC($C$2:$C$726,0.6),4,C261&gt;=_xlfn.PERCENTILE.INC($C$2:$C$726,0.4),3,C261&gt;=_xlfn.PERCENTILE.INC($C$2:$C$726,0.2),2,TRUE,1)</f>
        <v>4</v>
      </c>
      <c r="G261" cm="1">
        <f t="array" ref="G261">_xlfn.IFS(D261&gt;=_xlfn.PERCENTILE.INC($D$2:$D$726,0.8),5,D261&gt;=_xlfn.PERCENTILE.INC($D$2:$D$726,0.6),4,D261&gt;=_xlfn.PERCENTILE.INC($D$2:$D$726,0.4),3,D261&gt;=_xlfn.PERCENTILE.INC($D$2:$D$726,0.2),2,TRUE,1)</f>
        <v>5</v>
      </c>
      <c r="H261">
        <f t="shared" si="4"/>
        <v>12</v>
      </c>
      <c r="I261" t="str" cm="1">
        <f t="array" ref="I261">_xlfn.IFS(H261&gt;=13,"Best Customers",H261&gt;=10,"Loyal Customers",H261&gt;=7,"Potential Loyal Customers",H261&gt;=4,"Need Attention",TRUE,"At Risk")</f>
        <v>Loyal Customers</v>
      </c>
    </row>
    <row r="262" spans="1:9" x14ac:dyDescent="0.25">
      <c r="A262" t="s">
        <v>3151</v>
      </c>
      <c r="B262" s="4">
        <v>595</v>
      </c>
      <c r="C262">
        <v>4</v>
      </c>
      <c r="D262">
        <v>129.4</v>
      </c>
      <c r="E262" cm="1">
        <f t="array" ref="E262">_xlfn.IFS(B262&lt;=_xlfn.PERCENTILE.INC($B$2:$B$726,0.2),5, B262&lt;=_xlfn.PERCENTILE.INC($B$2:$B$726,0.4),4,B262&lt;=_xlfn.PERCENTILE.INC($B$2:$B$726,0.6),3,B262&lt;=_xlfn.PERCENTILE.INC($B$2:$B$726,0.8),4,TRUE,1)</f>
        <v>4</v>
      </c>
      <c r="F262" cm="1">
        <f t="array" ref="F262">_xlfn.IFS(C262&gt;=_xlfn.PERCENTILE.INC($C$2:$C$726,0.8),5,C262&gt;=_xlfn.PERCENTILE.INC($C$2:$C$726,0.6),4,C262&gt;=_xlfn.PERCENTILE.INC($C$2:$C$726,0.4),3,C262&gt;=_xlfn.PERCENTILE.INC($C$2:$C$726,0.2),2,TRUE,1)</f>
        <v>2</v>
      </c>
      <c r="G262" cm="1">
        <f t="array" ref="G262">_xlfn.IFS(D262&gt;=_xlfn.PERCENTILE.INC($D$2:$D$726,0.8),5,D262&gt;=_xlfn.PERCENTILE.INC($D$2:$D$726,0.6),4,D262&gt;=_xlfn.PERCENTILE.INC($D$2:$D$726,0.4),3,D262&gt;=_xlfn.PERCENTILE.INC($D$2:$D$726,0.2),2,TRUE,1)</f>
        <v>1</v>
      </c>
      <c r="H262">
        <f t="shared" si="4"/>
        <v>7</v>
      </c>
      <c r="I262" t="str" cm="1">
        <f t="array" ref="I262">_xlfn.IFS(H262&gt;=13,"Best Customers",H262&gt;=10,"Loyal Customers",H262&gt;=7,"Potential Loyal Customers",H262&gt;=4,"Need Attention",TRUE,"At Risk")</f>
        <v>Potential Loyal Customers</v>
      </c>
    </row>
    <row r="263" spans="1:9" x14ac:dyDescent="0.25">
      <c r="A263" t="s">
        <v>1854</v>
      </c>
      <c r="B263" s="4">
        <v>368</v>
      </c>
      <c r="C263">
        <v>7</v>
      </c>
      <c r="D263">
        <v>216.8</v>
      </c>
      <c r="E263" cm="1">
        <f t="array" ref="E263">_xlfn.IFS(B263&lt;=_xlfn.PERCENTILE.INC($B$2:$B$726,0.2),5, B263&lt;=_xlfn.PERCENTILE.INC($B$2:$B$726,0.4),4,B263&lt;=_xlfn.PERCENTILE.INC($B$2:$B$726,0.6),3,B263&lt;=_xlfn.PERCENTILE.INC($B$2:$B$726,0.8),4,TRUE,1)</f>
        <v>5</v>
      </c>
      <c r="F263" cm="1">
        <f t="array" ref="F263">_xlfn.IFS(C263&gt;=_xlfn.PERCENTILE.INC($C$2:$C$726,0.8),5,C263&gt;=_xlfn.PERCENTILE.INC($C$2:$C$726,0.6),4,C263&gt;=_xlfn.PERCENTILE.INC($C$2:$C$726,0.4),3,C263&gt;=_xlfn.PERCENTILE.INC($C$2:$C$726,0.2),2,TRUE,1)</f>
        <v>4</v>
      </c>
      <c r="G263" cm="1">
        <f t="array" ref="G263">_xlfn.IFS(D263&gt;=_xlfn.PERCENTILE.INC($D$2:$D$726,0.8),5,D263&gt;=_xlfn.PERCENTILE.INC($D$2:$D$726,0.6),4,D263&gt;=_xlfn.PERCENTILE.INC($D$2:$D$726,0.4),3,D263&gt;=_xlfn.PERCENTILE.INC($D$2:$D$726,0.2),2,TRUE,1)</f>
        <v>2</v>
      </c>
      <c r="H263">
        <f t="shared" si="4"/>
        <v>11</v>
      </c>
      <c r="I263" t="str" cm="1">
        <f t="array" ref="I263">_xlfn.IFS(H263&gt;=13,"Best Customers",H263&gt;=10,"Loyal Customers",H263&gt;=7,"Potential Loyal Customers",H263&gt;=4,"Need Attention",TRUE,"At Risk")</f>
        <v>Loyal Customers</v>
      </c>
    </row>
    <row r="264" spans="1:9" x14ac:dyDescent="0.25">
      <c r="A264" t="s">
        <v>710</v>
      </c>
      <c r="B264" s="4">
        <v>516</v>
      </c>
      <c r="C264">
        <v>7</v>
      </c>
      <c r="D264">
        <v>277.2</v>
      </c>
      <c r="E264" cm="1">
        <f t="array" ref="E264">_xlfn.IFS(B264&lt;=_xlfn.PERCENTILE.INC($B$2:$B$726,0.2),5, B264&lt;=_xlfn.PERCENTILE.INC($B$2:$B$726,0.4),4,B264&lt;=_xlfn.PERCENTILE.INC($B$2:$B$726,0.6),3,B264&lt;=_xlfn.PERCENTILE.INC($B$2:$B$726,0.8),4,TRUE,1)</f>
        <v>3</v>
      </c>
      <c r="F264" cm="1">
        <f t="array" ref="F264">_xlfn.IFS(C264&gt;=_xlfn.PERCENTILE.INC($C$2:$C$726,0.8),5,C264&gt;=_xlfn.PERCENTILE.INC($C$2:$C$726,0.6),4,C264&gt;=_xlfn.PERCENTILE.INC($C$2:$C$726,0.4),3,C264&gt;=_xlfn.PERCENTILE.INC($C$2:$C$726,0.2),2,TRUE,1)</f>
        <v>4</v>
      </c>
      <c r="G264" cm="1">
        <f t="array" ref="G264">_xlfn.IFS(D264&gt;=_xlfn.PERCENTILE.INC($D$2:$D$726,0.8),5,D264&gt;=_xlfn.PERCENTILE.INC($D$2:$D$726,0.6),4,D264&gt;=_xlfn.PERCENTILE.INC($D$2:$D$726,0.4),3,D264&gt;=_xlfn.PERCENTILE.INC($D$2:$D$726,0.2),2,TRUE,1)</f>
        <v>3</v>
      </c>
      <c r="H264">
        <f t="shared" si="4"/>
        <v>10</v>
      </c>
      <c r="I264" t="str" cm="1">
        <f t="array" ref="I264">_xlfn.IFS(H264&gt;=13,"Best Customers",H264&gt;=10,"Loyal Customers",H264&gt;=7,"Potential Loyal Customers",H264&gt;=4,"Need Attention",TRUE,"At Risk")</f>
        <v>Loyal Customers</v>
      </c>
    </row>
    <row r="265" spans="1:9" x14ac:dyDescent="0.25">
      <c r="A265" t="s">
        <v>3408</v>
      </c>
      <c r="B265" s="4">
        <v>442</v>
      </c>
      <c r="C265">
        <v>8</v>
      </c>
      <c r="D265">
        <v>383.8</v>
      </c>
      <c r="E265" cm="1">
        <f t="array" ref="E265">_xlfn.IFS(B265&lt;=_xlfn.PERCENTILE.INC($B$2:$B$726,0.2),5, B265&lt;=_xlfn.PERCENTILE.INC($B$2:$B$726,0.4),4,B265&lt;=_xlfn.PERCENTILE.INC($B$2:$B$726,0.6),3,B265&lt;=_xlfn.PERCENTILE.INC($B$2:$B$726,0.8),4,TRUE,1)</f>
        <v>4</v>
      </c>
      <c r="F265" cm="1">
        <f t="array" ref="F265">_xlfn.IFS(C265&gt;=_xlfn.PERCENTILE.INC($C$2:$C$726,0.8),5,C265&gt;=_xlfn.PERCENTILE.INC($C$2:$C$726,0.6),4,C265&gt;=_xlfn.PERCENTILE.INC($C$2:$C$726,0.4),3,C265&gt;=_xlfn.PERCENTILE.INC($C$2:$C$726,0.2),2,TRUE,1)</f>
        <v>5</v>
      </c>
      <c r="G265" cm="1">
        <f t="array" ref="G265">_xlfn.IFS(D265&gt;=_xlfn.PERCENTILE.INC($D$2:$D$726,0.8),5,D265&gt;=_xlfn.PERCENTILE.INC($D$2:$D$726,0.6),4,D265&gt;=_xlfn.PERCENTILE.INC($D$2:$D$726,0.4),3,D265&gt;=_xlfn.PERCENTILE.INC($D$2:$D$726,0.2),2,TRUE,1)</f>
        <v>4</v>
      </c>
      <c r="H265">
        <f t="shared" si="4"/>
        <v>13</v>
      </c>
      <c r="I265" t="str" cm="1">
        <f t="array" ref="I265">_xlfn.IFS(H265&gt;=13,"Best Customers",H265&gt;=10,"Loyal Customers",H265&gt;=7,"Potential Loyal Customers",H265&gt;=4,"Need Attention",TRUE,"At Risk")</f>
        <v>Best Customers</v>
      </c>
    </row>
    <row r="266" spans="1:9" x14ac:dyDescent="0.25">
      <c r="A266" t="s">
        <v>1047</v>
      </c>
      <c r="B266" s="4">
        <v>451</v>
      </c>
      <c r="C266">
        <v>6</v>
      </c>
      <c r="D266">
        <v>201.49999999999997</v>
      </c>
      <c r="E266" cm="1">
        <f t="array" ref="E266">_xlfn.IFS(B266&lt;=_xlfn.PERCENTILE.INC($B$2:$B$726,0.2),5, B266&lt;=_xlfn.PERCENTILE.INC($B$2:$B$726,0.4),4,B266&lt;=_xlfn.PERCENTILE.INC($B$2:$B$726,0.6),3,B266&lt;=_xlfn.PERCENTILE.INC($B$2:$B$726,0.8),4,TRUE,1)</f>
        <v>4</v>
      </c>
      <c r="F266" cm="1">
        <f t="array" ref="F266">_xlfn.IFS(C266&gt;=_xlfn.PERCENTILE.INC($C$2:$C$726,0.8),5,C266&gt;=_xlfn.PERCENTILE.INC($C$2:$C$726,0.6),4,C266&gt;=_xlfn.PERCENTILE.INC($C$2:$C$726,0.4),3,C266&gt;=_xlfn.PERCENTILE.INC($C$2:$C$726,0.2),2,TRUE,1)</f>
        <v>4</v>
      </c>
      <c r="G266" cm="1">
        <f t="array" ref="G266">_xlfn.IFS(D266&gt;=_xlfn.PERCENTILE.INC($D$2:$D$726,0.8),5,D266&gt;=_xlfn.PERCENTILE.INC($D$2:$D$726,0.6),4,D266&gt;=_xlfn.PERCENTILE.INC($D$2:$D$726,0.4),3,D266&gt;=_xlfn.PERCENTILE.INC($D$2:$D$726,0.2),2,TRUE,1)</f>
        <v>2</v>
      </c>
      <c r="H266">
        <f t="shared" si="4"/>
        <v>10</v>
      </c>
      <c r="I266" t="str" cm="1">
        <f t="array" ref="I266">_xlfn.IFS(H266&gt;=13,"Best Customers",H266&gt;=10,"Loyal Customers",H266&gt;=7,"Potential Loyal Customers",H266&gt;=4,"Need Attention",TRUE,"At Risk")</f>
        <v>Loyal Customers</v>
      </c>
    </row>
    <row r="267" spans="1:9" x14ac:dyDescent="0.25">
      <c r="A267" t="s">
        <v>1649</v>
      </c>
      <c r="B267" s="4">
        <v>937</v>
      </c>
      <c r="C267">
        <v>3</v>
      </c>
      <c r="D267">
        <v>76.599999999999994</v>
      </c>
      <c r="E267" cm="1">
        <f t="array" ref="E267">_xlfn.IFS(B267&lt;=_xlfn.PERCENTILE.INC($B$2:$B$726,0.2),5, B267&lt;=_xlfn.PERCENTILE.INC($B$2:$B$726,0.4),4,B267&lt;=_xlfn.PERCENTILE.INC($B$2:$B$726,0.6),3,B267&lt;=_xlfn.PERCENTILE.INC($B$2:$B$726,0.8),4,TRUE,1)</f>
        <v>1</v>
      </c>
      <c r="F267" cm="1">
        <f t="array" ref="F267">_xlfn.IFS(C267&gt;=_xlfn.PERCENTILE.INC($C$2:$C$726,0.8),5,C267&gt;=_xlfn.PERCENTILE.INC($C$2:$C$726,0.6),4,C267&gt;=_xlfn.PERCENTILE.INC($C$2:$C$726,0.4),3,C267&gt;=_xlfn.PERCENTILE.INC($C$2:$C$726,0.2),2,TRUE,1)</f>
        <v>1</v>
      </c>
      <c r="G267" cm="1">
        <f t="array" ref="G267">_xlfn.IFS(D267&gt;=_xlfn.PERCENTILE.INC($D$2:$D$726,0.8),5,D267&gt;=_xlfn.PERCENTILE.INC($D$2:$D$726,0.6),4,D267&gt;=_xlfn.PERCENTILE.INC($D$2:$D$726,0.4),3,D267&gt;=_xlfn.PERCENTILE.INC($D$2:$D$726,0.2),2,TRUE,1)</f>
        <v>1</v>
      </c>
      <c r="H267">
        <f t="shared" si="4"/>
        <v>3</v>
      </c>
      <c r="I267" t="str" cm="1">
        <f t="array" ref="I267">_xlfn.IFS(H267&gt;=13,"Best Customers",H267&gt;=10,"Loyal Customers",H267&gt;=7,"Potential Loyal Customers",H267&gt;=4,"Need Attention",TRUE,"At Risk")</f>
        <v>At Risk</v>
      </c>
    </row>
    <row r="268" spans="1:9" x14ac:dyDescent="0.25">
      <c r="A268" t="s">
        <v>772</v>
      </c>
      <c r="B268" s="4">
        <v>755</v>
      </c>
      <c r="C268">
        <v>6</v>
      </c>
      <c r="D268">
        <v>371.5</v>
      </c>
      <c r="E268" cm="1">
        <f t="array" ref="E268">_xlfn.IFS(B268&lt;=_xlfn.PERCENTILE.INC($B$2:$B$726,0.2),5, B268&lt;=_xlfn.PERCENTILE.INC($B$2:$B$726,0.4),4,B268&lt;=_xlfn.PERCENTILE.INC($B$2:$B$726,0.6),3,B268&lt;=_xlfn.PERCENTILE.INC($B$2:$B$726,0.8),4,TRUE,1)</f>
        <v>1</v>
      </c>
      <c r="F268" cm="1">
        <f t="array" ref="F268">_xlfn.IFS(C268&gt;=_xlfn.PERCENTILE.INC($C$2:$C$726,0.8),5,C268&gt;=_xlfn.PERCENTILE.INC($C$2:$C$726,0.6),4,C268&gt;=_xlfn.PERCENTILE.INC($C$2:$C$726,0.4),3,C268&gt;=_xlfn.PERCENTILE.INC($C$2:$C$726,0.2),2,TRUE,1)</f>
        <v>4</v>
      </c>
      <c r="G268" cm="1">
        <f t="array" ref="G268">_xlfn.IFS(D268&gt;=_xlfn.PERCENTILE.INC($D$2:$D$726,0.8),5,D268&gt;=_xlfn.PERCENTILE.INC($D$2:$D$726,0.6),4,D268&gt;=_xlfn.PERCENTILE.INC($D$2:$D$726,0.4),3,D268&gt;=_xlfn.PERCENTILE.INC($D$2:$D$726,0.2),2,TRUE,1)</f>
        <v>4</v>
      </c>
      <c r="H268">
        <f t="shared" si="4"/>
        <v>9</v>
      </c>
      <c r="I268" t="str" cm="1">
        <f t="array" ref="I268">_xlfn.IFS(H268&gt;=13,"Best Customers",H268&gt;=10,"Loyal Customers",H268&gt;=7,"Potential Loyal Customers",H268&gt;=4,"Need Attention",TRUE,"At Risk")</f>
        <v>Potential Loyal Customers</v>
      </c>
    </row>
    <row r="269" spans="1:9" x14ac:dyDescent="0.25">
      <c r="A269" t="s">
        <v>2391</v>
      </c>
      <c r="B269" s="4">
        <v>367</v>
      </c>
      <c r="C269">
        <v>6</v>
      </c>
      <c r="D269">
        <v>161.6</v>
      </c>
      <c r="E269" cm="1">
        <f t="array" ref="E269">_xlfn.IFS(B269&lt;=_xlfn.PERCENTILE.INC($B$2:$B$726,0.2),5, B269&lt;=_xlfn.PERCENTILE.INC($B$2:$B$726,0.4),4,B269&lt;=_xlfn.PERCENTILE.INC($B$2:$B$726,0.6),3,B269&lt;=_xlfn.PERCENTILE.INC($B$2:$B$726,0.8),4,TRUE,1)</f>
        <v>5</v>
      </c>
      <c r="F269" cm="1">
        <f t="array" ref="F269">_xlfn.IFS(C269&gt;=_xlfn.PERCENTILE.INC($C$2:$C$726,0.8),5,C269&gt;=_xlfn.PERCENTILE.INC($C$2:$C$726,0.6),4,C269&gt;=_xlfn.PERCENTILE.INC($C$2:$C$726,0.4),3,C269&gt;=_xlfn.PERCENTILE.INC($C$2:$C$726,0.2),2,TRUE,1)</f>
        <v>4</v>
      </c>
      <c r="G269" cm="1">
        <f t="array" ref="G269">_xlfn.IFS(D269&gt;=_xlfn.PERCENTILE.INC($D$2:$D$726,0.8),5,D269&gt;=_xlfn.PERCENTILE.INC($D$2:$D$726,0.6),4,D269&gt;=_xlfn.PERCENTILE.INC($D$2:$D$726,0.4),3,D269&gt;=_xlfn.PERCENTILE.INC($D$2:$D$726,0.2),2,TRUE,1)</f>
        <v>2</v>
      </c>
      <c r="H269">
        <f t="shared" si="4"/>
        <v>11</v>
      </c>
      <c r="I269" t="str" cm="1">
        <f t="array" ref="I269">_xlfn.IFS(H269&gt;=13,"Best Customers",H269&gt;=10,"Loyal Customers",H269&gt;=7,"Potential Loyal Customers",H269&gt;=4,"Need Attention",TRUE,"At Risk")</f>
        <v>Loyal Customers</v>
      </c>
    </row>
    <row r="270" spans="1:9" x14ac:dyDescent="0.25">
      <c r="A270" t="s">
        <v>2329</v>
      </c>
      <c r="B270" s="4">
        <v>833</v>
      </c>
      <c r="C270">
        <v>3</v>
      </c>
      <c r="D270">
        <v>299.90000000000003</v>
      </c>
      <c r="E270" cm="1">
        <f t="array" ref="E270">_xlfn.IFS(B270&lt;=_xlfn.PERCENTILE.INC($B$2:$B$726,0.2),5, B270&lt;=_xlfn.PERCENTILE.INC($B$2:$B$726,0.4),4,B270&lt;=_xlfn.PERCENTILE.INC($B$2:$B$726,0.6),3,B270&lt;=_xlfn.PERCENTILE.INC($B$2:$B$726,0.8),4,TRUE,1)</f>
        <v>1</v>
      </c>
      <c r="F270" cm="1">
        <f t="array" ref="F270">_xlfn.IFS(C270&gt;=_xlfn.PERCENTILE.INC($C$2:$C$726,0.8),5,C270&gt;=_xlfn.PERCENTILE.INC($C$2:$C$726,0.6),4,C270&gt;=_xlfn.PERCENTILE.INC($C$2:$C$726,0.4),3,C270&gt;=_xlfn.PERCENTILE.INC($C$2:$C$726,0.2),2,TRUE,1)</f>
        <v>1</v>
      </c>
      <c r="G270" cm="1">
        <f t="array" ref="G270">_xlfn.IFS(D270&gt;=_xlfn.PERCENTILE.INC($D$2:$D$726,0.8),5,D270&gt;=_xlfn.PERCENTILE.INC($D$2:$D$726,0.6),4,D270&gt;=_xlfn.PERCENTILE.INC($D$2:$D$726,0.4),3,D270&gt;=_xlfn.PERCENTILE.INC($D$2:$D$726,0.2),2,TRUE,1)</f>
        <v>3</v>
      </c>
      <c r="H270">
        <f t="shared" si="4"/>
        <v>5</v>
      </c>
      <c r="I270" t="str" cm="1">
        <f t="array" ref="I270">_xlfn.IFS(H270&gt;=13,"Best Customers",H270&gt;=10,"Loyal Customers",H270&gt;=7,"Potential Loyal Customers",H270&gt;=4,"Need Attention",TRUE,"At Risk")</f>
        <v>Need Attention</v>
      </c>
    </row>
    <row r="271" spans="1:9" x14ac:dyDescent="0.25">
      <c r="A271" t="s">
        <v>2323</v>
      </c>
      <c r="B271" s="4">
        <v>335</v>
      </c>
      <c r="C271">
        <v>4</v>
      </c>
      <c r="D271">
        <v>223.5</v>
      </c>
      <c r="E271" cm="1">
        <f t="array" ref="E271">_xlfn.IFS(B271&lt;=_xlfn.PERCENTILE.INC($B$2:$B$726,0.2),5, B271&lt;=_xlfn.PERCENTILE.INC($B$2:$B$726,0.4),4,B271&lt;=_xlfn.PERCENTILE.INC($B$2:$B$726,0.6),3,B271&lt;=_xlfn.PERCENTILE.INC($B$2:$B$726,0.8),4,TRUE,1)</f>
        <v>5</v>
      </c>
      <c r="F271" cm="1">
        <f t="array" ref="F271">_xlfn.IFS(C271&gt;=_xlfn.PERCENTILE.INC($C$2:$C$726,0.8),5,C271&gt;=_xlfn.PERCENTILE.INC($C$2:$C$726,0.6),4,C271&gt;=_xlfn.PERCENTILE.INC($C$2:$C$726,0.4),3,C271&gt;=_xlfn.PERCENTILE.INC($C$2:$C$726,0.2),2,TRUE,1)</f>
        <v>2</v>
      </c>
      <c r="G271" cm="1">
        <f t="array" ref="G271">_xlfn.IFS(D271&gt;=_xlfn.PERCENTILE.INC($D$2:$D$726,0.8),5,D271&gt;=_xlfn.PERCENTILE.INC($D$2:$D$726,0.6),4,D271&gt;=_xlfn.PERCENTILE.INC($D$2:$D$726,0.4),3,D271&gt;=_xlfn.PERCENTILE.INC($D$2:$D$726,0.2),2,TRUE,1)</f>
        <v>2</v>
      </c>
      <c r="H271">
        <f t="shared" si="4"/>
        <v>9</v>
      </c>
      <c r="I271" t="str" cm="1">
        <f t="array" ref="I271">_xlfn.IFS(H271&gt;=13,"Best Customers",H271&gt;=10,"Loyal Customers",H271&gt;=7,"Potential Loyal Customers",H271&gt;=4,"Need Attention",TRUE,"At Risk")</f>
        <v>Potential Loyal Customers</v>
      </c>
    </row>
    <row r="272" spans="1:9" x14ac:dyDescent="0.25">
      <c r="A272" t="s">
        <v>2870</v>
      </c>
      <c r="B272" s="4">
        <v>846</v>
      </c>
      <c r="C272">
        <v>4</v>
      </c>
      <c r="D272">
        <v>202.89999999999998</v>
      </c>
      <c r="E272" cm="1">
        <f t="array" ref="E272">_xlfn.IFS(B272&lt;=_xlfn.PERCENTILE.INC($B$2:$B$726,0.2),5, B272&lt;=_xlfn.PERCENTILE.INC($B$2:$B$726,0.4),4,B272&lt;=_xlfn.PERCENTILE.INC($B$2:$B$726,0.6),3,B272&lt;=_xlfn.PERCENTILE.INC($B$2:$B$726,0.8),4,TRUE,1)</f>
        <v>1</v>
      </c>
      <c r="F272" cm="1">
        <f t="array" ref="F272">_xlfn.IFS(C272&gt;=_xlfn.PERCENTILE.INC($C$2:$C$726,0.8),5,C272&gt;=_xlfn.PERCENTILE.INC($C$2:$C$726,0.6),4,C272&gt;=_xlfn.PERCENTILE.INC($C$2:$C$726,0.4),3,C272&gt;=_xlfn.PERCENTILE.INC($C$2:$C$726,0.2),2,TRUE,1)</f>
        <v>2</v>
      </c>
      <c r="G272" cm="1">
        <f t="array" ref="G272">_xlfn.IFS(D272&gt;=_xlfn.PERCENTILE.INC($D$2:$D$726,0.8),5,D272&gt;=_xlfn.PERCENTILE.INC($D$2:$D$726,0.6),4,D272&gt;=_xlfn.PERCENTILE.INC($D$2:$D$726,0.4),3,D272&gt;=_xlfn.PERCENTILE.INC($D$2:$D$726,0.2),2,TRUE,1)</f>
        <v>2</v>
      </c>
      <c r="H272">
        <f t="shared" si="4"/>
        <v>5</v>
      </c>
      <c r="I272" t="str" cm="1">
        <f t="array" ref="I272">_xlfn.IFS(H272&gt;=13,"Best Customers",H272&gt;=10,"Loyal Customers",H272&gt;=7,"Potential Loyal Customers",H272&gt;=4,"Need Attention",TRUE,"At Risk")</f>
        <v>Need Attention</v>
      </c>
    </row>
    <row r="273" spans="1:9" x14ac:dyDescent="0.25">
      <c r="A273" t="s">
        <v>2861</v>
      </c>
      <c r="B273" s="4">
        <v>414</v>
      </c>
      <c r="C273">
        <v>4</v>
      </c>
      <c r="D273">
        <v>117.3</v>
      </c>
      <c r="E273" cm="1">
        <f t="array" ref="E273">_xlfn.IFS(B273&lt;=_xlfn.PERCENTILE.INC($B$2:$B$726,0.2),5, B273&lt;=_xlfn.PERCENTILE.INC($B$2:$B$726,0.4),4,B273&lt;=_xlfn.PERCENTILE.INC($B$2:$B$726,0.6),3,B273&lt;=_xlfn.PERCENTILE.INC($B$2:$B$726,0.8),4,TRUE,1)</f>
        <v>4</v>
      </c>
      <c r="F273" cm="1">
        <f t="array" ref="F273">_xlfn.IFS(C273&gt;=_xlfn.PERCENTILE.INC($C$2:$C$726,0.8),5,C273&gt;=_xlfn.PERCENTILE.INC($C$2:$C$726,0.6),4,C273&gt;=_xlfn.PERCENTILE.INC($C$2:$C$726,0.4),3,C273&gt;=_xlfn.PERCENTILE.INC($C$2:$C$726,0.2),2,TRUE,1)</f>
        <v>2</v>
      </c>
      <c r="G273" cm="1">
        <f t="array" ref="G273">_xlfn.IFS(D273&gt;=_xlfn.PERCENTILE.INC($D$2:$D$726,0.8),5,D273&gt;=_xlfn.PERCENTILE.INC($D$2:$D$726,0.6),4,D273&gt;=_xlfn.PERCENTILE.INC($D$2:$D$726,0.4),3,D273&gt;=_xlfn.PERCENTILE.INC($D$2:$D$726,0.2),2,TRUE,1)</f>
        <v>1</v>
      </c>
      <c r="H273">
        <f t="shared" si="4"/>
        <v>7</v>
      </c>
      <c r="I273" t="str" cm="1">
        <f t="array" ref="I273">_xlfn.IFS(H273&gt;=13,"Best Customers",H273&gt;=10,"Loyal Customers",H273&gt;=7,"Potential Loyal Customers",H273&gt;=4,"Need Attention",TRUE,"At Risk")</f>
        <v>Potential Loyal Customers</v>
      </c>
    </row>
    <row r="274" spans="1:9" x14ac:dyDescent="0.25">
      <c r="A274" t="s">
        <v>1559</v>
      </c>
      <c r="B274" s="4">
        <v>525</v>
      </c>
      <c r="C274">
        <v>9</v>
      </c>
      <c r="D274">
        <v>611.20000000000005</v>
      </c>
      <c r="E274" cm="1">
        <f t="array" ref="E274">_xlfn.IFS(B274&lt;=_xlfn.PERCENTILE.INC($B$2:$B$726,0.2),5, B274&lt;=_xlfn.PERCENTILE.INC($B$2:$B$726,0.4),4,B274&lt;=_xlfn.PERCENTILE.INC($B$2:$B$726,0.6),3,B274&lt;=_xlfn.PERCENTILE.INC($B$2:$B$726,0.8),4,TRUE,1)</f>
        <v>3</v>
      </c>
      <c r="F274" cm="1">
        <f t="array" ref="F274">_xlfn.IFS(C274&gt;=_xlfn.PERCENTILE.INC($C$2:$C$726,0.8),5,C274&gt;=_xlfn.PERCENTILE.INC($C$2:$C$726,0.6),4,C274&gt;=_xlfn.PERCENTILE.INC($C$2:$C$726,0.4),3,C274&gt;=_xlfn.PERCENTILE.INC($C$2:$C$726,0.2),2,TRUE,1)</f>
        <v>5</v>
      </c>
      <c r="G274" cm="1">
        <f t="array" ref="G274">_xlfn.IFS(D274&gt;=_xlfn.PERCENTILE.INC($D$2:$D$726,0.8),5,D274&gt;=_xlfn.PERCENTILE.INC($D$2:$D$726,0.6),4,D274&gt;=_xlfn.PERCENTILE.INC($D$2:$D$726,0.4),3,D274&gt;=_xlfn.PERCENTILE.INC($D$2:$D$726,0.2),2,TRUE,1)</f>
        <v>5</v>
      </c>
      <c r="H274">
        <f t="shared" si="4"/>
        <v>13</v>
      </c>
      <c r="I274" t="str" cm="1">
        <f t="array" ref="I274">_xlfn.IFS(H274&gt;=13,"Best Customers",H274&gt;=10,"Loyal Customers",H274&gt;=7,"Potential Loyal Customers",H274&gt;=4,"Need Attention",TRUE,"At Risk")</f>
        <v>Best Customers</v>
      </c>
    </row>
    <row r="275" spans="1:9" x14ac:dyDescent="0.25">
      <c r="A275" t="s">
        <v>2468</v>
      </c>
      <c r="B275" s="4">
        <v>361</v>
      </c>
      <c r="C275">
        <v>5</v>
      </c>
      <c r="D275">
        <v>310</v>
      </c>
      <c r="E275" cm="1">
        <f t="array" ref="E275">_xlfn.IFS(B275&lt;=_xlfn.PERCENTILE.INC($B$2:$B$726,0.2),5, B275&lt;=_xlfn.PERCENTILE.INC($B$2:$B$726,0.4),4,B275&lt;=_xlfn.PERCENTILE.INC($B$2:$B$726,0.6),3,B275&lt;=_xlfn.PERCENTILE.INC($B$2:$B$726,0.8),4,TRUE,1)</f>
        <v>5</v>
      </c>
      <c r="F275" cm="1">
        <f t="array" ref="F275">_xlfn.IFS(C275&gt;=_xlfn.PERCENTILE.INC($C$2:$C$726,0.8),5,C275&gt;=_xlfn.PERCENTILE.INC($C$2:$C$726,0.6),4,C275&gt;=_xlfn.PERCENTILE.INC($C$2:$C$726,0.4),3,C275&gt;=_xlfn.PERCENTILE.INC($C$2:$C$726,0.2),2,TRUE,1)</f>
        <v>3</v>
      </c>
      <c r="G275" cm="1">
        <f t="array" ref="G275">_xlfn.IFS(D275&gt;=_xlfn.PERCENTILE.INC($D$2:$D$726,0.8),5,D275&gt;=_xlfn.PERCENTILE.INC($D$2:$D$726,0.6),4,D275&gt;=_xlfn.PERCENTILE.INC($D$2:$D$726,0.4),3,D275&gt;=_xlfn.PERCENTILE.INC($D$2:$D$726,0.2),2,TRUE,1)</f>
        <v>3</v>
      </c>
      <c r="H275">
        <f t="shared" si="4"/>
        <v>11</v>
      </c>
      <c r="I275" t="str" cm="1">
        <f t="array" ref="I275">_xlfn.IFS(H275&gt;=13,"Best Customers",H275&gt;=10,"Loyal Customers",H275&gt;=7,"Potential Loyal Customers",H275&gt;=4,"Need Attention",TRUE,"At Risk")</f>
        <v>Loyal Customers</v>
      </c>
    </row>
    <row r="276" spans="1:9" x14ac:dyDescent="0.25">
      <c r="A276" t="s">
        <v>1616</v>
      </c>
      <c r="B276" s="4">
        <v>340</v>
      </c>
      <c r="C276">
        <v>7</v>
      </c>
      <c r="D276">
        <v>188.3</v>
      </c>
      <c r="E276" cm="1">
        <f t="array" ref="E276">_xlfn.IFS(B276&lt;=_xlfn.PERCENTILE.INC($B$2:$B$726,0.2),5, B276&lt;=_xlfn.PERCENTILE.INC($B$2:$B$726,0.4),4,B276&lt;=_xlfn.PERCENTILE.INC($B$2:$B$726,0.6),3,B276&lt;=_xlfn.PERCENTILE.INC($B$2:$B$726,0.8),4,TRUE,1)</f>
        <v>5</v>
      </c>
      <c r="F276" cm="1">
        <f t="array" ref="F276">_xlfn.IFS(C276&gt;=_xlfn.PERCENTILE.INC($C$2:$C$726,0.8),5,C276&gt;=_xlfn.PERCENTILE.INC($C$2:$C$726,0.6),4,C276&gt;=_xlfn.PERCENTILE.INC($C$2:$C$726,0.4),3,C276&gt;=_xlfn.PERCENTILE.INC($C$2:$C$726,0.2),2,TRUE,1)</f>
        <v>4</v>
      </c>
      <c r="G276" cm="1">
        <f t="array" ref="G276">_xlfn.IFS(D276&gt;=_xlfn.PERCENTILE.INC($D$2:$D$726,0.8),5,D276&gt;=_xlfn.PERCENTILE.INC($D$2:$D$726,0.6),4,D276&gt;=_xlfn.PERCENTILE.INC($D$2:$D$726,0.4),3,D276&gt;=_xlfn.PERCENTILE.INC($D$2:$D$726,0.2),2,TRUE,1)</f>
        <v>2</v>
      </c>
      <c r="H276">
        <f t="shared" si="4"/>
        <v>11</v>
      </c>
      <c r="I276" t="str" cm="1">
        <f t="array" ref="I276">_xlfn.IFS(H276&gt;=13,"Best Customers",H276&gt;=10,"Loyal Customers",H276&gt;=7,"Potential Loyal Customers",H276&gt;=4,"Need Attention",TRUE,"At Risk")</f>
        <v>Loyal Customers</v>
      </c>
    </row>
    <row r="277" spans="1:9" x14ac:dyDescent="0.25">
      <c r="A277" t="s">
        <v>2435</v>
      </c>
      <c r="B277" s="4">
        <v>384</v>
      </c>
      <c r="C277">
        <v>8</v>
      </c>
      <c r="D277">
        <v>349.5</v>
      </c>
      <c r="E277" cm="1">
        <f t="array" ref="E277">_xlfn.IFS(B277&lt;=_xlfn.PERCENTILE.INC($B$2:$B$726,0.2),5, B277&lt;=_xlfn.PERCENTILE.INC($B$2:$B$726,0.4),4,B277&lt;=_xlfn.PERCENTILE.INC($B$2:$B$726,0.6),3,B277&lt;=_xlfn.PERCENTILE.INC($B$2:$B$726,0.8),4,TRUE,1)</f>
        <v>5</v>
      </c>
      <c r="F277" cm="1">
        <f t="array" ref="F277">_xlfn.IFS(C277&gt;=_xlfn.PERCENTILE.INC($C$2:$C$726,0.8),5,C277&gt;=_xlfn.PERCENTILE.INC($C$2:$C$726,0.6),4,C277&gt;=_xlfn.PERCENTILE.INC($C$2:$C$726,0.4),3,C277&gt;=_xlfn.PERCENTILE.INC($C$2:$C$726,0.2),2,TRUE,1)</f>
        <v>5</v>
      </c>
      <c r="G277" cm="1">
        <f t="array" ref="G277">_xlfn.IFS(D277&gt;=_xlfn.PERCENTILE.INC($D$2:$D$726,0.8),5,D277&gt;=_xlfn.PERCENTILE.INC($D$2:$D$726,0.6),4,D277&gt;=_xlfn.PERCENTILE.INC($D$2:$D$726,0.4),3,D277&gt;=_xlfn.PERCENTILE.INC($D$2:$D$726,0.2),2,TRUE,1)</f>
        <v>4</v>
      </c>
      <c r="H277">
        <f t="shared" si="4"/>
        <v>14</v>
      </c>
      <c r="I277" t="str" cm="1">
        <f t="array" ref="I277">_xlfn.IFS(H277&gt;=13,"Best Customers",H277&gt;=10,"Loyal Customers",H277&gt;=7,"Potential Loyal Customers",H277&gt;=4,"Need Attention",TRUE,"At Risk")</f>
        <v>Best Customers</v>
      </c>
    </row>
    <row r="278" spans="1:9" x14ac:dyDescent="0.25">
      <c r="A278" t="s">
        <v>737</v>
      </c>
      <c r="B278" s="4">
        <v>633</v>
      </c>
      <c r="C278">
        <v>9</v>
      </c>
      <c r="D278">
        <v>182.70000000000002</v>
      </c>
      <c r="E278" cm="1">
        <f t="array" ref="E278">_xlfn.IFS(B278&lt;=_xlfn.PERCENTILE.INC($B$2:$B$726,0.2),5, B278&lt;=_xlfn.PERCENTILE.INC($B$2:$B$726,0.4),4,B278&lt;=_xlfn.PERCENTILE.INC($B$2:$B$726,0.6),3,B278&lt;=_xlfn.PERCENTILE.INC($B$2:$B$726,0.8),4,TRUE,1)</f>
        <v>4</v>
      </c>
      <c r="F278" cm="1">
        <f t="array" ref="F278">_xlfn.IFS(C278&gt;=_xlfn.PERCENTILE.INC($C$2:$C$726,0.8),5,C278&gt;=_xlfn.PERCENTILE.INC($C$2:$C$726,0.6),4,C278&gt;=_xlfn.PERCENTILE.INC($C$2:$C$726,0.4),3,C278&gt;=_xlfn.PERCENTILE.INC($C$2:$C$726,0.2),2,TRUE,1)</f>
        <v>5</v>
      </c>
      <c r="G278" cm="1">
        <f t="array" ref="G278">_xlfn.IFS(D278&gt;=_xlfn.PERCENTILE.INC($D$2:$D$726,0.8),5,D278&gt;=_xlfn.PERCENTILE.INC($D$2:$D$726,0.6),4,D278&gt;=_xlfn.PERCENTILE.INC($D$2:$D$726,0.4),3,D278&gt;=_xlfn.PERCENTILE.INC($D$2:$D$726,0.2),2,TRUE,1)</f>
        <v>2</v>
      </c>
      <c r="H278">
        <f t="shared" si="4"/>
        <v>11</v>
      </c>
      <c r="I278" t="str" cm="1">
        <f t="array" ref="I278">_xlfn.IFS(H278&gt;=13,"Best Customers",H278&gt;=10,"Loyal Customers",H278&gt;=7,"Potential Loyal Customers",H278&gt;=4,"Need Attention",TRUE,"At Risk")</f>
        <v>Loyal Customers</v>
      </c>
    </row>
    <row r="279" spans="1:9" x14ac:dyDescent="0.25">
      <c r="A279" t="s">
        <v>757</v>
      </c>
      <c r="B279" s="4">
        <v>570</v>
      </c>
      <c r="C279">
        <v>5</v>
      </c>
      <c r="D279">
        <v>224.2</v>
      </c>
      <c r="E279" cm="1">
        <f t="array" ref="E279">_xlfn.IFS(B279&lt;=_xlfn.PERCENTILE.INC($B$2:$B$726,0.2),5, B279&lt;=_xlfn.PERCENTILE.INC($B$2:$B$726,0.4),4,B279&lt;=_xlfn.PERCENTILE.INC($B$2:$B$726,0.6),3,B279&lt;=_xlfn.PERCENTILE.INC($B$2:$B$726,0.8),4,TRUE,1)</f>
        <v>4</v>
      </c>
      <c r="F279" cm="1">
        <f t="array" ref="F279">_xlfn.IFS(C279&gt;=_xlfn.PERCENTILE.INC($C$2:$C$726,0.8),5,C279&gt;=_xlfn.PERCENTILE.INC($C$2:$C$726,0.6),4,C279&gt;=_xlfn.PERCENTILE.INC($C$2:$C$726,0.4),3,C279&gt;=_xlfn.PERCENTILE.INC($C$2:$C$726,0.2),2,TRUE,1)</f>
        <v>3</v>
      </c>
      <c r="G279" cm="1">
        <f t="array" ref="G279">_xlfn.IFS(D279&gt;=_xlfn.PERCENTILE.INC($D$2:$D$726,0.8),5,D279&gt;=_xlfn.PERCENTILE.INC($D$2:$D$726,0.6),4,D279&gt;=_xlfn.PERCENTILE.INC($D$2:$D$726,0.4),3,D279&gt;=_xlfn.PERCENTILE.INC($D$2:$D$726,0.2),2,TRUE,1)</f>
        <v>2</v>
      </c>
      <c r="H279">
        <f t="shared" si="4"/>
        <v>9</v>
      </c>
      <c r="I279" t="str" cm="1">
        <f t="array" ref="I279">_xlfn.IFS(H279&gt;=13,"Best Customers",H279&gt;=10,"Loyal Customers",H279&gt;=7,"Potential Loyal Customers",H279&gt;=4,"Need Attention",TRUE,"At Risk")</f>
        <v>Potential Loyal Customers</v>
      </c>
    </row>
    <row r="280" spans="1:9" x14ac:dyDescent="0.25">
      <c r="A280" t="s">
        <v>1303</v>
      </c>
      <c r="B280" s="4">
        <v>396</v>
      </c>
      <c r="C280">
        <v>7</v>
      </c>
      <c r="D280">
        <v>439.5</v>
      </c>
      <c r="E280" cm="1">
        <f t="array" ref="E280">_xlfn.IFS(B280&lt;=_xlfn.PERCENTILE.INC($B$2:$B$726,0.2),5, B280&lt;=_xlfn.PERCENTILE.INC($B$2:$B$726,0.4),4,B280&lt;=_xlfn.PERCENTILE.INC($B$2:$B$726,0.6),3,B280&lt;=_xlfn.PERCENTILE.INC($B$2:$B$726,0.8),4,TRUE,1)</f>
        <v>4</v>
      </c>
      <c r="F280" cm="1">
        <f t="array" ref="F280">_xlfn.IFS(C280&gt;=_xlfn.PERCENTILE.INC($C$2:$C$726,0.8),5,C280&gt;=_xlfn.PERCENTILE.INC($C$2:$C$726,0.6),4,C280&gt;=_xlfn.PERCENTILE.INC($C$2:$C$726,0.4),3,C280&gt;=_xlfn.PERCENTILE.INC($C$2:$C$726,0.2),2,TRUE,1)</f>
        <v>4</v>
      </c>
      <c r="G280" cm="1">
        <f t="array" ref="G280">_xlfn.IFS(D280&gt;=_xlfn.PERCENTILE.INC($D$2:$D$726,0.8),5,D280&gt;=_xlfn.PERCENTILE.INC($D$2:$D$726,0.6),4,D280&gt;=_xlfn.PERCENTILE.INC($D$2:$D$726,0.4),3,D280&gt;=_xlfn.PERCENTILE.INC($D$2:$D$726,0.2),2,TRUE,1)</f>
        <v>5</v>
      </c>
      <c r="H280">
        <f t="shared" si="4"/>
        <v>13</v>
      </c>
      <c r="I280" t="str" cm="1">
        <f t="array" ref="I280">_xlfn.IFS(H280&gt;=13,"Best Customers",H280&gt;=10,"Loyal Customers",H280&gt;=7,"Potential Loyal Customers",H280&gt;=4,"Need Attention",TRUE,"At Risk")</f>
        <v>Best Customers</v>
      </c>
    </row>
    <row r="281" spans="1:9" x14ac:dyDescent="0.25">
      <c r="A281" t="s">
        <v>2227</v>
      </c>
      <c r="B281" s="4">
        <v>574</v>
      </c>
      <c r="C281">
        <v>8</v>
      </c>
      <c r="D281">
        <v>333.3</v>
      </c>
      <c r="E281" cm="1">
        <f t="array" ref="E281">_xlfn.IFS(B281&lt;=_xlfn.PERCENTILE.INC($B$2:$B$726,0.2),5, B281&lt;=_xlfn.PERCENTILE.INC($B$2:$B$726,0.4),4,B281&lt;=_xlfn.PERCENTILE.INC($B$2:$B$726,0.6),3,B281&lt;=_xlfn.PERCENTILE.INC($B$2:$B$726,0.8),4,TRUE,1)</f>
        <v>4</v>
      </c>
      <c r="F281" cm="1">
        <f t="array" ref="F281">_xlfn.IFS(C281&gt;=_xlfn.PERCENTILE.INC($C$2:$C$726,0.8),5,C281&gt;=_xlfn.PERCENTILE.INC($C$2:$C$726,0.6),4,C281&gt;=_xlfn.PERCENTILE.INC($C$2:$C$726,0.4),3,C281&gt;=_xlfn.PERCENTILE.INC($C$2:$C$726,0.2),2,TRUE,1)</f>
        <v>5</v>
      </c>
      <c r="G281" cm="1">
        <f t="array" ref="G281">_xlfn.IFS(D281&gt;=_xlfn.PERCENTILE.INC($D$2:$D$726,0.8),5,D281&gt;=_xlfn.PERCENTILE.INC($D$2:$D$726,0.6),4,D281&gt;=_xlfn.PERCENTILE.INC($D$2:$D$726,0.4),3,D281&gt;=_xlfn.PERCENTILE.INC($D$2:$D$726,0.2),2,TRUE,1)</f>
        <v>4</v>
      </c>
      <c r="H281">
        <f t="shared" si="4"/>
        <v>13</v>
      </c>
      <c r="I281" t="str" cm="1">
        <f t="array" ref="I281">_xlfn.IFS(H281&gt;=13,"Best Customers",H281&gt;=10,"Loyal Customers",H281&gt;=7,"Potential Loyal Customers",H281&gt;=4,"Need Attention",TRUE,"At Risk")</f>
        <v>Best Customers</v>
      </c>
    </row>
    <row r="282" spans="1:9" x14ac:dyDescent="0.25">
      <c r="A282" t="s">
        <v>2816</v>
      </c>
      <c r="B282" s="4">
        <v>461</v>
      </c>
      <c r="C282">
        <v>7</v>
      </c>
      <c r="D282">
        <v>159.1</v>
      </c>
      <c r="E282" cm="1">
        <f t="array" ref="E282">_xlfn.IFS(B282&lt;=_xlfn.PERCENTILE.INC($B$2:$B$726,0.2),5, B282&lt;=_xlfn.PERCENTILE.INC($B$2:$B$726,0.4),4,B282&lt;=_xlfn.PERCENTILE.INC($B$2:$B$726,0.6),3,B282&lt;=_xlfn.PERCENTILE.INC($B$2:$B$726,0.8),4,TRUE,1)</f>
        <v>3</v>
      </c>
      <c r="F282" cm="1">
        <f t="array" ref="F282">_xlfn.IFS(C282&gt;=_xlfn.PERCENTILE.INC($C$2:$C$726,0.8),5,C282&gt;=_xlfn.PERCENTILE.INC($C$2:$C$726,0.6),4,C282&gt;=_xlfn.PERCENTILE.INC($C$2:$C$726,0.4),3,C282&gt;=_xlfn.PERCENTILE.INC($C$2:$C$726,0.2),2,TRUE,1)</f>
        <v>4</v>
      </c>
      <c r="G282" cm="1">
        <f t="array" ref="G282">_xlfn.IFS(D282&gt;=_xlfn.PERCENTILE.INC($D$2:$D$726,0.8),5,D282&gt;=_xlfn.PERCENTILE.INC($D$2:$D$726,0.6),4,D282&gt;=_xlfn.PERCENTILE.INC($D$2:$D$726,0.4),3,D282&gt;=_xlfn.PERCENTILE.INC($D$2:$D$726,0.2),2,TRUE,1)</f>
        <v>2</v>
      </c>
      <c r="H282">
        <f t="shared" si="4"/>
        <v>9</v>
      </c>
      <c r="I282" t="str" cm="1">
        <f t="array" ref="I282">_xlfn.IFS(H282&gt;=13,"Best Customers",H282&gt;=10,"Loyal Customers",H282&gt;=7,"Potential Loyal Customers",H282&gt;=4,"Need Attention",TRUE,"At Risk")</f>
        <v>Potential Loyal Customers</v>
      </c>
    </row>
    <row r="283" spans="1:9" x14ac:dyDescent="0.25">
      <c r="A283" t="s">
        <v>740</v>
      </c>
      <c r="B283" s="4">
        <v>472</v>
      </c>
      <c r="C283">
        <v>13</v>
      </c>
      <c r="D283">
        <v>667</v>
      </c>
      <c r="E283" cm="1">
        <f t="array" ref="E283">_xlfn.IFS(B283&lt;=_xlfn.PERCENTILE.INC($B$2:$B$726,0.2),5, B283&lt;=_xlfn.PERCENTILE.INC($B$2:$B$726,0.4),4,B283&lt;=_xlfn.PERCENTILE.INC($B$2:$B$726,0.6),3,B283&lt;=_xlfn.PERCENTILE.INC($B$2:$B$726,0.8),4,TRUE,1)</f>
        <v>3</v>
      </c>
      <c r="F283" cm="1">
        <f t="array" ref="F283">_xlfn.IFS(C283&gt;=_xlfn.PERCENTILE.INC($C$2:$C$726,0.8),5,C283&gt;=_xlfn.PERCENTILE.INC($C$2:$C$726,0.6),4,C283&gt;=_xlfn.PERCENTILE.INC($C$2:$C$726,0.4),3,C283&gt;=_xlfn.PERCENTILE.INC($C$2:$C$726,0.2),2,TRUE,1)</f>
        <v>5</v>
      </c>
      <c r="G283" cm="1">
        <f t="array" ref="G283">_xlfn.IFS(D283&gt;=_xlfn.PERCENTILE.INC($D$2:$D$726,0.8),5,D283&gt;=_xlfn.PERCENTILE.INC($D$2:$D$726,0.6),4,D283&gt;=_xlfn.PERCENTILE.INC($D$2:$D$726,0.4),3,D283&gt;=_xlfn.PERCENTILE.INC($D$2:$D$726,0.2),2,TRUE,1)</f>
        <v>5</v>
      </c>
      <c r="H283">
        <f t="shared" si="4"/>
        <v>13</v>
      </c>
      <c r="I283" t="str" cm="1">
        <f t="array" ref="I283">_xlfn.IFS(H283&gt;=13,"Best Customers",H283&gt;=10,"Loyal Customers",H283&gt;=7,"Potential Loyal Customers",H283&gt;=4,"Need Attention",TRUE,"At Risk")</f>
        <v>Best Customers</v>
      </c>
    </row>
    <row r="284" spans="1:9" x14ac:dyDescent="0.25">
      <c r="A284" t="s">
        <v>1573</v>
      </c>
      <c r="B284" s="4">
        <v>1059</v>
      </c>
      <c r="C284">
        <v>6</v>
      </c>
      <c r="D284">
        <v>158.9</v>
      </c>
      <c r="E284" cm="1">
        <f t="array" ref="E284">_xlfn.IFS(B284&lt;=_xlfn.PERCENTILE.INC($B$2:$B$726,0.2),5, B284&lt;=_xlfn.PERCENTILE.INC($B$2:$B$726,0.4),4,B284&lt;=_xlfn.PERCENTILE.INC($B$2:$B$726,0.6),3,B284&lt;=_xlfn.PERCENTILE.INC($B$2:$B$726,0.8),4,TRUE,1)</f>
        <v>1</v>
      </c>
      <c r="F284" cm="1">
        <f t="array" ref="F284">_xlfn.IFS(C284&gt;=_xlfn.PERCENTILE.INC($C$2:$C$726,0.8),5,C284&gt;=_xlfn.PERCENTILE.INC($C$2:$C$726,0.6),4,C284&gt;=_xlfn.PERCENTILE.INC($C$2:$C$726,0.4),3,C284&gt;=_xlfn.PERCENTILE.INC($C$2:$C$726,0.2),2,TRUE,1)</f>
        <v>4</v>
      </c>
      <c r="G284" cm="1">
        <f t="array" ref="G284">_xlfn.IFS(D284&gt;=_xlfn.PERCENTILE.INC($D$2:$D$726,0.8),5,D284&gt;=_xlfn.PERCENTILE.INC($D$2:$D$726,0.6),4,D284&gt;=_xlfn.PERCENTILE.INC($D$2:$D$726,0.4),3,D284&gt;=_xlfn.PERCENTILE.INC($D$2:$D$726,0.2),2,TRUE,1)</f>
        <v>2</v>
      </c>
      <c r="H284">
        <f t="shared" si="4"/>
        <v>7</v>
      </c>
      <c r="I284" t="str" cm="1">
        <f t="array" ref="I284">_xlfn.IFS(H284&gt;=13,"Best Customers",H284&gt;=10,"Loyal Customers",H284&gt;=7,"Potential Loyal Customers",H284&gt;=4,"Need Attention",TRUE,"At Risk")</f>
        <v>Potential Loyal Customers</v>
      </c>
    </row>
    <row r="285" spans="1:9" x14ac:dyDescent="0.25">
      <c r="A285" t="s">
        <v>3315</v>
      </c>
      <c r="B285" s="4">
        <v>592</v>
      </c>
      <c r="C285">
        <v>5</v>
      </c>
      <c r="D285">
        <v>97.9</v>
      </c>
      <c r="E285" cm="1">
        <f t="array" ref="E285">_xlfn.IFS(B285&lt;=_xlfn.PERCENTILE.INC($B$2:$B$726,0.2),5, B285&lt;=_xlfn.PERCENTILE.INC($B$2:$B$726,0.4),4,B285&lt;=_xlfn.PERCENTILE.INC($B$2:$B$726,0.6),3,B285&lt;=_xlfn.PERCENTILE.INC($B$2:$B$726,0.8),4,TRUE,1)</f>
        <v>4</v>
      </c>
      <c r="F285" cm="1">
        <f t="array" ref="F285">_xlfn.IFS(C285&gt;=_xlfn.PERCENTILE.INC($C$2:$C$726,0.8),5,C285&gt;=_xlfn.PERCENTILE.INC($C$2:$C$726,0.6),4,C285&gt;=_xlfn.PERCENTILE.INC($C$2:$C$726,0.4),3,C285&gt;=_xlfn.PERCENTILE.INC($C$2:$C$726,0.2),2,TRUE,1)</f>
        <v>3</v>
      </c>
      <c r="G285" cm="1">
        <f t="array" ref="G285">_xlfn.IFS(D285&gt;=_xlfn.PERCENTILE.INC($D$2:$D$726,0.8),5,D285&gt;=_xlfn.PERCENTILE.INC($D$2:$D$726,0.6),4,D285&gt;=_xlfn.PERCENTILE.INC($D$2:$D$726,0.4),3,D285&gt;=_xlfn.PERCENTILE.INC($D$2:$D$726,0.2),2,TRUE,1)</f>
        <v>1</v>
      </c>
      <c r="H285">
        <f t="shared" si="4"/>
        <v>8</v>
      </c>
      <c r="I285" t="str" cm="1">
        <f t="array" ref="I285">_xlfn.IFS(H285&gt;=13,"Best Customers",H285&gt;=10,"Loyal Customers",H285&gt;=7,"Potential Loyal Customers",H285&gt;=4,"Need Attention",TRUE,"At Risk")</f>
        <v>Potential Loyal Customers</v>
      </c>
    </row>
    <row r="286" spans="1:9" x14ac:dyDescent="0.25">
      <c r="A286" t="s">
        <v>2825</v>
      </c>
      <c r="B286" s="4">
        <v>1136</v>
      </c>
      <c r="C286">
        <v>3</v>
      </c>
      <c r="D286">
        <v>75.3</v>
      </c>
      <c r="E286" cm="1">
        <f t="array" ref="E286">_xlfn.IFS(B286&lt;=_xlfn.PERCENTILE.INC($B$2:$B$726,0.2),5, B286&lt;=_xlfn.PERCENTILE.INC($B$2:$B$726,0.4),4,B286&lt;=_xlfn.PERCENTILE.INC($B$2:$B$726,0.6),3,B286&lt;=_xlfn.PERCENTILE.INC($B$2:$B$726,0.8),4,TRUE,1)</f>
        <v>1</v>
      </c>
      <c r="F286" cm="1">
        <f t="array" ref="F286">_xlfn.IFS(C286&gt;=_xlfn.PERCENTILE.INC($C$2:$C$726,0.8),5,C286&gt;=_xlfn.PERCENTILE.INC($C$2:$C$726,0.6),4,C286&gt;=_xlfn.PERCENTILE.INC($C$2:$C$726,0.4),3,C286&gt;=_xlfn.PERCENTILE.INC($C$2:$C$726,0.2),2,TRUE,1)</f>
        <v>1</v>
      </c>
      <c r="G286" cm="1">
        <f t="array" ref="G286">_xlfn.IFS(D286&gt;=_xlfn.PERCENTILE.INC($D$2:$D$726,0.8),5,D286&gt;=_xlfn.PERCENTILE.INC($D$2:$D$726,0.6),4,D286&gt;=_xlfn.PERCENTILE.INC($D$2:$D$726,0.4),3,D286&gt;=_xlfn.PERCENTILE.INC($D$2:$D$726,0.2),2,TRUE,1)</f>
        <v>1</v>
      </c>
      <c r="H286">
        <f t="shared" si="4"/>
        <v>3</v>
      </c>
      <c r="I286" t="str" cm="1">
        <f t="array" ref="I286">_xlfn.IFS(H286&gt;=13,"Best Customers",H286&gt;=10,"Loyal Customers",H286&gt;=7,"Potential Loyal Customers",H286&gt;=4,"Need Attention",TRUE,"At Risk")</f>
        <v>At Risk</v>
      </c>
    </row>
    <row r="287" spans="1:9" x14ac:dyDescent="0.25">
      <c r="A287" t="s">
        <v>2095</v>
      </c>
      <c r="B287" s="4">
        <v>452</v>
      </c>
      <c r="C287">
        <v>5</v>
      </c>
      <c r="D287">
        <v>318.3</v>
      </c>
      <c r="E287" cm="1">
        <f t="array" ref="E287">_xlfn.IFS(B287&lt;=_xlfn.PERCENTILE.INC($B$2:$B$726,0.2),5, B287&lt;=_xlfn.PERCENTILE.INC($B$2:$B$726,0.4),4,B287&lt;=_xlfn.PERCENTILE.INC($B$2:$B$726,0.6),3,B287&lt;=_xlfn.PERCENTILE.INC($B$2:$B$726,0.8),4,TRUE,1)</f>
        <v>4</v>
      </c>
      <c r="F287" cm="1">
        <f t="array" ref="F287">_xlfn.IFS(C287&gt;=_xlfn.PERCENTILE.INC($C$2:$C$726,0.8),5,C287&gt;=_xlfn.PERCENTILE.INC($C$2:$C$726,0.6),4,C287&gt;=_xlfn.PERCENTILE.INC($C$2:$C$726,0.4),3,C287&gt;=_xlfn.PERCENTILE.INC($C$2:$C$726,0.2),2,TRUE,1)</f>
        <v>3</v>
      </c>
      <c r="G287" cm="1">
        <f t="array" ref="G287">_xlfn.IFS(D287&gt;=_xlfn.PERCENTILE.INC($D$2:$D$726,0.8),5,D287&gt;=_xlfn.PERCENTILE.INC($D$2:$D$726,0.6),4,D287&gt;=_xlfn.PERCENTILE.INC($D$2:$D$726,0.4),3,D287&gt;=_xlfn.PERCENTILE.INC($D$2:$D$726,0.2),2,TRUE,1)</f>
        <v>4</v>
      </c>
      <c r="H287">
        <f t="shared" si="4"/>
        <v>11</v>
      </c>
      <c r="I287" t="str" cm="1">
        <f t="array" ref="I287">_xlfn.IFS(H287&gt;=13,"Best Customers",H287&gt;=10,"Loyal Customers",H287&gt;=7,"Potential Loyal Customers",H287&gt;=4,"Need Attention",TRUE,"At Risk")</f>
        <v>Loyal Customers</v>
      </c>
    </row>
    <row r="288" spans="1:9" x14ac:dyDescent="0.25">
      <c r="A288" t="s">
        <v>1601</v>
      </c>
      <c r="B288" s="4">
        <v>739</v>
      </c>
      <c r="C288">
        <v>5</v>
      </c>
      <c r="D288">
        <v>371.2</v>
      </c>
      <c r="E288" cm="1">
        <f t="array" ref="E288">_xlfn.IFS(B288&lt;=_xlfn.PERCENTILE.INC($B$2:$B$726,0.2),5, B288&lt;=_xlfn.PERCENTILE.INC($B$2:$B$726,0.4),4,B288&lt;=_xlfn.PERCENTILE.INC($B$2:$B$726,0.6),3,B288&lt;=_xlfn.PERCENTILE.INC($B$2:$B$726,0.8),4,TRUE,1)</f>
        <v>4</v>
      </c>
      <c r="F288" cm="1">
        <f t="array" ref="F288">_xlfn.IFS(C288&gt;=_xlfn.PERCENTILE.INC($C$2:$C$726,0.8),5,C288&gt;=_xlfn.PERCENTILE.INC($C$2:$C$726,0.6),4,C288&gt;=_xlfn.PERCENTILE.INC($C$2:$C$726,0.4),3,C288&gt;=_xlfn.PERCENTILE.INC($C$2:$C$726,0.2),2,TRUE,1)</f>
        <v>3</v>
      </c>
      <c r="G288" cm="1">
        <f t="array" ref="G288">_xlfn.IFS(D288&gt;=_xlfn.PERCENTILE.INC($D$2:$D$726,0.8),5,D288&gt;=_xlfn.PERCENTILE.INC($D$2:$D$726,0.6),4,D288&gt;=_xlfn.PERCENTILE.INC($D$2:$D$726,0.4),3,D288&gt;=_xlfn.PERCENTILE.INC($D$2:$D$726,0.2),2,TRUE,1)</f>
        <v>4</v>
      </c>
      <c r="H288">
        <f t="shared" si="4"/>
        <v>11</v>
      </c>
      <c r="I288" t="str" cm="1">
        <f t="array" ref="I288">_xlfn.IFS(H288&gt;=13,"Best Customers",H288&gt;=10,"Loyal Customers",H288&gt;=7,"Potential Loyal Customers",H288&gt;=4,"Need Attention",TRUE,"At Risk")</f>
        <v>Loyal Customers</v>
      </c>
    </row>
    <row r="289" spans="1:9" x14ac:dyDescent="0.25">
      <c r="A289" t="s">
        <v>2092</v>
      </c>
      <c r="B289" s="4">
        <v>437</v>
      </c>
      <c r="C289">
        <v>6</v>
      </c>
      <c r="D289">
        <v>531.70000000000005</v>
      </c>
      <c r="E289" cm="1">
        <f t="array" ref="E289">_xlfn.IFS(B289&lt;=_xlfn.PERCENTILE.INC($B$2:$B$726,0.2),5, B289&lt;=_xlfn.PERCENTILE.INC($B$2:$B$726,0.4),4,B289&lt;=_xlfn.PERCENTILE.INC($B$2:$B$726,0.6),3,B289&lt;=_xlfn.PERCENTILE.INC($B$2:$B$726,0.8),4,TRUE,1)</f>
        <v>4</v>
      </c>
      <c r="F289" cm="1">
        <f t="array" ref="F289">_xlfn.IFS(C289&gt;=_xlfn.PERCENTILE.INC($C$2:$C$726,0.8),5,C289&gt;=_xlfn.PERCENTILE.INC($C$2:$C$726,0.6),4,C289&gt;=_xlfn.PERCENTILE.INC($C$2:$C$726,0.4),3,C289&gt;=_xlfn.PERCENTILE.INC($C$2:$C$726,0.2),2,TRUE,1)</f>
        <v>4</v>
      </c>
      <c r="G289" cm="1">
        <f t="array" ref="G289">_xlfn.IFS(D289&gt;=_xlfn.PERCENTILE.INC($D$2:$D$726,0.8),5,D289&gt;=_xlfn.PERCENTILE.INC($D$2:$D$726,0.6),4,D289&gt;=_xlfn.PERCENTILE.INC($D$2:$D$726,0.4),3,D289&gt;=_xlfn.PERCENTILE.INC($D$2:$D$726,0.2),2,TRUE,1)</f>
        <v>5</v>
      </c>
      <c r="H289">
        <f t="shared" si="4"/>
        <v>13</v>
      </c>
      <c r="I289" t="str" cm="1">
        <f t="array" ref="I289">_xlfn.IFS(H289&gt;=13,"Best Customers",H289&gt;=10,"Loyal Customers",H289&gt;=7,"Potential Loyal Customers",H289&gt;=4,"Need Attention",TRUE,"At Risk")</f>
        <v>Best Customers</v>
      </c>
    </row>
    <row r="290" spans="1:9" x14ac:dyDescent="0.25">
      <c r="A290" t="s">
        <v>2195</v>
      </c>
      <c r="B290" s="4">
        <v>537</v>
      </c>
      <c r="C290">
        <v>5</v>
      </c>
      <c r="D290">
        <v>369.3</v>
      </c>
      <c r="E290" cm="1">
        <f t="array" ref="E290">_xlfn.IFS(B290&lt;=_xlfn.PERCENTILE.INC($B$2:$B$726,0.2),5, B290&lt;=_xlfn.PERCENTILE.INC($B$2:$B$726,0.4),4,B290&lt;=_xlfn.PERCENTILE.INC($B$2:$B$726,0.6),3,B290&lt;=_xlfn.PERCENTILE.INC($B$2:$B$726,0.8),4,TRUE,1)</f>
        <v>3</v>
      </c>
      <c r="F290" cm="1">
        <f t="array" ref="F290">_xlfn.IFS(C290&gt;=_xlfn.PERCENTILE.INC($C$2:$C$726,0.8),5,C290&gt;=_xlfn.PERCENTILE.INC($C$2:$C$726,0.6),4,C290&gt;=_xlfn.PERCENTILE.INC($C$2:$C$726,0.4),3,C290&gt;=_xlfn.PERCENTILE.INC($C$2:$C$726,0.2),2,TRUE,1)</f>
        <v>3</v>
      </c>
      <c r="G290" cm="1">
        <f t="array" ref="G290">_xlfn.IFS(D290&gt;=_xlfn.PERCENTILE.INC($D$2:$D$726,0.8),5,D290&gt;=_xlfn.PERCENTILE.INC($D$2:$D$726,0.6),4,D290&gt;=_xlfn.PERCENTILE.INC($D$2:$D$726,0.4),3,D290&gt;=_xlfn.PERCENTILE.INC($D$2:$D$726,0.2),2,TRUE,1)</f>
        <v>4</v>
      </c>
      <c r="H290">
        <f t="shared" si="4"/>
        <v>10</v>
      </c>
      <c r="I290" t="str" cm="1">
        <f t="array" ref="I290">_xlfn.IFS(H290&gt;=13,"Best Customers",H290&gt;=10,"Loyal Customers",H290&gt;=7,"Potential Loyal Customers",H290&gt;=4,"Need Attention",TRUE,"At Risk")</f>
        <v>Loyal Customers</v>
      </c>
    </row>
    <row r="291" spans="1:9" x14ac:dyDescent="0.25">
      <c r="A291" t="s">
        <v>3039</v>
      </c>
      <c r="B291" s="4">
        <v>736</v>
      </c>
      <c r="C291">
        <v>5</v>
      </c>
      <c r="D291">
        <v>218.8</v>
      </c>
      <c r="E291" cm="1">
        <f t="array" ref="E291">_xlfn.IFS(B291&lt;=_xlfn.PERCENTILE.INC($B$2:$B$726,0.2),5, B291&lt;=_xlfn.PERCENTILE.INC($B$2:$B$726,0.4),4,B291&lt;=_xlfn.PERCENTILE.INC($B$2:$B$726,0.6),3,B291&lt;=_xlfn.PERCENTILE.INC($B$2:$B$726,0.8),4,TRUE,1)</f>
        <v>4</v>
      </c>
      <c r="F291" cm="1">
        <f t="array" ref="F291">_xlfn.IFS(C291&gt;=_xlfn.PERCENTILE.INC($C$2:$C$726,0.8),5,C291&gt;=_xlfn.PERCENTILE.INC($C$2:$C$726,0.6),4,C291&gt;=_xlfn.PERCENTILE.INC($C$2:$C$726,0.4),3,C291&gt;=_xlfn.PERCENTILE.INC($C$2:$C$726,0.2),2,TRUE,1)</f>
        <v>3</v>
      </c>
      <c r="G291" cm="1">
        <f t="array" ref="G291">_xlfn.IFS(D291&gt;=_xlfn.PERCENTILE.INC($D$2:$D$726,0.8),5,D291&gt;=_xlfn.PERCENTILE.INC($D$2:$D$726,0.6),4,D291&gt;=_xlfn.PERCENTILE.INC($D$2:$D$726,0.4),3,D291&gt;=_xlfn.PERCENTILE.INC($D$2:$D$726,0.2),2,TRUE,1)</f>
        <v>2</v>
      </c>
      <c r="H291">
        <f t="shared" si="4"/>
        <v>9</v>
      </c>
      <c r="I291" t="str" cm="1">
        <f t="array" ref="I291">_xlfn.IFS(H291&gt;=13,"Best Customers",H291&gt;=10,"Loyal Customers",H291&gt;=7,"Potential Loyal Customers",H291&gt;=4,"Need Attention",TRUE,"At Risk")</f>
        <v>Potential Loyal Customers</v>
      </c>
    </row>
    <row r="292" spans="1:9" x14ac:dyDescent="0.25">
      <c r="A292" t="s">
        <v>1184</v>
      </c>
      <c r="B292" s="4">
        <v>538</v>
      </c>
      <c r="C292">
        <v>4</v>
      </c>
      <c r="D292">
        <v>398.6</v>
      </c>
      <c r="E292" cm="1">
        <f t="array" ref="E292">_xlfn.IFS(B292&lt;=_xlfn.PERCENTILE.INC($B$2:$B$726,0.2),5, B292&lt;=_xlfn.PERCENTILE.INC($B$2:$B$726,0.4),4,B292&lt;=_xlfn.PERCENTILE.INC($B$2:$B$726,0.6),3,B292&lt;=_xlfn.PERCENTILE.INC($B$2:$B$726,0.8),4,TRUE,1)</f>
        <v>3</v>
      </c>
      <c r="F292" cm="1">
        <f t="array" ref="F292">_xlfn.IFS(C292&gt;=_xlfn.PERCENTILE.INC($C$2:$C$726,0.8),5,C292&gt;=_xlfn.PERCENTILE.INC($C$2:$C$726,0.6),4,C292&gt;=_xlfn.PERCENTILE.INC($C$2:$C$726,0.4),3,C292&gt;=_xlfn.PERCENTILE.INC($C$2:$C$726,0.2),2,TRUE,1)</f>
        <v>2</v>
      </c>
      <c r="G292" cm="1">
        <f t="array" ref="G292">_xlfn.IFS(D292&gt;=_xlfn.PERCENTILE.INC($D$2:$D$726,0.8),5,D292&gt;=_xlfn.PERCENTILE.INC($D$2:$D$726,0.6),4,D292&gt;=_xlfn.PERCENTILE.INC($D$2:$D$726,0.4),3,D292&gt;=_xlfn.PERCENTILE.INC($D$2:$D$726,0.2),2,TRUE,1)</f>
        <v>5</v>
      </c>
      <c r="H292">
        <f t="shared" si="4"/>
        <v>10</v>
      </c>
      <c r="I292" t="str" cm="1">
        <f t="array" ref="I292">_xlfn.IFS(H292&gt;=13,"Best Customers",H292&gt;=10,"Loyal Customers",H292&gt;=7,"Potential Loyal Customers",H292&gt;=4,"Need Attention",TRUE,"At Risk")</f>
        <v>Loyal Customers</v>
      </c>
    </row>
    <row r="293" spans="1:9" x14ac:dyDescent="0.25">
      <c r="A293" t="s">
        <v>1265</v>
      </c>
      <c r="B293" s="4">
        <v>352</v>
      </c>
      <c r="C293">
        <v>7</v>
      </c>
      <c r="D293">
        <v>423.3</v>
      </c>
      <c r="E293" cm="1">
        <f t="array" ref="E293">_xlfn.IFS(B293&lt;=_xlfn.PERCENTILE.INC($B$2:$B$726,0.2),5, B293&lt;=_xlfn.PERCENTILE.INC($B$2:$B$726,0.4),4,B293&lt;=_xlfn.PERCENTILE.INC($B$2:$B$726,0.6),3,B293&lt;=_xlfn.PERCENTILE.INC($B$2:$B$726,0.8),4,TRUE,1)</f>
        <v>5</v>
      </c>
      <c r="F293" cm="1">
        <f t="array" ref="F293">_xlfn.IFS(C293&gt;=_xlfn.PERCENTILE.INC($C$2:$C$726,0.8),5,C293&gt;=_xlfn.PERCENTILE.INC($C$2:$C$726,0.6),4,C293&gt;=_xlfn.PERCENTILE.INC($C$2:$C$726,0.4),3,C293&gt;=_xlfn.PERCENTILE.INC($C$2:$C$726,0.2),2,TRUE,1)</f>
        <v>4</v>
      </c>
      <c r="G293" cm="1">
        <f t="array" ref="G293">_xlfn.IFS(D293&gt;=_xlfn.PERCENTILE.INC($D$2:$D$726,0.8),5,D293&gt;=_xlfn.PERCENTILE.INC($D$2:$D$726,0.6),4,D293&gt;=_xlfn.PERCENTILE.INC($D$2:$D$726,0.4),3,D293&gt;=_xlfn.PERCENTILE.INC($D$2:$D$726,0.2),2,TRUE,1)</f>
        <v>5</v>
      </c>
      <c r="H293">
        <f t="shared" si="4"/>
        <v>14</v>
      </c>
      <c r="I293" t="str" cm="1">
        <f t="array" ref="I293">_xlfn.IFS(H293&gt;=13,"Best Customers",H293&gt;=10,"Loyal Customers",H293&gt;=7,"Potential Loyal Customers",H293&gt;=4,"Need Attention",TRUE,"At Risk")</f>
        <v>Best Customers</v>
      </c>
    </row>
    <row r="294" spans="1:9" x14ac:dyDescent="0.25">
      <c r="A294" t="s">
        <v>1570</v>
      </c>
      <c r="B294" s="4">
        <v>533</v>
      </c>
      <c r="C294">
        <v>6</v>
      </c>
      <c r="D294">
        <v>447.40000000000003</v>
      </c>
      <c r="E294" cm="1">
        <f t="array" ref="E294">_xlfn.IFS(B294&lt;=_xlfn.PERCENTILE.INC($B$2:$B$726,0.2),5, B294&lt;=_xlfn.PERCENTILE.INC($B$2:$B$726,0.4),4,B294&lt;=_xlfn.PERCENTILE.INC($B$2:$B$726,0.6),3,B294&lt;=_xlfn.PERCENTILE.INC($B$2:$B$726,0.8),4,TRUE,1)</f>
        <v>3</v>
      </c>
      <c r="F294" cm="1">
        <f t="array" ref="F294">_xlfn.IFS(C294&gt;=_xlfn.PERCENTILE.INC($C$2:$C$726,0.8),5,C294&gt;=_xlfn.PERCENTILE.INC($C$2:$C$726,0.6),4,C294&gt;=_xlfn.PERCENTILE.INC($C$2:$C$726,0.4),3,C294&gt;=_xlfn.PERCENTILE.INC($C$2:$C$726,0.2),2,TRUE,1)</f>
        <v>4</v>
      </c>
      <c r="G294" cm="1">
        <f t="array" ref="G294">_xlfn.IFS(D294&gt;=_xlfn.PERCENTILE.INC($D$2:$D$726,0.8),5,D294&gt;=_xlfn.PERCENTILE.INC($D$2:$D$726,0.6),4,D294&gt;=_xlfn.PERCENTILE.INC($D$2:$D$726,0.4),3,D294&gt;=_xlfn.PERCENTILE.INC($D$2:$D$726,0.2),2,TRUE,1)</f>
        <v>5</v>
      </c>
      <c r="H294">
        <f t="shared" si="4"/>
        <v>12</v>
      </c>
      <c r="I294" t="str" cm="1">
        <f t="array" ref="I294">_xlfn.IFS(H294&gt;=13,"Best Customers",H294&gt;=10,"Loyal Customers",H294&gt;=7,"Potential Loyal Customers",H294&gt;=4,"Need Attention",TRUE,"At Risk")</f>
        <v>Loyal Customers</v>
      </c>
    </row>
    <row r="295" spans="1:9" x14ac:dyDescent="0.25">
      <c r="A295" t="s">
        <v>1761</v>
      </c>
      <c r="B295" s="4">
        <v>340</v>
      </c>
      <c r="C295">
        <v>10</v>
      </c>
      <c r="D295">
        <v>641.20000000000005</v>
      </c>
      <c r="E295" cm="1">
        <f t="array" ref="E295">_xlfn.IFS(B295&lt;=_xlfn.PERCENTILE.INC($B$2:$B$726,0.2),5, B295&lt;=_xlfn.PERCENTILE.INC($B$2:$B$726,0.4),4,B295&lt;=_xlfn.PERCENTILE.INC($B$2:$B$726,0.6),3,B295&lt;=_xlfn.PERCENTILE.INC($B$2:$B$726,0.8),4,TRUE,1)</f>
        <v>5</v>
      </c>
      <c r="F295" cm="1">
        <f t="array" ref="F295">_xlfn.IFS(C295&gt;=_xlfn.PERCENTILE.INC($C$2:$C$726,0.8),5,C295&gt;=_xlfn.PERCENTILE.INC($C$2:$C$726,0.6),4,C295&gt;=_xlfn.PERCENTILE.INC($C$2:$C$726,0.4),3,C295&gt;=_xlfn.PERCENTILE.INC($C$2:$C$726,0.2),2,TRUE,1)</f>
        <v>5</v>
      </c>
      <c r="G295" cm="1">
        <f t="array" ref="G295">_xlfn.IFS(D295&gt;=_xlfn.PERCENTILE.INC($D$2:$D$726,0.8),5,D295&gt;=_xlfn.PERCENTILE.INC($D$2:$D$726,0.6),4,D295&gt;=_xlfn.PERCENTILE.INC($D$2:$D$726,0.4),3,D295&gt;=_xlfn.PERCENTILE.INC($D$2:$D$726,0.2),2,TRUE,1)</f>
        <v>5</v>
      </c>
      <c r="H295">
        <f t="shared" si="4"/>
        <v>15</v>
      </c>
      <c r="I295" t="str" cm="1">
        <f t="array" ref="I295">_xlfn.IFS(H295&gt;=13,"Best Customers",H295&gt;=10,"Loyal Customers",H295&gt;=7,"Potential Loyal Customers",H295&gt;=4,"Need Attention",TRUE,"At Risk")</f>
        <v>Best Customers</v>
      </c>
    </row>
    <row r="296" spans="1:9" x14ac:dyDescent="0.25">
      <c r="A296" t="s">
        <v>1050</v>
      </c>
      <c r="B296" s="4">
        <v>428</v>
      </c>
      <c r="C296">
        <v>8</v>
      </c>
      <c r="D296">
        <v>358.7</v>
      </c>
      <c r="E296" cm="1">
        <f t="array" ref="E296">_xlfn.IFS(B296&lt;=_xlfn.PERCENTILE.INC($B$2:$B$726,0.2),5, B296&lt;=_xlfn.PERCENTILE.INC($B$2:$B$726,0.4),4,B296&lt;=_xlfn.PERCENTILE.INC($B$2:$B$726,0.6),3,B296&lt;=_xlfn.PERCENTILE.INC($B$2:$B$726,0.8),4,TRUE,1)</f>
        <v>4</v>
      </c>
      <c r="F296" cm="1">
        <f t="array" ref="F296">_xlfn.IFS(C296&gt;=_xlfn.PERCENTILE.INC($C$2:$C$726,0.8),5,C296&gt;=_xlfn.PERCENTILE.INC($C$2:$C$726,0.6),4,C296&gt;=_xlfn.PERCENTILE.INC($C$2:$C$726,0.4),3,C296&gt;=_xlfn.PERCENTILE.INC($C$2:$C$726,0.2),2,TRUE,1)</f>
        <v>5</v>
      </c>
      <c r="G296" cm="1">
        <f t="array" ref="G296">_xlfn.IFS(D296&gt;=_xlfn.PERCENTILE.INC($D$2:$D$726,0.8),5,D296&gt;=_xlfn.PERCENTILE.INC($D$2:$D$726,0.6),4,D296&gt;=_xlfn.PERCENTILE.INC($D$2:$D$726,0.4),3,D296&gt;=_xlfn.PERCENTILE.INC($D$2:$D$726,0.2),2,TRUE,1)</f>
        <v>4</v>
      </c>
      <c r="H296">
        <f t="shared" si="4"/>
        <v>13</v>
      </c>
      <c r="I296" t="str" cm="1">
        <f t="array" ref="I296">_xlfn.IFS(H296&gt;=13,"Best Customers",H296&gt;=10,"Loyal Customers",H296&gt;=7,"Potential Loyal Customers",H296&gt;=4,"Need Attention",TRUE,"At Risk")</f>
        <v>Best Customers</v>
      </c>
    </row>
    <row r="297" spans="1:9" x14ac:dyDescent="0.25">
      <c r="A297" t="s">
        <v>2479</v>
      </c>
      <c r="B297" s="4">
        <v>1090</v>
      </c>
      <c r="C297">
        <v>7</v>
      </c>
      <c r="D297">
        <v>616.20000000000005</v>
      </c>
      <c r="E297" cm="1">
        <f t="array" ref="E297">_xlfn.IFS(B297&lt;=_xlfn.PERCENTILE.INC($B$2:$B$726,0.2),5, B297&lt;=_xlfn.PERCENTILE.INC($B$2:$B$726,0.4),4,B297&lt;=_xlfn.PERCENTILE.INC($B$2:$B$726,0.6),3,B297&lt;=_xlfn.PERCENTILE.INC($B$2:$B$726,0.8),4,TRUE,1)</f>
        <v>1</v>
      </c>
      <c r="F297" cm="1">
        <f t="array" ref="F297">_xlfn.IFS(C297&gt;=_xlfn.PERCENTILE.INC($C$2:$C$726,0.8),5,C297&gt;=_xlfn.PERCENTILE.INC($C$2:$C$726,0.6),4,C297&gt;=_xlfn.PERCENTILE.INC($C$2:$C$726,0.4),3,C297&gt;=_xlfn.PERCENTILE.INC($C$2:$C$726,0.2),2,TRUE,1)</f>
        <v>4</v>
      </c>
      <c r="G297" cm="1">
        <f t="array" ref="G297">_xlfn.IFS(D297&gt;=_xlfn.PERCENTILE.INC($D$2:$D$726,0.8),5,D297&gt;=_xlfn.PERCENTILE.INC($D$2:$D$726,0.6),4,D297&gt;=_xlfn.PERCENTILE.INC($D$2:$D$726,0.4),3,D297&gt;=_xlfn.PERCENTILE.INC($D$2:$D$726,0.2),2,TRUE,1)</f>
        <v>5</v>
      </c>
      <c r="H297">
        <f t="shared" si="4"/>
        <v>10</v>
      </c>
      <c r="I297" t="str" cm="1">
        <f t="array" ref="I297">_xlfn.IFS(H297&gt;=13,"Best Customers",H297&gt;=10,"Loyal Customers",H297&gt;=7,"Potential Loyal Customers",H297&gt;=4,"Need Attention",TRUE,"At Risk")</f>
        <v>Loyal Customers</v>
      </c>
    </row>
    <row r="298" spans="1:9" x14ac:dyDescent="0.25">
      <c r="A298" t="s">
        <v>3092</v>
      </c>
      <c r="B298" s="4">
        <v>2197</v>
      </c>
      <c r="C298">
        <v>2</v>
      </c>
      <c r="D298">
        <v>28.5</v>
      </c>
      <c r="E298" cm="1">
        <f t="array" ref="E298">_xlfn.IFS(B298&lt;=_xlfn.PERCENTILE.INC($B$2:$B$726,0.2),5, B298&lt;=_xlfn.PERCENTILE.INC($B$2:$B$726,0.4),4,B298&lt;=_xlfn.PERCENTILE.INC($B$2:$B$726,0.6),3,B298&lt;=_xlfn.PERCENTILE.INC($B$2:$B$726,0.8),4,TRUE,1)</f>
        <v>1</v>
      </c>
      <c r="F298" cm="1">
        <f t="array" ref="F298">_xlfn.IFS(C298&gt;=_xlfn.PERCENTILE.INC($C$2:$C$726,0.8),5,C298&gt;=_xlfn.PERCENTILE.INC($C$2:$C$726,0.6),4,C298&gt;=_xlfn.PERCENTILE.INC($C$2:$C$726,0.4),3,C298&gt;=_xlfn.PERCENTILE.INC($C$2:$C$726,0.2),2,TRUE,1)</f>
        <v>1</v>
      </c>
      <c r="G298" cm="1">
        <f t="array" ref="G298">_xlfn.IFS(D298&gt;=_xlfn.PERCENTILE.INC($D$2:$D$726,0.8),5,D298&gt;=_xlfn.PERCENTILE.INC($D$2:$D$726,0.6),4,D298&gt;=_xlfn.PERCENTILE.INC($D$2:$D$726,0.4),3,D298&gt;=_xlfn.PERCENTILE.INC($D$2:$D$726,0.2),2,TRUE,1)</f>
        <v>1</v>
      </c>
      <c r="H298">
        <f t="shared" si="4"/>
        <v>3</v>
      </c>
      <c r="I298" t="str" cm="1">
        <f t="array" ref="I298">_xlfn.IFS(H298&gt;=13,"Best Customers",H298&gt;=10,"Loyal Customers",H298&gt;=7,"Potential Loyal Customers",H298&gt;=4,"Need Attention",TRUE,"At Risk")</f>
        <v>At Risk</v>
      </c>
    </row>
    <row r="299" spans="1:9" x14ac:dyDescent="0.25">
      <c r="A299" t="s">
        <v>1190</v>
      </c>
      <c r="B299" s="4">
        <v>406</v>
      </c>
      <c r="C299">
        <v>7</v>
      </c>
      <c r="D299">
        <v>560.5</v>
      </c>
      <c r="E299" cm="1">
        <f t="array" ref="E299">_xlfn.IFS(B299&lt;=_xlfn.PERCENTILE.INC($B$2:$B$726,0.2),5, B299&lt;=_xlfn.PERCENTILE.INC($B$2:$B$726,0.4),4,B299&lt;=_xlfn.PERCENTILE.INC($B$2:$B$726,0.6),3,B299&lt;=_xlfn.PERCENTILE.INC($B$2:$B$726,0.8),4,TRUE,1)</f>
        <v>4</v>
      </c>
      <c r="F299" cm="1">
        <f t="array" ref="F299">_xlfn.IFS(C299&gt;=_xlfn.PERCENTILE.INC($C$2:$C$726,0.8),5,C299&gt;=_xlfn.PERCENTILE.INC($C$2:$C$726,0.6),4,C299&gt;=_xlfn.PERCENTILE.INC($C$2:$C$726,0.4),3,C299&gt;=_xlfn.PERCENTILE.INC($C$2:$C$726,0.2),2,TRUE,1)</f>
        <v>4</v>
      </c>
      <c r="G299" cm="1">
        <f t="array" ref="G299">_xlfn.IFS(D299&gt;=_xlfn.PERCENTILE.INC($D$2:$D$726,0.8),5,D299&gt;=_xlfn.PERCENTILE.INC($D$2:$D$726,0.6),4,D299&gt;=_xlfn.PERCENTILE.INC($D$2:$D$726,0.4),3,D299&gt;=_xlfn.PERCENTILE.INC($D$2:$D$726,0.2),2,TRUE,1)</f>
        <v>5</v>
      </c>
      <c r="H299">
        <f t="shared" si="4"/>
        <v>13</v>
      </c>
      <c r="I299" t="str" cm="1">
        <f t="array" ref="I299">_xlfn.IFS(H299&gt;=13,"Best Customers",H299&gt;=10,"Loyal Customers",H299&gt;=7,"Potential Loyal Customers",H299&gt;=4,"Need Attention",TRUE,"At Risk")</f>
        <v>Best Customers</v>
      </c>
    </row>
    <row r="300" spans="1:9" x14ac:dyDescent="0.25">
      <c r="A300" t="s">
        <v>682</v>
      </c>
      <c r="B300" s="4">
        <v>338</v>
      </c>
      <c r="C300">
        <v>4</v>
      </c>
      <c r="D300">
        <v>65.099999999999994</v>
      </c>
      <c r="E300" cm="1">
        <f t="array" ref="E300">_xlfn.IFS(B300&lt;=_xlfn.PERCENTILE.INC($B$2:$B$726,0.2),5, B300&lt;=_xlfn.PERCENTILE.INC($B$2:$B$726,0.4),4,B300&lt;=_xlfn.PERCENTILE.INC($B$2:$B$726,0.6),3,B300&lt;=_xlfn.PERCENTILE.INC($B$2:$B$726,0.8),4,TRUE,1)</f>
        <v>5</v>
      </c>
      <c r="F300" cm="1">
        <f t="array" ref="F300">_xlfn.IFS(C300&gt;=_xlfn.PERCENTILE.INC($C$2:$C$726,0.8),5,C300&gt;=_xlfn.PERCENTILE.INC($C$2:$C$726,0.6),4,C300&gt;=_xlfn.PERCENTILE.INC($C$2:$C$726,0.4),3,C300&gt;=_xlfn.PERCENTILE.INC($C$2:$C$726,0.2),2,TRUE,1)</f>
        <v>2</v>
      </c>
      <c r="G300" cm="1">
        <f t="array" ref="G300">_xlfn.IFS(D300&gt;=_xlfn.PERCENTILE.INC($D$2:$D$726,0.8),5,D300&gt;=_xlfn.PERCENTILE.INC($D$2:$D$726,0.6),4,D300&gt;=_xlfn.PERCENTILE.INC($D$2:$D$726,0.4),3,D300&gt;=_xlfn.PERCENTILE.INC($D$2:$D$726,0.2),2,TRUE,1)</f>
        <v>1</v>
      </c>
      <c r="H300">
        <f t="shared" si="4"/>
        <v>8</v>
      </c>
      <c r="I300" t="str" cm="1">
        <f t="array" ref="I300">_xlfn.IFS(H300&gt;=13,"Best Customers",H300&gt;=10,"Loyal Customers",H300&gt;=7,"Potential Loyal Customers",H300&gt;=4,"Need Attention",TRUE,"At Risk")</f>
        <v>Potential Loyal Customers</v>
      </c>
    </row>
    <row r="301" spans="1:9" x14ac:dyDescent="0.25">
      <c r="A301" t="s">
        <v>1945</v>
      </c>
      <c r="B301" s="4">
        <v>433</v>
      </c>
      <c r="C301">
        <v>7</v>
      </c>
      <c r="D301">
        <v>567.09999999999991</v>
      </c>
      <c r="E301" cm="1">
        <f t="array" ref="E301">_xlfn.IFS(B301&lt;=_xlfn.PERCENTILE.INC($B$2:$B$726,0.2),5, B301&lt;=_xlfn.PERCENTILE.INC($B$2:$B$726,0.4),4,B301&lt;=_xlfn.PERCENTILE.INC($B$2:$B$726,0.6),3,B301&lt;=_xlfn.PERCENTILE.INC($B$2:$B$726,0.8),4,TRUE,1)</f>
        <v>4</v>
      </c>
      <c r="F301" cm="1">
        <f t="array" ref="F301">_xlfn.IFS(C301&gt;=_xlfn.PERCENTILE.INC($C$2:$C$726,0.8),5,C301&gt;=_xlfn.PERCENTILE.INC($C$2:$C$726,0.6),4,C301&gt;=_xlfn.PERCENTILE.INC($C$2:$C$726,0.4),3,C301&gt;=_xlfn.PERCENTILE.INC($C$2:$C$726,0.2),2,TRUE,1)</f>
        <v>4</v>
      </c>
      <c r="G301" cm="1">
        <f t="array" ref="G301">_xlfn.IFS(D301&gt;=_xlfn.PERCENTILE.INC($D$2:$D$726,0.8),5,D301&gt;=_xlfn.PERCENTILE.INC($D$2:$D$726,0.6),4,D301&gt;=_xlfn.PERCENTILE.INC($D$2:$D$726,0.4),3,D301&gt;=_xlfn.PERCENTILE.INC($D$2:$D$726,0.2),2,TRUE,1)</f>
        <v>5</v>
      </c>
      <c r="H301">
        <f t="shared" si="4"/>
        <v>13</v>
      </c>
      <c r="I301" t="str" cm="1">
        <f t="array" ref="I301">_xlfn.IFS(H301&gt;=13,"Best Customers",H301&gt;=10,"Loyal Customers",H301&gt;=7,"Potential Loyal Customers",H301&gt;=4,"Need Attention",TRUE,"At Risk")</f>
        <v>Best Customers</v>
      </c>
    </row>
    <row r="302" spans="1:9" x14ac:dyDescent="0.25">
      <c r="A302" t="s">
        <v>1381</v>
      </c>
      <c r="B302" s="4">
        <v>457</v>
      </c>
      <c r="C302">
        <v>5</v>
      </c>
      <c r="D302">
        <v>182.3</v>
      </c>
      <c r="E302" cm="1">
        <f t="array" ref="E302">_xlfn.IFS(B302&lt;=_xlfn.PERCENTILE.INC($B$2:$B$726,0.2),5, B302&lt;=_xlfn.PERCENTILE.INC($B$2:$B$726,0.4),4,B302&lt;=_xlfn.PERCENTILE.INC($B$2:$B$726,0.6),3,B302&lt;=_xlfn.PERCENTILE.INC($B$2:$B$726,0.8),4,TRUE,1)</f>
        <v>4</v>
      </c>
      <c r="F302" cm="1">
        <f t="array" ref="F302">_xlfn.IFS(C302&gt;=_xlfn.PERCENTILE.INC($C$2:$C$726,0.8),5,C302&gt;=_xlfn.PERCENTILE.INC($C$2:$C$726,0.6),4,C302&gt;=_xlfn.PERCENTILE.INC($C$2:$C$726,0.4),3,C302&gt;=_xlfn.PERCENTILE.INC($C$2:$C$726,0.2),2,TRUE,1)</f>
        <v>3</v>
      </c>
      <c r="G302" cm="1">
        <f t="array" ref="G302">_xlfn.IFS(D302&gt;=_xlfn.PERCENTILE.INC($D$2:$D$726,0.8),5,D302&gt;=_xlfn.PERCENTILE.INC($D$2:$D$726,0.6),4,D302&gt;=_xlfn.PERCENTILE.INC($D$2:$D$726,0.4),3,D302&gt;=_xlfn.PERCENTILE.INC($D$2:$D$726,0.2),2,TRUE,1)</f>
        <v>2</v>
      </c>
      <c r="H302">
        <f t="shared" si="4"/>
        <v>9</v>
      </c>
      <c r="I302" t="str" cm="1">
        <f t="array" ref="I302">_xlfn.IFS(H302&gt;=13,"Best Customers",H302&gt;=10,"Loyal Customers",H302&gt;=7,"Potential Loyal Customers",H302&gt;=4,"Need Attention",TRUE,"At Risk")</f>
        <v>Potential Loyal Customers</v>
      </c>
    </row>
    <row r="303" spans="1:9" x14ac:dyDescent="0.25">
      <c r="A303" t="s">
        <v>2813</v>
      </c>
      <c r="B303" s="4">
        <v>976</v>
      </c>
      <c r="C303">
        <v>3</v>
      </c>
      <c r="D303">
        <v>262.7</v>
      </c>
      <c r="E303" cm="1">
        <f t="array" ref="E303">_xlfn.IFS(B303&lt;=_xlfn.PERCENTILE.INC($B$2:$B$726,0.2),5, B303&lt;=_xlfn.PERCENTILE.INC($B$2:$B$726,0.4),4,B303&lt;=_xlfn.PERCENTILE.INC($B$2:$B$726,0.6),3,B303&lt;=_xlfn.PERCENTILE.INC($B$2:$B$726,0.8),4,TRUE,1)</f>
        <v>1</v>
      </c>
      <c r="F303" cm="1">
        <f t="array" ref="F303">_xlfn.IFS(C303&gt;=_xlfn.PERCENTILE.INC($C$2:$C$726,0.8),5,C303&gt;=_xlfn.PERCENTILE.INC($C$2:$C$726,0.6),4,C303&gt;=_xlfn.PERCENTILE.INC($C$2:$C$726,0.4),3,C303&gt;=_xlfn.PERCENTILE.INC($C$2:$C$726,0.2),2,TRUE,1)</f>
        <v>1</v>
      </c>
      <c r="G303" cm="1">
        <f t="array" ref="G303">_xlfn.IFS(D303&gt;=_xlfn.PERCENTILE.INC($D$2:$D$726,0.8),5,D303&gt;=_xlfn.PERCENTILE.INC($D$2:$D$726,0.6),4,D303&gt;=_xlfn.PERCENTILE.INC($D$2:$D$726,0.4),3,D303&gt;=_xlfn.PERCENTILE.INC($D$2:$D$726,0.2),2,TRUE,1)</f>
        <v>3</v>
      </c>
      <c r="H303">
        <f t="shared" si="4"/>
        <v>5</v>
      </c>
      <c r="I303" t="str" cm="1">
        <f t="array" ref="I303">_xlfn.IFS(H303&gt;=13,"Best Customers",H303&gt;=10,"Loyal Customers",H303&gt;=7,"Potential Loyal Customers",H303&gt;=4,"Need Attention",TRUE,"At Risk")</f>
        <v>Need Attention</v>
      </c>
    </row>
    <row r="304" spans="1:9" x14ac:dyDescent="0.25">
      <c r="A304" t="s">
        <v>3231</v>
      </c>
      <c r="B304" s="4">
        <v>571</v>
      </c>
      <c r="C304">
        <v>6</v>
      </c>
      <c r="D304">
        <v>232.20000000000002</v>
      </c>
      <c r="E304" cm="1">
        <f t="array" ref="E304">_xlfn.IFS(B304&lt;=_xlfn.PERCENTILE.INC($B$2:$B$726,0.2),5, B304&lt;=_xlfn.PERCENTILE.INC($B$2:$B$726,0.4),4,B304&lt;=_xlfn.PERCENTILE.INC($B$2:$B$726,0.6),3,B304&lt;=_xlfn.PERCENTILE.INC($B$2:$B$726,0.8),4,TRUE,1)</f>
        <v>4</v>
      </c>
      <c r="F304" cm="1">
        <f t="array" ref="F304">_xlfn.IFS(C304&gt;=_xlfn.PERCENTILE.INC($C$2:$C$726,0.8),5,C304&gt;=_xlfn.PERCENTILE.INC($C$2:$C$726,0.6),4,C304&gt;=_xlfn.PERCENTILE.INC($C$2:$C$726,0.4),3,C304&gt;=_xlfn.PERCENTILE.INC($C$2:$C$726,0.2),2,TRUE,1)</f>
        <v>4</v>
      </c>
      <c r="G304" cm="1">
        <f t="array" ref="G304">_xlfn.IFS(D304&gt;=_xlfn.PERCENTILE.INC($D$2:$D$726,0.8),5,D304&gt;=_xlfn.PERCENTILE.INC($D$2:$D$726,0.6),4,D304&gt;=_xlfn.PERCENTILE.INC($D$2:$D$726,0.4),3,D304&gt;=_xlfn.PERCENTILE.INC($D$2:$D$726,0.2),2,TRUE,1)</f>
        <v>3</v>
      </c>
      <c r="H304">
        <f t="shared" si="4"/>
        <v>11</v>
      </c>
      <c r="I304" t="str" cm="1">
        <f t="array" ref="I304">_xlfn.IFS(H304&gt;=13,"Best Customers",H304&gt;=10,"Loyal Customers",H304&gt;=7,"Potential Loyal Customers",H304&gt;=4,"Need Attention",TRUE,"At Risk")</f>
        <v>Loyal Customers</v>
      </c>
    </row>
    <row r="305" spans="1:9" x14ac:dyDescent="0.25">
      <c r="A305" t="s">
        <v>796</v>
      </c>
      <c r="B305" s="4">
        <v>458</v>
      </c>
      <c r="C305">
        <v>8</v>
      </c>
      <c r="D305">
        <v>330.4</v>
      </c>
      <c r="E305" cm="1">
        <f t="array" ref="E305">_xlfn.IFS(B305&lt;=_xlfn.PERCENTILE.INC($B$2:$B$726,0.2),5, B305&lt;=_xlfn.PERCENTILE.INC($B$2:$B$726,0.4),4,B305&lt;=_xlfn.PERCENTILE.INC($B$2:$B$726,0.6),3,B305&lt;=_xlfn.PERCENTILE.INC($B$2:$B$726,0.8),4,TRUE,1)</f>
        <v>4</v>
      </c>
      <c r="F305" cm="1">
        <f t="array" ref="F305">_xlfn.IFS(C305&gt;=_xlfn.PERCENTILE.INC($C$2:$C$726,0.8),5,C305&gt;=_xlfn.PERCENTILE.INC($C$2:$C$726,0.6),4,C305&gt;=_xlfn.PERCENTILE.INC($C$2:$C$726,0.4),3,C305&gt;=_xlfn.PERCENTILE.INC($C$2:$C$726,0.2),2,TRUE,1)</f>
        <v>5</v>
      </c>
      <c r="G305" cm="1">
        <f t="array" ref="G305">_xlfn.IFS(D305&gt;=_xlfn.PERCENTILE.INC($D$2:$D$726,0.8),5,D305&gt;=_xlfn.PERCENTILE.INC($D$2:$D$726,0.6),4,D305&gt;=_xlfn.PERCENTILE.INC($D$2:$D$726,0.4),3,D305&gt;=_xlfn.PERCENTILE.INC($D$2:$D$726,0.2),2,TRUE,1)</f>
        <v>4</v>
      </c>
      <c r="H305">
        <f t="shared" si="4"/>
        <v>13</v>
      </c>
      <c r="I305" t="str" cm="1">
        <f t="array" ref="I305">_xlfn.IFS(H305&gt;=13,"Best Customers",H305&gt;=10,"Loyal Customers",H305&gt;=7,"Potential Loyal Customers",H305&gt;=4,"Need Attention",TRUE,"At Risk")</f>
        <v>Best Customers</v>
      </c>
    </row>
    <row r="306" spans="1:9" x14ac:dyDescent="0.25">
      <c r="A306" t="s">
        <v>523</v>
      </c>
      <c r="B306" s="4">
        <v>1248</v>
      </c>
      <c r="C306">
        <v>2</v>
      </c>
      <c r="D306">
        <v>239.39999999999998</v>
      </c>
      <c r="E306" cm="1">
        <f t="array" ref="E306">_xlfn.IFS(B306&lt;=_xlfn.PERCENTILE.INC($B$2:$B$726,0.2),5, B306&lt;=_xlfn.PERCENTILE.INC($B$2:$B$726,0.4),4,B306&lt;=_xlfn.PERCENTILE.INC($B$2:$B$726,0.6),3,B306&lt;=_xlfn.PERCENTILE.INC($B$2:$B$726,0.8),4,TRUE,1)</f>
        <v>1</v>
      </c>
      <c r="F306" cm="1">
        <f t="array" ref="F306">_xlfn.IFS(C306&gt;=_xlfn.PERCENTILE.INC($C$2:$C$726,0.8),5,C306&gt;=_xlfn.PERCENTILE.INC($C$2:$C$726,0.6),4,C306&gt;=_xlfn.PERCENTILE.INC($C$2:$C$726,0.4),3,C306&gt;=_xlfn.PERCENTILE.INC($C$2:$C$726,0.2),2,TRUE,1)</f>
        <v>1</v>
      </c>
      <c r="G306" cm="1">
        <f t="array" ref="G306">_xlfn.IFS(D306&gt;=_xlfn.PERCENTILE.INC($D$2:$D$726,0.8),5,D306&gt;=_xlfn.PERCENTILE.INC($D$2:$D$726,0.6),4,D306&gt;=_xlfn.PERCENTILE.INC($D$2:$D$726,0.4),3,D306&gt;=_xlfn.PERCENTILE.INC($D$2:$D$726,0.2),2,TRUE,1)</f>
        <v>3</v>
      </c>
      <c r="H306">
        <f t="shared" si="4"/>
        <v>5</v>
      </c>
      <c r="I306" t="str" cm="1">
        <f t="array" ref="I306">_xlfn.IFS(H306&gt;=13,"Best Customers",H306&gt;=10,"Loyal Customers",H306&gt;=7,"Potential Loyal Customers",H306&gt;=4,"Need Attention",TRUE,"At Risk")</f>
        <v>Need Attention</v>
      </c>
    </row>
    <row r="307" spans="1:9" x14ac:dyDescent="0.25">
      <c r="A307" t="s">
        <v>2584</v>
      </c>
      <c r="B307" s="4">
        <v>1584</v>
      </c>
      <c r="C307">
        <v>3</v>
      </c>
      <c r="D307">
        <v>160.1</v>
      </c>
      <c r="E307" cm="1">
        <f t="array" ref="E307">_xlfn.IFS(B307&lt;=_xlfn.PERCENTILE.INC($B$2:$B$726,0.2),5, B307&lt;=_xlfn.PERCENTILE.INC($B$2:$B$726,0.4),4,B307&lt;=_xlfn.PERCENTILE.INC($B$2:$B$726,0.6),3,B307&lt;=_xlfn.PERCENTILE.INC($B$2:$B$726,0.8),4,TRUE,1)</f>
        <v>1</v>
      </c>
      <c r="F307" cm="1">
        <f t="array" ref="F307">_xlfn.IFS(C307&gt;=_xlfn.PERCENTILE.INC($C$2:$C$726,0.8),5,C307&gt;=_xlfn.PERCENTILE.INC($C$2:$C$726,0.6),4,C307&gt;=_xlfn.PERCENTILE.INC($C$2:$C$726,0.4),3,C307&gt;=_xlfn.PERCENTILE.INC($C$2:$C$726,0.2),2,TRUE,1)</f>
        <v>1</v>
      </c>
      <c r="G307" cm="1">
        <f t="array" ref="G307">_xlfn.IFS(D307&gt;=_xlfn.PERCENTILE.INC($D$2:$D$726,0.8),5,D307&gt;=_xlfn.PERCENTILE.INC($D$2:$D$726,0.6),4,D307&gt;=_xlfn.PERCENTILE.INC($D$2:$D$726,0.4),3,D307&gt;=_xlfn.PERCENTILE.INC($D$2:$D$726,0.2),2,TRUE,1)</f>
        <v>2</v>
      </c>
      <c r="H307">
        <f t="shared" si="4"/>
        <v>4</v>
      </c>
      <c r="I307" t="str" cm="1">
        <f t="array" ref="I307">_xlfn.IFS(H307&gt;=13,"Best Customers",H307&gt;=10,"Loyal Customers",H307&gt;=7,"Potential Loyal Customers",H307&gt;=4,"Need Attention",TRUE,"At Risk")</f>
        <v>Need Attention</v>
      </c>
    </row>
    <row r="308" spans="1:9" x14ac:dyDescent="0.25">
      <c r="A308" t="s">
        <v>3255</v>
      </c>
      <c r="B308" s="4">
        <v>971</v>
      </c>
      <c r="C308">
        <v>5</v>
      </c>
      <c r="D308">
        <v>164.4</v>
      </c>
      <c r="E308" cm="1">
        <f t="array" ref="E308">_xlfn.IFS(B308&lt;=_xlfn.PERCENTILE.INC($B$2:$B$726,0.2),5, B308&lt;=_xlfn.PERCENTILE.INC($B$2:$B$726,0.4),4,B308&lt;=_xlfn.PERCENTILE.INC($B$2:$B$726,0.6),3,B308&lt;=_xlfn.PERCENTILE.INC($B$2:$B$726,0.8),4,TRUE,1)</f>
        <v>1</v>
      </c>
      <c r="F308" cm="1">
        <f t="array" ref="F308">_xlfn.IFS(C308&gt;=_xlfn.PERCENTILE.INC($C$2:$C$726,0.8),5,C308&gt;=_xlfn.PERCENTILE.INC($C$2:$C$726,0.6),4,C308&gt;=_xlfn.PERCENTILE.INC($C$2:$C$726,0.4),3,C308&gt;=_xlfn.PERCENTILE.INC($C$2:$C$726,0.2),2,TRUE,1)</f>
        <v>3</v>
      </c>
      <c r="G308" cm="1">
        <f t="array" ref="G308">_xlfn.IFS(D308&gt;=_xlfn.PERCENTILE.INC($D$2:$D$726,0.8),5,D308&gt;=_xlfn.PERCENTILE.INC($D$2:$D$726,0.6),4,D308&gt;=_xlfn.PERCENTILE.INC($D$2:$D$726,0.4),3,D308&gt;=_xlfn.PERCENTILE.INC($D$2:$D$726,0.2),2,TRUE,1)</f>
        <v>2</v>
      </c>
      <c r="H308">
        <f t="shared" si="4"/>
        <v>6</v>
      </c>
      <c r="I308" t="str" cm="1">
        <f t="array" ref="I308">_xlfn.IFS(H308&gt;=13,"Best Customers",H308&gt;=10,"Loyal Customers",H308&gt;=7,"Potential Loyal Customers",H308&gt;=4,"Need Attention",TRUE,"At Risk")</f>
        <v>Need Attention</v>
      </c>
    </row>
    <row r="309" spans="1:9" x14ac:dyDescent="0.25">
      <c r="A309" t="s">
        <v>1699</v>
      </c>
      <c r="B309" s="4">
        <v>679</v>
      </c>
      <c r="C309">
        <v>6</v>
      </c>
      <c r="D309">
        <v>207.50000000000003</v>
      </c>
      <c r="E309" cm="1">
        <f t="array" ref="E309">_xlfn.IFS(B309&lt;=_xlfn.PERCENTILE.INC($B$2:$B$726,0.2),5, B309&lt;=_xlfn.PERCENTILE.INC($B$2:$B$726,0.4),4,B309&lt;=_xlfn.PERCENTILE.INC($B$2:$B$726,0.6),3,B309&lt;=_xlfn.PERCENTILE.INC($B$2:$B$726,0.8),4,TRUE,1)</f>
        <v>4</v>
      </c>
      <c r="F309" cm="1">
        <f t="array" ref="F309">_xlfn.IFS(C309&gt;=_xlfn.PERCENTILE.INC($C$2:$C$726,0.8),5,C309&gt;=_xlfn.PERCENTILE.INC($C$2:$C$726,0.6),4,C309&gt;=_xlfn.PERCENTILE.INC($C$2:$C$726,0.4),3,C309&gt;=_xlfn.PERCENTILE.INC($C$2:$C$726,0.2),2,TRUE,1)</f>
        <v>4</v>
      </c>
      <c r="G309" cm="1">
        <f t="array" ref="G309">_xlfn.IFS(D309&gt;=_xlfn.PERCENTILE.INC($D$2:$D$726,0.8),5,D309&gt;=_xlfn.PERCENTILE.INC($D$2:$D$726,0.6),4,D309&gt;=_xlfn.PERCENTILE.INC($D$2:$D$726,0.4),3,D309&gt;=_xlfn.PERCENTILE.INC($D$2:$D$726,0.2),2,TRUE,1)</f>
        <v>2</v>
      </c>
      <c r="H309">
        <f t="shared" si="4"/>
        <v>10</v>
      </c>
      <c r="I309" t="str" cm="1">
        <f t="array" ref="I309">_xlfn.IFS(H309&gt;=13,"Best Customers",H309&gt;=10,"Loyal Customers",H309&gt;=7,"Potential Loyal Customers",H309&gt;=4,"Need Attention",TRUE,"At Risk")</f>
        <v>Loyal Customers</v>
      </c>
    </row>
    <row r="310" spans="1:9" x14ac:dyDescent="0.25">
      <c r="A310" t="s">
        <v>3157</v>
      </c>
      <c r="B310" s="4">
        <v>491</v>
      </c>
      <c r="C310">
        <v>11</v>
      </c>
      <c r="D310">
        <v>604.69999999999993</v>
      </c>
      <c r="E310" cm="1">
        <f t="array" ref="E310">_xlfn.IFS(B310&lt;=_xlfn.PERCENTILE.INC($B$2:$B$726,0.2),5, B310&lt;=_xlfn.PERCENTILE.INC($B$2:$B$726,0.4),4,B310&lt;=_xlfn.PERCENTILE.INC($B$2:$B$726,0.6),3,B310&lt;=_xlfn.PERCENTILE.INC($B$2:$B$726,0.8),4,TRUE,1)</f>
        <v>3</v>
      </c>
      <c r="F310" cm="1">
        <f t="array" ref="F310">_xlfn.IFS(C310&gt;=_xlfn.PERCENTILE.INC($C$2:$C$726,0.8),5,C310&gt;=_xlfn.PERCENTILE.INC($C$2:$C$726,0.6),4,C310&gt;=_xlfn.PERCENTILE.INC($C$2:$C$726,0.4),3,C310&gt;=_xlfn.PERCENTILE.INC($C$2:$C$726,0.2),2,TRUE,1)</f>
        <v>5</v>
      </c>
      <c r="G310" cm="1">
        <f t="array" ref="G310">_xlfn.IFS(D310&gt;=_xlfn.PERCENTILE.INC($D$2:$D$726,0.8),5,D310&gt;=_xlfn.PERCENTILE.INC($D$2:$D$726,0.6),4,D310&gt;=_xlfn.PERCENTILE.INC($D$2:$D$726,0.4),3,D310&gt;=_xlfn.PERCENTILE.INC($D$2:$D$726,0.2),2,TRUE,1)</f>
        <v>5</v>
      </c>
      <c r="H310">
        <f t="shared" si="4"/>
        <v>13</v>
      </c>
      <c r="I310" t="str" cm="1">
        <f t="array" ref="I310">_xlfn.IFS(H310&gt;=13,"Best Customers",H310&gt;=10,"Loyal Customers",H310&gt;=7,"Potential Loyal Customers",H310&gt;=4,"Need Attention",TRUE,"At Risk")</f>
        <v>Best Customers</v>
      </c>
    </row>
    <row r="311" spans="1:9" x14ac:dyDescent="0.25">
      <c r="A311" t="s">
        <v>1259</v>
      </c>
      <c r="B311" s="4">
        <v>600</v>
      </c>
      <c r="C311">
        <v>6</v>
      </c>
      <c r="D311">
        <v>156.89999999999998</v>
      </c>
      <c r="E311" cm="1">
        <f t="array" ref="E311">_xlfn.IFS(B311&lt;=_xlfn.PERCENTILE.INC($B$2:$B$726,0.2),5, B311&lt;=_xlfn.PERCENTILE.INC($B$2:$B$726,0.4),4,B311&lt;=_xlfn.PERCENTILE.INC($B$2:$B$726,0.6),3,B311&lt;=_xlfn.PERCENTILE.INC($B$2:$B$726,0.8),4,TRUE,1)</f>
        <v>4</v>
      </c>
      <c r="F311" cm="1">
        <f t="array" ref="F311">_xlfn.IFS(C311&gt;=_xlfn.PERCENTILE.INC($C$2:$C$726,0.8),5,C311&gt;=_xlfn.PERCENTILE.INC($C$2:$C$726,0.6),4,C311&gt;=_xlfn.PERCENTILE.INC($C$2:$C$726,0.4),3,C311&gt;=_xlfn.PERCENTILE.INC($C$2:$C$726,0.2),2,TRUE,1)</f>
        <v>4</v>
      </c>
      <c r="G311" cm="1">
        <f t="array" ref="G311">_xlfn.IFS(D311&gt;=_xlfn.PERCENTILE.INC($D$2:$D$726,0.8),5,D311&gt;=_xlfn.PERCENTILE.INC($D$2:$D$726,0.6),4,D311&gt;=_xlfn.PERCENTILE.INC($D$2:$D$726,0.4),3,D311&gt;=_xlfn.PERCENTILE.INC($D$2:$D$726,0.2),2,TRUE,1)</f>
        <v>2</v>
      </c>
      <c r="H311">
        <f t="shared" si="4"/>
        <v>10</v>
      </c>
      <c r="I311" t="str" cm="1">
        <f t="array" ref="I311">_xlfn.IFS(H311&gt;=13,"Best Customers",H311&gt;=10,"Loyal Customers",H311&gt;=7,"Potential Loyal Customers",H311&gt;=4,"Need Attention",TRUE,"At Risk")</f>
        <v>Loyal Customers</v>
      </c>
    </row>
    <row r="312" spans="1:9" x14ac:dyDescent="0.25">
      <c r="A312" t="s">
        <v>2408</v>
      </c>
      <c r="B312" s="4">
        <v>840</v>
      </c>
      <c r="C312">
        <v>5</v>
      </c>
      <c r="D312">
        <v>451</v>
      </c>
      <c r="E312" cm="1">
        <f t="array" ref="E312">_xlfn.IFS(B312&lt;=_xlfn.PERCENTILE.INC($B$2:$B$726,0.2),5, B312&lt;=_xlfn.PERCENTILE.INC($B$2:$B$726,0.4),4,B312&lt;=_xlfn.PERCENTILE.INC($B$2:$B$726,0.6),3,B312&lt;=_xlfn.PERCENTILE.INC($B$2:$B$726,0.8),4,TRUE,1)</f>
        <v>1</v>
      </c>
      <c r="F312" cm="1">
        <f t="array" ref="F312">_xlfn.IFS(C312&gt;=_xlfn.PERCENTILE.INC($C$2:$C$726,0.8),5,C312&gt;=_xlfn.PERCENTILE.INC($C$2:$C$726,0.6),4,C312&gt;=_xlfn.PERCENTILE.INC($C$2:$C$726,0.4),3,C312&gt;=_xlfn.PERCENTILE.INC($C$2:$C$726,0.2),2,TRUE,1)</f>
        <v>3</v>
      </c>
      <c r="G312" cm="1">
        <f t="array" ref="G312">_xlfn.IFS(D312&gt;=_xlfn.PERCENTILE.INC($D$2:$D$726,0.8),5,D312&gt;=_xlfn.PERCENTILE.INC($D$2:$D$726,0.6),4,D312&gt;=_xlfn.PERCENTILE.INC($D$2:$D$726,0.4),3,D312&gt;=_xlfn.PERCENTILE.INC($D$2:$D$726,0.2),2,TRUE,1)</f>
        <v>5</v>
      </c>
      <c r="H312">
        <f t="shared" si="4"/>
        <v>9</v>
      </c>
      <c r="I312" t="str" cm="1">
        <f t="array" ref="I312">_xlfn.IFS(H312&gt;=13,"Best Customers",H312&gt;=10,"Loyal Customers",H312&gt;=7,"Potential Loyal Customers",H312&gt;=4,"Need Attention",TRUE,"At Risk")</f>
        <v>Potential Loyal Customers</v>
      </c>
    </row>
    <row r="313" spans="1:9" x14ac:dyDescent="0.25">
      <c r="A313" t="s">
        <v>2615</v>
      </c>
      <c r="B313" s="4">
        <v>338</v>
      </c>
      <c r="C313">
        <v>7</v>
      </c>
      <c r="D313">
        <v>336.2</v>
      </c>
      <c r="E313" cm="1">
        <f t="array" ref="E313">_xlfn.IFS(B313&lt;=_xlfn.PERCENTILE.INC($B$2:$B$726,0.2),5, B313&lt;=_xlfn.PERCENTILE.INC($B$2:$B$726,0.4),4,B313&lt;=_xlfn.PERCENTILE.INC($B$2:$B$726,0.6),3,B313&lt;=_xlfn.PERCENTILE.INC($B$2:$B$726,0.8),4,TRUE,1)</f>
        <v>5</v>
      </c>
      <c r="F313" cm="1">
        <f t="array" ref="F313">_xlfn.IFS(C313&gt;=_xlfn.PERCENTILE.INC($C$2:$C$726,0.8),5,C313&gt;=_xlfn.PERCENTILE.INC($C$2:$C$726,0.6),4,C313&gt;=_xlfn.PERCENTILE.INC($C$2:$C$726,0.4),3,C313&gt;=_xlfn.PERCENTILE.INC($C$2:$C$726,0.2),2,TRUE,1)</f>
        <v>4</v>
      </c>
      <c r="G313" cm="1">
        <f t="array" ref="G313">_xlfn.IFS(D313&gt;=_xlfn.PERCENTILE.INC($D$2:$D$726,0.8),5,D313&gt;=_xlfn.PERCENTILE.INC($D$2:$D$726,0.6),4,D313&gt;=_xlfn.PERCENTILE.INC($D$2:$D$726,0.4),3,D313&gt;=_xlfn.PERCENTILE.INC($D$2:$D$726,0.2),2,TRUE,1)</f>
        <v>4</v>
      </c>
      <c r="H313">
        <f t="shared" si="4"/>
        <v>13</v>
      </c>
      <c r="I313" t="str" cm="1">
        <f t="array" ref="I313">_xlfn.IFS(H313&gt;=13,"Best Customers",H313&gt;=10,"Loyal Customers",H313&gt;=7,"Potential Loyal Customers",H313&gt;=4,"Need Attention",TRUE,"At Risk")</f>
        <v>Best Customers</v>
      </c>
    </row>
    <row r="314" spans="1:9" x14ac:dyDescent="0.25">
      <c r="A314" t="s">
        <v>3306</v>
      </c>
      <c r="B314" s="4">
        <v>456</v>
      </c>
      <c r="C314">
        <v>2</v>
      </c>
      <c r="D314">
        <v>53.9</v>
      </c>
      <c r="E314" cm="1">
        <f t="array" ref="E314">_xlfn.IFS(B314&lt;=_xlfn.PERCENTILE.INC($B$2:$B$726,0.2),5, B314&lt;=_xlfn.PERCENTILE.INC($B$2:$B$726,0.4),4,B314&lt;=_xlfn.PERCENTILE.INC($B$2:$B$726,0.6),3,B314&lt;=_xlfn.PERCENTILE.INC($B$2:$B$726,0.8),4,TRUE,1)</f>
        <v>4</v>
      </c>
      <c r="F314" cm="1">
        <f t="array" ref="F314">_xlfn.IFS(C314&gt;=_xlfn.PERCENTILE.INC($C$2:$C$726,0.8),5,C314&gt;=_xlfn.PERCENTILE.INC($C$2:$C$726,0.6),4,C314&gt;=_xlfn.PERCENTILE.INC($C$2:$C$726,0.4),3,C314&gt;=_xlfn.PERCENTILE.INC($C$2:$C$726,0.2),2,TRUE,1)</f>
        <v>1</v>
      </c>
      <c r="G314" cm="1">
        <f t="array" ref="G314">_xlfn.IFS(D314&gt;=_xlfn.PERCENTILE.INC($D$2:$D$726,0.8),5,D314&gt;=_xlfn.PERCENTILE.INC($D$2:$D$726,0.6),4,D314&gt;=_xlfn.PERCENTILE.INC($D$2:$D$726,0.4),3,D314&gt;=_xlfn.PERCENTILE.INC($D$2:$D$726,0.2),2,TRUE,1)</f>
        <v>1</v>
      </c>
      <c r="H314">
        <f t="shared" si="4"/>
        <v>6</v>
      </c>
      <c r="I314" t="str" cm="1">
        <f t="array" ref="I314">_xlfn.IFS(H314&gt;=13,"Best Customers",H314&gt;=10,"Loyal Customers",H314&gt;=7,"Potential Loyal Customers",H314&gt;=4,"Need Attention",TRUE,"At Risk")</f>
        <v>Need Attention</v>
      </c>
    </row>
    <row r="315" spans="1:9" x14ac:dyDescent="0.25">
      <c r="A315" t="s">
        <v>2388</v>
      </c>
      <c r="B315" s="4">
        <v>366</v>
      </c>
      <c r="C315">
        <v>6</v>
      </c>
      <c r="D315">
        <v>296.8</v>
      </c>
      <c r="E315" cm="1">
        <f t="array" ref="E315">_xlfn.IFS(B315&lt;=_xlfn.PERCENTILE.INC($B$2:$B$726,0.2),5, B315&lt;=_xlfn.PERCENTILE.INC($B$2:$B$726,0.4),4,B315&lt;=_xlfn.PERCENTILE.INC($B$2:$B$726,0.6),3,B315&lt;=_xlfn.PERCENTILE.INC($B$2:$B$726,0.8),4,TRUE,1)</f>
        <v>5</v>
      </c>
      <c r="F315" cm="1">
        <f t="array" ref="F315">_xlfn.IFS(C315&gt;=_xlfn.PERCENTILE.INC($C$2:$C$726,0.8),5,C315&gt;=_xlfn.PERCENTILE.INC($C$2:$C$726,0.6),4,C315&gt;=_xlfn.PERCENTILE.INC($C$2:$C$726,0.4),3,C315&gt;=_xlfn.PERCENTILE.INC($C$2:$C$726,0.2),2,TRUE,1)</f>
        <v>4</v>
      </c>
      <c r="G315" cm="1">
        <f t="array" ref="G315">_xlfn.IFS(D315&gt;=_xlfn.PERCENTILE.INC($D$2:$D$726,0.8),5,D315&gt;=_xlfn.PERCENTILE.INC($D$2:$D$726,0.6),4,D315&gt;=_xlfn.PERCENTILE.INC($D$2:$D$726,0.4),3,D315&gt;=_xlfn.PERCENTILE.INC($D$2:$D$726,0.2),2,TRUE,1)</f>
        <v>3</v>
      </c>
      <c r="H315">
        <f t="shared" si="4"/>
        <v>12</v>
      </c>
      <c r="I315" t="str" cm="1">
        <f t="array" ref="I315">_xlfn.IFS(H315&gt;=13,"Best Customers",H315&gt;=10,"Loyal Customers",H315&gt;=7,"Potential Loyal Customers",H315&gt;=4,"Need Attention",TRUE,"At Risk")</f>
        <v>Loyal Customers</v>
      </c>
    </row>
    <row r="316" spans="1:9" x14ac:dyDescent="0.25">
      <c r="A316" t="s">
        <v>1121</v>
      </c>
      <c r="B316" s="4">
        <v>372</v>
      </c>
      <c r="C316">
        <v>8</v>
      </c>
      <c r="D316">
        <v>484.4</v>
      </c>
      <c r="E316" cm="1">
        <f t="array" ref="E316">_xlfn.IFS(B316&lt;=_xlfn.PERCENTILE.INC($B$2:$B$726,0.2),5, B316&lt;=_xlfn.PERCENTILE.INC($B$2:$B$726,0.4),4,B316&lt;=_xlfn.PERCENTILE.INC($B$2:$B$726,0.6),3,B316&lt;=_xlfn.PERCENTILE.INC($B$2:$B$726,0.8),4,TRUE,1)</f>
        <v>5</v>
      </c>
      <c r="F316" cm="1">
        <f t="array" ref="F316">_xlfn.IFS(C316&gt;=_xlfn.PERCENTILE.INC($C$2:$C$726,0.8),5,C316&gt;=_xlfn.PERCENTILE.INC($C$2:$C$726,0.6),4,C316&gt;=_xlfn.PERCENTILE.INC($C$2:$C$726,0.4),3,C316&gt;=_xlfn.PERCENTILE.INC($C$2:$C$726,0.2),2,TRUE,1)</f>
        <v>5</v>
      </c>
      <c r="G316" cm="1">
        <f t="array" ref="G316">_xlfn.IFS(D316&gt;=_xlfn.PERCENTILE.INC($D$2:$D$726,0.8),5,D316&gt;=_xlfn.PERCENTILE.INC($D$2:$D$726,0.6),4,D316&gt;=_xlfn.PERCENTILE.INC($D$2:$D$726,0.4),3,D316&gt;=_xlfn.PERCENTILE.INC($D$2:$D$726,0.2),2,TRUE,1)</f>
        <v>5</v>
      </c>
      <c r="H316">
        <f t="shared" si="4"/>
        <v>15</v>
      </c>
      <c r="I316" t="str" cm="1">
        <f t="array" ref="I316">_xlfn.IFS(H316&gt;=13,"Best Customers",H316&gt;=10,"Loyal Customers",H316&gt;=7,"Potential Loyal Customers",H316&gt;=4,"Need Attention",TRUE,"At Risk")</f>
        <v>Best Customers</v>
      </c>
    </row>
    <row r="317" spans="1:9" x14ac:dyDescent="0.25">
      <c r="A317" t="s">
        <v>2645</v>
      </c>
      <c r="B317" s="4">
        <v>703</v>
      </c>
      <c r="C317">
        <v>5</v>
      </c>
      <c r="D317">
        <v>167.89999999999998</v>
      </c>
      <c r="E317" cm="1">
        <f t="array" ref="E317">_xlfn.IFS(B317&lt;=_xlfn.PERCENTILE.INC($B$2:$B$726,0.2),5, B317&lt;=_xlfn.PERCENTILE.INC($B$2:$B$726,0.4),4,B317&lt;=_xlfn.PERCENTILE.INC($B$2:$B$726,0.6),3,B317&lt;=_xlfn.PERCENTILE.INC($B$2:$B$726,0.8),4,TRUE,1)</f>
        <v>4</v>
      </c>
      <c r="F317" cm="1">
        <f t="array" ref="F317">_xlfn.IFS(C317&gt;=_xlfn.PERCENTILE.INC($C$2:$C$726,0.8),5,C317&gt;=_xlfn.PERCENTILE.INC($C$2:$C$726,0.6),4,C317&gt;=_xlfn.PERCENTILE.INC($C$2:$C$726,0.4),3,C317&gt;=_xlfn.PERCENTILE.INC($C$2:$C$726,0.2),2,TRUE,1)</f>
        <v>3</v>
      </c>
      <c r="G317" cm="1">
        <f t="array" ref="G317">_xlfn.IFS(D317&gt;=_xlfn.PERCENTILE.INC($D$2:$D$726,0.8),5,D317&gt;=_xlfn.PERCENTILE.INC($D$2:$D$726,0.6),4,D317&gt;=_xlfn.PERCENTILE.INC($D$2:$D$726,0.4),3,D317&gt;=_xlfn.PERCENTILE.INC($D$2:$D$726,0.2),2,TRUE,1)</f>
        <v>2</v>
      </c>
      <c r="H317">
        <f t="shared" si="4"/>
        <v>9</v>
      </c>
      <c r="I317" t="str" cm="1">
        <f t="array" ref="I317">_xlfn.IFS(H317&gt;=13,"Best Customers",H317&gt;=10,"Loyal Customers",H317&gt;=7,"Potential Loyal Customers",H317&gt;=4,"Need Attention",TRUE,"At Risk")</f>
        <v>Potential Loyal Customers</v>
      </c>
    </row>
    <row r="318" spans="1:9" x14ac:dyDescent="0.25">
      <c r="A318" t="s">
        <v>1547</v>
      </c>
      <c r="B318" s="4">
        <v>423</v>
      </c>
      <c r="C318">
        <v>8</v>
      </c>
      <c r="D318">
        <v>687.40000000000009</v>
      </c>
      <c r="E318" cm="1">
        <f t="array" ref="E318">_xlfn.IFS(B318&lt;=_xlfn.PERCENTILE.INC($B$2:$B$726,0.2),5, B318&lt;=_xlfn.PERCENTILE.INC($B$2:$B$726,0.4),4,B318&lt;=_xlfn.PERCENTILE.INC($B$2:$B$726,0.6),3,B318&lt;=_xlfn.PERCENTILE.INC($B$2:$B$726,0.8),4,TRUE,1)</f>
        <v>4</v>
      </c>
      <c r="F318" cm="1">
        <f t="array" ref="F318">_xlfn.IFS(C318&gt;=_xlfn.PERCENTILE.INC($C$2:$C$726,0.8),5,C318&gt;=_xlfn.PERCENTILE.INC($C$2:$C$726,0.6),4,C318&gt;=_xlfn.PERCENTILE.INC($C$2:$C$726,0.4),3,C318&gt;=_xlfn.PERCENTILE.INC($C$2:$C$726,0.2),2,TRUE,1)</f>
        <v>5</v>
      </c>
      <c r="G318" cm="1">
        <f t="array" ref="G318">_xlfn.IFS(D318&gt;=_xlfn.PERCENTILE.INC($D$2:$D$726,0.8),5,D318&gt;=_xlfn.PERCENTILE.INC($D$2:$D$726,0.6),4,D318&gt;=_xlfn.PERCENTILE.INC($D$2:$D$726,0.4),3,D318&gt;=_xlfn.PERCENTILE.INC($D$2:$D$726,0.2),2,TRUE,1)</f>
        <v>5</v>
      </c>
      <c r="H318">
        <f t="shared" si="4"/>
        <v>14</v>
      </c>
      <c r="I318" t="str" cm="1">
        <f t="array" ref="I318">_xlfn.IFS(H318&gt;=13,"Best Customers",H318&gt;=10,"Loyal Customers",H318&gt;=7,"Potential Loyal Customers",H318&gt;=4,"Need Attention",TRUE,"At Risk")</f>
        <v>Best Customers</v>
      </c>
    </row>
    <row r="319" spans="1:9" x14ac:dyDescent="0.25">
      <c r="A319" t="s">
        <v>3293</v>
      </c>
      <c r="B319" s="4">
        <v>1660</v>
      </c>
      <c r="C319">
        <v>1</v>
      </c>
      <c r="D319">
        <v>14.3</v>
      </c>
      <c r="E319" cm="1">
        <f t="array" ref="E319">_xlfn.IFS(B319&lt;=_xlfn.PERCENTILE.INC($B$2:$B$726,0.2),5, B319&lt;=_xlfn.PERCENTILE.INC($B$2:$B$726,0.4),4,B319&lt;=_xlfn.PERCENTILE.INC($B$2:$B$726,0.6),3,B319&lt;=_xlfn.PERCENTILE.INC($B$2:$B$726,0.8),4,TRUE,1)</f>
        <v>1</v>
      </c>
      <c r="F319" cm="1">
        <f t="array" ref="F319">_xlfn.IFS(C319&gt;=_xlfn.PERCENTILE.INC($C$2:$C$726,0.8),5,C319&gt;=_xlfn.PERCENTILE.INC($C$2:$C$726,0.6),4,C319&gt;=_xlfn.PERCENTILE.INC($C$2:$C$726,0.4),3,C319&gt;=_xlfn.PERCENTILE.INC($C$2:$C$726,0.2),2,TRUE,1)</f>
        <v>1</v>
      </c>
      <c r="G319" cm="1">
        <f t="array" ref="G319">_xlfn.IFS(D319&gt;=_xlfn.PERCENTILE.INC($D$2:$D$726,0.8),5,D319&gt;=_xlfn.PERCENTILE.INC($D$2:$D$726,0.6),4,D319&gt;=_xlfn.PERCENTILE.INC($D$2:$D$726,0.4),3,D319&gt;=_xlfn.PERCENTILE.INC($D$2:$D$726,0.2),2,TRUE,1)</f>
        <v>1</v>
      </c>
      <c r="H319">
        <f t="shared" si="4"/>
        <v>3</v>
      </c>
      <c r="I319" t="str" cm="1">
        <f t="array" ref="I319">_xlfn.IFS(H319&gt;=13,"Best Customers",H319&gt;=10,"Loyal Customers",H319&gt;=7,"Potential Loyal Customers",H319&gt;=4,"Need Attention",TRUE,"At Risk")</f>
        <v>At Risk</v>
      </c>
    </row>
    <row r="320" spans="1:9" x14ac:dyDescent="0.25">
      <c r="A320" t="s">
        <v>1511</v>
      </c>
      <c r="B320" s="4">
        <v>778</v>
      </c>
      <c r="C320">
        <v>8</v>
      </c>
      <c r="D320">
        <v>550.9</v>
      </c>
      <c r="E320" cm="1">
        <f t="array" ref="E320">_xlfn.IFS(B320&lt;=_xlfn.PERCENTILE.INC($B$2:$B$726,0.2),5, B320&lt;=_xlfn.PERCENTILE.INC($B$2:$B$726,0.4),4,B320&lt;=_xlfn.PERCENTILE.INC($B$2:$B$726,0.6),3,B320&lt;=_xlfn.PERCENTILE.INC($B$2:$B$726,0.8),4,TRUE,1)</f>
        <v>1</v>
      </c>
      <c r="F320" cm="1">
        <f t="array" ref="F320">_xlfn.IFS(C320&gt;=_xlfn.PERCENTILE.INC($C$2:$C$726,0.8),5,C320&gt;=_xlfn.PERCENTILE.INC($C$2:$C$726,0.6),4,C320&gt;=_xlfn.PERCENTILE.INC($C$2:$C$726,0.4),3,C320&gt;=_xlfn.PERCENTILE.INC($C$2:$C$726,0.2),2,TRUE,1)</f>
        <v>5</v>
      </c>
      <c r="G320" cm="1">
        <f t="array" ref="G320">_xlfn.IFS(D320&gt;=_xlfn.PERCENTILE.INC($D$2:$D$726,0.8),5,D320&gt;=_xlfn.PERCENTILE.INC($D$2:$D$726,0.6),4,D320&gt;=_xlfn.PERCENTILE.INC($D$2:$D$726,0.4),3,D320&gt;=_xlfn.PERCENTILE.INC($D$2:$D$726,0.2),2,TRUE,1)</f>
        <v>5</v>
      </c>
      <c r="H320">
        <f t="shared" si="4"/>
        <v>11</v>
      </c>
      <c r="I320" t="str" cm="1">
        <f t="array" ref="I320">_xlfn.IFS(H320&gt;=13,"Best Customers",H320&gt;=10,"Loyal Customers",H320&gt;=7,"Potential Loyal Customers",H320&gt;=4,"Need Attention",TRUE,"At Risk")</f>
        <v>Loyal Customers</v>
      </c>
    </row>
    <row r="321" spans="1:9" x14ac:dyDescent="0.25">
      <c r="A321" t="s">
        <v>1681</v>
      </c>
      <c r="B321" s="4">
        <v>443</v>
      </c>
      <c r="C321">
        <v>4</v>
      </c>
      <c r="D321">
        <v>132.1</v>
      </c>
      <c r="E321" cm="1">
        <f t="array" ref="E321">_xlfn.IFS(B321&lt;=_xlfn.PERCENTILE.INC($B$2:$B$726,0.2),5, B321&lt;=_xlfn.PERCENTILE.INC($B$2:$B$726,0.4),4,B321&lt;=_xlfn.PERCENTILE.INC($B$2:$B$726,0.6),3,B321&lt;=_xlfn.PERCENTILE.INC($B$2:$B$726,0.8),4,TRUE,1)</f>
        <v>4</v>
      </c>
      <c r="F321" cm="1">
        <f t="array" ref="F321">_xlfn.IFS(C321&gt;=_xlfn.PERCENTILE.INC($C$2:$C$726,0.8),5,C321&gt;=_xlfn.PERCENTILE.INC($C$2:$C$726,0.6),4,C321&gt;=_xlfn.PERCENTILE.INC($C$2:$C$726,0.4),3,C321&gt;=_xlfn.PERCENTILE.INC($C$2:$C$726,0.2),2,TRUE,1)</f>
        <v>2</v>
      </c>
      <c r="G321" cm="1">
        <f t="array" ref="G321">_xlfn.IFS(D321&gt;=_xlfn.PERCENTILE.INC($D$2:$D$726,0.8),5,D321&gt;=_xlfn.PERCENTILE.INC($D$2:$D$726,0.6),4,D321&gt;=_xlfn.PERCENTILE.INC($D$2:$D$726,0.4),3,D321&gt;=_xlfn.PERCENTILE.INC($D$2:$D$726,0.2),2,TRUE,1)</f>
        <v>1</v>
      </c>
      <c r="H321">
        <f t="shared" si="4"/>
        <v>7</v>
      </c>
      <c r="I321" t="str" cm="1">
        <f t="array" ref="I321">_xlfn.IFS(H321&gt;=13,"Best Customers",H321&gt;=10,"Loyal Customers",H321&gt;=7,"Potential Loyal Customers",H321&gt;=4,"Need Attention",TRUE,"At Risk")</f>
        <v>Potential Loyal Customers</v>
      </c>
    </row>
    <row r="322" spans="1:9" x14ac:dyDescent="0.25">
      <c r="A322" t="s">
        <v>626</v>
      </c>
      <c r="B322" s="4">
        <v>515</v>
      </c>
      <c r="C322">
        <v>5</v>
      </c>
      <c r="D322">
        <v>377.20000000000005</v>
      </c>
      <c r="E322" cm="1">
        <f t="array" ref="E322">_xlfn.IFS(B322&lt;=_xlfn.PERCENTILE.INC($B$2:$B$726,0.2),5, B322&lt;=_xlfn.PERCENTILE.INC($B$2:$B$726,0.4),4,B322&lt;=_xlfn.PERCENTILE.INC($B$2:$B$726,0.6),3,B322&lt;=_xlfn.PERCENTILE.INC($B$2:$B$726,0.8),4,TRUE,1)</f>
        <v>3</v>
      </c>
      <c r="F322" cm="1">
        <f t="array" ref="F322">_xlfn.IFS(C322&gt;=_xlfn.PERCENTILE.INC($C$2:$C$726,0.8),5,C322&gt;=_xlfn.PERCENTILE.INC($C$2:$C$726,0.6),4,C322&gt;=_xlfn.PERCENTILE.INC($C$2:$C$726,0.4),3,C322&gt;=_xlfn.PERCENTILE.INC($C$2:$C$726,0.2),2,TRUE,1)</f>
        <v>3</v>
      </c>
      <c r="G322" cm="1">
        <f t="array" ref="G322">_xlfn.IFS(D322&gt;=_xlfn.PERCENTILE.INC($D$2:$D$726,0.8),5,D322&gt;=_xlfn.PERCENTILE.INC($D$2:$D$726,0.6),4,D322&gt;=_xlfn.PERCENTILE.INC($D$2:$D$726,0.4),3,D322&gt;=_xlfn.PERCENTILE.INC($D$2:$D$726,0.2),2,TRUE,1)</f>
        <v>4</v>
      </c>
      <c r="H322">
        <f t="shared" si="4"/>
        <v>10</v>
      </c>
      <c r="I322" t="str" cm="1">
        <f t="array" ref="I322">_xlfn.IFS(H322&gt;=13,"Best Customers",H322&gt;=10,"Loyal Customers",H322&gt;=7,"Potential Loyal Customers",H322&gt;=4,"Need Attention",TRUE,"At Risk")</f>
        <v>Loyal Customers</v>
      </c>
    </row>
    <row r="323" spans="1:9" x14ac:dyDescent="0.25">
      <c r="A323" t="s">
        <v>3237</v>
      </c>
      <c r="B323" s="4">
        <v>596</v>
      </c>
      <c r="C323">
        <v>4</v>
      </c>
      <c r="D323">
        <v>244.5</v>
      </c>
      <c r="E323" cm="1">
        <f t="array" ref="E323">_xlfn.IFS(B323&lt;=_xlfn.PERCENTILE.INC($B$2:$B$726,0.2),5, B323&lt;=_xlfn.PERCENTILE.INC($B$2:$B$726,0.4),4,B323&lt;=_xlfn.PERCENTILE.INC($B$2:$B$726,0.6),3,B323&lt;=_xlfn.PERCENTILE.INC($B$2:$B$726,0.8),4,TRUE,1)</f>
        <v>4</v>
      </c>
      <c r="F323" cm="1">
        <f t="array" ref="F323">_xlfn.IFS(C323&gt;=_xlfn.PERCENTILE.INC($C$2:$C$726,0.8),5,C323&gt;=_xlfn.PERCENTILE.INC($C$2:$C$726,0.6),4,C323&gt;=_xlfn.PERCENTILE.INC($C$2:$C$726,0.4),3,C323&gt;=_xlfn.PERCENTILE.INC($C$2:$C$726,0.2),2,TRUE,1)</f>
        <v>2</v>
      </c>
      <c r="G323" cm="1">
        <f t="array" ref="G323">_xlfn.IFS(D323&gt;=_xlfn.PERCENTILE.INC($D$2:$D$726,0.8),5,D323&gt;=_xlfn.PERCENTILE.INC($D$2:$D$726,0.6),4,D323&gt;=_xlfn.PERCENTILE.INC($D$2:$D$726,0.4),3,D323&gt;=_xlfn.PERCENTILE.INC($D$2:$D$726,0.2),2,TRUE,1)</f>
        <v>3</v>
      </c>
      <c r="H323">
        <f t="shared" ref="H323:H386" si="5">SUM(E323,F323,G323)</f>
        <v>9</v>
      </c>
      <c r="I323" t="str" cm="1">
        <f t="array" ref="I323">_xlfn.IFS(H323&gt;=13,"Best Customers",H323&gt;=10,"Loyal Customers",H323&gt;=7,"Potential Loyal Customers",H323&gt;=4,"Need Attention",TRUE,"At Risk")</f>
        <v>Potential Loyal Customers</v>
      </c>
    </row>
    <row r="324" spans="1:9" x14ac:dyDescent="0.25">
      <c r="A324" t="s">
        <v>2702</v>
      </c>
      <c r="B324" s="4">
        <v>755</v>
      </c>
      <c r="C324">
        <v>5</v>
      </c>
      <c r="D324">
        <v>200</v>
      </c>
      <c r="E324" cm="1">
        <f t="array" ref="E324">_xlfn.IFS(B324&lt;=_xlfn.PERCENTILE.INC($B$2:$B$726,0.2),5, B324&lt;=_xlfn.PERCENTILE.INC($B$2:$B$726,0.4),4,B324&lt;=_xlfn.PERCENTILE.INC($B$2:$B$726,0.6),3,B324&lt;=_xlfn.PERCENTILE.INC($B$2:$B$726,0.8),4,TRUE,1)</f>
        <v>1</v>
      </c>
      <c r="F324" cm="1">
        <f t="array" ref="F324">_xlfn.IFS(C324&gt;=_xlfn.PERCENTILE.INC($C$2:$C$726,0.8),5,C324&gt;=_xlfn.PERCENTILE.INC($C$2:$C$726,0.6),4,C324&gt;=_xlfn.PERCENTILE.INC($C$2:$C$726,0.4),3,C324&gt;=_xlfn.PERCENTILE.INC($C$2:$C$726,0.2),2,TRUE,1)</f>
        <v>3</v>
      </c>
      <c r="G324" cm="1">
        <f t="array" ref="G324">_xlfn.IFS(D324&gt;=_xlfn.PERCENTILE.INC($D$2:$D$726,0.8),5,D324&gt;=_xlfn.PERCENTILE.INC($D$2:$D$726,0.6),4,D324&gt;=_xlfn.PERCENTILE.INC($D$2:$D$726,0.4),3,D324&gt;=_xlfn.PERCENTILE.INC($D$2:$D$726,0.2),2,TRUE,1)</f>
        <v>2</v>
      </c>
      <c r="H324">
        <f t="shared" si="5"/>
        <v>6</v>
      </c>
      <c r="I324" t="str" cm="1">
        <f t="array" ref="I324">_xlfn.IFS(H324&gt;=13,"Best Customers",H324&gt;=10,"Loyal Customers",H324&gt;=7,"Potential Loyal Customers",H324&gt;=4,"Need Attention",TRUE,"At Risk")</f>
        <v>Need Attention</v>
      </c>
    </row>
    <row r="325" spans="1:9" x14ac:dyDescent="0.25">
      <c r="A325" t="s">
        <v>1275</v>
      </c>
      <c r="B325" s="4">
        <v>381</v>
      </c>
      <c r="C325">
        <v>11</v>
      </c>
      <c r="D325">
        <v>521.1</v>
      </c>
      <c r="E325" cm="1">
        <f t="array" ref="E325">_xlfn.IFS(B325&lt;=_xlfn.PERCENTILE.INC($B$2:$B$726,0.2),5, B325&lt;=_xlfn.PERCENTILE.INC($B$2:$B$726,0.4),4,B325&lt;=_xlfn.PERCENTILE.INC($B$2:$B$726,0.6),3,B325&lt;=_xlfn.PERCENTILE.INC($B$2:$B$726,0.8),4,TRUE,1)</f>
        <v>5</v>
      </c>
      <c r="F325" cm="1">
        <f t="array" ref="F325">_xlfn.IFS(C325&gt;=_xlfn.PERCENTILE.INC($C$2:$C$726,0.8),5,C325&gt;=_xlfn.PERCENTILE.INC($C$2:$C$726,0.6),4,C325&gt;=_xlfn.PERCENTILE.INC($C$2:$C$726,0.4),3,C325&gt;=_xlfn.PERCENTILE.INC($C$2:$C$726,0.2),2,TRUE,1)</f>
        <v>5</v>
      </c>
      <c r="G325" cm="1">
        <f t="array" ref="G325">_xlfn.IFS(D325&gt;=_xlfn.PERCENTILE.INC($D$2:$D$726,0.8),5,D325&gt;=_xlfn.PERCENTILE.INC($D$2:$D$726,0.6),4,D325&gt;=_xlfn.PERCENTILE.INC($D$2:$D$726,0.4),3,D325&gt;=_xlfn.PERCENTILE.INC($D$2:$D$726,0.2),2,TRUE,1)</f>
        <v>5</v>
      </c>
      <c r="H325">
        <f t="shared" si="5"/>
        <v>15</v>
      </c>
      <c r="I325" t="str" cm="1">
        <f t="array" ref="I325">_xlfn.IFS(H325&gt;=13,"Best Customers",H325&gt;=10,"Loyal Customers",H325&gt;=7,"Potential Loyal Customers",H325&gt;=4,"Need Attention",TRUE,"At Risk")</f>
        <v>Best Customers</v>
      </c>
    </row>
    <row r="326" spans="1:9" x14ac:dyDescent="0.25">
      <c r="A326" t="s">
        <v>1893</v>
      </c>
      <c r="B326" s="4">
        <v>414</v>
      </c>
      <c r="C326">
        <v>9</v>
      </c>
      <c r="D326">
        <v>471.6</v>
      </c>
      <c r="E326" cm="1">
        <f t="array" ref="E326">_xlfn.IFS(B326&lt;=_xlfn.PERCENTILE.INC($B$2:$B$726,0.2),5, B326&lt;=_xlfn.PERCENTILE.INC($B$2:$B$726,0.4),4,B326&lt;=_xlfn.PERCENTILE.INC($B$2:$B$726,0.6),3,B326&lt;=_xlfn.PERCENTILE.INC($B$2:$B$726,0.8),4,TRUE,1)</f>
        <v>4</v>
      </c>
      <c r="F326" cm="1">
        <f t="array" ref="F326">_xlfn.IFS(C326&gt;=_xlfn.PERCENTILE.INC($C$2:$C$726,0.8),5,C326&gt;=_xlfn.PERCENTILE.INC($C$2:$C$726,0.6),4,C326&gt;=_xlfn.PERCENTILE.INC($C$2:$C$726,0.4),3,C326&gt;=_xlfn.PERCENTILE.INC($C$2:$C$726,0.2),2,TRUE,1)</f>
        <v>5</v>
      </c>
      <c r="G326" cm="1">
        <f t="array" ref="G326">_xlfn.IFS(D326&gt;=_xlfn.PERCENTILE.INC($D$2:$D$726,0.8),5,D326&gt;=_xlfn.PERCENTILE.INC($D$2:$D$726,0.6),4,D326&gt;=_xlfn.PERCENTILE.INC($D$2:$D$726,0.4),3,D326&gt;=_xlfn.PERCENTILE.INC($D$2:$D$726,0.2),2,TRUE,1)</f>
        <v>5</v>
      </c>
      <c r="H326">
        <f t="shared" si="5"/>
        <v>14</v>
      </c>
      <c r="I326" t="str" cm="1">
        <f t="array" ref="I326">_xlfn.IFS(H326&gt;=13,"Best Customers",H326&gt;=10,"Loyal Customers",H326&gt;=7,"Potential Loyal Customers",H326&gt;=4,"Need Attention",TRUE,"At Risk")</f>
        <v>Best Customers</v>
      </c>
    </row>
    <row r="327" spans="1:9" x14ac:dyDescent="0.25">
      <c r="A327" t="s">
        <v>1312</v>
      </c>
      <c r="B327" s="4">
        <v>426</v>
      </c>
      <c r="C327">
        <v>7</v>
      </c>
      <c r="D327">
        <v>262.39999999999998</v>
      </c>
      <c r="E327" cm="1">
        <f t="array" ref="E327">_xlfn.IFS(B327&lt;=_xlfn.PERCENTILE.INC($B$2:$B$726,0.2),5, B327&lt;=_xlfn.PERCENTILE.INC($B$2:$B$726,0.4),4,B327&lt;=_xlfn.PERCENTILE.INC($B$2:$B$726,0.6),3,B327&lt;=_xlfn.PERCENTILE.INC($B$2:$B$726,0.8),4,TRUE,1)</f>
        <v>4</v>
      </c>
      <c r="F327" cm="1">
        <f t="array" ref="F327">_xlfn.IFS(C327&gt;=_xlfn.PERCENTILE.INC($C$2:$C$726,0.8),5,C327&gt;=_xlfn.PERCENTILE.INC($C$2:$C$726,0.6),4,C327&gt;=_xlfn.PERCENTILE.INC($C$2:$C$726,0.4),3,C327&gt;=_xlfn.PERCENTILE.INC($C$2:$C$726,0.2),2,TRUE,1)</f>
        <v>4</v>
      </c>
      <c r="G327" cm="1">
        <f t="array" ref="G327">_xlfn.IFS(D327&gt;=_xlfn.PERCENTILE.INC($D$2:$D$726,0.8),5,D327&gt;=_xlfn.PERCENTILE.INC($D$2:$D$726,0.6),4,D327&gt;=_xlfn.PERCENTILE.INC($D$2:$D$726,0.4),3,D327&gt;=_xlfn.PERCENTILE.INC($D$2:$D$726,0.2),2,TRUE,1)</f>
        <v>3</v>
      </c>
      <c r="H327">
        <f t="shared" si="5"/>
        <v>11</v>
      </c>
      <c r="I327" t="str" cm="1">
        <f t="array" ref="I327">_xlfn.IFS(H327&gt;=13,"Best Customers",H327&gt;=10,"Loyal Customers",H327&gt;=7,"Potential Loyal Customers",H327&gt;=4,"Need Attention",TRUE,"At Risk")</f>
        <v>Loyal Customers</v>
      </c>
    </row>
    <row r="328" spans="1:9" x14ac:dyDescent="0.25">
      <c r="A328" t="s">
        <v>1819</v>
      </c>
      <c r="B328" s="4">
        <v>544</v>
      </c>
      <c r="C328">
        <v>5</v>
      </c>
      <c r="D328">
        <v>290.60000000000002</v>
      </c>
      <c r="E328" cm="1">
        <f t="array" ref="E328">_xlfn.IFS(B328&lt;=_xlfn.PERCENTILE.INC($B$2:$B$726,0.2),5, B328&lt;=_xlfn.PERCENTILE.INC($B$2:$B$726,0.4),4,B328&lt;=_xlfn.PERCENTILE.INC($B$2:$B$726,0.6),3,B328&lt;=_xlfn.PERCENTILE.INC($B$2:$B$726,0.8),4,TRUE,1)</f>
        <v>3</v>
      </c>
      <c r="F328" cm="1">
        <f t="array" ref="F328">_xlfn.IFS(C328&gt;=_xlfn.PERCENTILE.INC($C$2:$C$726,0.8),5,C328&gt;=_xlfn.PERCENTILE.INC($C$2:$C$726,0.6),4,C328&gt;=_xlfn.PERCENTILE.INC($C$2:$C$726,0.4),3,C328&gt;=_xlfn.PERCENTILE.INC($C$2:$C$726,0.2),2,TRUE,1)</f>
        <v>3</v>
      </c>
      <c r="G328" cm="1">
        <f t="array" ref="G328">_xlfn.IFS(D328&gt;=_xlfn.PERCENTILE.INC($D$2:$D$726,0.8),5,D328&gt;=_xlfn.PERCENTILE.INC($D$2:$D$726,0.6),4,D328&gt;=_xlfn.PERCENTILE.INC($D$2:$D$726,0.4),3,D328&gt;=_xlfn.PERCENTILE.INC($D$2:$D$726,0.2),2,TRUE,1)</f>
        <v>3</v>
      </c>
      <c r="H328">
        <f t="shared" si="5"/>
        <v>9</v>
      </c>
      <c r="I328" t="str" cm="1">
        <f t="array" ref="I328">_xlfn.IFS(H328&gt;=13,"Best Customers",H328&gt;=10,"Loyal Customers",H328&gt;=7,"Potential Loyal Customers",H328&gt;=4,"Need Attention",TRUE,"At Risk")</f>
        <v>Potential Loyal Customers</v>
      </c>
    </row>
    <row r="329" spans="1:9" x14ac:dyDescent="0.25">
      <c r="A329" t="s">
        <v>1500</v>
      </c>
      <c r="B329" s="4">
        <v>558</v>
      </c>
      <c r="C329">
        <v>9</v>
      </c>
      <c r="D329">
        <v>250.4</v>
      </c>
      <c r="E329" cm="1">
        <f t="array" ref="E329">_xlfn.IFS(B329&lt;=_xlfn.PERCENTILE.INC($B$2:$B$726,0.2),5, B329&lt;=_xlfn.PERCENTILE.INC($B$2:$B$726,0.4),4,B329&lt;=_xlfn.PERCENTILE.INC($B$2:$B$726,0.6),3,B329&lt;=_xlfn.PERCENTILE.INC($B$2:$B$726,0.8),4,TRUE,1)</f>
        <v>3</v>
      </c>
      <c r="F329" cm="1">
        <f t="array" ref="F329">_xlfn.IFS(C329&gt;=_xlfn.PERCENTILE.INC($C$2:$C$726,0.8),5,C329&gt;=_xlfn.PERCENTILE.INC($C$2:$C$726,0.6),4,C329&gt;=_xlfn.PERCENTILE.INC($C$2:$C$726,0.4),3,C329&gt;=_xlfn.PERCENTILE.INC($C$2:$C$726,0.2),2,TRUE,1)</f>
        <v>5</v>
      </c>
      <c r="G329" cm="1">
        <f t="array" ref="G329">_xlfn.IFS(D329&gt;=_xlfn.PERCENTILE.INC($D$2:$D$726,0.8),5,D329&gt;=_xlfn.PERCENTILE.INC($D$2:$D$726,0.6),4,D329&gt;=_xlfn.PERCENTILE.INC($D$2:$D$726,0.4),3,D329&gt;=_xlfn.PERCENTILE.INC($D$2:$D$726,0.2),2,TRUE,1)</f>
        <v>3</v>
      </c>
      <c r="H329">
        <f t="shared" si="5"/>
        <v>11</v>
      </c>
      <c r="I329" t="str" cm="1">
        <f t="array" ref="I329">_xlfn.IFS(H329&gt;=13,"Best Customers",H329&gt;=10,"Loyal Customers",H329&gt;=7,"Potential Loyal Customers",H329&gt;=4,"Need Attention",TRUE,"At Risk")</f>
        <v>Loyal Customers</v>
      </c>
    </row>
    <row r="330" spans="1:9" x14ac:dyDescent="0.25">
      <c r="A330" t="s">
        <v>1387</v>
      </c>
      <c r="B330" s="4">
        <v>570</v>
      </c>
      <c r="C330">
        <v>9</v>
      </c>
      <c r="D330">
        <v>345.9</v>
      </c>
      <c r="E330" cm="1">
        <f t="array" ref="E330">_xlfn.IFS(B330&lt;=_xlfn.PERCENTILE.INC($B$2:$B$726,0.2),5, B330&lt;=_xlfn.PERCENTILE.INC($B$2:$B$726,0.4),4,B330&lt;=_xlfn.PERCENTILE.INC($B$2:$B$726,0.6),3,B330&lt;=_xlfn.PERCENTILE.INC($B$2:$B$726,0.8),4,TRUE,1)</f>
        <v>4</v>
      </c>
      <c r="F330" cm="1">
        <f t="array" ref="F330">_xlfn.IFS(C330&gt;=_xlfn.PERCENTILE.INC($C$2:$C$726,0.8),5,C330&gt;=_xlfn.PERCENTILE.INC($C$2:$C$726,0.6),4,C330&gt;=_xlfn.PERCENTILE.INC($C$2:$C$726,0.4),3,C330&gt;=_xlfn.PERCENTILE.INC($C$2:$C$726,0.2),2,TRUE,1)</f>
        <v>5</v>
      </c>
      <c r="G330" cm="1">
        <f t="array" ref="G330">_xlfn.IFS(D330&gt;=_xlfn.PERCENTILE.INC($D$2:$D$726,0.8),5,D330&gt;=_xlfn.PERCENTILE.INC($D$2:$D$726,0.6),4,D330&gt;=_xlfn.PERCENTILE.INC($D$2:$D$726,0.4),3,D330&gt;=_xlfn.PERCENTILE.INC($D$2:$D$726,0.2),2,TRUE,1)</f>
        <v>4</v>
      </c>
      <c r="H330">
        <f t="shared" si="5"/>
        <v>13</v>
      </c>
      <c r="I330" t="str" cm="1">
        <f t="array" ref="I330">_xlfn.IFS(H330&gt;=13,"Best Customers",H330&gt;=10,"Loyal Customers",H330&gt;=7,"Potential Loyal Customers",H330&gt;=4,"Need Attention",TRUE,"At Risk")</f>
        <v>Best Customers</v>
      </c>
    </row>
    <row r="331" spans="1:9" x14ac:dyDescent="0.25">
      <c r="A331" t="s">
        <v>1607</v>
      </c>
      <c r="B331" s="4">
        <v>538</v>
      </c>
      <c r="C331">
        <v>8</v>
      </c>
      <c r="D331">
        <v>242.49999999999997</v>
      </c>
      <c r="E331" cm="1">
        <f t="array" ref="E331">_xlfn.IFS(B331&lt;=_xlfn.PERCENTILE.INC($B$2:$B$726,0.2),5, B331&lt;=_xlfn.PERCENTILE.INC($B$2:$B$726,0.4),4,B331&lt;=_xlfn.PERCENTILE.INC($B$2:$B$726,0.6),3,B331&lt;=_xlfn.PERCENTILE.INC($B$2:$B$726,0.8),4,TRUE,1)</f>
        <v>3</v>
      </c>
      <c r="F331" cm="1">
        <f t="array" ref="F331">_xlfn.IFS(C331&gt;=_xlfn.PERCENTILE.INC($C$2:$C$726,0.8),5,C331&gt;=_xlfn.PERCENTILE.INC($C$2:$C$726,0.6),4,C331&gt;=_xlfn.PERCENTILE.INC($C$2:$C$726,0.4),3,C331&gt;=_xlfn.PERCENTILE.INC($C$2:$C$726,0.2),2,TRUE,1)</f>
        <v>5</v>
      </c>
      <c r="G331" cm="1">
        <f t="array" ref="G331">_xlfn.IFS(D331&gt;=_xlfn.PERCENTILE.INC($D$2:$D$726,0.8),5,D331&gt;=_xlfn.PERCENTILE.INC($D$2:$D$726,0.6),4,D331&gt;=_xlfn.PERCENTILE.INC($D$2:$D$726,0.4),3,D331&gt;=_xlfn.PERCENTILE.INC($D$2:$D$726,0.2),2,TRUE,1)</f>
        <v>3</v>
      </c>
      <c r="H331">
        <f t="shared" si="5"/>
        <v>11</v>
      </c>
      <c r="I331" t="str" cm="1">
        <f t="array" ref="I331">_xlfn.IFS(H331&gt;=13,"Best Customers",H331&gt;=10,"Loyal Customers",H331&gt;=7,"Potential Loyal Customers",H331&gt;=4,"Need Attention",TRUE,"At Risk")</f>
        <v>Loyal Customers</v>
      </c>
    </row>
    <row r="332" spans="1:9" x14ac:dyDescent="0.25">
      <c r="A332" t="s">
        <v>1432</v>
      </c>
      <c r="B332" s="4">
        <v>422</v>
      </c>
      <c r="C332">
        <v>11</v>
      </c>
      <c r="D332">
        <v>508.2</v>
      </c>
      <c r="E332" cm="1">
        <f t="array" ref="E332">_xlfn.IFS(B332&lt;=_xlfn.PERCENTILE.INC($B$2:$B$726,0.2),5, B332&lt;=_xlfn.PERCENTILE.INC($B$2:$B$726,0.4),4,B332&lt;=_xlfn.PERCENTILE.INC($B$2:$B$726,0.6),3,B332&lt;=_xlfn.PERCENTILE.INC($B$2:$B$726,0.8),4,TRUE,1)</f>
        <v>4</v>
      </c>
      <c r="F332" cm="1">
        <f t="array" ref="F332">_xlfn.IFS(C332&gt;=_xlfn.PERCENTILE.INC($C$2:$C$726,0.8),5,C332&gt;=_xlfn.PERCENTILE.INC($C$2:$C$726,0.6),4,C332&gt;=_xlfn.PERCENTILE.INC($C$2:$C$726,0.4),3,C332&gt;=_xlfn.PERCENTILE.INC($C$2:$C$726,0.2),2,TRUE,1)</f>
        <v>5</v>
      </c>
      <c r="G332" cm="1">
        <f t="array" ref="G332">_xlfn.IFS(D332&gt;=_xlfn.PERCENTILE.INC($D$2:$D$726,0.8),5,D332&gt;=_xlfn.PERCENTILE.INC($D$2:$D$726,0.6),4,D332&gt;=_xlfn.PERCENTILE.INC($D$2:$D$726,0.4),3,D332&gt;=_xlfn.PERCENTILE.INC($D$2:$D$726,0.2),2,TRUE,1)</f>
        <v>5</v>
      </c>
      <c r="H332">
        <f t="shared" si="5"/>
        <v>14</v>
      </c>
      <c r="I332" t="str" cm="1">
        <f t="array" ref="I332">_xlfn.IFS(H332&gt;=13,"Best Customers",H332&gt;=10,"Loyal Customers",H332&gt;=7,"Potential Loyal Customers",H332&gt;=4,"Need Attention",TRUE,"At Risk")</f>
        <v>Best Customers</v>
      </c>
    </row>
    <row r="333" spans="1:9" x14ac:dyDescent="0.25">
      <c r="A333" t="s">
        <v>860</v>
      </c>
      <c r="B333" s="4">
        <v>603</v>
      </c>
      <c r="C333">
        <v>6</v>
      </c>
      <c r="D333">
        <v>301.10000000000002</v>
      </c>
      <c r="E333" cm="1">
        <f t="array" ref="E333">_xlfn.IFS(B333&lt;=_xlfn.PERCENTILE.INC($B$2:$B$726,0.2),5, B333&lt;=_xlfn.PERCENTILE.INC($B$2:$B$726,0.4),4,B333&lt;=_xlfn.PERCENTILE.INC($B$2:$B$726,0.6),3,B333&lt;=_xlfn.PERCENTILE.INC($B$2:$B$726,0.8),4,TRUE,1)</f>
        <v>4</v>
      </c>
      <c r="F333" cm="1">
        <f t="array" ref="F333">_xlfn.IFS(C333&gt;=_xlfn.PERCENTILE.INC($C$2:$C$726,0.8),5,C333&gt;=_xlfn.PERCENTILE.INC($C$2:$C$726,0.6),4,C333&gt;=_xlfn.PERCENTILE.INC($C$2:$C$726,0.4),3,C333&gt;=_xlfn.PERCENTILE.INC($C$2:$C$726,0.2),2,TRUE,1)</f>
        <v>4</v>
      </c>
      <c r="G333" cm="1">
        <f t="array" ref="G333">_xlfn.IFS(D333&gt;=_xlfn.PERCENTILE.INC($D$2:$D$726,0.8),5,D333&gt;=_xlfn.PERCENTILE.INC($D$2:$D$726,0.6),4,D333&gt;=_xlfn.PERCENTILE.INC($D$2:$D$726,0.4),3,D333&gt;=_xlfn.PERCENTILE.INC($D$2:$D$726,0.2),2,TRUE,1)</f>
        <v>3</v>
      </c>
      <c r="H333">
        <f t="shared" si="5"/>
        <v>11</v>
      </c>
      <c r="I333" t="str" cm="1">
        <f t="array" ref="I333">_xlfn.IFS(H333&gt;=13,"Best Customers",H333&gt;=10,"Loyal Customers",H333&gt;=7,"Potential Loyal Customers",H333&gt;=4,"Need Attention",TRUE,"At Risk")</f>
        <v>Loyal Customers</v>
      </c>
    </row>
    <row r="334" spans="1:9" x14ac:dyDescent="0.25">
      <c r="A334" t="s">
        <v>1408</v>
      </c>
      <c r="B334" s="4">
        <v>740</v>
      </c>
      <c r="C334">
        <v>6</v>
      </c>
      <c r="D334">
        <v>226.9</v>
      </c>
      <c r="E334" cm="1">
        <f t="array" ref="E334">_xlfn.IFS(B334&lt;=_xlfn.PERCENTILE.INC($B$2:$B$726,0.2),5, B334&lt;=_xlfn.PERCENTILE.INC($B$2:$B$726,0.4),4,B334&lt;=_xlfn.PERCENTILE.INC($B$2:$B$726,0.6),3,B334&lt;=_xlfn.PERCENTILE.INC($B$2:$B$726,0.8),4,TRUE,1)</f>
        <v>4</v>
      </c>
      <c r="F334" cm="1">
        <f t="array" ref="F334">_xlfn.IFS(C334&gt;=_xlfn.PERCENTILE.INC($C$2:$C$726,0.8),5,C334&gt;=_xlfn.PERCENTILE.INC($C$2:$C$726,0.6),4,C334&gt;=_xlfn.PERCENTILE.INC($C$2:$C$726,0.4),3,C334&gt;=_xlfn.PERCENTILE.INC($C$2:$C$726,0.2),2,TRUE,1)</f>
        <v>4</v>
      </c>
      <c r="G334" cm="1">
        <f t="array" ref="G334">_xlfn.IFS(D334&gt;=_xlfn.PERCENTILE.INC($D$2:$D$726,0.8),5,D334&gt;=_xlfn.PERCENTILE.INC($D$2:$D$726,0.6),4,D334&gt;=_xlfn.PERCENTILE.INC($D$2:$D$726,0.4),3,D334&gt;=_xlfn.PERCENTILE.INC($D$2:$D$726,0.2),2,TRUE,1)</f>
        <v>2</v>
      </c>
      <c r="H334">
        <f t="shared" si="5"/>
        <v>10</v>
      </c>
      <c r="I334" t="str" cm="1">
        <f t="array" ref="I334">_xlfn.IFS(H334&gt;=13,"Best Customers",H334&gt;=10,"Loyal Customers",H334&gt;=7,"Potential Loyal Customers",H334&gt;=4,"Need Attention",TRUE,"At Risk")</f>
        <v>Loyal Customers</v>
      </c>
    </row>
    <row r="335" spans="1:9" x14ac:dyDescent="0.25">
      <c r="A335" t="s">
        <v>1417</v>
      </c>
      <c r="B335" s="4">
        <v>1132</v>
      </c>
      <c r="C335">
        <v>2</v>
      </c>
      <c r="D335">
        <v>60</v>
      </c>
      <c r="E335" cm="1">
        <f t="array" ref="E335">_xlfn.IFS(B335&lt;=_xlfn.PERCENTILE.INC($B$2:$B$726,0.2),5, B335&lt;=_xlfn.PERCENTILE.INC($B$2:$B$726,0.4),4,B335&lt;=_xlfn.PERCENTILE.INC($B$2:$B$726,0.6),3,B335&lt;=_xlfn.PERCENTILE.INC($B$2:$B$726,0.8),4,TRUE,1)</f>
        <v>1</v>
      </c>
      <c r="F335" cm="1">
        <f t="array" ref="F335">_xlfn.IFS(C335&gt;=_xlfn.PERCENTILE.INC($C$2:$C$726,0.8),5,C335&gt;=_xlfn.PERCENTILE.INC($C$2:$C$726,0.6),4,C335&gt;=_xlfn.PERCENTILE.INC($C$2:$C$726,0.4),3,C335&gt;=_xlfn.PERCENTILE.INC($C$2:$C$726,0.2),2,TRUE,1)</f>
        <v>1</v>
      </c>
      <c r="G335" cm="1">
        <f t="array" ref="G335">_xlfn.IFS(D335&gt;=_xlfn.PERCENTILE.INC($D$2:$D$726,0.8),5,D335&gt;=_xlfn.PERCENTILE.INC($D$2:$D$726,0.6),4,D335&gt;=_xlfn.PERCENTILE.INC($D$2:$D$726,0.4),3,D335&gt;=_xlfn.PERCENTILE.INC($D$2:$D$726,0.2),2,TRUE,1)</f>
        <v>1</v>
      </c>
      <c r="H335">
        <f t="shared" si="5"/>
        <v>3</v>
      </c>
      <c r="I335" t="str" cm="1">
        <f t="array" ref="I335">_xlfn.IFS(H335&gt;=13,"Best Customers",H335&gt;=10,"Loyal Customers",H335&gt;=7,"Potential Loyal Customers",H335&gt;=4,"Need Attention",TRUE,"At Risk")</f>
        <v>At Risk</v>
      </c>
    </row>
    <row r="336" spans="1:9" x14ac:dyDescent="0.25">
      <c r="A336" t="s">
        <v>1088</v>
      </c>
      <c r="B336" s="4">
        <v>481</v>
      </c>
      <c r="C336">
        <v>6</v>
      </c>
      <c r="D336">
        <v>250.10000000000002</v>
      </c>
      <c r="E336" cm="1">
        <f t="array" ref="E336">_xlfn.IFS(B336&lt;=_xlfn.PERCENTILE.INC($B$2:$B$726,0.2),5, B336&lt;=_xlfn.PERCENTILE.INC($B$2:$B$726,0.4),4,B336&lt;=_xlfn.PERCENTILE.INC($B$2:$B$726,0.6),3,B336&lt;=_xlfn.PERCENTILE.INC($B$2:$B$726,0.8),4,TRUE,1)</f>
        <v>3</v>
      </c>
      <c r="F336" cm="1">
        <f t="array" ref="F336">_xlfn.IFS(C336&gt;=_xlfn.PERCENTILE.INC($C$2:$C$726,0.8),5,C336&gt;=_xlfn.PERCENTILE.INC($C$2:$C$726,0.6),4,C336&gt;=_xlfn.PERCENTILE.INC($C$2:$C$726,0.4),3,C336&gt;=_xlfn.PERCENTILE.INC($C$2:$C$726,0.2),2,TRUE,1)</f>
        <v>4</v>
      </c>
      <c r="G336" cm="1">
        <f t="array" ref="G336">_xlfn.IFS(D336&gt;=_xlfn.PERCENTILE.INC($D$2:$D$726,0.8),5,D336&gt;=_xlfn.PERCENTILE.INC($D$2:$D$726,0.6),4,D336&gt;=_xlfn.PERCENTILE.INC($D$2:$D$726,0.4),3,D336&gt;=_xlfn.PERCENTILE.INC($D$2:$D$726,0.2),2,TRUE,1)</f>
        <v>3</v>
      </c>
      <c r="H336">
        <f t="shared" si="5"/>
        <v>10</v>
      </c>
      <c r="I336" t="str" cm="1">
        <f t="array" ref="I336">_xlfn.IFS(H336&gt;=13,"Best Customers",H336&gt;=10,"Loyal Customers",H336&gt;=7,"Potential Loyal Customers",H336&gt;=4,"Need Attention",TRUE,"At Risk")</f>
        <v>Loyal Customers</v>
      </c>
    </row>
    <row r="337" spans="1:9" x14ac:dyDescent="0.25">
      <c r="A337" t="s">
        <v>552</v>
      </c>
      <c r="B337" s="4">
        <v>615</v>
      </c>
      <c r="C337">
        <v>7</v>
      </c>
      <c r="D337">
        <v>323.7</v>
      </c>
      <c r="E337" cm="1">
        <f t="array" ref="E337">_xlfn.IFS(B337&lt;=_xlfn.PERCENTILE.INC($B$2:$B$726,0.2),5, B337&lt;=_xlfn.PERCENTILE.INC($B$2:$B$726,0.4),4,B337&lt;=_xlfn.PERCENTILE.INC($B$2:$B$726,0.6),3,B337&lt;=_xlfn.PERCENTILE.INC($B$2:$B$726,0.8),4,TRUE,1)</f>
        <v>4</v>
      </c>
      <c r="F337" cm="1">
        <f t="array" ref="F337">_xlfn.IFS(C337&gt;=_xlfn.PERCENTILE.INC($C$2:$C$726,0.8),5,C337&gt;=_xlfn.PERCENTILE.INC($C$2:$C$726,0.6),4,C337&gt;=_xlfn.PERCENTILE.INC($C$2:$C$726,0.4),3,C337&gt;=_xlfn.PERCENTILE.INC($C$2:$C$726,0.2),2,TRUE,1)</f>
        <v>4</v>
      </c>
      <c r="G337" cm="1">
        <f t="array" ref="G337">_xlfn.IFS(D337&gt;=_xlfn.PERCENTILE.INC($D$2:$D$726,0.8),5,D337&gt;=_xlfn.PERCENTILE.INC($D$2:$D$726,0.6),4,D337&gt;=_xlfn.PERCENTILE.INC($D$2:$D$726,0.4),3,D337&gt;=_xlfn.PERCENTILE.INC($D$2:$D$726,0.2),2,TRUE,1)</f>
        <v>4</v>
      </c>
      <c r="H337">
        <f t="shared" si="5"/>
        <v>12</v>
      </c>
      <c r="I337" t="str" cm="1">
        <f t="array" ref="I337">_xlfn.IFS(H337&gt;=13,"Best Customers",H337&gt;=10,"Loyal Customers",H337&gt;=7,"Potential Loyal Customers",H337&gt;=4,"Need Attention",TRUE,"At Risk")</f>
        <v>Loyal Customers</v>
      </c>
    </row>
    <row r="338" spans="1:9" x14ac:dyDescent="0.25">
      <c r="A338" t="s">
        <v>3030</v>
      </c>
      <c r="B338" s="4">
        <v>445</v>
      </c>
      <c r="C338">
        <v>8</v>
      </c>
      <c r="D338">
        <v>356.9</v>
      </c>
      <c r="E338" cm="1">
        <f t="array" ref="E338">_xlfn.IFS(B338&lt;=_xlfn.PERCENTILE.INC($B$2:$B$726,0.2),5, B338&lt;=_xlfn.PERCENTILE.INC($B$2:$B$726,0.4),4,B338&lt;=_xlfn.PERCENTILE.INC($B$2:$B$726,0.6),3,B338&lt;=_xlfn.PERCENTILE.INC($B$2:$B$726,0.8),4,TRUE,1)</f>
        <v>4</v>
      </c>
      <c r="F338" cm="1">
        <f t="array" ref="F338">_xlfn.IFS(C338&gt;=_xlfn.PERCENTILE.INC($C$2:$C$726,0.8),5,C338&gt;=_xlfn.PERCENTILE.INC($C$2:$C$726,0.6),4,C338&gt;=_xlfn.PERCENTILE.INC($C$2:$C$726,0.4),3,C338&gt;=_xlfn.PERCENTILE.INC($C$2:$C$726,0.2),2,TRUE,1)</f>
        <v>5</v>
      </c>
      <c r="G338" cm="1">
        <f t="array" ref="G338">_xlfn.IFS(D338&gt;=_xlfn.PERCENTILE.INC($D$2:$D$726,0.8),5,D338&gt;=_xlfn.PERCENTILE.INC($D$2:$D$726,0.6),4,D338&gt;=_xlfn.PERCENTILE.INC($D$2:$D$726,0.4),3,D338&gt;=_xlfn.PERCENTILE.INC($D$2:$D$726,0.2),2,TRUE,1)</f>
        <v>4</v>
      </c>
      <c r="H338">
        <f t="shared" si="5"/>
        <v>13</v>
      </c>
      <c r="I338" t="str" cm="1">
        <f t="array" ref="I338">_xlfn.IFS(H338&gt;=13,"Best Customers",H338&gt;=10,"Loyal Customers",H338&gt;=7,"Potential Loyal Customers",H338&gt;=4,"Need Attention",TRUE,"At Risk")</f>
        <v>Best Customers</v>
      </c>
    </row>
    <row r="339" spans="1:9" x14ac:dyDescent="0.25">
      <c r="A339" t="s">
        <v>1936</v>
      </c>
      <c r="B339" s="4">
        <v>360</v>
      </c>
      <c r="C339">
        <v>5</v>
      </c>
      <c r="D339">
        <v>129</v>
      </c>
      <c r="E339" cm="1">
        <f t="array" ref="E339">_xlfn.IFS(B339&lt;=_xlfn.PERCENTILE.INC($B$2:$B$726,0.2),5, B339&lt;=_xlfn.PERCENTILE.INC($B$2:$B$726,0.4),4,B339&lt;=_xlfn.PERCENTILE.INC($B$2:$B$726,0.6),3,B339&lt;=_xlfn.PERCENTILE.INC($B$2:$B$726,0.8),4,TRUE,1)</f>
        <v>5</v>
      </c>
      <c r="F339" cm="1">
        <f t="array" ref="F339">_xlfn.IFS(C339&gt;=_xlfn.PERCENTILE.INC($C$2:$C$726,0.8),5,C339&gt;=_xlfn.PERCENTILE.INC($C$2:$C$726,0.6),4,C339&gt;=_xlfn.PERCENTILE.INC($C$2:$C$726,0.4),3,C339&gt;=_xlfn.PERCENTILE.INC($C$2:$C$726,0.2),2,TRUE,1)</f>
        <v>3</v>
      </c>
      <c r="G339" cm="1">
        <f t="array" ref="G339">_xlfn.IFS(D339&gt;=_xlfn.PERCENTILE.INC($D$2:$D$726,0.8),5,D339&gt;=_xlfn.PERCENTILE.INC($D$2:$D$726,0.6),4,D339&gt;=_xlfn.PERCENTILE.INC($D$2:$D$726,0.4),3,D339&gt;=_xlfn.PERCENTILE.INC($D$2:$D$726,0.2),2,TRUE,1)</f>
        <v>1</v>
      </c>
      <c r="H339">
        <f t="shared" si="5"/>
        <v>9</v>
      </c>
      <c r="I339" t="str" cm="1">
        <f t="array" ref="I339">_xlfn.IFS(H339&gt;=13,"Best Customers",H339&gt;=10,"Loyal Customers",H339&gt;=7,"Potential Loyal Customers",H339&gt;=4,"Need Attention",TRUE,"At Risk")</f>
        <v>Potential Loyal Customers</v>
      </c>
    </row>
    <row r="340" spans="1:9" x14ac:dyDescent="0.25">
      <c r="A340" t="s">
        <v>1131</v>
      </c>
      <c r="B340" s="4">
        <v>412</v>
      </c>
      <c r="C340">
        <v>8</v>
      </c>
      <c r="D340">
        <v>444.6</v>
      </c>
      <c r="E340" cm="1">
        <f t="array" ref="E340">_xlfn.IFS(B340&lt;=_xlfn.PERCENTILE.INC($B$2:$B$726,0.2),5, B340&lt;=_xlfn.PERCENTILE.INC($B$2:$B$726,0.4),4,B340&lt;=_xlfn.PERCENTILE.INC($B$2:$B$726,0.6),3,B340&lt;=_xlfn.PERCENTILE.INC($B$2:$B$726,0.8),4,TRUE,1)</f>
        <v>4</v>
      </c>
      <c r="F340" cm="1">
        <f t="array" ref="F340">_xlfn.IFS(C340&gt;=_xlfn.PERCENTILE.INC($C$2:$C$726,0.8),5,C340&gt;=_xlfn.PERCENTILE.INC($C$2:$C$726,0.6),4,C340&gt;=_xlfn.PERCENTILE.INC($C$2:$C$726,0.4),3,C340&gt;=_xlfn.PERCENTILE.INC($C$2:$C$726,0.2),2,TRUE,1)</f>
        <v>5</v>
      </c>
      <c r="G340" cm="1">
        <f t="array" ref="G340">_xlfn.IFS(D340&gt;=_xlfn.PERCENTILE.INC($D$2:$D$726,0.8),5,D340&gt;=_xlfn.PERCENTILE.INC($D$2:$D$726,0.6),4,D340&gt;=_xlfn.PERCENTILE.INC($D$2:$D$726,0.4),3,D340&gt;=_xlfn.PERCENTILE.INC($D$2:$D$726,0.2),2,TRUE,1)</f>
        <v>5</v>
      </c>
      <c r="H340">
        <f t="shared" si="5"/>
        <v>14</v>
      </c>
      <c r="I340" t="str" cm="1">
        <f t="array" ref="I340">_xlfn.IFS(H340&gt;=13,"Best Customers",H340&gt;=10,"Loyal Customers",H340&gt;=7,"Potential Loyal Customers",H340&gt;=4,"Need Attention",TRUE,"At Risk")</f>
        <v>Best Customers</v>
      </c>
    </row>
    <row r="341" spans="1:9" x14ac:dyDescent="0.25">
      <c r="A341" t="s">
        <v>3452</v>
      </c>
      <c r="B341" s="4">
        <v>462</v>
      </c>
      <c r="C341">
        <v>6</v>
      </c>
      <c r="D341">
        <v>124.8</v>
      </c>
      <c r="E341" cm="1">
        <f t="array" ref="E341">_xlfn.IFS(B341&lt;=_xlfn.PERCENTILE.INC($B$2:$B$726,0.2),5, B341&lt;=_xlfn.PERCENTILE.INC($B$2:$B$726,0.4),4,B341&lt;=_xlfn.PERCENTILE.INC($B$2:$B$726,0.6),3,B341&lt;=_xlfn.PERCENTILE.INC($B$2:$B$726,0.8),4,TRUE,1)</f>
        <v>3</v>
      </c>
      <c r="F341" cm="1">
        <f t="array" ref="F341">_xlfn.IFS(C341&gt;=_xlfn.PERCENTILE.INC($C$2:$C$726,0.8),5,C341&gt;=_xlfn.PERCENTILE.INC($C$2:$C$726,0.6),4,C341&gt;=_xlfn.PERCENTILE.INC($C$2:$C$726,0.4),3,C341&gt;=_xlfn.PERCENTILE.INC($C$2:$C$726,0.2),2,TRUE,1)</f>
        <v>4</v>
      </c>
      <c r="G341" cm="1">
        <f t="array" ref="G341">_xlfn.IFS(D341&gt;=_xlfn.PERCENTILE.INC($D$2:$D$726,0.8),5,D341&gt;=_xlfn.PERCENTILE.INC($D$2:$D$726,0.6),4,D341&gt;=_xlfn.PERCENTILE.INC($D$2:$D$726,0.4),3,D341&gt;=_xlfn.PERCENTILE.INC($D$2:$D$726,0.2),2,TRUE,1)</f>
        <v>1</v>
      </c>
      <c r="H341">
        <f t="shared" si="5"/>
        <v>8</v>
      </c>
      <c r="I341" t="str" cm="1">
        <f t="array" ref="I341">_xlfn.IFS(H341&gt;=13,"Best Customers",H341&gt;=10,"Loyal Customers",H341&gt;=7,"Potential Loyal Customers",H341&gt;=4,"Need Attention",TRUE,"At Risk")</f>
        <v>Potential Loyal Customers</v>
      </c>
    </row>
    <row r="342" spans="1:9" x14ac:dyDescent="0.25">
      <c r="A342" t="s">
        <v>990</v>
      </c>
      <c r="B342" s="4">
        <v>527</v>
      </c>
      <c r="C342">
        <v>3</v>
      </c>
      <c r="D342">
        <v>64.5</v>
      </c>
      <c r="E342" cm="1">
        <f t="array" ref="E342">_xlfn.IFS(B342&lt;=_xlfn.PERCENTILE.INC($B$2:$B$726,0.2),5, B342&lt;=_xlfn.PERCENTILE.INC($B$2:$B$726,0.4),4,B342&lt;=_xlfn.PERCENTILE.INC($B$2:$B$726,0.6),3,B342&lt;=_xlfn.PERCENTILE.INC($B$2:$B$726,0.8),4,TRUE,1)</f>
        <v>3</v>
      </c>
      <c r="F342" cm="1">
        <f t="array" ref="F342">_xlfn.IFS(C342&gt;=_xlfn.PERCENTILE.INC($C$2:$C$726,0.8),5,C342&gt;=_xlfn.PERCENTILE.INC($C$2:$C$726,0.6),4,C342&gt;=_xlfn.PERCENTILE.INC($C$2:$C$726,0.4),3,C342&gt;=_xlfn.PERCENTILE.INC($C$2:$C$726,0.2),2,TRUE,1)</f>
        <v>1</v>
      </c>
      <c r="G342" cm="1">
        <f t="array" ref="G342">_xlfn.IFS(D342&gt;=_xlfn.PERCENTILE.INC($D$2:$D$726,0.8),5,D342&gt;=_xlfn.PERCENTILE.INC($D$2:$D$726,0.6),4,D342&gt;=_xlfn.PERCENTILE.INC($D$2:$D$726,0.4),3,D342&gt;=_xlfn.PERCENTILE.INC($D$2:$D$726,0.2),2,TRUE,1)</f>
        <v>1</v>
      </c>
      <c r="H342">
        <f t="shared" si="5"/>
        <v>5</v>
      </c>
      <c r="I342" t="str" cm="1">
        <f t="array" ref="I342">_xlfn.IFS(H342&gt;=13,"Best Customers",H342&gt;=10,"Loyal Customers",H342&gt;=7,"Potential Loyal Customers",H342&gt;=4,"Need Attention",TRUE,"At Risk")</f>
        <v>Need Attention</v>
      </c>
    </row>
    <row r="343" spans="1:9" x14ac:dyDescent="0.25">
      <c r="A343" t="s">
        <v>2218</v>
      </c>
      <c r="B343" s="4">
        <v>434</v>
      </c>
      <c r="C343">
        <v>6</v>
      </c>
      <c r="D343">
        <v>270.79999999999995</v>
      </c>
      <c r="E343" cm="1">
        <f t="array" ref="E343">_xlfn.IFS(B343&lt;=_xlfn.PERCENTILE.INC($B$2:$B$726,0.2),5, B343&lt;=_xlfn.PERCENTILE.INC($B$2:$B$726,0.4),4,B343&lt;=_xlfn.PERCENTILE.INC($B$2:$B$726,0.6),3,B343&lt;=_xlfn.PERCENTILE.INC($B$2:$B$726,0.8),4,TRUE,1)</f>
        <v>4</v>
      </c>
      <c r="F343" cm="1">
        <f t="array" ref="F343">_xlfn.IFS(C343&gt;=_xlfn.PERCENTILE.INC($C$2:$C$726,0.8),5,C343&gt;=_xlfn.PERCENTILE.INC($C$2:$C$726,0.6),4,C343&gt;=_xlfn.PERCENTILE.INC($C$2:$C$726,0.4),3,C343&gt;=_xlfn.PERCENTILE.INC($C$2:$C$726,0.2),2,TRUE,1)</f>
        <v>4</v>
      </c>
      <c r="G343" cm="1">
        <f t="array" ref="G343">_xlfn.IFS(D343&gt;=_xlfn.PERCENTILE.INC($D$2:$D$726,0.8),5,D343&gt;=_xlfn.PERCENTILE.INC($D$2:$D$726,0.6),4,D343&gt;=_xlfn.PERCENTILE.INC($D$2:$D$726,0.4),3,D343&gt;=_xlfn.PERCENTILE.INC($D$2:$D$726,0.2),2,TRUE,1)</f>
        <v>3</v>
      </c>
      <c r="H343">
        <f t="shared" si="5"/>
        <v>11</v>
      </c>
      <c r="I343" t="str" cm="1">
        <f t="array" ref="I343">_xlfn.IFS(H343&gt;=13,"Best Customers",H343&gt;=10,"Loyal Customers",H343&gt;=7,"Potential Loyal Customers",H343&gt;=4,"Need Attention",TRUE,"At Risk")</f>
        <v>Loyal Customers</v>
      </c>
    </row>
    <row r="344" spans="1:9" x14ac:dyDescent="0.25">
      <c r="A344" t="s">
        <v>1015</v>
      </c>
      <c r="B344" s="4">
        <v>403</v>
      </c>
      <c r="C344">
        <v>7</v>
      </c>
      <c r="D344">
        <v>322.70000000000005</v>
      </c>
      <c r="E344" cm="1">
        <f t="array" ref="E344">_xlfn.IFS(B344&lt;=_xlfn.PERCENTILE.INC($B$2:$B$726,0.2),5, B344&lt;=_xlfn.PERCENTILE.INC($B$2:$B$726,0.4),4,B344&lt;=_xlfn.PERCENTILE.INC($B$2:$B$726,0.6),3,B344&lt;=_xlfn.PERCENTILE.INC($B$2:$B$726,0.8),4,TRUE,1)</f>
        <v>4</v>
      </c>
      <c r="F344" cm="1">
        <f t="array" ref="F344">_xlfn.IFS(C344&gt;=_xlfn.PERCENTILE.INC($C$2:$C$726,0.8),5,C344&gt;=_xlfn.PERCENTILE.INC($C$2:$C$726,0.6),4,C344&gt;=_xlfn.PERCENTILE.INC($C$2:$C$726,0.4),3,C344&gt;=_xlfn.PERCENTILE.INC($C$2:$C$726,0.2),2,TRUE,1)</f>
        <v>4</v>
      </c>
      <c r="G344" cm="1">
        <f t="array" ref="G344">_xlfn.IFS(D344&gt;=_xlfn.PERCENTILE.INC($D$2:$D$726,0.8),5,D344&gt;=_xlfn.PERCENTILE.INC($D$2:$D$726,0.6),4,D344&gt;=_xlfn.PERCENTILE.INC($D$2:$D$726,0.4),3,D344&gt;=_xlfn.PERCENTILE.INC($D$2:$D$726,0.2),2,TRUE,1)</f>
        <v>4</v>
      </c>
      <c r="H344">
        <f t="shared" si="5"/>
        <v>12</v>
      </c>
      <c r="I344" t="str" cm="1">
        <f t="array" ref="I344">_xlfn.IFS(H344&gt;=13,"Best Customers",H344&gt;=10,"Loyal Customers",H344&gt;=7,"Potential Loyal Customers",H344&gt;=4,"Need Attention",TRUE,"At Risk")</f>
        <v>Loyal Customers</v>
      </c>
    </row>
    <row r="345" spans="1:9" x14ac:dyDescent="0.25">
      <c r="A345" t="s">
        <v>2960</v>
      </c>
      <c r="B345" s="4">
        <v>763</v>
      </c>
      <c r="C345">
        <v>3</v>
      </c>
      <c r="D345">
        <v>193.3</v>
      </c>
      <c r="E345" cm="1">
        <f t="array" ref="E345">_xlfn.IFS(B345&lt;=_xlfn.PERCENTILE.INC($B$2:$B$726,0.2),5, B345&lt;=_xlfn.PERCENTILE.INC($B$2:$B$726,0.4),4,B345&lt;=_xlfn.PERCENTILE.INC($B$2:$B$726,0.6),3,B345&lt;=_xlfn.PERCENTILE.INC($B$2:$B$726,0.8),4,TRUE,1)</f>
        <v>1</v>
      </c>
      <c r="F345" cm="1">
        <f t="array" ref="F345">_xlfn.IFS(C345&gt;=_xlfn.PERCENTILE.INC($C$2:$C$726,0.8),5,C345&gt;=_xlfn.PERCENTILE.INC($C$2:$C$726,0.6),4,C345&gt;=_xlfn.PERCENTILE.INC($C$2:$C$726,0.4),3,C345&gt;=_xlfn.PERCENTILE.INC($C$2:$C$726,0.2),2,TRUE,1)</f>
        <v>1</v>
      </c>
      <c r="G345" cm="1">
        <f t="array" ref="G345">_xlfn.IFS(D345&gt;=_xlfn.PERCENTILE.INC($D$2:$D$726,0.8),5,D345&gt;=_xlfn.PERCENTILE.INC($D$2:$D$726,0.6),4,D345&gt;=_xlfn.PERCENTILE.INC($D$2:$D$726,0.4),3,D345&gt;=_xlfn.PERCENTILE.INC($D$2:$D$726,0.2),2,TRUE,1)</f>
        <v>2</v>
      </c>
      <c r="H345">
        <f t="shared" si="5"/>
        <v>4</v>
      </c>
      <c r="I345" t="str" cm="1">
        <f t="array" ref="I345">_xlfn.IFS(H345&gt;=13,"Best Customers",H345&gt;=10,"Loyal Customers",H345&gt;=7,"Potential Loyal Customers",H345&gt;=4,"Need Attention",TRUE,"At Risk")</f>
        <v>Need Attention</v>
      </c>
    </row>
    <row r="346" spans="1:9" x14ac:dyDescent="0.25">
      <c r="A346" t="s">
        <v>926</v>
      </c>
      <c r="B346" s="4">
        <v>699</v>
      </c>
      <c r="C346">
        <v>5</v>
      </c>
      <c r="D346">
        <v>371</v>
      </c>
      <c r="E346" cm="1">
        <f t="array" ref="E346">_xlfn.IFS(B346&lt;=_xlfn.PERCENTILE.INC($B$2:$B$726,0.2),5, B346&lt;=_xlfn.PERCENTILE.INC($B$2:$B$726,0.4),4,B346&lt;=_xlfn.PERCENTILE.INC($B$2:$B$726,0.6),3,B346&lt;=_xlfn.PERCENTILE.INC($B$2:$B$726,0.8),4,TRUE,1)</f>
        <v>4</v>
      </c>
      <c r="F346" cm="1">
        <f t="array" ref="F346">_xlfn.IFS(C346&gt;=_xlfn.PERCENTILE.INC($C$2:$C$726,0.8),5,C346&gt;=_xlfn.PERCENTILE.INC($C$2:$C$726,0.6),4,C346&gt;=_xlfn.PERCENTILE.INC($C$2:$C$726,0.4),3,C346&gt;=_xlfn.PERCENTILE.INC($C$2:$C$726,0.2),2,TRUE,1)</f>
        <v>3</v>
      </c>
      <c r="G346" cm="1">
        <f t="array" ref="G346">_xlfn.IFS(D346&gt;=_xlfn.PERCENTILE.INC($D$2:$D$726,0.8),5,D346&gt;=_xlfn.PERCENTILE.INC($D$2:$D$726,0.6),4,D346&gt;=_xlfn.PERCENTILE.INC($D$2:$D$726,0.4),3,D346&gt;=_xlfn.PERCENTILE.INC($D$2:$D$726,0.2),2,TRUE,1)</f>
        <v>4</v>
      </c>
      <c r="H346">
        <f t="shared" si="5"/>
        <v>11</v>
      </c>
      <c r="I346" t="str" cm="1">
        <f t="array" ref="I346">_xlfn.IFS(H346&gt;=13,"Best Customers",H346&gt;=10,"Loyal Customers",H346&gt;=7,"Potential Loyal Customers",H346&gt;=4,"Need Attention",TRUE,"At Risk")</f>
        <v>Loyal Customers</v>
      </c>
    </row>
    <row r="347" spans="1:9" x14ac:dyDescent="0.25">
      <c r="A347" t="s">
        <v>583</v>
      </c>
      <c r="B347" s="4">
        <v>654</v>
      </c>
      <c r="C347">
        <v>5</v>
      </c>
      <c r="D347">
        <v>326.8</v>
      </c>
      <c r="E347" cm="1">
        <f t="array" ref="E347">_xlfn.IFS(B347&lt;=_xlfn.PERCENTILE.INC($B$2:$B$726,0.2),5, B347&lt;=_xlfn.PERCENTILE.INC($B$2:$B$726,0.4),4,B347&lt;=_xlfn.PERCENTILE.INC($B$2:$B$726,0.6),3,B347&lt;=_xlfn.PERCENTILE.INC($B$2:$B$726,0.8),4,TRUE,1)</f>
        <v>4</v>
      </c>
      <c r="F347" cm="1">
        <f t="array" ref="F347">_xlfn.IFS(C347&gt;=_xlfn.PERCENTILE.INC($C$2:$C$726,0.8),5,C347&gt;=_xlfn.PERCENTILE.INC($C$2:$C$726,0.6),4,C347&gt;=_xlfn.PERCENTILE.INC($C$2:$C$726,0.4),3,C347&gt;=_xlfn.PERCENTILE.INC($C$2:$C$726,0.2),2,TRUE,1)</f>
        <v>3</v>
      </c>
      <c r="G347" cm="1">
        <f t="array" ref="G347">_xlfn.IFS(D347&gt;=_xlfn.PERCENTILE.INC($D$2:$D$726,0.8),5,D347&gt;=_xlfn.PERCENTILE.INC($D$2:$D$726,0.6),4,D347&gt;=_xlfn.PERCENTILE.INC($D$2:$D$726,0.4),3,D347&gt;=_xlfn.PERCENTILE.INC($D$2:$D$726,0.2),2,TRUE,1)</f>
        <v>4</v>
      </c>
      <c r="H347">
        <f t="shared" si="5"/>
        <v>11</v>
      </c>
      <c r="I347" t="str" cm="1">
        <f t="array" ref="I347">_xlfn.IFS(H347&gt;=13,"Best Customers",H347&gt;=10,"Loyal Customers",H347&gt;=7,"Potential Loyal Customers",H347&gt;=4,"Need Attention",TRUE,"At Risk")</f>
        <v>Loyal Customers</v>
      </c>
    </row>
    <row r="348" spans="1:9" x14ac:dyDescent="0.25">
      <c r="A348" t="s">
        <v>754</v>
      </c>
      <c r="B348" s="4">
        <v>664</v>
      </c>
      <c r="C348">
        <v>7</v>
      </c>
      <c r="D348">
        <v>431.09999999999997</v>
      </c>
      <c r="E348" cm="1">
        <f t="array" ref="E348">_xlfn.IFS(B348&lt;=_xlfn.PERCENTILE.INC($B$2:$B$726,0.2),5, B348&lt;=_xlfn.PERCENTILE.INC($B$2:$B$726,0.4),4,B348&lt;=_xlfn.PERCENTILE.INC($B$2:$B$726,0.6),3,B348&lt;=_xlfn.PERCENTILE.INC($B$2:$B$726,0.8),4,TRUE,1)</f>
        <v>4</v>
      </c>
      <c r="F348" cm="1">
        <f t="array" ref="F348">_xlfn.IFS(C348&gt;=_xlfn.PERCENTILE.INC($C$2:$C$726,0.8),5,C348&gt;=_xlfn.PERCENTILE.INC($C$2:$C$726,0.6),4,C348&gt;=_xlfn.PERCENTILE.INC($C$2:$C$726,0.4),3,C348&gt;=_xlfn.PERCENTILE.INC($C$2:$C$726,0.2),2,TRUE,1)</f>
        <v>4</v>
      </c>
      <c r="G348" cm="1">
        <f t="array" ref="G348">_xlfn.IFS(D348&gt;=_xlfn.PERCENTILE.INC($D$2:$D$726,0.8),5,D348&gt;=_xlfn.PERCENTILE.INC($D$2:$D$726,0.6),4,D348&gt;=_xlfn.PERCENTILE.INC($D$2:$D$726,0.4),3,D348&gt;=_xlfn.PERCENTILE.INC($D$2:$D$726,0.2),2,TRUE,1)</f>
        <v>5</v>
      </c>
      <c r="H348">
        <f t="shared" si="5"/>
        <v>13</v>
      </c>
      <c r="I348" t="str" cm="1">
        <f t="array" ref="I348">_xlfn.IFS(H348&gt;=13,"Best Customers",H348&gt;=10,"Loyal Customers",H348&gt;=7,"Potential Loyal Customers",H348&gt;=4,"Need Attention",TRUE,"At Risk")</f>
        <v>Best Customers</v>
      </c>
    </row>
    <row r="349" spans="1:9" x14ac:dyDescent="0.25">
      <c r="A349" t="s">
        <v>2521</v>
      </c>
      <c r="B349" s="4">
        <v>607</v>
      </c>
      <c r="C349">
        <v>8</v>
      </c>
      <c r="D349">
        <v>467.7</v>
      </c>
      <c r="E349" cm="1">
        <f t="array" ref="E349">_xlfn.IFS(B349&lt;=_xlfn.PERCENTILE.INC($B$2:$B$726,0.2),5, B349&lt;=_xlfn.PERCENTILE.INC($B$2:$B$726,0.4),4,B349&lt;=_xlfn.PERCENTILE.INC($B$2:$B$726,0.6),3,B349&lt;=_xlfn.PERCENTILE.INC($B$2:$B$726,0.8),4,TRUE,1)</f>
        <v>4</v>
      </c>
      <c r="F349" cm="1">
        <f t="array" ref="F349">_xlfn.IFS(C349&gt;=_xlfn.PERCENTILE.INC($C$2:$C$726,0.8),5,C349&gt;=_xlfn.PERCENTILE.INC($C$2:$C$726,0.6),4,C349&gt;=_xlfn.PERCENTILE.INC($C$2:$C$726,0.4),3,C349&gt;=_xlfn.PERCENTILE.INC($C$2:$C$726,0.2),2,TRUE,1)</f>
        <v>5</v>
      </c>
      <c r="G349" cm="1">
        <f t="array" ref="G349">_xlfn.IFS(D349&gt;=_xlfn.PERCENTILE.INC($D$2:$D$726,0.8),5,D349&gt;=_xlfn.PERCENTILE.INC($D$2:$D$726,0.6),4,D349&gt;=_xlfn.PERCENTILE.INC($D$2:$D$726,0.4),3,D349&gt;=_xlfn.PERCENTILE.INC($D$2:$D$726,0.2),2,TRUE,1)</f>
        <v>5</v>
      </c>
      <c r="H349">
        <f t="shared" si="5"/>
        <v>14</v>
      </c>
      <c r="I349" t="str" cm="1">
        <f t="array" ref="I349">_xlfn.IFS(H349&gt;=13,"Best Customers",H349&gt;=10,"Loyal Customers",H349&gt;=7,"Potential Loyal Customers",H349&gt;=4,"Need Attention",TRUE,"At Risk")</f>
        <v>Best Customers</v>
      </c>
    </row>
    <row r="350" spans="1:9" x14ac:dyDescent="0.25">
      <c r="A350" t="s">
        <v>2578</v>
      </c>
      <c r="B350" s="4">
        <v>570</v>
      </c>
      <c r="C350">
        <v>6</v>
      </c>
      <c r="D350">
        <v>362.6</v>
      </c>
      <c r="E350" cm="1">
        <f t="array" ref="E350">_xlfn.IFS(B350&lt;=_xlfn.PERCENTILE.INC($B$2:$B$726,0.2),5, B350&lt;=_xlfn.PERCENTILE.INC($B$2:$B$726,0.4),4,B350&lt;=_xlfn.PERCENTILE.INC($B$2:$B$726,0.6),3,B350&lt;=_xlfn.PERCENTILE.INC($B$2:$B$726,0.8),4,TRUE,1)</f>
        <v>4</v>
      </c>
      <c r="F350" cm="1">
        <f t="array" ref="F350">_xlfn.IFS(C350&gt;=_xlfn.PERCENTILE.INC($C$2:$C$726,0.8),5,C350&gt;=_xlfn.PERCENTILE.INC($C$2:$C$726,0.6),4,C350&gt;=_xlfn.PERCENTILE.INC($C$2:$C$726,0.4),3,C350&gt;=_xlfn.PERCENTILE.INC($C$2:$C$726,0.2),2,TRUE,1)</f>
        <v>4</v>
      </c>
      <c r="G350" cm="1">
        <f t="array" ref="G350">_xlfn.IFS(D350&gt;=_xlfn.PERCENTILE.INC($D$2:$D$726,0.8),5,D350&gt;=_xlfn.PERCENTILE.INC($D$2:$D$726,0.6),4,D350&gt;=_xlfn.PERCENTILE.INC($D$2:$D$726,0.4),3,D350&gt;=_xlfn.PERCENTILE.INC($D$2:$D$726,0.2),2,TRUE,1)</f>
        <v>4</v>
      </c>
      <c r="H350">
        <f t="shared" si="5"/>
        <v>12</v>
      </c>
      <c r="I350" t="str" cm="1">
        <f t="array" ref="I350">_xlfn.IFS(H350&gt;=13,"Best Customers",H350&gt;=10,"Loyal Customers",H350&gt;=7,"Potential Loyal Customers",H350&gt;=4,"Need Attention",TRUE,"At Risk")</f>
        <v>Loyal Customers</v>
      </c>
    </row>
    <row r="351" spans="1:9" x14ac:dyDescent="0.25">
      <c r="A351" t="s">
        <v>526</v>
      </c>
      <c r="B351" s="4">
        <v>644</v>
      </c>
      <c r="C351">
        <v>7</v>
      </c>
      <c r="D351">
        <v>503.2</v>
      </c>
      <c r="E351" cm="1">
        <f t="array" ref="E351">_xlfn.IFS(B351&lt;=_xlfn.PERCENTILE.INC($B$2:$B$726,0.2),5, B351&lt;=_xlfn.PERCENTILE.INC($B$2:$B$726,0.4),4,B351&lt;=_xlfn.PERCENTILE.INC($B$2:$B$726,0.6),3,B351&lt;=_xlfn.PERCENTILE.INC($B$2:$B$726,0.8),4,TRUE,1)</f>
        <v>4</v>
      </c>
      <c r="F351" cm="1">
        <f t="array" ref="F351">_xlfn.IFS(C351&gt;=_xlfn.PERCENTILE.INC($C$2:$C$726,0.8),5,C351&gt;=_xlfn.PERCENTILE.INC($C$2:$C$726,0.6),4,C351&gt;=_xlfn.PERCENTILE.INC($C$2:$C$726,0.4),3,C351&gt;=_xlfn.PERCENTILE.INC($C$2:$C$726,0.2),2,TRUE,1)</f>
        <v>4</v>
      </c>
      <c r="G351" cm="1">
        <f t="array" ref="G351">_xlfn.IFS(D351&gt;=_xlfn.PERCENTILE.INC($D$2:$D$726,0.8),5,D351&gt;=_xlfn.PERCENTILE.INC($D$2:$D$726,0.6),4,D351&gt;=_xlfn.PERCENTILE.INC($D$2:$D$726,0.4),3,D351&gt;=_xlfn.PERCENTILE.INC($D$2:$D$726,0.2),2,TRUE,1)</f>
        <v>5</v>
      </c>
      <c r="H351">
        <f t="shared" si="5"/>
        <v>13</v>
      </c>
      <c r="I351" t="str" cm="1">
        <f t="array" ref="I351">_xlfn.IFS(H351&gt;=13,"Best Customers",H351&gt;=10,"Loyal Customers",H351&gt;=7,"Potential Loyal Customers",H351&gt;=4,"Need Attention",TRUE,"At Risk")</f>
        <v>Best Customers</v>
      </c>
    </row>
    <row r="352" spans="1:9" x14ac:dyDescent="0.25">
      <c r="A352" t="s">
        <v>2287</v>
      </c>
      <c r="B352" s="4">
        <v>474</v>
      </c>
      <c r="C352">
        <v>9</v>
      </c>
      <c r="D352">
        <v>673.5</v>
      </c>
      <c r="E352" cm="1">
        <f t="array" ref="E352">_xlfn.IFS(B352&lt;=_xlfn.PERCENTILE.INC($B$2:$B$726,0.2),5, B352&lt;=_xlfn.PERCENTILE.INC($B$2:$B$726,0.4),4,B352&lt;=_xlfn.PERCENTILE.INC($B$2:$B$726,0.6),3,B352&lt;=_xlfn.PERCENTILE.INC($B$2:$B$726,0.8),4,TRUE,1)</f>
        <v>3</v>
      </c>
      <c r="F352" cm="1">
        <f t="array" ref="F352">_xlfn.IFS(C352&gt;=_xlfn.PERCENTILE.INC($C$2:$C$726,0.8),5,C352&gt;=_xlfn.PERCENTILE.INC($C$2:$C$726,0.6),4,C352&gt;=_xlfn.PERCENTILE.INC($C$2:$C$726,0.4),3,C352&gt;=_xlfn.PERCENTILE.INC($C$2:$C$726,0.2),2,TRUE,1)</f>
        <v>5</v>
      </c>
      <c r="G352" cm="1">
        <f t="array" ref="G352">_xlfn.IFS(D352&gt;=_xlfn.PERCENTILE.INC($D$2:$D$726,0.8),5,D352&gt;=_xlfn.PERCENTILE.INC($D$2:$D$726,0.6),4,D352&gt;=_xlfn.PERCENTILE.INC($D$2:$D$726,0.4),3,D352&gt;=_xlfn.PERCENTILE.INC($D$2:$D$726,0.2),2,TRUE,1)</f>
        <v>5</v>
      </c>
      <c r="H352">
        <f t="shared" si="5"/>
        <v>13</v>
      </c>
      <c r="I352" t="str" cm="1">
        <f t="array" ref="I352">_xlfn.IFS(H352&gt;=13,"Best Customers",H352&gt;=10,"Loyal Customers",H352&gt;=7,"Potential Loyal Customers",H352&gt;=4,"Need Attention",TRUE,"At Risk")</f>
        <v>Best Customers</v>
      </c>
    </row>
    <row r="353" spans="1:9" x14ac:dyDescent="0.25">
      <c r="A353" t="s">
        <v>2447</v>
      </c>
      <c r="B353" s="4">
        <v>398</v>
      </c>
      <c r="C353">
        <v>5</v>
      </c>
      <c r="D353">
        <v>103.5</v>
      </c>
      <c r="E353" cm="1">
        <f t="array" ref="E353">_xlfn.IFS(B353&lt;=_xlfn.PERCENTILE.INC($B$2:$B$726,0.2),5, B353&lt;=_xlfn.PERCENTILE.INC($B$2:$B$726,0.4),4,B353&lt;=_xlfn.PERCENTILE.INC($B$2:$B$726,0.6),3,B353&lt;=_xlfn.PERCENTILE.INC($B$2:$B$726,0.8),4,TRUE,1)</f>
        <v>4</v>
      </c>
      <c r="F353" cm="1">
        <f t="array" ref="F353">_xlfn.IFS(C353&gt;=_xlfn.PERCENTILE.INC($C$2:$C$726,0.8),5,C353&gt;=_xlfn.PERCENTILE.INC($C$2:$C$726,0.6),4,C353&gt;=_xlfn.PERCENTILE.INC($C$2:$C$726,0.4),3,C353&gt;=_xlfn.PERCENTILE.INC($C$2:$C$726,0.2),2,TRUE,1)</f>
        <v>3</v>
      </c>
      <c r="G353" cm="1">
        <f t="array" ref="G353">_xlfn.IFS(D353&gt;=_xlfn.PERCENTILE.INC($D$2:$D$726,0.8),5,D353&gt;=_xlfn.PERCENTILE.INC($D$2:$D$726,0.6),4,D353&gt;=_xlfn.PERCENTILE.INC($D$2:$D$726,0.4),3,D353&gt;=_xlfn.PERCENTILE.INC($D$2:$D$726,0.2),2,TRUE,1)</f>
        <v>1</v>
      </c>
      <c r="H353">
        <f t="shared" si="5"/>
        <v>8</v>
      </c>
      <c r="I353" t="str" cm="1">
        <f t="array" ref="I353">_xlfn.IFS(H353&gt;=13,"Best Customers",H353&gt;=10,"Loyal Customers",H353&gt;=7,"Potential Loyal Customers",H353&gt;=4,"Need Attention",TRUE,"At Risk")</f>
        <v>Potential Loyal Customers</v>
      </c>
    </row>
    <row r="354" spans="1:9" x14ac:dyDescent="0.25">
      <c r="A354" t="s">
        <v>2041</v>
      </c>
      <c r="B354" s="4">
        <v>335</v>
      </c>
      <c r="C354">
        <v>8</v>
      </c>
      <c r="D354">
        <v>431.59999999999997</v>
      </c>
      <c r="E354" cm="1">
        <f t="array" ref="E354">_xlfn.IFS(B354&lt;=_xlfn.PERCENTILE.INC($B$2:$B$726,0.2),5, B354&lt;=_xlfn.PERCENTILE.INC($B$2:$B$726,0.4),4,B354&lt;=_xlfn.PERCENTILE.INC($B$2:$B$726,0.6),3,B354&lt;=_xlfn.PERCENTILE.INC($B$2:$B$726,0.8),4,TRUE,1)</f>
        <v>5</v>
      </c>
      <c r="F354" cm="1">
        <f t="array" ref="F354">_xlfn.IFS(C354&gt;=_xlfn.PERCENTILE.INC($C$2:$C$726,0.8),5,C354&gt;=_xlfn.PERCENTILE.INC($C$2:$C$726,0.6),4,C354&gt;=_xlfn.PERCENTILE.INC($C$2:$C$726,0.4),3,C354&gt;=_xlfn.PERCENTILE.INC($C$2:$C$726,0.2),2,TRUE,1)</f>
        <v>5</v>
      </c>
      <c r="G354" cm="1">
        <f t="array" ref="G354">_xlfn.IFS(D354&gt;=_xlfn.PERCENTILE.INC($D$2:$D$726,0.8),5,D354&gt;=_xlfn.PERCENTILE.INC($D$2:$D$726,0.6),4,D354&gt;=_xlfn.PERCENTILE.INC($D$2:$D$726,0.4),3,D354&gt;=_xlfn.PERCENTILE.INC($D$2:$D$726,0.2),2,TRUE,1)</f>
        <v>5</v>
      </c>
      <c r="H354">
        <f t="shared" si="5"/>
        <v>15</v>
      </c>
      <c r="I354" t="str" cm="1">
        <f t="array" ref="I354">_xlfn.IFS(H354&gt;=13,"Best Customers",H354&gt;=10,"Loyal Customers",H354&gt;=7,"Potential Loyal Customers",H354&gt;=4,"Need Attention",TRUE,"At Risk")</f>
        <v>Best Customers</v>
      </c>
    </row>
    <row r="355" spans="1:9" x14ac:dyDescent="0.25">
      <c r="A355" t="s">
        <v>2215</v>
      </c>
      <c r="B355" s="4">
        <v>372</v>
      </c>
      <c r="C355">
        <v>10</v>
      </c>
      <c r="D355">
        <v>337.20000000000005</v>
      </c>
      <c r="E355" cm="1">
        <f t="array" ref="E355">_xlfn.IFS(B355&lt;=_xlfn.PERCENTILE.INC($B$2:$B$726,0.2),5, B355&lt;=_xlfn.PERCENTILE.INC($B$2:$B$726,0.4),4,B355&lt;=_xlfn.PERCENTILE.INC($B$2:$B$726,0.6),3,B355&lt;=_xlfn.PERCENTILE.INC($B$2:$B$726,0.8),4,TRUE,1)</f>
        <v>5</v>
      </c>
      <c r="F355" cm="1">
        <f t="array" ref="F355">_xlfn.IFS(C355&gt;=_xlfn.PERCENTILE.INC($C$2:$C$726,0.8),5,C355&gt;=_xlfn.PERCENTILE.INC($C$2:$C$726,0.6),4,C355&gt;=_xlfn.PERCENTILE.INC($C$2:$C$726,0.4),3,C355&gt;=_xlfn.PERCENTILE.INC($C$2:$C$726,0.2),2,TRUE,1)</f>
        <v>5</v>
      </c>
      <c r="G355" cm="1">
        <f t="array" ref="G355">_xlfn.IFS(D355&gt;=_xlfn.PERCENTILE.INC($D$2:$D$726,0.8),5,D355&gt;=_xlfn.PERCENTILE.INC($D$2:$D$726,0.6),4,D355&gt;=_xlfn.PERCENTILE.INC($D$2:$D$726,0.4),3,D355&gt;=_xlfn.PERCENTILE.INC($D$2:$D$726,0.2),2,TRUE,1)</f>
        <v>4</v>
      </c>
      <c r="H355">
        <f t="shared" si="5"/>
        <v>14</v>
      </c>
      <c r="I355" t="str" cm="1">
        <f t="array" ref="I355">_xlfn.IFS(H355&gt;=13,"Best Customers",H355&gt;=10,"Loyal Customers",H355&gt;=7,"Potential Loyal Customers",H355&gt;=4,"Need Attention",TRUE,"At Risk")</f>
        <v>Best Customers</v>
      </c>
    </row>
    <row r="356" spans="1:9" x14ac:dyDescent="0.25">
      <c r="A356" t="s">
        <v>915</v>
      </c>
      <c r="B356" s="4">
        <v>361</v>
      </c>
      <c r="C356">
        <v>8</v>
      </c>
      <c r="D356">
        <v>454.9</v>
      </c>
      <c r="E356" cm="1">
        <f t="array" ref="E356">_xlfn.IFS(B356&lt;=_xlfn.PERCENTILE.INC($B$2:$B$726,0.2),5, B356&lt;=_xlfn.PERCENTILE.INC($B$2:$B$726,0.4),4,B356&lt;=_xlfn.PERCENTILE.INC($B$2:$B$726,0.6),3,B356&lt;=_xlfn.PERCENTILE.INC($B$2:$B$726,0.8),4,TRUE,1)</f>
        <v>5</v>
      </c>
      <c r="F356" cm="1">
        <f t="array" ref="F356">_xlfn.IFS(C356&gt;=_xlfn.PERCENTILE.INC($C$2:$C$726,0.8),5,C356&gt;=_xlfn.PERCENTILE.INC($C$2:$C$726,0.6),4,C356&gt;=_xlfn.PERCENTILE.INC($C$2:$C$726,0.4),3,C356&gt;=_xlfn.PERCENTILE.INC($C$2:$C$726,0.2),2,TRUE,1)</f>
        <v>5</v>
      </c>
      <c r="G356" cm="1">
        <f t="array" ref="G356">_xlfn.IFS(D356&gt;=_xlfn.PERCENTILE.INC($D$2:$D$726,0.8),5,D356&gt;=_xlfn.PERCENTILE.INC($D$2:$D$726,0.6),4,D356&gt;=_xlfn.PERCENTILE.INC($D$2:$D$726,0.4),3,D356&gt;=_xlfn.PERCENTILE.INC($D$2:$D$726,0.2),2,TRUE,1)</f>
        <v>5</v>
      </c>
      <c r="H356">
        <f t="shared" si="5"/>
        <v>15</v>
      </c>
      <c r="I356" t="str" cm="1">
        <f t="array" ref="I356">_xlfn.IFS(H356&gt;=13,"Best Customers",H356&gt;=10,"Loyal Customers",H356&gt;=7,"Potential Loyal Customers",H356&gt;=4,"Need Attention",TRUE,"At Risk")</f>
        <v>Best Customers</v>
      </c>
    </row>
    <row r="357" spans="1:9" x14ac:dyDescent="0.25">
      <c r="A357" t="s">
        <v>921</v>
      </c>
      <c r="B357" s="4">
        <v>654</v>
      </c>
      <c r="C357">
        <v>5</v>
      </c>
      <c r="D357">
        <v>219.3</v>
      </c>
      <c r="E357" cm="1">
        <f t="array" ref="E357">_xlfn.IFS(B357&lt;=_xlfn.PERCENTILE.INC($B$2:$B$726,0.2),5, B357&lt;=_xlfn.PERCENTILE.INC($B$2:$B$726,0.4),4,B357&lt;=_xlfn.PERCENTILE.INC($B$2:$B$726,0.6),3,B357&lt;=_xlfn.PERCENTILE.INC($B$2:$B$726,0.8),4,TRUE,1)</f>
        <v>4</v>
      </c>
      <c r="F357" cm="1">
        <f t="array" ref="F357">_xlfn.IFS(C357&gt;=_xlfn.PERCENTILE.INC($C$2:$C$726,0.8),5,C357&gt;=_xlfn.PERCENTILE.INC($C$2:$C$726,0.6),4,C357&gt;=_xlfn.PERCENTILE.INC($C$2:$C$726,0.4),3,C357&gt;=_xlfn.PERCENTILE.INC($C$2:$C$726,0.2),2,TRUE,1)</f>
        <v>3</v>
      </c>
      <c r="G357" cm="1">
        <f t="array" ref="G357">_xlfn.IFS(D357&gt;=_xlfn.PERCENTILE.INC($D$2:$D$726,0.8),5,D357&gt;=_xlfn.PERCENTILE.INC($D$2:$D$726,0.6),4,D357&gt;=_xlfn.PERCENTILE.INC($D$2:$D$726,0.4),3,D357&gt;=_xlfn.PERCENTILE.INC($D$2:$D$726,0.2),2,TRUE,1)</f>
        <v>2</v>
      </c>
      <c r="H357">
        <f t="shared" si="5"/>
        <v>9</v>
      </c>
      <c r="I357" t="str" cm="1">
        <f t="array" ref="I357">_xlfn.IFS(H357&gt;=13,"Best Customers",H357&gt;=10,"Loyal Customers",H357&gt;=7,"Potential Loyal Customers",H357&gt;=4,"Need Attention",TRUE,"At Risk")</f>
        <v>Potential Loyal Customers</v>
      </c>
    </row>
    <row r="358" spans="1:9" x14ac:dyDescent="0.25">
      <c r="A358" t="s">
        <v>2405</v>
      </c>
      <c r="B358" s="4">
        <v>931</v>
      </c>
      <c r="C358">
        <v>4</v>
      </c>
      <c r="D358">
        <v>180.5</v>
      </c>
      <c r="E358" cm="1">
        <f t="array" ref="E358">_xlfn.IFS(B358&lt;=_xlfn.PERCENTILE.INC($B$2:$B$726,0.2),5, B358&lt;=_xlfn.PERCENTILE.INC($B$2:$B$726,0.4),4,B358&lt;=_xlfn.PERCENTILE.INC($B$2:$B$726,0.6),3,B358&lt;=_xlfn.PERCENTILE.INC($B$2:$B$726,0.8),4,TRUE,1)</f>
        <v>1</v>
      </c>
      <c r="F358" cm="1">
        <f t="array" ref="F358">_xlfn.IFS(C358&gt;=_xlfn.PERCENTILE.INC($C$2:$C$726,0.8),5,C358&gt;=_xlfn.PERCENTILE.INC($C$2:$C$726,0.6),4,C358&gt;=_xlfn.PERCENTILE.INC($C$2:$C$726,0.4),3,C358&gt;=_xlfn.PERCENTILE.INC($C$2:$C$726,0.2),2,TRUE,1)</f>
        <v>2</v>
      </c>
      <c r="G358" cm="1">
        <f t="array" ref="G358">_xlfn.IFS(D358&gt;=_xlfn.PERCENTILE.INC($D$2:$D$726,0.8),5,D358&gt;=_xlfn.PERCENTILE.INC($D$2:$D$726,0.6),4,D358&gt;=_xlfn.PERCENTILE.INC($D$2:$D$726,0.4),3,D358&gt;=_xlfn.PERCENTILE.INC($D$2:$D$726,0.2),2,TRUE,1)</f>
        <v>2</v>
      </c>
      <c r="H358">
        <f t="shared" si="5"/>
        <v>5</v>
      </c>
      <c r="I358" t="str" cm="1">
        <f t="array" ref="I358">_xlfn.IFS(H358&gt;=13,"Best Customers",H358&gt;=10,"Loyal Customers",H358&gt;=7,"Potential Loyal Customers",H358&gt;=4,"Need Attention",TRUE,"At Risk")</f>
        <v>Need Attention</v>
      </c>
    </row>
    <row r="359" spans="1:9" x14ac:dyDescent="0.25">
      <c r="A359" t="s">
        <v>2494</v>
      </c>
      <c r="B359" s="4">
        <v>1112</v>
      </c>
      <c r="C359">
        <v>6</v>
      </c>
      <c r="D359">
        <v>129.69999999999999</v>
      </c>
      <c r="E359" cm="1">
        <f t="array" ref="E359">_xlfn.IFS(B359&lt;=_xlfn.PERCENTILE.INC($B$2:$B$726,0.2),5, B359&lt;=_xlfn.PERCENTILE.INC($B$2:$B$726,0.4),4,B359&lt;=_xlfn.PERCENTILE.INC($B$2:$B$726,0.6),3,B359&lt;=_xlfn.PERCENTILE.INC($B$2:$B$726,0.8),4,TRUE,1)</f>
        <v>1</v>
      </c>
      <c r="F359" cm="1">
        <f t="array" ref="F359">_xlfn.IFS(C359&gt;=_xlfn.PERCENTILE.INC($C$2:$C$726,0.8),5,C359&gt;=_xlfn.PERCENTILE.INC($C$2:$C$726,0.6),4,C359&gt;=_xlfn.PERCENTILE.INC($C$2:$C$726,0.4),3,C359&gt;=_xlfn.PERCENTILE.INC($C$2:$C$726,0.2),2,TRUE,1)</f>
        <v>4</v>
      </c>
      <c r="G359" cm="1">
        <f t="array" ref="G359">_xlfn.IFS(D359&gt;=_xlfn.PERCENTILE.INC($D$2:$D$726,0.8),5,D359&gt;=_xlfn.PERCENTILE.INC($D$2:$D$726,0.6),4,D359&gt;=_xlfn.PERCENTILE.INC($D$2:$D$726,0.4),3,D359&gt;=_xlfn.PERCENTILE.INC($D$2:$D$726,0.2),2,TRUE,1)</f>
        <v>1</v>
      </c>
      <c r="H359">
        <f t="shared" si="5"/>
        <v>6</v>
      </c>
      <c r="I359" t="str" cm="1">
        <f t="array" ref="I359">_xlfn.IFS(H359&gt;=13,"Best Customers",H359&gt;=10,"Loyal Customers",H359&gt;=7,"Potential Loyal Customers",H359&gt;=4,"Need Attention",TRUE,"At Risk")</f>
        <v>Need Attention</v>
      </c>
    </row>
    <row r="360" spans="1:9" x14ac:dyDescent="0.25">
      <c r="A360" t="s">
        <v>3252</v>
      </c>
      <c r="B360" s="4">
        <v>438</v>
      </c>
      <c r="C360">
        <v>11</v>
      </c>
      <c r="D360">
        <v>513.79999999999995</v>
      </c>
      <c r="E360" cm="1">
        <f t="array" ref="E360">_xlfn.IFS(B360&lt;=_xlfn.PERCENTILE.INC($B$2:$B$726,0.2),5, B360&lt;=_xlfn.PERCENTILE.INC($B$2:$B$726,0.4),4,B360&lt;=_xlfn.PERCENTILE.INC($B$2:$B$726,0.6),3,B360&lt;=_xlfn.PERCENTILE.INC($B$2:$B$726,0.8),4,TRUE,1)</f>
        <v>4</v>
      </c>
      <c r="F360" cm="1">
        <f t="array" ref="F360">_xlfn.IFS(C360&gt;=_xlfn.PERCENTILE.INC($C$2:$C$726,0.8),5,C360&gt;=_xlfn.PERCENTILE.INC($C$2:$C$726,0.6),4,C360&gt;=_xlfn.PERCENTILE.INC($C$2:$C$726,0.4),3,C360&gt;=_xlfn.PERCENTILE.INC($C$2:$C$726,0.2),2,TRUE,1)</f>
        <v>5</v>
      </c>
      <c r="G360" cm="1">
        <f t="array" ref="G360">_xlfn.IFS(D360&gt;=_xlfn.PERCENTILE.INC($D$2:$D$726,0.8),5,D360&gt;=_xlfn.PERCENTILE.INC($D$2:$D$726,0.6),4,D360&gt;=_xlfn.PERCENTILE.INC($D$2:$D$726,0.4),3,D360&gt;=_xlfn.PERCENTILE.INC($D$2:$D$726,0.2),2,TRUE,1)</f>
        <v>5</v>
      </c>
      <c r="H360">
        <f t="shared" si="5"/>
        <v>14</v>
      </c>
      <c r="I360" t="str" cm="1">
        <f t="array" ref="I360">_xlfn.IFS(H360&gt;=13,"Best Customers",H360&gt;=10,"Loyal Customers",H360&gt;=7,"Potential Loyal Customers",H360&gt;=4,"Need Attention",TRUE,"At Risk")</f>
        <v>Best Customers</v>
      </c>
    </row>
    <row r="361" spans="1:9" x14ac:dyDescent="0.25">
      <c r="A361" t="s">
        <v>2459</v>
      </c>
      <c r="B361" s="4">
        <v>406</v>
      </c>
      <c r="C361">
        <v>10</v>
      </c>
      <c r="D361">
        <v>448.6</v>
      </c>
      <c r="E361" cm="1">
        <f t="array" ref="E361">_xlfn.IFS(B361&lt;=_xlfn.PERCENTILE.INC($B$2:$B$726,0.2),5, B361&lt;=_xlfn.PERCENTILE.INC($B$2:$B$726,0.4),4,B361&lt;=_xlfn.PERCENTILE.INC($B$2:$B$726,0.6),3,B361&lt;=_xlfn.PERCENTILE.INC($B$2:$B$726,0.8),4,TRUE,1)</f>
        <v>4</v>
      </c>
      <c r="F361" cm="1">
        <f t="array" ref="F361">_xlfn.IFS(C361&gt;=_xlfn.PERCENTILE.INC($C$2:$C$726,0.8),5,C361&gt;=_xlfn.PERCENTILE.INC($C$2:$C$726,0.6),4,C361&gt;=_xlfn.PERCENTILE.INC($C$2:$C$726,0.4),3,C361&gt;=_xlfn.PERCENTILE.INC($C$2:$C$726,0.2),2,TRUE,1)</f>
        <v>5</v>
      </c>
      <c r="G361" cm="1">
        <f t="array" ref="G361">_xlfn.IFS(D361&gt;=_xlfn.PERCENTILE.INC($D$2:$D$726,0.8),5,D361&gt;=_xlfn.PERCENTILE.INC($D$2:$D$726,0.6),4,D361&gt;=_xlfn.PERCENTILE.INC($D$2:$D$726,0.4),3,D361&gt;=_xlfn.PERCENTILE.INC($D$2:$D$726,0.2),2,TRUE,1)</f>
        <v>5</v>
      </c>
      <c r="H361">
        <f t="shared" si="5"/>
        <v>14</v>
      </c>
      <c r="I361" t="str" cm="1">
        <f t="array" ref="I361">_xlfn.IFS(H361&gt;=13,"Best Customers",H361&gt;=10,"Loyal Customers",H361&gt;=7,"Potential Loyal Customers",H361&gt;=4,"Need Attention",TRUE,"At Risk")</f>
        <v>Best Customers</v>
      </c>
    </row>
    <row r="362" spans="1:9" x14ac:dyDescent="0.25">
      <c r="A362" t="s">
        <v>3196</v>
      </c>
      <c r="B362" s="4">
        <v>617</v>
      </c>
      <c r="C362">
        <v>6</v>
      </c>
      <c r="D362">
        <v>187.79999999999998</v>
      </c>
      <c r="E362" cm="1">
        <f t="array" ref="E362">_xlfn.IFS(B362&lt;=_xlfn.PERCENTILE.INC($B$2:$B$726,0.2),5, B362&lt;=_xlfn.PERCENTILE.INC($B$2:$B$726,0.4),4,B362&lt;=_xlfn.PERCENTILE.INC($B$2:$B$726,0.6),3,B362&lt;=_xlfn.PERCENTILE.INC($B$2:$B$726,0.8),4,TRUE,1)</f>
        <v>4</v>
      </c>
      <c r="F362" cm="1">
        <f t="array" ref="F362">_xlfn.IFS(C362&gt;=_xlfn.PERCENTILE.INC($C$2:$C$726,0.8),5,C362&gt;=_xlfn.PERCENTILE.INC($C$2:$C$726,0.6),4,C362&gt;=_xlfn.PERCENTILE.INC($C$2:$C$726,0.4),3,C362&gt;=_xlfn.PERCENTILE.INC($C$2:$C$726,0.2),2,TRUE,1)</f>
        <v>4</v>
      </c>
      <c r="G362" cm="1">
        <f t="array" ref="G362">_xlfn.IFS(D362&gt;=_xlfn.PERCENTILE.INC($D$2:$D$726,0.8),5,D362&gt;=_xlfn.PERCENTILE.INC($D$2:$D$726,0.6),4,D362&gt;=_xlfn.PERCENTILE.INC($D$2:$D$726,0.4),3,D362&gt;=_xlfn.PERCENTILE.INC($D$2:$D$726,0.2),2,TRUE,1)</f>
        <v>2</v>
      </c>
      <c r="H362">
        <f t="shared" si="5"/>
        <v>10</v>
      </c>
      <c r="I362" t="str" cm="1">
        <f t="array" ref="I362">_xlfn.IFS(H362&gt;=13,"Best Customers",H362&gt;=10,"Loyal Customers",H362&gt;=7,"Potential Loyal Customers",H362&gt;=4,"Need Attention",TRUE,"At Risk")</f>
        <v>Loyal Customers</v>
      </c>
    </row>
    <row r="363" spans="1:9" x14ac:dyDescent="0.25">
      <c r="A363" t="s">
        <v>2904</v>
      </c>
      <c r="B363" s="4">
        <v>454</v>
      </c>
      <c r="C363">
        <v>8</v>
      </c>
      <c r="D363">
        <v>153.9</v>
      </c>
      <c r="E363" cm="1">
        <f t="array" ref="E363">_xlfn.IFS(B363&lt;=_xlfn.PERCENTILE.INC($B$2:$B$726,0.2),5, B363&lt;=_xlfn.PERCENTILE.INC($B$2:$B$726,0.4),4,B363&lt;=_xlfn.PERCENTILE.INC($B$2:$B$726,0.6),3,B363&lt;=_xlfn.PERCENTILE.INC($B$2:$B$726,0.8),4,TRUE,1)</f>
        <v>4</v>
      </c>
      <c r="F363" cm="1">
        <f t="array" ref="F363">_xlfn.IFS(C363&gt;=_xlfn.PERCENTILE.INC($C$2:$C$726,0.8),5,C363&gt;=_xlfn.PERCENTILE.INC($C$2:$C$726,0.6),4,C363&gt;=_xlfn.PERCENTILE.INC($C$2:$C$726,0.4),3,C363&gt;=_xlfn.PERCENTILE.INC($C$2:$C$726,0.2),2,TRUE,1)</f>
        <v>5</v>
      </c>
      <c r="G363" cm="1">
        <f t="array" ref="G363">_xlfn.IFS(D363&gt;=_xlfn.PERCENTILE.INC($D$2:$D$726,0.8),5,D363&gt;=_xlfn.PERCENTILE.INC($D$2:$D$726,0.6),4,D363&gt;=_xlfn.PERCENTILE.INC($D$2:$D$726,0.4),3,D363&gt;=_xlfn.PERCENTILE.INC($D$2:$D$726,0.2),2,TRUE,1)</f>
        <v>1</v>
      </c>
      <c r="H363">
        <f t="shared" si="5"/>
        <v>10</v>
      </c>
      <c r="I363" t="str" cm="1">
        <f t="array" ref="I363">_xlfn.IFS(H363&gt;=13,"Best Customers",H363&gt;=10,"Loyal Customers",H363&gt;=7,"Potential Loyal Customers",H363&gt;=4,"Need Attention",TRUE,"At Risk")</f>
        <v>Loyal Customers</v>
      </c>
    </row>
    <row r="364" spans="1:9" x14ac:dyDescent="0.25">
      <c r="A364" t="s">
        <v>2763</v>
      </c>
      <c r="B364" s="4">
        <v>656</v>
      </c>
      <c r="C364">
        <v>5</v>
      </c>
      <c r="D364">
        <v>306.89999999999998</v>
      </c>
      <c r="E364" cm="1">
        <f t="array" ref="E364">_xlfn.IFS(B364&lt;=_xlfn.PERCENTILE.INC($B$2:$B$726,0.2),5, B364&lt;=_xlfn.PERCENTILE.INC($B$2:$B$726,0.4),4,B364&lt;=_xlfn.PERCENTILE.INC($B$2:$B$726,0.6),3,B364&lt;=_xlfn.PERCENTILE.INC($B$2:$B$726,0.8),4,TRUE,1)</f>
        <v>4</v>
      </c>
      <c r="F364" cm="1">
        <f t="array" ref="F364">_xlfn.IFS(C364&gt;=_xlfn.PERCENTILE.INC($C$2:$C$726,0.8),5,C364&gt;=_xlfn.PERCENTILE.INC($C$2:$C$726,0.6),4,C364&gt;=_xlfn.PERCENTILE.INC($C$2:$C$726,0.4),3,C364&gt;=_xlfn.PERCENTILE.INC($C$2:$C$726,0.2),2,TRUE,1)</f>
        <v>3</v>
      </c>
      <c r="G364" cm="1">
        <f t="array" ref="G364">_xlfn.IFS(D364&gt;=_xlfn.PERCENTILE.INC($D$2:$D$726,0.8),5,D364&gt;=_xlfn.PERCENTILE.INC($D$2:$D$726,0.6),4,D364&gt;=_xlfn.PERCENTILE.INC($D$2:$D$726,0.4),3,D364&gt;=_xlfn.PERCENTILE.INC($D$2:$D$726,0.2),2,TRUE,1)</f>
        <v>3</v>
      </c>
      <c r="H364">
        <f t="shared" si="5"/>
        <v>10</v>
      </c>
      <c r="I364" t="str" cm="1">
        <f t="array" ref="I364">_xlfn.IFS(H364&gt;=13,"Best Customers",H364&gt;=10,"Loyal Customers",H364&gt;=7,"Potential Loyal Customers",H364&gt;=4,"Need Attention",TRUE,"At Risk")</f>
        <v>Loyal Customers</v>
      </c>
    </row>
    <row r="365" spans="1:9" x14ac:dyDescent="0.25">
      <c r="A365" t="s">
        <v>2907</v>
      </c>
      <c r="B365" s="4">
        <v>818</v>
      </c>
      <c r="C365">
        <v>3</v>
      </c>
      <c r="D365">
        <v>121.8</v>
      </c>
      <c r="E365" cm="1">
        <f t="array" ref="E365">_xlfn.IFS(B365&lt;=_xlfn.PERCENTILE.INC($B$2:$B$726,0.2),5, B365&lt;=_xlfn.PERCENTILE.INC($B$2:$B$726,0.4),4,B365&lt;=_xlfn.PERCENTILE.INC($B$2:$B$726,0.6),3,B365&lt;=_xlfn.PERCENTILE.INC($B$2:$B$726,0.8),4,TRUE,1)</f>
        <v>1</v>
      </c>
      <c r="F365" cm="1">
        <f t="array" ref="F365">_xlfn.IFS(C365&gt;=_xlfn.PERCENTILE.INC($C$2:$C$726,0.8),5,C365&gt;=_xlfn.PERCENTILE.INC($C$2:$C$726,0.6),4,C365&gt;=_xlfn.PERCENTILE.INC($C$2:$C$726,0.4),3,C365&gt;=_xlfn.PERCENTILE.INC($C$2:$C$726,0.2),2,TRUE,1)</f>
        <v>1</v>
      </c>
      <c r="G365" cm="1">
        <f t="array" ref="G365">_xlfn.IFS(D365&gt;=_xlfn.PERCENTILE.INC($D$2:$D$726,0.8),5,D365&gt;=_xlfn.PERCENTILE.INC($D$2:$D$726,0.6),4,D365&gt;=_xlfn.PERCENTILE.INC($D$2:$D$726,0.4),3,D365&gt;=_xlfn.PERCENTILE.INC($D$2:$D$726,0.2),2,TRUE,1)</f>
        <v>1</v>
      </c>
      <c r="H365">
        <f t="shared" si="5"/>
        <v>3</v>
      </c>
      <c r="I365" t="str" cm="1">
        <f t="array" ref="I365">_xlfn.IFS(H365&gt;=13,"Best Customers",H365&gt;=10,"Loyal Customers",H365&gt;=7,"Potential Loyal Customers",H365&gt;=4,"Need Attention",TRUE,"At Risk")</f>
        <v>At Risk</v>
      </c>
    </row>
    <row r="366" spans="1:9" x14ac:dyDescent="0.25">
      <c r="A366" t="s">
        <v>769</v>
      </c>
      <c r="B366" s="4">
        <v>606</v>
      </c>
      <c r="C366">
        <v>7</v>
      </c>
      <c r="D366">
        <v>709</v>
      </c>
      <c r="E366" cm="1">
        <f t="array" ref="E366">_xlfn.IFS(B366&lt;=_xlfn.PERCENTILE.INC($B$2:$B$726,0.2),5, B366&lt;=_xlfn.PERCENTILE.INC($B$2:$B$726,0.4),4,B366&lt;=_xlfn.PERCENTILE.INC($B$2:$B$726,0.6),3,B366&lt;=_xlfn.PERCENTILE.INC($B$2:$B$726,0.8),4,TRUE,1)</f>
        <v>4</v>
      </c>
      <c r="F366" cm="1">
        <f t="array" ref="F366">_xlfn.IFS(C366&gt;=_xlfn.PERCENTILE.INC($C$2:$C$726,0.8),5,C366&gt;=_xlfn.PERCENTILE.INC($C$2:$C$726,0.6),4,C366&gt;=_xlfn.PERCENTILE.INC($C$2:$C$726,0.4),3,C366&gt;=_xlfn.PERCENTILE.INC($C$2:$C$726,0.2),2,TRUE,1)</f>
        <v>4</v>
      </c>
      <c r="G366" cm="1">
        <f t="array" ref="G366">_xlfn.IFS(D366&gt;=_xlfn.PERCENTILE.INC($D$2:$D$726,0.8),5,D366&gt;=_xlfn.PERCENTILE.INC($D$2:$D$726,0.6),4,D366&gt;=_xlfn.PERCENTILE.INC($D$2:$D$726,0.4),3,D366&gt;=_xlfn.PERCENTILE.INC($D$2:$D$726,0.2),2,TRUE,1)</f>
        <v>5</v>
      </c>
      <c r="H366">
        <f t="shared" si="5"/>
        <v>13</v>
      </c>
      <c r="I366" t="str" cm="1">
        <f t="array" ref="I366">_xlfn.IFS(H366&gt;=13,"Best Customers",H366&gt;=10,"Loyal Customers",H366&gt;=7,"Potential Loyal Customers",H366&gt;=4,"Need Attention",TRUE,"At Risk")</f>
        <v>Best Customers</v>
      </c>
    </row>
    <row r="367" spans="1:9" x14ac:dyDescent="0.25">
      <c r="A367" t="s">
        <v>3348</v>
      </c>
      <c r="B367" s="4">
        <v>985</v>
      </c>
      <c r="C367">
        <v>3</v>
      </c>
      <c r="D367">
        <v>83.3</v>
      </c>
      <c r="E367" cm="1">
        <f t="array" ref="E367">_xlfn.IFS(B367&lt;=_xlfn.PERCENTILE.INC($B$2:$B$726,0.2),5, B367&lt;=_xlfn.PERCENTILE.INC($B$2:$B$726,0.4),4,B367&lt;=_xlfn.PERCENTILE.INC($B$2:$B$726,0.6),3,B367&lt;=_xlfn.PERCENTILE.INC($B$2:$B$726,0.8),4,TRUE,1)</f>
        <v>1</v>
      </c>
      <c r="F367" cm="1">
        <f t="array" ref="F367">_xlfn.IFS(C367&gt;=_xlfn.PERCENTILE.INC($C$2:$C$726,0.8),5,C367&gt;=_xlfn.PERCENTILE.INC($C$2:$C$726,0.6),4,C367&gt;=_xlfn.PERCENTILE.INC($C$2:$C$726,0.4),3,C367&gt;=_xlfn.PERCENTILE.INC($C$2:$C$726,0.2),2,TRUE,1)</f>
        <v>1</v>
      </c>
      <c r="G367" cm="1">
        <f t="array" ref="G367">_xlfn.IFS(D367&gt;=_xlfn.PERCENTILE.INC($D$2:$D$726,0.8),5,D367&gt;=_xlfn.PERCENTILE.INC($D$2:$D$726,0.6),4,D367&gt;=_xlfn.PERCENTILE.INC($D$2:$D$726,0.4),3,D367&gt;=_xlfn.PERCENTILE.INC($D$2:$D$726,0.2),2,TRUE,1)</f>
        <v>1</v>
      </c>
      <c r="H367">
        <f t="shared" si="5"/>
        <v>3</v>
      </c>
      <c r="I367" t="str" cm="1">
        <f t="array" ref="I367">_xlfn.IFS(H367&gt;=13,"Best Customers",H367&gt;=10,"Loyal Customers",H367&gt;=7,"Potential Loyal Customers",H367&gt;=4,"Need Attention",TRUE,"At Risk")</f>
        <v>At Risk</v>
      </c>
    </row>
    <row r="368" spans="1:9" x14ac:dyDescent="0.25">
      <c r="A368" t="s">
        <v>2730</v>
      </c>
      <c r="B368" s="4">
        <v>416</v>
      </c>
      <c r="C368">
        <v>6</v>
      </c>
      <c r="D368">
        <v>381.9</v>
      </c>
      <c r="E368" cm="1">
        <f t="array" ref="E368">_xlfn.IFS(B368&lt;=_xlfn.PERCENTILE.INC($B$2:$B$726,0.2),5, B368&lt;=_xlfn.PERCENTILE.INC($B$2:$B$726,0.4),4,B368&lt;=_xlfn.PERCENTILE.INC($B$2:$B$726,0.6),3,B368&lt;=_xlfn.PERCENTILE.INC($B$2:$B$726,0.8),4,TRUE,1)</f>
        <v>4</v>
      </c>
      <c r="F368" cm="1">
        <f t="array" ref="F368">_xlfn.IFS(C368&gt;=_xlfn.PERCENTILE.INC($C$2:$C$726,0.8),5,C368&gt;=_xlfn.PERCENTILE.INC($C$2:$C$726,0.6),4,C368&gt;=_xlfn.PERCENTILE.INC($C$2:$C$726,0.4),3,C368&gt;=_xlfn.PERCENTILE.INC($C$2:$C$726,0.2),2,TRUE,1)</f>
        <v>4</v>
      </c>
      <c r="G368" cm="1">
        <f t="array" ref="G368">_xlfn.IFS(D368&gt;=_xlfn.PERCENTILE.INC($D$2:$D$726,0.8),5,D368&gt;=_xlfn.PERCENTILE.INC($D$2:$D$726,0.6),4,D368&gt;=_xlfn.PERCENTILE.INC($D$2:$D$726,0.4),3,D368&gt;=_xlfn.PERCENTILE.INC($D$2:$D$726,0.2),2,TRUE,1)</f>
        <v>4</v>
      </c>
      <c r="H368">
        <f t="shared" si="5"/>
        <v>12</v>
      </c>
      <c r="I368" t="str" cm="1">
        <f t="array" ref="I368">_xlfn.IFS(H368&gt;=13,"Best Customers",H368&gt;=10,"Loyal Customers",H368&gt;=7,"Potential Loyal Customers",H368&gt;=4,"Need Attention",TRUE,"At Risk")</f>
        <v>Loyal Customers</v>
      </c>
    </row>
    <row r="369" spans="1:9" x14ac:dyDescent="0.25">
      <c r="A369" t="s">
        <v>2998</v>
      </c>
      <c r="B369" s="4">
        <v>437</v>
      </c>
      <c r="C369">
        <v>6</v>
      </c>
      <c r="D369">
        <v>320.29999999999995</v>
      </c>
      <c r="E369" cm="1">
        <f t="array" ref="E369">_xlfn.IFS(B369&lt;=_xlfn.PERCENTILE.INC($B$2:$B$726,0.2),5, B369&lt;=_xlfn.PERCENTILE.INC($B$2:$B$726,0.4),4,B369&lt;=_xlfn.PERCENTILE.INC($B$2:$B$726,0.6),3,B369&lt;=_xlfn.PERCENTILE.INC($B$2:$B$726,0.8),4,TRUE,1)</f>
        <v>4</v>
      </c>
      <c r="F369" cm="1">
        <f t="array" ref="F369">_xlfn.IFS(C369&gt;=_xlfn.PERCENTILE.INC($C$2:$C$726,0.8),5,C369&gt;=_xlfn.PERCENTILE.INC($C$2:$C$726,0.6),4,C369&gt;=_xlfn.PERCENTILE.INC($C$2:$C$726,0.4),3,C369&gt;=_xlfn.PERCENTILE.INC($C$2:$C$726,0.2),2,TRUE,1)</f>
        <v>4</v>
      </c>
      <c r="G369" cm="1">
        <f t="array" ref="G369">_xlfn.IFS(D369&gt;=_xlfn.PERCENTILE.INC($D$2:$D$726,0.8),5,D369&gt;=_xlfn.PERCENTILE.INC($D$2:$D$726,0.6),4,D369&gt;=_xlfn.PERCENTILE.INC($D$2:$D$726,0.4),3,D369&gt;=_xlfn.PERCENTILE.INC($D$2:$D$726,0.2),2,TRUE,1)</f>
        <v>4</v>
      </c>
      <c r="H369">
        <f t="shared" si="5"/>
        <v>12</v>
      </c>
      <c r="I369" t="str" cm="1">
        <f t="array" ref="I369">_xlfn.IFS(H369&gt;=13,"Best Customers",H369&gt;=10,"Loyal Customers",H369&gt;=7,"Potential Loyal Customers",H369&gt;=4,"Need Attention",TRUE,"At Risk")</f>
        <v>Loyal Customers</v>
      </c>
    </row>
    <row r="370" spans="1:9" x14ac:dyDescent="0.25">
      <c r="A370" t="s">
        <v>2314</v>
      </c>
      <c r="B370" s="4">
        <v>651</v>
      </c>
      <c r="C370">
        <v>6</v>
      </c>
      <c r="D370">
        <v>255.4</v>
      </c>
      <c r="E370" cm="1">
        <f t="array" ref="E370">_xlfn.IFS(B370&lt;=_xlfn.PERCENTILE.INC($B$2:$B$726,0.2),5, B370&lt;=_xlfn.PERCENTILE.INC($B$2:$B$726,0.4),4,B370&lt;=_xlfn.PERCENTILE.INC($B$2:$B$726,0.6),3,B370&lt;=_xlfn.PERCENTILE.INC($B$2:$B$726,0.8),4,TRUE,1)</f>
        <v>4</v>
      </c>
      <c r="F370" cm="1">
        <f t="array" ref="F370">_xlfn.IFS(C370&gt;=_xlfn.PERCENTILE.INC($C$2:$C$726,0.8),5,C370&gt;=_xlfn.PERCENTILE.INC($C$2:$C$726,0.6),4,C370&gt;=_xlfn.PERCENTILE.INC($C$2:$C$726,0.4),3,C370&gt;=_xlfn.PERCENTILE.INC($C$2:$C$726,0.2),2,TRUE,1)</f>
        <v>4</v>
      </c>
      <c r="G370" cm="1">
        <f t="array" ref="G370">_xlfn.IFS(D370&gt;=_xlfn.PERCENTILE.INC($D$2:$D$726,0.8),5,D370&gt;=_xlfn.PERCENTILE.INC($D$2:$D$726,0.6),4,D370&gt;=_xlfn.PERCENTILE.INC($D$2:$D$726,0.4),3,D370&gt;=_xlfn.PERCENTILE.INC($D$2:$D$726,0.2),2,TRUE,1)</f>
        <v>3</v>
      </c>
      <c r="H370">
        <f t="shared" si="5"/>
        <v>11</v>
      </c>
      <c r="I370" t="str" cm="1">
        <f t="array" ref="I370">_xlfn.IFS(H370&gt;=13,"Best Customers",H370&gt;=10,"Loyal Customers",H370&gt;=7,"Potential Loyal Customers",H370&gt;=4,"Need Attention",TRUE,"At Risk")</f>
        <v>Loyal Customers</v>
      </c>
    </row>
    <row r="371" spans="1:9" x14ac:dyDescent="0.25">
      <c r="A371" t="s">
        <v>1205</v>
      </c>
      <c r="B371" s="4">
        <v>990</v>
      </c>
      <c r="C371">
        <v>5</v>
      </c>
      <c r="D371">
        <v>118.69999999999999</v>
      </c>
      <c r="E371" cm="1">
        <f t="array" ref="E371">_xlfn.IFS(B371&lt;=_xlfn.PERCENTILE.INC($B$2:$B$726,0.2),5, B371&lt;=_xlfn.PERCENTILE.INC($B$2:$B$726,0.4),4,B371&lt;=_xlfn.PERCENTILE.INC($B$2:$B$726,0.6),3,B371&lt;=_xlfn.PERCENTILE.INC($B$2:$B$726,0.8),4,TRUE,1)</f>
        <v>1</v>
      </c>
      <c r="F371" cm="1">
        <f t="array" ref="F371">_xlfn.IFS(C371&gt;=_xlfn.PERCENTILE.INC($C$2:$C$726,0.8),5,C371&gt;=_xlfn.PERCENTILE.INC($C$2:$C$726,0.6),4,C371&gt;=_xlfn.PERCENTILE.INC($C$2:$C$726,0.4),3,C371&gt;=_xlfn.PERCENTILE.INC($C$2:$C$726,0.2),2,TRUE,1)</f>
        <v>3</v>
      </c>
      <c r="G371" cm="1">
        <f t="array" ref="G371">_xlfn.IFS(D371&gt;=_xlfn.PERCENTILE.INC($D$2:$D$726,0.8),5,D371&gt;=_xlfn.PERCENTILE.INC($D$2:$D$726,0.6),4,D371&gt;=_xlfn.PERCENTILE.INC($D$2:$D$726,0.4),3,D371&gt;=_xlfn.PERCENTILE.INC($D$2:$D$726,0.2),2,TRUE,1)</f>
        <v>1</v>
      </c>
      <c r="H371">
        <f t="shared" si="5"/>
        <v>5</v>
      </c>
      <c r="I371" t="str" cm="1">
        <f t="array" ref="I371">_xlfn.IFS(H371&gt;=13,"Best Customers",H371&gt;=10,"Loyal Customers",H371&gt;=7,"Potential Loyal Customers",H371&gt;=4,"Need Attention",TRUE,"At Risk")</f>
        <v>Need Attention</v>
      </c>
    </row>
    <row r="372" spans="1:9" x14ac:dyDescent="0.25">
      <c r="A372" t="s">
        <v>2275</v>
      </c>
      <c r="B372" s="4">
        <v>370</v>
      </c>
      <c r="C372">
        <v>7</v>
      </c>
      <c r="D372">
        <v>190.10000000000002</v>
      </c>
      <c r="E372" cm="1">
        <f t="array" ref="E372">_xlfn.IFS(B372&lt;=_xlfn.PERCENTILE.INC($B$2:$B$726,0.2),5, B372&lt;=_xlfn.PERCENTILE.INC($B$2:$B$726,0.4),4,B372&lt;=_xlfn.PERCENTILE.INC($B$2:$B$726,0.6),3,B372&lt;=_xlfn.PERCENTILE.INC($B$2:$B$726,0.8),4,TRUE,1)</f>
        <v>5</v>
      </c>
      <c r="F372" cm="1">
        <f t="array" ref="F372">_xlfn.IFS(C372&gt;=_xlfn.PERCENTILE.INC($C$2:$C$726,0.8),5,C372&gt;=_xlfn.PERCENTILE.INC($C$2:$C$726,0.6),4,C372&gt;=_xlfn.PERCENTILE.INC($C$2:$C$726,0.4),3,C372&gt;=_xlfn.PERCENTILE.INC($C$2:$C$726,0.2),2,TRUE,1)</f>
        <v>4</v>
      </c>
      <c r="G372" cm="1">
        <f t="array" ref="G372">_xlfn.IFS(D372&gt;=_xlfn.PERCENTILE.INC($D$2:$D$726,0.8),5,D372&gt;=_xlfn.PERCENTILE.INC($D$2:$D$726,0.6),4,D372&gt;=_xlfn.PERCENTILE.INC($D$2:$D$726,0.4),3,D372&gt;=_xlfn.PERCENTILE.INC($D$2:$D$726,0.2),2,TRUE,1)</f>
        <v>2</v>
      </c>
      <c r="H372">
        <f t="shared" si="5"/>
        <v>11</v>
      </c>
      <c r="I372" t="str" cm="1">
        <f t="array" ref="I372">_xlfn.IFS(H372&gt;=13,"Best Customers",H372&gt;=10,"Loyal Customers",H372&gt;=7,"Potential Loyal Customers",H372&gt;=4,"Need Attention",TRUE,"At Risk")</f>
        <v>Loyal Customers</v>
      </c>
    </row>
    <row r="373" spans="1:9" x14ac:dyDescent="0.25">
      <c r="A373" t="s">
        <v>2957</v>
      </c>
      <c r="B373" s="4">
        <v>561</v>
      </c>
      <c r="C373">
        <v>7</v>
      </c>
      <c r="D373">
        <v>311.7</v>
      </c>
      <c r="E373" cm="1">
        <f t="array" ref="E373">_xlfn.IFS(B373&lt;=_xlfn.PERCENTILE.INC($B$2:$B$726,0.2),5, B373&lt;=_xlfn.PERCENTILE.INC($B$2:$B$726,0.4),4,B373&lt;=_xlfn.PERCENTILE.INC($B$2:$B$726,0.6),3,B373&lt;=_xlfn.PERCENTILE.INC($B$2:$B$726,0.8),4,TRUE,1)</f>
        <v>3</v>
      </c>
      <c r="F373" cm="1">
        <f t="array" ref="F373">_xlfn.IFS(C373&gt;=_xlfn.PERCENTILE.INC($C$2:$C$726,0.8),5,C373&gt;=_xlfn.PERCENTILE.INC($C$2:$C$726,0.6),4,C373&gt;=_xlfn.PERCENTILE.INC($C$2:$C$726,0.4),3,C373&gt;=_xlfn.PERCENTILE.INC($C$2:$C$726,0.2),2,TRUE,1)</f>
        <v>4</v>
      </c>
      <c r="G373" cm="1">
        <f t="array" ref="G373">_xlfn.IFS(D373&gt;=_xlfn.PERCENTILE.INC($D$2:$D$726,0.8),5,D373&gt;=_xlfn.PERCENTILE.INC($D$2:$D$726,0.6),4,D373&gt;=_xlfn.PERCENTILE.INC($D$2:$D$726,0.4),3,D373&gt;=_xlfn.PERCENTILE.INC($D$2:$D$726,0.2),2,TRUE,1)</f>
        <v>3</v>
      </c>
      <c r="H373">
        <f t="shared" si="5"/>
        <v>10</v>
      </c>
      <c r="I373" t="str" cm="1">
        <f t="array" ref="I373">_xlfn.IFS(H373&gt;=13,"Best Customers",H373&gt;=10,"Loyal Customers",H373&gt;=7,"Potential Loyal Customers",H373&gt;=4,"Need Attention",TRUE,"At Risk")</f>
        <v>Loyal Customers</v>
      </c>
    </row>
    <row r="374" spans="1:9" x14ac:dyDescent="0.25">
      <c r="A374" t="s">
        <v>1643</v>
      </c>
      <c r="B374" s="4">
        <v>1116</v>
      </c>
      <c r="C374">
        <v>7</v>
      </c>
      <c r="D374">
        <v>394.7</v>
      </c>
      <c r="E374" cm="1">
        <f t="array" ref="E374">_xlfn.IFS(B374&lt;=_xlfn.PERCENTILE.INC($B$2:$B$726,0.2),5, B374&lt;=_xlfn.PERCENTILE.INC($B$2:$B$726,0.4),4,B374&lt;=_xlfn.PERCENTILE.INC($B$2:$B$726,0.6),3,B374&lt;=_xlfn.PERCENTILE.INC($B$2:$B$726,0.8),4,TRUE,1)</f>
        <v>1</v>
      </c>
      <c r="F374" cm="1">
        <f t="array" ref="F374">_xlfn.IFS(C374&gt;=_xlfn.PERCENTILE.INC($C$2:$C$726,0.8),5,C374&gt;=_xlfn.PERCENTILE.INC($C$2:$C$726,0.6),4,C374&gt;=_xlfn.PERCENTILE.INC($C$2:$C$726,0.4),3,C374&gt;=_xlfn.PERCENTILE.INC($C$2:$C$726,0.2),2,TRUE,1)</f>
        <v>4</v>
      </c>
      <c r="G374" cm="1">
        <f t="array" ref="G374">_xlfn.IFS(D374&gt;=_xlfn.PERCENTILE.INC($D$2:$D$726,0.8),5,D374&gt;=_xlfn.PERCENTILE.INC($D$2:$D$726,0.6),4,D374&gt;=_xlfn.PERCENTILE.INC($D$2:$D$726,0.4),3,D374&gt;=_xlfn.PERCENTILE.INC($D$2:$D$726,0.2),2,TRUE,1)</f>
        <v>4</v>
      </c>
      <c r="H374">
        <f t="shared" si="5"/>
        <v>9</v>
      </c>
      <c r="I374" t="str" cm="1">
        <f t="array" ref="I374">_xlfn.IFS(H374&gt;=13,"Best Customers",H374&gt;=10,"Loyal Customers",H374&gt;=7,"Potential Loyal Customers",H374&gt;=4,"Need Attention",TRUE,"At Risk")</f>
        <v>Potential Loyal Customers</v>
      </c>
    </row>
    <row r="375" spans="1:9" x14ac:dyDescent="0.25">
      <c r="A375" t="s">
        <v>1857</v>
      </c>
      <c r="B375" s="4">
        <v>689</v>
      </c>
      <c r="C375">
        <v>7</v>
      </c>
      <c r="D375">
        <v>284.10000000000002</v>
      </c>
      <c r="E375" cm="1">
        <f t="array" ref="E375">_xlfn.IFS(B375&lt;=_xlfn.PERCENTILE.INC($B$2:$B$726,0.2),5, B375&lt;=_xlfn.PERCENTILE.INC($B$2:$B$726,0.4),4,B375&lt;=_xlfn.PERCENTILE.INC($B$2:$B$726,0.6),3,B375&lt;=_xlfn.PERCENTILE.INC($B$2:$B$726,0.8),4,TRUE,1)</f>
        <v>4</v>
      </c>
      <c r="F375" cm="1">
        <f t="array" ref="F375">_xlfn.IFS(C375&gt;=_xlfn.PERCENTILE.INC($C$2:$C$726,0.8),5,C375&gt;=_xlfn.PERCENTILE.INC($C$2:$C$726,0.6),4,C375&gt;=_xlfn.PERCENTILE.INC($C$2:$C$726,0.4),3,C375&gt;=_xlfn.PERCENTILE.INC($C$2:$C$726,0.2),2,TRUE,1)</f>
        <v>4</v>
      </c>
      <c r="G375" cm="1">
        <f t="array" ref="G375">_xlfn.IFS(D375&gt;=_xlfn.PERCENTILE.INC($D$2:$D$726,0.8),5,D375&gt;=_xlfn.PERCENTILE.INC($D$2:$D$726,0.6),4,D375&gt;=_xlfn.PERCENTILE.INC($D$2:$D$726,0.4),3,D375&gt;=_xlfn.PERCENTILE.INC($D$2:$D$726,0.2),2,TRUE,1)</f>
        <v>3</v>
      </c>
      <c r="H375">
        <f t="shared" si="5"/>
        <v>11</v>
      </c>
      <c r="I375" t="str" cm="1">
        <f t="array" ref="I375">_xlfn.IFS(H375&gt;=13,"Best Customers",H375&gt;=10,"Loyal Customers",H375&gt;=7,"Potential Loyal Customers",H375&gt;=4,"Need Attention",TRUE,"At Risk")</f>
        <v>Loyal Customers</v>
      </c>
    </row>
    <row r="376" spans="1:9" x14ac:dyDescent="0.25">
      <c r="A376" t="s">
        <v>688</v>
      </c>
      <c r="B376" s="4">
        <v>427</v>
      </c>
      <c r="C376">
        <v>7</v>
      </c>
      <c r="D376">
        <v>279.3</v>
      </c>
      <c r="E376" cm="1">
        <f t="array" ref="E376">_xlfn.IFS(B376&lt;=_xlfn.PERCENTILE.INC($B$2:$B$726,0.2),5, B376&lt;=_xlfn.PERCENTILE.INC($B$2:$B$726,0.4),4,B376&lt;=_xlfn.PERCENTILE.INC($B$2:$B$726,0.6),3,B376&lt;=_xlfn.PERCENTILE.INC($B$2:$B$726,0.8),4,TRUE,1)</f>
        <v>4</v>
      </c>
      <c r="F376" cm="1">
        <f t="array" ref="F376">_xlfn.IFS(C376&gt;=_xlfn.PERCENTILE.INC($C$2:$C$726,0.8),5,C376&gt;=_xlfn.PERCENTILE.INC($C$2:$C$726,0.6),4,C376&gt;=_xlfn.PERCENTILE.INC($C$2:$C$726,0.4),3,C376&gt;=_xlfn.PERCENTILE.INC($C$2:$C$726,0.2),2,TRUE,1)</f>
        <v>4</v>
      </c>
      <c r="G376" cm="1">
        <f t="array" ref="G376">_xlfn.IFS(D376&gt;=_xlfn.PERCENTILE.INC($D$2:$D$726,0.8),5,D376&gt;=_xlfn.PERCENTILE.INC($D$2:$D$726,0.6),4,D376&gt;=_xlfn.PERCENTILE.INC($D$2:$D$726,0.4),3,D376&gt;=_xlfn.PERCENTILE.INC($D$2:$D$726,0.2),2,TRUE,1)</f>
        <v>3</v>
      </c>
      <c r="H376">
        <f t="shared" si="5"/>
        <v>11</v>
      </c>
      <c r="I376" t="str" cm="1">
        <f t="array" ref="I376">_xlfn.IFS(H376&gt;=13,"Best Customers",H376&gt;=10,"Loyal Customers",H376&gt;=7,"Potential Loyal Customers",H376&gt;=4,"Need Attention",TRUE,"At Risk")</f>
        <v>Loyal Customers</v>
      </c>
    </row>
    <row r="377" spans="1:9" x14ac:dyDescent="0.25">
      <c r="A377" t="s">
        <v>3455</v>
      </c>
      <c r="B377" s="4">
        <v>361</v>
      </c>
      <c r="C377">
        <v>9</v>
      </c>
      <c r="D377">
        <v>613.9</v>
      </c>
      <c r="E377" cm="1">
        <f t="array" ref="E377">_xlfn.IFS(B377&lt;=_xlfn.PERCENTILE.INC($B$2:$B$726,0.2),5, B377&lt;=_xlfn.PERCENTILE.INC($B$2:$B$726,0.4),4,B377&lt;=_xlfn.PERCENTILE.INC($B$2:$B$726,0.6),3,B377&lt;=_xlfn.PERCENTILE.INC($B$2:$B$726,0.8),4,TRUE,1)</f>
        <v>5</v>
      </c>
      <c r="F377" cm="1">
        <f t="array" ref="F377">_xlfn.IFS(C377&gt;=_xlfn.PERCENTILE.INC($C$2:$C$726,0.8),5,C377&gt;=_xlfn.PERCENTILE.INC($C$2:$C$726,0.6),4,C377&gt;=_xlfn.PERCENTILE.INC($C$2:$C$726,0.4),3,C377&gt;=_xlfn.PERCENTILE.INC($C$2:$C$726,0.2),2,TRUE,1)</f>
        <v>5</v>
      </c>
      <c r="G377" cm="1">
        <f t="array" ref="G377">_xlfn.IFS(D377&gt;=_xlfn.PERCENTILE.INC($D$2:$D$726,0.8),5,D377&gt;=_xlfn.PERCENTILE.INC($D$2:$D$726,0.6),4,D377&gt;=_xlfn.PERCENTILE.INC($D$2:$D$726,0.4),3,D377&gt;=_xlfn.PERCENTILE.INC($D$2:$D$726,0.2),2,TRUE,1)</f>
        <v>5</v>
      </c>
      <c r="H377">
        <f t="shared" si="5"/>
        <v>15</v>
      </c>
      <c r="I377" t="str" cm="1">
        <f t="array" ref="I377">_xlfn.IFS(H377&gt;=13,"Best Customers",H377&gt;=10,"Loyal Customers",H377&gt;=7,"Potential Loyal Customers",H377&gt;=4,"Need Attention",TRUE,"At Risk")</f>
        <v>Best Customers</v>
      </c>
    </row>
    <row r="378" spans="1:9" x14ac:dyDescent="0.25">
      <c r="A378" t="s">
        <v>1003</v>
      </c>
      <c r="B378" s="4">
        <v>381</v>
      </c>
      <c r="C378">
        <v>9</v>
      </c>
      <c r="D378">
        <v>758.00000000000011</v>
      </c>
      <c r="E378" cm="1">
        <f t="array" ref="E378">_xlfn.IFS(B378&lt;=_xlfn.PERCENTILE.INC($B$2:$B$726,0.2),5, B378&lt;=_xlfn.PERCENTILE.INC($B$2:$B$726,0.4),4,B378&lt;=_xlfn.PERCENTILE.INC($B$2:$B$726,0.6),3,B378&lt;=_xlfn.PERCENTILE.INC($B$2:$B$726,0.8),4,TRUE,1)</f>
        <v>5</v>
      </c>
      <c r="F378" cm="1">
        <f t="array" ref="F378">_xlfn.IFS(C378&gt;=_xlfn.PERCENTILE.INC($C$2:$C$726,0.8),5,C378&gt;=_xlfn.PERCENTILE.INC($C$2:$C$726,0.6),4,C378&gt;=_xlfn.PERCENTILE.INC($C$2:$C$726,0.4),3,C378&gt;=_xlfn.PERCENTILE.INC($C$2:$C$726,0.2),2,TRUE,1)</f>
        <v>5</v>
      </c>
      <c r="G378" cm="1">
        <f t="array" ref="G378">_xlfn.IFS(D378&gt;=_xlfn.PERCENTILE.INC($D$2:$D$726,0.8),5,D378&gt;=_xlfn.PERCENTILE.INC($D$2:$D$726,0.6),4,D378&gt;=_xlfn.PERCENTILE.INC($D$2:$D$726,0.4),3,D378&gt;=_xlfn.PERCENTILE.INC($D$2:$D$726,0.2),2,TRUE,1)</f>
        <v>5</v>
      </c>
      <c r="H378">
        <f t="shared" si="5"/>
        <v>15</v>
      </c>
      <c r="I378" t="str" cm="1">
        <f t="array" ref="I378">_xlfn.IFS(H378&gt;=13,"Best Customers",H378&gt;=10,"Loyal Customers",H378&gt;=7,"Potential Loyal Customers",H378&gt;=4,"Need Attention",TRUE,"At Risk")</f>
        <v>Best Customers</v>
      </c>
    </row>
    <row r="379" spans="1:9" x14ac:dyDescent="0.25">
      <c r="A379" t="s">
        <v>2192</v>
      </c>
      <c r="B379" s="4">
        <v>1015</v>
      </c>
      <c r="C379">
        <v>4</v>
      </c>
      <c r="D379">
        <v>78.599999999999994</v>
      </c>
      <c r="E379" cm="1">
        <f t="array" ref="E379">_xlfn.IFS(B379&lt;=_xlfn.PERCENTILE.INC($B$2:$B$726,0.2),5, B379&lt;=_xlfn.PERCENTILE.INC($B$2:$B$726,0.4),4,B379&lt;=_xlfn.PERCENTILE.INC($B$2:$B$726,0.6),3,B379&lt;=_xlfn.PERCENTILE.INC($B$2:$B$726,0.8),4,TRUE,1)</f>
        <v>1</v>
      </c>
      <c r="F379" cm="1">
        <f t="array" ref="F379">_xlfn.IFS(C379&gt;=_xlfn.PERCENTILE.INC($C$2:$C$726,0.8),5,C379&gt;=_xlfn.PERCENTILE.INC($C$2:$C$726,0.6),4,C379&gt;=_xlfn.PERCENTILE.INC($C$2:$C$726,0.4),3,C379&gt;=_xlfn.PERCENTILE.INC($C$2:$C$726,0.2),2,TRUE,1)</f>
        <v>2</v>
      </c>
      <c r="G379" cm="1">
        <f t="array" ref="G379">_xlfn.IFS(D379&gt;=_xlfn.PERCENTILE.INC($D$2:$D$726,0.8),5,D379&gt;=_xlfn.PERCENTILE.INC($D$2:$D$726,0.6),4,D379&gt;=_xlfn.PERCENTILE.INC($D$2:$D$726,0.4),3,D379&gt;=_xlfn.PERCENTILE.INC($D$2:$D$726,0.2),2,TRUE,1)</f>
        <v>1</v>
      </c>
      <c r="H379">
        <f t="shared" si="5"/>
        <v>4</v>
      </c>
      <c r="I379" t="str" cm="1">
        <f t="array" ref="I379">_xlfn.IFS(H379&gt;=13,"Best Customers",H379&gt;=10,"Loyal Customers",H379&gt;=7,"Potential Loyal Customers",H379&gt;=4,"Need Attention",TRUE,"At Risk")</f>
        <v>Need Attention</v>
      </c>
    </row>
    <row r="380" spans="1:9" x14ac:dyDescent="0.25">
      <c r="A380" t="s">
        <v>1458</v>
      </c>
      <c r="B380" s="4">
        <v>417</v>
      </c>
      <c r="C380">
        <v>9</v>
      </c>
      <c r="D380">
        <v>426.7</v>
      </c>
      <c r="E380" cm="1">
        <f t="array" ref="E380">_xlfn.IFS(B380&lt;=_xlfn.PERCENTILE.INC($B$2:$B$726,0.2),5, B380&lt;=_xlfn.PERCENTILE.INC($B$2:$B$726,0.4),4,B380&lt;=_xlfn.PERCENTILE.INC($B$2:$B$726,0.6),3,B380&lt;=_xlfn.PERCENTILE.INC($B$2:$B$726,0.8),4,TRUE,1)</f>
        <v>4</v>
      </c>
      <c r="F380" cm="1">
        <f t="array" ref="F380">_xlfn.IFS(C380&gt;=_xlfn.PERCENTILE.INC($C$2:$C$726,0.8),5,C380&gt;=_xlfn.PERCENTILE.INC($C$2:$C$726,0.6),4,C380&gt;=_xlfn.PERCENTILE.INC($C$2:$C$726,0.4),3,C380&gt;=_xlfn.PERCENTILE.INC($C$2:$C$726,0.2),2,TRUE,1)</f>
        <v>5</v>
      </c>
      <c r="G380" cm="1">
        <f t="array" ref="G380">_xlfn.IFS(D380&gt;=_xlfn.PERCENTILE.INC($D$2:$D$726,0.8),5,D380&gt;=_xlfn.PERCENTILE.INC($D$2:$D$726,0.6),4,D380&gt;=_xlfn.PERCENTILE.INC($D$2:$D$726,0.4),3,D380&gt;=_xlfn.PERCENTILE.INC($D$2:$D$726,0.2),2,TRUE,1)</f>
        <v>5</v>
      </c>
      <c r="H380">
        <f t="shared" si="5"/>
        <v>14</v>
      </c>
      <c r="I380" t="str" cm="1">
        <f t="array" ref="I380">_xlfn.IFS(H380&gt;=13,"Best Customers",H380&gt;=10,"Loyal Customers",H380&gt;=7,"Potential Loyal Customers",H380&gt;=4,"Need Attention",TRUE,"At Risk")</f>
        <v>Best Customers</v>
      </c>
    </row>
    <row r="381" spans="1:9" x14ac:dyDescent="0.25">
      <c r="A381" t="s">
        <v>2795</v>
      </c>
      <c r="B381" s="4">
        <v>401</v>
      </c>
      <c r="C381">
        <v>4</v>
      </c>
      <c r="D381">
        <v>212.3</v>
      </c>
      <c r="E381" cm="1">
        <f t="array" ref="E381">_xlfn.IFS(B381&lt;=_xlfn.PERCENTILE.INC($B$2:$B$726,0.2),5, B381&lt;=_xlfn.PERCENTILE.INC($B$2:$B$726,0.4),4,B381&lt;=_xlfn.PERCENTILE.INC($B$2:$B$726,0.6),3,B381&lt;=_xlfn.PERCENTILE.INC($B$2:$B$726,0.8),4,TRUE,1)</f>
        <v>4</v>
      </c>
      <c r="F381" cm="1">
        <f t="array" ref="F381">_xlfn.IFS(C381&gt;=_xlfn.PERCENTILE.INC($C$2:$C$726,0.8),5,C381&gt;=_xlfn.PERCENTILE.INC($C$2:$C$726,0.6),4,C381&gt;=_xlfn.PERCENTILE.INC($C$2:$C$726,0.4),3,C381&gt;=_xlfn.PERCENTILE.INC($C$2:$C$726,0.2),2,TRUE,1)</f>
        <v>2</v>
      </c>
      <c r="G381" cm="1">
        <f t="array" ref="G381">_xlfn.IFS(D381&gt;=_xlfn.PERCENTILE.INC($D$2:$D$726,0.8),5,D381&gt;=_xlfn.PERCENTILE.INC($D$2:$D$726,0.6),4,D381&gt;=_xlfn.PERCENTILE.INC($D$2:$D$726,0.4),3,D381&gt;=_xlfn.PERCENTILE.INC($D$2:$D$726,0.2),2,TRUE,1)</f>
        <v>2</v>
      </c>
      <c r="H381">
        <f t="shared" si="5"/>
        <v>8</v>
      </c>
      <c r="I381" t="str" cm="1">
        <f t="array" ref="I381">_xlfn.IFS(H381&gt;=13,"Best Customers",H381&gt;=10,"Loyal Customers",H381&gt;=7,"Potential Loyal Customers",H381&gt;=4,"Need Attention",TRUE,"At Risk")</f>
        <v>Potential Loyal Customers</v>
      </c>
    </row>
    <row r="382" spans="1:9" x14ac:dyDescent="0.25">
      <c r="A382" t="s">
        <v>1625</v>
      </c>
      <c r="B382" s="4">
        <v>597</v>
      </c>
      <c r="C382">
        <v>5</v>
      </c>
      <c r="D382">
        <v>230.20000000000002</v>
      </c>
      <c r="E382" cm="1">
        <f t="array" ref="E382">_xlfn.IFS(B382&lt;=_xlfn.PERCENTILE.INC($B$2:$B$726,0.2),5, B382&lt;=_xlfn.PERCENTILE.INC($B$2:$B$726,0.4),4,B382&lt;=_xlfn.PERCENTILE.INC($B$2:$B$726,0.6),3,B382&lt;=_xlfn.PERCENTILE.INC($B$2:$B$726,0.8),4,TRUE,1)</f>
        <v>4</v>
      </c>
      <c r="F382" cm="1">
        <f t="array" ref="F382">_xlfn.IFS(C382&gt;=_xlfn.PERCENTILE.INC($C$2:$C$726,0.8),5,C382&gt;=_xlfn.PERCENTILE.INC($C$2:$C$726,0.6),4,C382&gt;=_xlfn.PERCENTILE.INC($C$2:$C$726,0.4),3,C382&gt;=_xlfn.PERCENTILE.INC($C$2:$C$726,0.2),2,TRUE,1)</f>
        <v>3</v>
      </c>
      <c r="G382" cm="1">
        <f t="array" ref="G382">_xlfn.IFS(D382&gt;=_xlfn.PERCENTILE.INC($D$2:$D$726,0.8),5,D382&gt;=_xlfn.PERCENTILE.INC($D$2:$D$726,0.6),4,D382&gt;=_xlfn.PERCENTILE.INC($D$2:$D$726,0.4),3,D382&gt;=_xlfn.PERCENTILE.INC($D$2:$D$726,0.2),2,TRUE,1)</f>
        <v>2</v>
      </c>
      <c r="H382">
        <f t="shared" si="5"/>
        <v>9</v>
      </c>
      <c r="I382" t="str" cm="1">
        <f t="array" ref="I382">_xlfn.IFS(H382&gt;=13,"Best Customers",H382&gt;=10,"Loyal Customers",H382&gt;=7,"Potential Loyal Customers",H382&gt;=4,"Need Attention",TRUE,"At Risk")</f>
        <v>Potential Loyal Customers</v>
      </c>
    </row>
    <row r="383" spans="1:9" x14ac:dyDescent="0.25">
      <c r="A383" t="s">
        <v>2027</v>
      </c>
      <c r="B383" s="4">
        <v>363</v>
      </c>
      <c r="C383">
        <v>7</v>
      </c>
      <c r="D383">
        <v>282.2</v>
      </c>
      <c r="E383" cm="1">
        <f t="array" ref="E383">_xlfn.IFS(B383&lt;=_xlfn.PERCENTILE.INC($B$2:$B$726,0.2),5, B383&lt;=_xlfn.PERCENTILE.INC($B$2:$B$726,0.4),4,B383&lt;=_xlfn.PERCENTILE.INC($B$2:$B$726,0.6),3,B383&lt;=_xlfn.PERCENTILE.INC($B$2:$B$726,0.8),4,TRUE,1)</f>
        <v>5</v>
      </c>
      <c r="F383" cm="1">
        <f t="array" ref="F383">_xlfn.IFS(C383&gt;=_xlfn.PERCENTILE.INC($C$2:$C$726,0.8),5,C383&gt;=_xlfn.PERCENTILE.INC($C$2:$C$726,0.6),4,C383&gt;=_xlfn.PERCENTILE.INC($C$2:$C$726,0.4),3,C383&gt;=_xlfn.PERCENTILE.INC($C$2:$C$726,0.2),2,TRUE,1)</f>
        <v>4</v>
      </c>
      <c r="G383" cm="1">
        <f t="array" ref="G383">_xlfn.IFS(D383&gt;=_xlfn.PERCENTILE.INC($D$2:$D$726,0.8),5,D383&gt;=_xlfn.PERCENTILE.INC($D$2:$D$726,0.6),4,D383&gt;=_xlfn.PERCENTILE.INC($D$2:$D$726,0.4),3,D383&gt;=_xlfn.PERCENTILE.INC($D$2:$D$726,0.2),2,TRUE,1)</f>
        <v>3</v>
      </c>
      <c r="H383">
        <f t="shared" si="5"/>
        <v>12</v>
      </c>
      <c r="I383" t="str" cm="1">
        <f t="array" ref="I383">_xlfn.IFS(H383&gt;=13,"Best Customers",H383&gt;=10,"Loyal Customers",H383&gt;=7,"Potential Loyal Customers",H383&gt;=4,"Need Attention",TRUE,"At Risk")</f>
        <v>Loyal Customers</v>
      </c>
    </row>
    <row r="384" spans="1:9" x14ac:dyDescent="0.25">
      <c r="A384" t="s">
        <v>1300</v>
      </c>
      <c r="B384" s="4">
        <v>708</v>
      </c>
      <c r="C384">
        <v>5</v>
      </c>
      <c r="D384">
        <v>258.8</v>
      </c>
      <c r="E384" cm="1">
        <f t="array" ref="E384">_xlfn.IFS(B384&lt;=_xlfn.PERCENTILE.INC($B$2:$B$726,0.2),5, B384&lt;=_xlfn.PERCENTILE.INC($B$2:$B$726,0.4),4,B384&lt;=_xlfn.PERCENTILE.INC($B$2:$B$726,0.6),3,B384&lt;=_xlfn.PERCENTILE.INC($B$2:$B$726,0.8),4,TRUE,1)</f>
        <v>4</v>
      </c>
      <c r="F384" cm="1">
        <f t="array" ref="F384">_xlfn.IFS(C384&gt;=_xlfn.PERCENTILE.INC($C$2:$C$726,0.8),5,C384&gt;=_xlfn.PERCENTILE.INC($C$2:$C$726,0.6),4,C384&gt;=_xlfn.PERCENTILE.INC($C$2:$C$726,0.4),3,C384&gt;=_xlfn.PERCENTILE.INC($C$2:$C$726,0.2),2,TRUE,1)</f>
        <v>3</v>
      </c>
      <c r="G384" cm="1">
        <f t="array" ref="G384">_xlfn.IFS(D384&gt;=_xlfn.PERCENTILE.INC($D$2:$D$726,0.8),5,D384&gt;=_xlfn.PERCENTILE.INC($D$2:$D$726,0.6),4,D384&gt;=_xlfn.PERCENTILE.INC($D$2:$D$726,0.4),3,D384&gt;=_xlfn.PERCENTILE.INC($D$2:$D$726,0.2),2,TRUE,1)</f>
        <v>3</v>
      </c>
      <c r="H384">
        <f t="shared" si="5"/>
        <v>10</v>
      </c>
      <c r="I384" t="str" cm="1">
        <f t="array" ref="I384">_xlfn.IFS(H384&gt;=13,"Best Customers",H384&gt;=10,"Loyal Customers",H384&gt;=7,"Potential Loyal Customers",H384&gt;=4,"Need Attention",TRUE,"At Risk")</f>
        <v>Loyal Customers</v>
      </c>
    </row>
    <row r="385" spans="1:9" x14ac:dyDescent="0.25">
      <c r="A385" t="s">
        <v>1732</v>
      </c>
      <c r="B385" s="4">
        <v>367</v>
      </c>
      <c r="C385">
        <v>12</v>
      </c>
      <c r="D385">
        <v>443.09999999999991</v>
      </c>
      <c r="E385" cm="1">
        <f t="array" ref="E385">_xlfn.IFS(B385&lt;=_xlfn.PERCENTILE.INC($B$2:$B$726,0.2),5, B385&lt;=_xlfn.PERCENTILE.INC($B$2:$B$726,0.4),4,B385&lt;=_xlfn.PERCENTILE.INC($B$2:$B$726,0.6),3,B385&lt;=_xlfn.PERCENTILE.INC($B$2:$B$726,0.8),4,TRUE,1)</f>
        <v>5</v>
      </c>
      <c r="F385" cm="1">
        <f t="array" ref="F385">_xlfn.IFS(C385&gt;=_xlfn.PERCENTILE.INC($C$2:$C$726,0.8),5,C385&gt;=_xlfn.PERCENTILE.INC($C$2:$C$726,0.6),4,C385&gt;=_xlfn.PERCENTILE.INC($C$2:$C$726,0.4),3,C385&gt;=_xlfn.PERCENTILE.INC($C$2:$C$726,0.2),2,TRUE,1)</f>
        <v>5</v>
      </c>
      <c r="G385" cm="1">
        <f t="array" ref="G385">_xlfn.IFS(D385&gt;=_xlfn.PERCENTILE.INC($D$2:$D$726,0.8),5,D385&gt;=_xlfn.PERCENTILE.INC($D$2:$D$726,0.6),4,D385&gt;=_xlfn.PERCENTILE.INC($D$2:$D$726,0.4),3,D385&gt;=_xlfn.PERCENTILE.INC($D$2:$D$726,0.2),2,TRUE,1)</f>
        <v>5</v>
      </c>
      <c r="H385">
        <f t="shared" si="5"/>
        <v>15</v>
      </c>
      <c r="I385" t="str" cm="1">
        <f t="array" ref="I385">_xlfn.IFS(H385&gt;=13,"Best Customers",H385&gt;=10,"Loyal Customers",H385&gt;=7,"Potential Loyal Customers",H385&gt;=4,"Need Attention",TRUE,"At Risk")</f>
        <v>Best Customers</v>
      </c>
    </row>
    <row r="386" spans="1:9" x14ac:dyDescent="0.25">
      <c r="A386" t="s">
        <v>2748</v>
      </c>
      <c r="B386" s="4">
        <v>688</v>
      </c>
      <c r="C386">
        <v>2</v>
      </c>
      <c r="D386">
        <v>32.9</v>
      </c>
      <c r="E386" cm="1">
        <f t="array" ref="E386">_xlfn.IFS(B386&lt;=_xlfn.PERCENTILE.INC($B$2:$B$726,0.2),5, B386&lt;=_xlfn.PERCENTILE.INC($B$2:$B$726,0.4),4,B386&lt;=_xlfn.PERCENTILE.INC($B$2:$B$726,0.6),3,B386&lt;=_xlfn.PERCENTILE.INC($B$2:$B$726,0.8),4,TRUE,1)</f>
        <v>4</v>
      </c>
      <c r="F386" cm="1">
        <f t="array" ref="F386">_xlfn.IFS(C386&gt;=_xlfn.PERCENTILE.INC($C$2:$C$726,0.8),5,C386&gt;=_xlfn.PERCENTILE.INC($C$2:$C$726,0.6),4,C386&gt;=_xlfn.PERCENTILE.INC($C$2:$C$726,0.4),3,C386&gt;=_xlfn.PERCENTILE.INC($C$2:$C$726,0.2),2,TRUE,1)</f>
        <v>1</v>
      </c>
      <c r="G386" cm="1">
        <f t="array" ref="G386">_xlfn.IFS(D386&gt;=_xlfn.PERCENTILE.INC($D$2:$D$726,0.8),5,D386&gt;=_xlfn.PERCENTILE.INC($D$2:$D$726,0.6),4,D386&gt;=_xlfn.PERCENTILE.INC($D$2:$D$726,0.4),3,D386&gt;=_xlfn.PERCENTILE.INC($D$2:$D$726,0.2),2,TRUE,1)</f>
        <v>1</v>
      </c>
      <c r="H386">
        <f t="shared" si="5"/>
        <v>6</v>
      </c>
      <c r="I386" t="str" cm="1">
        <f t="array" ref="I386">_xlfn.IFS(H386&gt;=13,"Best Customers",H386&gt;=10,"Loyal Customers",H386&gt;=7,"Potential Loyal Customers",H386&gt;=4,"Need Attention",TRUE,"At Risk")</f>
        <v>Need Attention</v>
      </c>
    </row>
    <row r="387" spans="1:9" x14ac:dyDescent="0.25">
      <c r="A387" t="s">
        <v>1675</v>
      </c>
      <c r="B387" s="4">
        <v>439</v>
      </c>
      <c r="C387">
        <v>7</v>
      </c>
      <c r="D387">
        <v>326.89999999999998</v>
      </c>
      <c r="E387" cm="1">
        <f t="array" ref="E387">_xlfn.IFS(B387&lt;=_xlfn.PERCENTILE.INC($B$2:$B$726,0.2),5, B387&lt;=_xlfn.PERCENTILE.INC($B$2:$B$726,0.4),4,B387&lt;=_xlfn.PERCENTILE.INC($B$2:$B$726,0.6),3,B387&lt;=_xlfn.PERCENTILE.INC($B$2:$B$726,0.8),4,TRUE,1)</f>
        <v>4</v>
      </c>
      <c r="F387" cm="1">
        <f t="array" ref="F387">_xlfn.IFS(C387&gt;=_xlfn.PERCENTILE.INC($C$2:$C$726,0.8),5,C387&gt;=_xlfn.PERCENTILE.INC($C$2:$C$726,0.6),4,C387&gt;=_xlfn.PERCENTILE.INC($C$2:$C$726,0.4),3,C387&gt;=_xlfn.PERCENTILE.INC($C$2:$C$726,0.2),2,TRUE,1)</f>
        <v>4</v>
      </c>
      <c r="G387" cm="1">
        <f t="array" ref="G387">_xlfn.IFS(D387&gt;=_xlfn.PERCENTILE.INC($D$2:$D$726,0.8),5,D387&gt;=_xlfn.PERCENTILE.INC($D$2:$D$726,0.6),4,D387&gt;=_xlfn.PERCENTILE.INC($D$2:$D$726,0.4),3,D387&gt;=_xlfn.PERCENTILE.INC($D$2:$D$726,0.2),2,TRUE,1)</f>
        <v>4</v>
      </c>
      <c r="H387">
        <f t="shared" ref="H387:H450" si="6">SUM(E387,F387,G387)</f>
        <v>12</v>
      </c>
      <c r="I387" t="str" cm="1">
        <f t="array" ref="I387">_xlfn.IFS(H387&gt;=13,"Best Customers",H387&gt;=10,"Loyal Customers",H387&gt;=7,"Potential Loyal Customers",H387&gt;=4,"Need Attention",TRUE,"At Risk")</f>
        <v>Loyal Customers</v>
      </c>
    </row>
    <row r="388" spans="1:9" x14ac:dyDescent="0.25">
      <c r="A388" t="s">
        <v>3187</v>
      </c>
      <c r="B388" s="4">
        <v>430</v>
      </c>
      <c r="C388">
        <v>9</v>
      </c>
      <c r="D388">
        <v>303.49999999999994</v>
      </c>
      <c r="E388" cm="1">
        <f t="array" ref="E388">_xlfn.IFS(B388&lt;=_xlfn.PERCENTILE.INC($B$2:$B$726,0.2),5, B388&lt;=_xlfn.PERCENTILE.INC($B$2:$B$726,0.4),4,B388&lt;=_xlfn.PERCENTILE.INC($B$2:$B$726,0.6),3,B388&lt;=_xlfn.PERCENTILE.INC($B$2:$B$726,0.8),4,TRUE,1)</f>
        <v>4</v>
      </c>
      <c r="F388" cm="1">
        <f t="array" ref="F388">_xlfn.IFS(C388&gt;=_xlfn.PERCENTILE.INC($C$2:$C$726,0.8),5,C388&gt;=_xlfn.PERCENTILE.INC($C$2:$C$726,0.6),4,C388&gt;=_xlfn.PERCENTILE.INC($C$2:$C$726,0.4),3,C388&gt;=_xlfn.PERCENTILE.INC($C$2:$C$726,0.2),2,TRUE,1)</f>
        <v>5</v>
      </c>
      <c r="G388" cm="1">
        <f t="array" ref="G388">_xlfn.IFS(D388&gt;=_xlfn.PERCENTILE.INC($D$2:$D$726,0.8),5,D388&gt;=_xlfn.PERCENTILE.INC($D$2:$D$726,0.6),4,D388&gt;=_xlfn.PERCENTILE.INC($D$2:$D$726,0.4),3,D388&gt;=_xlfn.PERCENTILE.INC($D$2:$D$726,0.2),2,TRUE,1)</f>
        <v>3</v>
      </c>
      <c r="H388">
        <f t="shared" si="6"/>
        <v>12</v>
      </c>
      <c r="I388" t="str" cm="1">
        <f t="array" ref="I388">_xlfn.IFS(H388&gt;=13,"Best Customers",H388&gt;=10,"Loyal Customers",H388&gt;=7,"Potential Loyal Customers",H388&gt;=4,"Need Attention",TRUE,"At Risk")</f>
        <v>Loyal Customers</v>
      </c>
    </row>
    <row r="389" spans="1:9" x14ac:dyDescent="0.25">
      <c r="A389" t="s">
        <v>1556</v>
      </c>
      <c r="B389" s="4">
        <v>352</v>
      </c>
      <c r="C389">
        <v>10</v>
      </c>
      <c r="D389">
        <v>372.6</v>
      </c>
      <c r="E389" cm="1">
        <f t="array" ref="E389">_xlfn.IFS(B389&lt;=_xlfn.PERCENTILE.INC($B$2:$B$726,0.2),5, B389&lt;=_xlfn.PERCENTILE.INC($B$2:$B$726,0.4),4,B389&lt;=_xlfn.PERCENTILE.INC($B$2:$B$726,0.6),3,B389&lt;=_xlfn.PERCENTILE.INC($B$2:$B$726,0.8),4,TRUE,1)</f>
        <v>5</v>
      </c>
      <c r="F389" cm="1">
        <f t="array" ref="F389">_xlfn.IFS(C389&gt;=_xlfn.PERCENTILE.INC($C$2:$C$726,0.8),5,C389&gt;=_xlfn.PERCENTILE.INC($C$2:$C$726,0.6),4,C389&gt;=_xlfn.PERCENTILE.INC($C$2:$C$726,0.4),3,C389&gt;=_xlfn.PERCENTILE.INC($C$2:$C$726,0.2),2,TRUE,1)</f>
        <v>5</v>
      </c>
      <c r="G389" cm="1">
        <f t="array" ref="G389">_xlfn.IFS(D389&gt;=_xlfn.PERCENTILE.INC($D$2:$D$726,0.8),5,D389&gt;=_xlfn.PERCENTILE.INC($D$2:$D$726,0.6),4,D389&gt;=_xlfn.PERCENTILE.INC($D$2:$D$726,0.4),3,D389&gt;=_xlfn.PERCENTILE.INC($D$2:$D$726,0.2),2,TRUE,1)</f>
        <v>4</v>
      </c>
      <c r="H389">
        <f t="shared" si="6"/>
        <v>14</v>
      </c>
      <c r="I389" t="str" cm="1">
        <f t="array" ref="I389">_xlfn.IFS(H389&gt;=13,"Best Customers",H389&gt;=10,"Loyal Customers",H389&gt;=7,"Potential Loyal Customers",H389&gt;=4,"Need Attention",TRUE,"At Risk")</f>
        <v>Best Customers</v>
      </c>
    </row>
    <row r="390" spans="1:9" x14ac:dyDescent="0.25">
      <c r="A390" t="s">
        <v>1541</v>
      </c>
      <c r="B390" s="4">
        <v>799</v>
      </c>
      <c r="C390">
        <v>2</v>
      </c>
      <c r="D390">
        <v>170.9</v>
      </c>
      <c r="E390" cm="1">
        <f t="array" ref="E390">_xlfn.IFS(B390&lt;=_xlfn.PERCENTILE.INC($B$2:$B$726,0.2),5, B390&lt;=_xlfn.PERCENTILE.INC($B$2:$B$726,0.4),4,B390&lt;=_xlfn.PERCENTILE.INC($B$2:$B$726,0.6),3,B390&lt;=_xlfn.PERCENTILE.INC($B$2:$B$726,0.8),4,TRUE,1)</f>
        <v>1</v>
      </c>
      <c r="F390" cm="1">
        <f t="array" ref="F390">_xlfn.IFS(C390&gt;=_xlfn.PERCENTILE.INC($C$2:$C$726,0.8),5,C390&gt;=_xlfn.PERCENTILE.INC($C$2:$C$726,0.6),4,C390&gt;=_xlfn.PERCENTILE.INC($C$2:$C$726,0.4),3,C390&gt;=_xlfn.PERCENTILE.INC($C$2:$C$726,0.2),2,TRUE,1)</f>
        <v>1</v>
      </c>
      <c r="G390" cm="1">
        <f t="array" ref="G390">_xlfn.IFS(D390&gt;=_xlfn.PERCENTILE.INC($D$2:$D$726,0.8),5,D390&gt;=_xlfn.PERCENTILE.INC($D$2:$D$726,0.6),4,D390&gt;=_xlfn.PERCENTILE.INC($D$2:$D$726,0.4),3,D390&gt;=_xlfn.PERCENTILE.INC($D$2:$D$726,0.2),2,TRUE,1)</f>
        <v>2</v>
      </c>
      <c r="H390">
        <f t="shared" si="6"/>
        <v>4</v>
      </c>
      <c r="I390" t="str" cm="1">
        <f t="array" ref="I390">_xlfn.IFS(H390&gt;=13,"Best Customers",H390&gt;=10,"Loyal Customers",H390&gt;=7,"Potential Loyal Customers",H390&gt;=4,"Need Attention",TRUE,"At Risk")</f>
        <v>Need Attention</v>
      </c>
    </row>
    <row r="391" spans="1:9" x14ac:dyDescent="0.25">
      <c r="A391" t="s">
        <v>3267</v>
      </c>
      <c r="B391" s="4">
        <v>542</v>
      </c>
      <c r="C391">
        <v>2</v>
      </c>
      <c r="D391">
        <v>138.4</v>
      </c>
      <c r="E391" cm="1">
        <f t="array" ref="E391">_xlfn.IFS(B391&lt;=_xlfn.PERCENTILE.INC($B$2:$B$726,0.2),5, B391&lt;=_xlfn.PERCENTILE.INC($B$2:$B$726,0.4),4,B391&lt;=_xlfn.PERCENTILE.INC($B$2:$B$726,0.6),3,B391&lt;=_xlfn.PERCENTILE.INC($B$2:$B$726,0.8),4,TRUE,1)</f>
        <v>3</v>
      </c>
      <c r="F391" cm="1">
        <f t="array" ref="F391">_xlfn.IFS(C391&gt;=_xlfn.PERCENTILE.INC($C$2:$C$726,0.8),5,C391&gt;=_xlfn.PERCENTILE.INC($C$2:$C$726,0.6),4,C391&gt;=_xlfn.PERCENTILE.INC($C$2:$C$726,0.4),3,C391&gt;=_xlfn.PERCENTILE.INC($C$2:$C$726,0.2),2,TRUE,1)</f>
        <v>1</v>
      </c>
      <c r="G391" cm="1">
        <f t="array" ref="G391">_xlfn.IFS(D391&gt;=_xlfn.PERCENTILE.INC($D$2:$D$726,0.8),5,D391&gt;=_xlfn.PERCENTILE.INC($D$2:$D$726,0.6),4,D391&gt;=_xlfn.PERCENTILE.INC($D$2:$D$726,0.4),3,D391&gt;=_xlfn.PERCENTILE.INC($D$2:$D$726,0.2),2,TRUE,1)</f>
        <v>1</v>
      </c>
      <c r="H391">
        <f t="shared" si="6"/>
        <v>5</v>
      </c>
      <c r="I391" t="str" cm="1">
        <f t="array" ref="I391">_xlfn.IFS(H391&gt;=13,"Best Customers",H391&gt;=10,"Loyal Customers",H391&gt;=7,"Potential Loyal Customers",H391&gt;=4,"Need Attention",TRUE,"At Risk")</f>
        <v>Need Attention</v>
      </c>
    </row>
    <row r="392" spans="1:9" x14ac:dyDescent="0.25">
      <c r="A392" t="s">
        <v>1678</v>
      </c>
      <c r="B392" s="4">
        <v>1660</v>
      </c>
      <c r="C392">
        <v>1</v>
      </c>
      <c r="D392">
        <v>63.4</v>
      </c>
      <c r="E392" cm="1">
        <f t="array" ref="E392">_xlfn.IFS(B392&lt;=_xlfn.PERCENTILE.INC($B$2:$B$726,0.2),5, B392&lt;=_xlfn.PERCENTILE.INC($B$2:$B$726,0.4),4,B392&lt;=_xlfn.PERCENTILE.INC($B$2:$B$726,0.6),3,B392&lt;=_xlfn.PERCENTILE.INC($B$2:$B$726,0.8),4,TRUE,1)</f>
        <v>1</v>
      </c>
      <c r="F392" cm="1">
        <f t="array" ref="F392">_xlfn.IFS(C392&gt;=_xlfn.PERCENTILE.INC($C$2:$C$726,0.8),5,C392&gt;=_xlfn.PERCENTILE.INC($C$2:$C$726,0.6),4,C392&gt;=_xlfn.PERCENTILE.INC($C$2:$C$726,0.4),3,C392&gt;=_xlfn.PERCENTILE.INC($C$2:$C$726,0.2),2,TRUE,1)</f>
        <v>1</v>
      </c>
      <c r="G392" cm="1">
        <f t="array" ref="G392">_xlfn.IFS(D392&gt;=_xlfn.PERCENTILE.INC($D$2:$D$726,0.8),5,D392&gt;=_xlfn.PERCENTILE.INC($D$2:$D$726,0.6),4,D392&gt;=_xlfn.PERCENTILE.INC($D$2:$D$726,0.4),3,D392&gt;=_xlfn.PERCENTILE.INC($D$2:$D$726,0.2),2,TRUE,1)</f>
        <v>1</v>
      </c>
      <c r="H392">
        <f t="shared" si="6"/>
        <v>3</v>
      </c>
      <c r="I392" t="str" cm="1">
        <f t="array" ref="I392">_xlfn.IFS(H392&gt;=13,"Best Customers",H392&gt;=10,"Loyal Customers",H392&gt;=7,"Potential Loyal Customers",H392&gt;=4,"Need Attention",TRUE,"At Risk")</f>
        <v>At Risk</v>
      </c>
    </row>
    <row r="393" spans="1:9" x14ac:dyDescent="0.25">
      <c r="A393" t="s">
        <v>1494</v>
      </c>
      <c r="B393" s="4">
        <v>496</v>
      </c>
      <c r="C393">
        <v>8</v>
      </c>
      <c r="D393">
        <v>291</v>
      </c>
      <c r="E393" cm="1">
        <f t="array" ref="E393">_xlfn.IFS(B393&lt;=_xlfn.PERCENTILE.INC($B$2:$B$726,0.2),5, B393&lt;=_xlfn.PERCENTILE.INC($B$2:$B$726,0.4),4,B393&lt;=_xlfn.PERCENTILE.INC($B$2:$B$726,0.6),3,B393&lt;=_xlfn.PERCENTILE.INC($B$2:$B$726,0.8),4,TRUE,1)</f>
        <v>3</v>
      </c>
      <c r="F393" cm="1">
        <f t="array" ref="F393">_xlfn.IFS(C393&gt;=_xlfn.PERCENTILE.INC($C$2:$C$726,0.8),5,C393&gt;=_xlfn.PERCENTILE.INC($C$2:$C$726,0.6),4,C393&gt;=_xlfn.PERCENTILE.INC($C$2:$C$726,0.4),3,C393&gt;=_xlfn.PERCENTILE.INC($C$2:$C$726,0.2),2,TRUE,1)</f>
        <v>5</v>
      </c>
      <c r="G393" cm="1">
        <f t="array" ref="G393">_xlfn.IFS(D393&gt;=_xlfn.PERCENTILE.INC($D$2:$D$726,0.8),5,D393&gt;=_xlfn.PERCENTILE.INC($D$2:$D$726,0.6),4,D393&gt;=_xlfn.PERCENTILE.INC($D$2:$D$726,0.4),3,D393&gt;=_xlfn.PERCENTILE.INC($D$2:$D$726,0.2),2,TRUE,1)</f>
        <v>3</v>
      </c>
      <c r="H393">
        <f t="shared" si="6"/>
        <v>11</v>
      </c>
      <c r="I393" t="str" cm="1">
        <f t="array" ref="I393">_xlfn.IFS(H393&gt;=13,"Best Customers",H393&gt;=10,"Loyal Customers",H393&gt;=7,"Potential Loyal Customers",H393&gt;=4,"Need Attention",TRUE,"At Risk")</f>
        <v>Loyal Customers</v>
      </c>
    </row>
    <row r="394" spans="1:9" x14ac:dyDescent="0.25">
      <c r="A394" t="s">
        <v>586</v>
      </c>
      <c r="B394" s="4">
        <v>412</v>
      </c>
      <c r="C394">
        <v>10</v>
      </c>
      <c r="D394">
        <v>343.8</v>
      </c>
      <c r="E394" cm="1">
        <f t="array" ref="E394">_xlfn.IFS(B394&lt;=_xlfn.PERCENTILE.INC($B$2:$B$726,0.2),5, B394&lt;=_xlfn.PERCENTILE.INC($B$2:$B$726,0.4),4,B394&lt;=_xlfn.PERCENTILE.INC($B$2:$B$726,0.6),3,B394&lt;=_xlfn.PERCENTILE.INC($B$2:$B$726,0.8),4,TRUE,1)</f>
        <v>4</v>
      </c>
      <c r="F394" cm="1">
        <f t="array" ref="F394">_xlfn.IFS(C394&gt;=_xlfn.PERCENTILE.INC($C$2:$C$726,0.8),5,C394&gt;=_xlfn.PERCENTILE.INC($C$2:$C$726,0.6),4,C394&gt;=_xlfn.PERCENTILE.INC($C$2:$C$726,0.4),3,C394&gt;=_xlfn.PERCENTILE.INC($C$2:$C$726,0.2),2,TRUE,1)</f>
        <v>5</v>
      </c>
      <c r="G394" cm="1">
        <f t="array" ref="G394">_xlfn.IFS(D394&gt;=_xlfn.PERCENTILE.INC($D$2:$D$726,0.8),5,D394&gt;=_xlfn.PERCENTILE.INC($D$2:$D$726,0.6),4,D394&gt;=_xlfn.PERCENTILE.INC($D$2:$D$726,0.4),3,D394&gt;=_xlfn.PERCENTILE.INC($D$2:$D$726,0.2),2,TRUE,1)</f>
        <v>4</v>
      </c>
      <c r="H394">
        <f t="shared" si="6"/>
        <v>13</v>
      </c>
      <c r="I394" t="str" cm="1">
        <f t="array" ref="I394">_xlfn.IFS(H394&gt;=13,"Best Customers",H394&gt;=10,"Loyal Customers",H394&gt;=7,"Potential Loyal Customers",H394&gt;=4,"Need Attention",TRUE,"At Risk")</f>
        <v>Best Customers</v>
      </c>
    </row>
    <row r="395" spans="1:9" x14ac:dyDescent="0.25">
      <c r="A395" t="s">
        <v>635</v>
      </c>
      <c r="B395" s="4">
        <v>618</v>
      </c>
      <c r="C395">
        <v>7</v>
      </c>
      <c r="D395">
        <v>289.5</v>
      </c>
      <c r="E395" cm="1">
        <f t="array" ref="E395">_xlfn.IFS(B395&lt;=_xlfn.PERCENTILE.INC($B$2:$B$726,0.2),5, B395&lt;=_xlfn.PERCENTILE.INC($B$2:$B$726,0.4),4,B395&lt;=_xlfn.PERCENTILE.INC($B$2:$B$726,0.6),3,B395&lt;=_xlfn.PERCENTILE.INC($B$2:$B$726,0.8),4,TRUE,1)</f>
        <v>4</v>
      </c>
      <c r="F395" cm="1">
        <f t="array" ref="F395">_xlfn.IFS(C395&gt;=_xlfn.PERCENTILE.INC($C$2:$C$726,0.8),5,C395&gt;=_xlfn.PERCENTILE.INC($C$2:$C$726,0.6),4,C395&gt;=_xlfn.PERCENTILE.INC($C$2:$C$726,0.4),3,C395&gt;=_xlfn.PERCENTILE.INC($C$2:$C$726,0.2),2,TRUE,1)</f>
        <v>4</v>
      </c>
      <c r="G395" cm="1">
        <f t="array" ref="G395">_xlfn.IFS(D395&gt;=_xlfn.PERCENTILE.INC($D$2:$D$726,0.8),5,D395&gt;=_xlfn.PERCENTILE.INC($D$2:$D$726,0.6),4,D395&gt;=_xlfn.PERCENTILE.INC($D$2:$D$726,0.4),3,D395&gt;=_xlfn.PERCENTILE.INC($D$2:$D$726,0.2),2,TRUE,1)</f>
        <v>3</v>
      </c>
      <c r="H395">
        <f t="shared" si="6"/>
        <v>11</v>
      </c>
      <c r="I395" t="str" cm="1">
        <f t="array" ref="I395">_xlfn.IFS(H395&gt;=13,"Best Customers",H395&gt;=10,"Loyal Customers",H395&gt;=7,"Potential Loyal Customers",H395&gt;=4,"Need Attention",TRUE,"At Risk")</f>
        <v>Loyal Customers</v>
      </c>
    </row>
    <row r="396" spans="1:9" x14ac:dyDescent="0.25">
      <c r="A396" t="s">
        <v>790</v>
      </c>
      <c r="B396" s="4">
        <v>339</v>
      </c>
      <c r="C396">
        <v>7</v>
      </c>
      <c r="D396">
        <v>251.2</v>
      </c>
      <c r="E396" cm="1">
        <f t="array" ref="E396">_xlfn.IFS(B396&lt;=_xlfn.PERCENTILE.INC($B$2:$B$726,0.2),5, B396&lt;=_xlfn.PERCENTILE.INC($B$2:$B$726,0.4),4,B396&lt;=_xlfn.PERCENTILE.INC($B$2:$B$726,0.6),3,B396&lt;=_xlfn.PERCENTILE.INC($B$2:$B$726,0.8),4,TRUE,1)</f>
        <v>5</v>
      </c>
      <c r="F396" cm="1">
        <f t="array" ref="F396">_xlfn.IFS(C396&gt;=_xlfn.PERCENTILE.INC($C$2:$C$726,0.8),5,C396&gt;=_xlfn.PERCENTILE.INC($C$2:$C$726,0.6),4,C396&gt;=_xlfn.PERCENTILE.INC($C$2:$C$726,0.4),3,C396&gt;=_xlfn.PERCENTILE.INC($C$2:$C$726,0.2),2,TRUE,1)</f>
        <v>4</v>
      </c>
      <c r="G396" cm="1">
        <f t="array" ref="G396">_xlfn.IFS(D396&gt;=_xlfn.PERCENTILE.INC($D$2:$D$726,0.8),5,D396&gt;=_xlfn.PERCENTILE.INC($D$2:$D$726,0.6),4,D396&gt;=_xlfn.PERCENTILE.INC($D$2:$D$726,0.4),3,D396&gt;=_xlfn.PERCENTILE.INC($D$2:$D$726,0.2),2,TRUE,1)</f>
        <v>3</v>
      </c>
      <c r="H396">
        <f t="shared" si="6"/>
        <v>12</v>
      </c>
      <c r="I396" t="str" cm="1">
        <f t="array" ref="I396">_xlfn.IFS(H396&gt;=13,"Best Customers",H396&gt;=10,"Loyal Customers",H396&gt;=7,"Potential Loyal Customers",H396&gt;=4,"Need Attention",TRUE,"At Risk")</f>
        <v>Loyal Customers</v>
      </c>
    </row>
    <row r="397" spans="1:9" x14ac:dyDescent="0.25">
      <c r="A397" t="s">
        <v>1369</v>
      </c>
      <c r="B397" s="4">
        <v>577</v>
      </c>
      <c r="C397">
        <v>7</v>
      </c>
      <c r="D397">
        <v>304.7</v>
      </c>
      <c r="E397" cm="1">
        <f t="array" ref="E397">_xlfn.IFS(B397&lt;=_xlfn.PERCENTILE.INC($B$2:$B$726,0.2),5, B397&lt;=_xlfn.PERCENTILE.INC($B$2:$B$726,0.4),4,B397&lt;=_xlfn.PERCENTILE.INC($B$2:$B$726,0.6),3,B397&lt;=_xlfn.PERCENTILE.INC($B$2:$B$726,0.8),4,TRUE,1)</f>
        <v>4</v>
      </c>
      <c r="F397" cm="1">
        <f t="array" ref="F397">_xlfn.IFS(C397&gt;=_xlfn.PERCENTILE.INC($C$2:$C$726,0.8),5,C397&gt;=_xlfn.PERCENTILE.INC($C$2:$C$726,0.6),4,C397&gt;=_xlfn.PERCENTILE.INC($C$2:$C$726,0.4),3,C397&gt;=_xlfn.PERCENTILE.INC($C$2:$C$726,0.2),2,TRUE,1)</f>
        <v>4</v>
      </c>
      <c r="G397" cm="1">
        <f t="array" ref="G397">_xlfn.IFS(D397&gt;=_xlfn.PERCENTILE.INC($D$2:$D$726,0.8),5,D397&gt;=_xlfn.PERCENTILE.INC($D$2:$D$726,0.6),4,D397&gt;=_xlfn.PERCENTILE.INC($D$2:$D$726,0.4),3,D397&gt;=_xlfn.PERCENTILE.INC($D$2:$D$726,0.2),2,TRUE,1)</f>
        <v>3</v>
      </c>
      <c r="H397">
        <f t="shared" si="6"/>
        <v>11</v>
      </c>
      <c r="I397" t="str" cm="1">
        <f t="array" ref="I397">_xlfn.IFS(H397&gt;=13,"Best Customers",H397&gt;=10,"Loyal Customers",H397&gt;=7,"Potential Loyal Customers",H397&gt;=4,"Need Attention",TRUE,"At Risk")</f>
        <v>Loyal Customers</v>
      </c>
    </row>
    <row r="398" spans="1:9" x14ac:dyDescent="0.25">
      <c r="A398" t="s">
        <v>2417</v>
      </c>
      <c r="B398" s="4">
        <v>527</v>
      </c>
      <c r="C398">
        <v>4</v>
      </c>
      <c r="D398">
        <v>121.5</v>
      </c>
      <c r="E398" cm="1">
        <f t="array" ref="E398">_xlfn.IFS(B398&lt;=_xlfn.PERCENTILE.INC($B$2:$B$726,0.2),5, B398&lt;=_xlfn.PERCENTILE.INC($B$2:$B$726,0.4),4,B398&lt;=_xlfn.PERCENTILE.INC($B$2:$B$726,0.6),3,B398&lt;=_xlfn.PERCENTILE.INC($B$2:$B$726,0.8),4,TRUE,1)</f>
        <v>3</v>
      </c>
      <c r="F398" cm="1">
        <f t="array" ref="F398">_xlfn.IFS(C398&gt;=_xlfn.PERCENTILE.INC($C$2:$C$726,0.8),5,C398&gt;=_xlfn.PERCENTILE.INC($C$2:$C$726,0.6),4,C398&gt;=_xlfn.PERCENTILE.INC($C$2:$C$726,0.4),3,C398&gt;=_xlfn.PERCENTILE.INC($C$2:$C$726,0.2),2,TRUE,1)</f>
        <v>2</v>
      </c>
      <c r="G398" cm="1">
        <f t="array" ref="G398">_xlfn.IFS(D398&gt;=_xlfn.PERCENTILE.INC($D$2:$D$726,0.8),5,D398&gt;=_xlfn.PERCENTILE.INC($D$2:$D$726,0.6),4,D398&gt;=_xlfn.PERCENTILE.INC($D$2:$D$726,0.4),3,D398&gt;=_xlfn.PERCENTILE.INC($D$2:$D$726,0.2),2,TRUE,1)</f>
        <v>1</v>
      </c>
      <c r="H398">
        <f t="shared" si="6"/>
        <v>6</v>
      </c>
      <c r="I398" t="str" cm="1">
        <f t="array" ref="I398">_xlfn.IFS(H398&gt;=13,"Best Customers",H398&gt;=10,"Loyal Customers",H398&gt;=7,"Potential Loyal Customers",H398&gt;=4,"Need Attention",TRUE,"At Risk")</f>
        <v>Need Attention</v>
      </c>
    </row>
    <row r="399" spans="1:9" x14ac:dyDescent="0.25">
      <c r="A399" t="s">
        <v>1342</v>
      </c>
      <c r="B399" s="4">
        <v>1295</v>
      </c>
      <c r="C399">
        <v>3</v>
      </c>
      <c r="D399">
        <v>75.5</v>
      </c>
      <c r="E399" cm="1">
        <f t="array" ref="E399">_xlfn.IFS(B399&lt;=_xlfn.PERCENTILE.INC($B$2:$B$726,0.2),5, B399&lt;=_xlfn.PERCENTILE.INC($B$2:$B$726,0.4),4,B399&lt;=_xlfn.PERCENTILE.INC($B$2:$B$726,0.6),3,B399&lt;=_xlfn.PERCENTILE.INC($B$2:$B$726,0.8),4,TRUE,1)</f>
        <v>1</v>
      </c>
      <c r="F399" cm="1">
        <f t="array" ref="F399">_xlfn.IFS(C399&gt;=_xlfn.PERCENTILE.INC($C$2:$C$726,0.8),5,C399&gt;=_xlfn.PERCENTILE.INC($C$2:$C$726,0.6),4,C399&gt;=_xlfn.PERCENTILE.INC($C$2:$C$726,0.4),3,C399&gt;=_xlfn.PERCENTILE.INC($C$2:$C$726,0.2),2,TRUE,1)</f>
        <v>1</v>
      </c>
      <c r="G399" cm="1">
        <f t="array" ref="G399">_xlfn.IFS(D399&gt;=_xlfn.PERCENTILE.INC($D$2:$D$726,0.8),5,D399&gt;=_xlfn.PERCENTILE.INC($D$2:$D$726,0.6),4,D399&gt;=_xlfn.PERCENTILE.INC($D$2:$D$726,0.4),3,D399&gt;=_xlfn.PERCENTILE.INC($D$2:$D$726,0.2),2,TRUE,1)</f>
        <v>1</v>
      </c>
      <c r="H399">
        <f t="shared" si="6"/>
        <v>3</v>
      </c>
      <c r="I399" t="str" cm="1">
        <f t="array" ref="I399">_xlfn.IFS(H399&gt;=13,"Best Customers",H399&gt;=10,"Loyal Customers",H399&gt;=7,"Potential Loyal Customers",H399&gt;=4,"Need Attention",TRUE,"At Risk")</f>
        <v>At Risk</v>
      </c>
    </row>
    <row r="400" spans="1:9" x14ac:dyDescent="0.25">
      <c r="A400" t="s">
        <v>3240</v>
      </c>
      <c r="B400" s="4">
        <v>468</v>
      </c>
      <c r="C400">
        <v>6</v>
      </c>
      <c r="D400">
        <v>204.79999999999998</v>
      </c>
      <c r="E400" cm="1">
        <f t="array" ref="E400">_xlfn.IFS(B400&lt;=_xlfn.PERCENTILE.INC($B$2:$B$726,0.2),5, B400&lt;=_xlfn.PERCENTILE.INC($B$2:$B$726,0.4),4,B400&lt;=_xlfn.PERCENTILE.INC($B$2:$B$726,0.6),3,B400&lt;=_xlfn.PERCENTILE.INC($B$2:$B$726,0.8),4,TRUE,1)</f>
        <v>3</v>
      </c>
      <c r="F400" cm="1">
        <f t="array" ref="F400">_xlfn.IFS(C400&gt;=_xlfn.PERCENTILE.INC($C$2:$C$726,0.8),5,C400&gt;=_xlfn.PERCENTILE.INC($C$2:$C$726,0.6),4,C400&gt;=_xlfn.PERCENTILE.INC($C$2:$C$726,0.4),3,C400&gt;=_xlfn.PERCENTILE.INC($C$2:$C$726,0.2),2,TRUE,1)</f>
        <v>4</v>
      </c>
      <c r="G400" cm="1">
        <f t="array" ref="G400">_xlfn.IFS(D400&gt;=_xlfn.PERCENTILE.INC($D$2:$D$726,0.8),5,D400&gt;=_xlfn.PERCENTILE.INC($D$2:$D$726,0.6),4,D400&gt;=_xlfn.PERCENTILE.INC($D$2:$D$726,0.4),3,D400&gt;=_xlfn.PERCENTILE.INC($D$2:$D$726,0.2),2,TRUE,1)</f>
        <v>2</v>
      </c>
      <c r="H400">
        <f t="shared" si="6"/>
        <v>9</v>
      </c>
      <c r="I400" t="str" cm="1">
        <f t="array" ref="I400">_xlfn.IFS(H400&gt;=13,"Best Customers",H400&gt;=10,"Loyal Customers",H400&gt;=7,"Potential Loyal Customers",H400&gt;=4,"Need Attention",TRUE,"At Risk")</f>
        <v>Potential Loyal Customers</v>
      </c>
    </row>
    <row r="401" spans="1:9" x14ac:dyDescent="0.25">
      <c r="A401" t="s">
        <v>2745</v>
      </c>
      <c r="B401" s="4">
        <v>681</v>
      </c>
      <c r="C401">
        <v>7</v>
      </c>
      <c r="D401">
        <v>273.39999999999998</v>
      </c>
      <c r="E401" cm="1">
        <f t="array" ref="E401">_xlfn.IFS(B401&lt;=_xlfn.PERCENTILE.INC($B$2:$B$726,0.2),5, B401&lt;=_xlfn.PERCENTILE.INC($B$2:$B$726,0.4),4,B401&lt;=_xlfn.PERCENTILE.INC($B$2:$B$726,0.6),3,B401&lt;=_xlfn.PERCENTILE.INC($B$2:$B$726,0.8),4,TRUE,1)</f>
        <v>4</v>
      </c>
      <c r="F401" cm="1">
        <f t="array" ref="F401">_xlfn.IFS(C401&gt;=_xlfn.PERCENTILE.INC($C$2:$C$726,0.8),5,C401&gt;=_xlfn.PERCENTILE.INC($C$2:$C$726,0.6),4,C401&gt;=_xlfn.PERCENTILE.INC($C$2:$C$726,0.4),3,C401&gt;=_xlfn.PERCENTILE.INC($C$2:$C$726,0.2),2,TRUE,1)</f>
        <v>4</v>
      </c>
      <c r="G401" cm="1">
        <f t="array" ref="G401">_xlfn.IFS(D401&gt;=_xlfn.PERCENTILE.INC($D$2:$D$726,0.8),5,D401&gt;=_xlfn.PERCENTILE.INC($D$2:$D$726,0.6),4,D401&gt;=_xlfn.PERCENTILE.INC($D$2:$D$726,0.4),3,D401&gt;=_xlfn.PERCENTILE.INC($D$2:$D$726,0.2),2,TRUE,1)</f>
        <v>3</v>
      </c>
      <c r="H401">
        <f t="shared" si="6"/>
        <v>11</v>
      </c>
      <c r="I401" t="str" cm="1">
        <f t="array" ref="I401">_xlfn.IFS(H401&gt;=13,"Best Customers",H401&gt;=10,"Loyal Customers",H401&gt;=7,"Potential Loyal Customers",H401&gt;=4,"Need Attention",TRUE,"At Risk")</f>
        <v>Loyal Customers</v>
      </c>
    </row>
    <row r="402" spans="1:9" x14ac:dyDescent="0.25">
      <c r="A402" t="s">
        <v>2381</v>
      </c>
      <c r="B402" s="4">
        <v>607</v>
      </c>
      <c r="C402">
        <v>10</v>
      </c>
      <c r="D402">
        <v>586.30000000000007</v>
      </c>
      <c r="E402" cm="1">
        <f t="array" ref="E402">_xlfn.IFS(B402&lt;=_xlfn.PERCENTILE.INC($B$2:$B$726,0.2),5, B402&lt;=_xlfn.PERCENTILE.INC($B$2:$B$726,0.4),4,B402&lt;=_xlfn.PERCENTILE.INC($B$2:$B$726,0.6),3,B402&lt;=_xlfn.PERCENTILE.INC($B$2:$B$726,0.8),4,TRUE,1)</f>
        <v>4</v>
      </c>
      <c r="F402" cm="1">
        <f t="array" ref="F402">_xlfn.IFS(C402&gt;=_xlfn.PERCENTILE.INC($C$2:$C$726,0.8),5,C402&gt;=_xlfn.PERCENTILE.INC($C$2:$C$726,0.6),4,C402&gt;=_xlfn.PERCENTILE.INC($C$2:$C$726,0.4),3,C402&gt;=_xlfn.PERCENTILE.INC($C$2:$C$726,0.2),2,TRUE,1)</f>
        <v>5</v>
      </c>
      <c r="G402" cm="1">
        <f t="array" ref="G402">_xlfn.IFS(D402&gt;=_xlfn.PERCENTILE.INC($D$2:$D$726,0.8),5,D402&gt;=_xlfn.PERCENTILE.INC($D$2:$D$726,0.6),4,D402&gt;=_xlfn.PERCENTILE.INC($D$2:$D$726,0.4),3,D402&gt;=_xlfn.PERCENTILE.INC($D$2:$D$726,0.2),2,TRUE,1)</f>
        <v>5</v>
      </c>
      <c r="H402">
        <f t="shared" si="6"/>
        <v>14</v>
      </c>
      <c r="I402" t="str" cm="1">
        <f t="array" ref="I402">_xlfn.IFS(H402&gt;=13,"Best Customers",H402&gt;=10,"Loyal Customers",H402&gt;=7,"Potential Loyal Customers",H402&gt;=4,"Need Attention",TRUE,"At Risk")</f>
        <v>Best Customers</v>
      </c>
    </row>
    <row r="403" spans="1:9" x14ac:dyDescent="0.25">
      <c r="A403" t="s">
        <v>2542</v>
      </c>
      <c r="B403" s="4">
        <v>362</v>
      </c>
      <c r="C403">
        <v>6</v>
      </c>
      <c r="D403">
        <v>398.6</v>
      </c>
      <c r="E403" cm="1">
        <f t="array" ref="E403">_xlfn.IFS(B403&lt;=_xlfn.PERCENTILE.INC($B$2:$B$726,0.2),5, B403&lt;=_xlfn.PERCENTILE.INC($B$2:$B$726,0.4),4,B403&lt;=_xlfn.PERCENTILE.INC($B$2:$B$726,0.6),3,B403&lt;=_xlfn.PERCENTILE.INC($B$2:$B$726,0.8),4,TRUE,1)</f>
        <v>5</v>
      </c>
      <c r="F403" cm="1">
        <f t="array" ref="F403">_xlfn.IFS(C403&gt;=_xlfn.PERCENTILE.INC($C$2:$C$726,0.8),5,C403&gt;=_xlfn.PERCENTILE.INC($C$2:$C$726,0.6),4,C403&gt;=_xlfn.PERCENTILE.INC($C$2:$C$726,0.4),3,C403&gt;=_xlfn.PERCENTILE.INC($C$2:$C$726,0.2),2,TRUE,1)</f>
        <v>4</v>
      </c>
      <c r="G403" cm="1">
        <f t="array" ref="G403">_xlfn.IFS(D403&gt;=_xlfn.PERCENTILE.INC($D$2:$D$726,0.8),5,D403&gt;=_xlfn.PERCENTILE.INC($D$2:$D$726,0.6),4,D403&gt;=_xlfn.PERCENTILE.INC($D$2:$D$726,0.4),3,D403&gt;=_xlfn.PERCENTILE.INC($D$2:$D$726,0.2),2,TRUE,1)</f>
        <v>5</v>
      </c>
      <c r="H403">
        <f t="shared" si="6"/>
        <v>14</v>
      </c>
      <c r="I403" t="str" cm="1">
        <f t="array" ref="I403">_xlfn.IFS(H403&gt;=13,"Best Customers",H403&gt;=10,"Loyal Customers",H403&gt;=7,"Potential Loyal Customers",H403&gt;=4,"Need Attention",TRUE,"At Risk")</f>
        <v>Best Customers</v>
      </c>
    </row>
    <row r="404" spans="1:9" x14ac:dyDescent="0.25">
      <c r="A404" t="s">
        <v>1241</v>
      </c>
      <c r="B404" s="4">
        <v>404</v>
      </c>
      <c r="C404">
        <v>3</v>
      </c>
      <c r="D404">
        <v>111.89999999999999</v>
      </c>
      <c r="E404" cm="1">
        <f t="array" ref="E404">_xlfn.IFS(B404&lt;=_xlfn.PERCENTILE.INC($B$2:$B$726,0.2),5, B404&lt;=_xlfn.PERCENTILE.INC($B$2:$B$726,0.4),4,B404&lt;=_xlfn.PERCENTILE.INC($B$2:$B$726,0.6),3,B404&lt;=_xlfn.PERCENTILE.INC($B$2:$B$726,0.8),4,TRUE,1)</f>
        <v>4</v>
      </c>
      <c r="F404" cm="1">
        <f t="array" ref="F404">_xlfn.IFS(C404&gt;=_xlfn.PERCENTILE.INC($C$2:$C$726,0.8),5,C404&gt;=_xlfn.PERCENTILE.INC($C$2:$C$726,0.6),4,C404&gt;=_xlfn.PERCENTILE.INC($C$2:$C$726,0.4),3,C404&gt;=_xlfn.PERCENTILE.INC($C$2:$C$726,0.2),2,TRUE,1)</f>
        <v>1</v>
      </c>
      <c r="G404" cm="1">
        <f t="array" ref="G404">_xlfn.IFS(D404&gt;=_xlfn.PERCENTILE.INC($D$2:$D$726,0.8),5,D404&gt;=_xlfn.PERCENTILE.INC($D$2:$D$726,0.6),4,D404&gt;=_xlfn.PERCENTILE.INC($D$2:$D$726,0.4),3,D404&gt;=_xlfn.PERCENTILE.INC($D$2:$D$726,0.2),2,TRUE,1)</f>
        <v>1</v>
      </c>
      <c r="H404">
        <f t="shared" si="6"/>
        <v>6</v>
      </c>
      <c r="I404" t="str" cm="1">
        <f t="array" ref="I404">_xlfn.IFS(H404&gt;=13,"Best Customers",H404&gt;=10,"Loyal Customers",H404&gt;=7,"Potential Loyal Customers",H404&gt;=4,"Need Attention",TRUE,"At Risk")</f>
        <v>Need Attention</v>
      </c>
    </row>
    <row r="405" spans="1:9" x14ac:dyDescent="0.25">
      <c r="A405" t="s">
        <v>1690</v>
      </c>
      <c r="B405" s="4">
        <v>490</v>
      </c>
      <c r="C405">
        <v>7</v>
      </c>
      <c r="D405">
        <v>182.50000000000003</v>
      </c>
      <c r="E405" cm="1">
        <f t="array" ref="E405">_xlfn.IFS(B405&lt;=_xlfn.PERCENTILE.INC($B$2:$B$726,0.2),5, B405&lt;=_xlfn.PERCENTILE.INC($B$2:$B$726,0.4),4,B405&lt;=_xlfn.PERCENTILE.INC($B$2:$B$726,0.6),3,B405&lt;=_xlfn.PERCENTILE.INC($B$2:$B$726,0.8),4,TRUE,1)</f>
        <v>3</v>
      </c>
      <c r="F405" cm="1">
        <f t="array" ref="F405">_xlfn.IFS(C405&gt;=_xlfn.PERCENTILE.INC($C$2:$C$726,0.8),5,C405&gt;=_xlfn.PERCENTILE.INC($C$2:$C$726,0.6),4,C405&gt;=_xlfn.PERCENTILE.INC($C$2:$C$726,0.4),3,C405&gt;=_xlfn.PERCENTILE.INC($C$2:$C$726,0.2),2,TRUE,1)</f>
        <v>4</v>
      </c>
      <c r="G405" cm="1">
        <f t="array" ref="G405">_xlfn.IFS(D405&gt;=_xlfn.PERCENTILE.INC($D$2:$D$726,0.8),5,D405&gt;=_xlfn.PERCENTILE.INC($D$2:$D$726,0.6),4,D405&gt;=_xlfn.PERCENTILE.INC($D$2:$D$726,0.4),3,D405&gt;=_xlfn.PERCENTILE.INC($D$2:$D$726,0.2),2,TRUE,1)</f>
        <v>2</v>
      </c>
      <c r="H405">
        <f t="shared" si="6"/>
        <v>9</v>
      </c>
      <c r="I405" t="str" cm="1">
        <f t="array" ref="I405">_xlfn.IFS(H405&gt;=13,"Best Customers",H405&gt;=10,"Loyal Customers",H405&gt;=7,"Potential Loyal Customers",H405&gt;=4,"Need Attention",TRUE,"At Risk")</f>
        <v>Potential Loyal Customers</v>
      </c>
    </row>
    <row r="406" spans="1:9" x14ac:dyDescent="0.25">
      <c r="A406" t="s">
        <v>2465</v>
      </c>
      <c r="B406" s="4">
        <v>2438</v>
      </c>
      <c r="C406">
        <v>1</v>
      </c>
      <c r="D406">
        <v>67.5</v>
      </c>
      <c r="E406" cm="1">
        <f t="array" ref="E406">_xlfn.IFS(B406&lt;=_xlfn.PERCENTILE.INC($B$2:$B$726,0.2),5, B406&lt;=_xlfn.PERCENTILE.INC($B$2:$B$726,0.4),4,B406&lt;=_xlfn.PERCENTILE.INC($B$2:$B$726,0.6),3,B406&lt;=_xlfn.PERCENTILE.INC($B$2:$B$726,0.8),4,TRUE,1)</f>
        <v>1</v>
      </c>
      <c r="F406" cm="1">
        <f t="array" ref="F406">_xlfn.IFS(C406&gt;=_xlfn.PERCENTILE.INC($C$2:$C$726,0.8),5,C406&gt;=_xlfn.PERCENTILE.INC($C$2:$C$726,0.6),4,C406&gt;=_xlfn.PERCENTILE.INC($C$2:$C$726,0.4),3,C406&gt;=_xlfn.PERCENTILE.INC($C$2:$C$726,0.2),2,TRUE,1)</f>
        <v>1</v>
      </c>
      <c r="G406" cm="1">
        <f t="array" ref="G406">_xlfn.IFS(D406&gt;=_xlfn.PERCENTILE.INC($D$2:$D$726,0.8),5,D406&gt;=_xlfn.PERCENTILE.INC($D$2:$D$726,0.6),4,D406&gt;=_xlfn.PERCENTILE.INC($D$2:$D$726,0.4),3,D406&gt;=_xlfn.PERCENTILE.INC($D$2:$D$726,0.2),2,TRUE,1)</f>
        <v>1</v>
      </c>
      <c r="H406">
        <f t="shared" si="6"/>
        <v>3</v>
      </c>
      <c r="I406" t="str" cm="1">
        <f t="array" ref="I406">_xlfn.IFS(H406&gt;=13,"Best Customers",H406&gt;=10,"Loyal Customers",H406&gt;=7,"Potential Loyal Customers",H406&gt;=4,"Need Attention",TRUE,"At Risk")</f>
        <v>At Risk</v>
      </c>
    </row>
    <row r="407" spans="1:9" x14ac:dyDescent="0.25">
      <c r="A407" t="s">
        <v>3226</v>
      </c>
      <c r="B407" s="4">
        <v>559</v>
      </c>
      <c r="C407">
        <v>6</v>
      </c>
      <c r="D407">
        <v>260</v>
      </c>
      <c r="E407" cm="1">
        <f t="array" ref="E407">_xlfn.IFS(B407&lt;=_xlfn.PERCENTILE.INC($B$2:$B$726,0.2),5, B407&lt;=_xlfn.PERCENTILE.INC($B$2:$B$726,0.4),4,B407&lt;=_xlfn.PERCENTILE.INC($B$2:$B$726,0.6),3,B407&lt;=_xlfn.PERCENTILE.INC($B$2:$B$726,0.8),4,TRUE,1)</f>
        <v>3</v>
      </c>
      <c r="F407" cm="1">
        <f t="array" ref="F407">_xlfn.IFS(C407&gt;=_xlfn.PERCENTILE.INC($C$2:$C$726,0.8),5,C407&gt;=_xlfn.PERCENTILE.INC($C$2:$C$726,0.6),4,C407&gt;=_xlfn.PERCENTILE.INC($C$2:$C$726,0.4),3,C407&gt;=_xlfn.PERCENTILE.INC($C$2:$C$726,0.2),2,TRUE,1)</f>
        <v>4</v>
      </c>
      <c r="G407" cm="1">
        <f t="array" ref="G407">_xlfn.IFS(D407&gt;=_xlfn.PERCENTILE.INC($D$2:$D$726,0.8),5,D407&gt;=_xlfn.PERCENTILE.INC($D$2:$D$726,0.6),4,D407&gt;=_xlfn.PERCENTILE.INC($D$2:$D$726,0.4),3,D407&gt;=_xlfn.PERCENTILE.INC($D$2:$D$726,0.2),2,TRUE,1)</f>
        <v>3</v>
      </c>
      <c r="H407">
        <f t="shared" si="6"/>
        <v>10</v>
      </c>
      <c r="I407" t="str" cm="1">
        <f t="array" ref="I407">_xlfn.IFS(H407&gt;=13,"Best Customers",H407&gt;=10,"Loyal Customers",H407&gt;=7,"Potential Loyal Customers",H407&gt;=4,"Need Attention",TRUE,"At Risk")</f>
        <v>Loyal Customers</v>
      </c>
    </row>
    <row r="408" spans="1:9" x14ac:dyDescent="0.25">
      <c r="A408" t="s">
        <v>3393</v>
      </c>
      <c r="B408" s="4">
        <v>382</v>
      </c>
      <c r="C408">
        <v>9</v>
      </c>
      <c r="D408">
        <v>226.2</v>
      </c>
      <c r="E408" cm="1">
        <f t="array" ref="E408">_xlfn.IFS(B408&lt;=_xlfn.PERCENTILE.INC($B$2:$B$726,0.2),5, B408&lt;=_xlfn.PERCENTILE.INC($B$2:$B$726,0.4),4,B408&lt;=_xlfn.PERCENTILE.INC($B$2:$B$726,0.6),3,B408&lt;=_xlfn.PERCENTILE.INC($B$2:$B$726,0.8),4,TRUE,1)</f>
        <v>5</v>
      </c>
      <c r="F408" cm="1">
        <f t="array" ref="F408">_xlfn.IFS(C408&gt;=_xlfn.PERCENTILE.INC($C$2:$C$726,0.8),5,C408&gt;=_xlfn.PERCENTILE.INC($C$2:$C$726,0.6),4,C408&gt;=_xlfn.PERCENTILE.INC($C$2:$C$726,0.4),3,C408&gt;=_xlfn.PERCENTILE.INC($C$2:$C$726,0.2),2,TRUE,1)</f>
        <v>5</v>
      </c>
      <c r="G408" cm="1">
        <f t="array" ref="G408">_xlfn.IFS(D408&gt;=_xlfn.PERCENTILE.INC($D$2:$D$726,0.8),5,D408&gt;=_xlfn.PERCENTILE.INC($D$2:$D$726,0.6),4,D408&gt;=_xlfn.PERCENTILE.INC($D$2:$D$726,0.4),3,D408&gt;=_xlfn.PERCENTILE.INC($D$2:$D$726,0.2),2,TRUE,1)</f>
        <v>2</v>
      </c>
      <c r="H408">
        <f t="shared" si="6"/>
        <v>12</v>
      </c>
      <c r="I408" t="str" cm="1">
        <f t="array" ref="I408">_xlfn.IFS(H408&gt;=13,"Best Customers",H408&gt;=10,"Loyal Customers",H408&gt;=7,"Potential Loyal Customers",H408&gt;=4,"Need Attention",TRUE,"At Risk")</f>
        <v>Loyal Customers</v>
      </c>
    </row>
    <row r="409" spans="1:9" x14ac:dyDescent="0.25">
      <c r="A409" t="s">
        <v>1948</v>
      </c>
      <c r="B409" s="4">
        <v>727</v>
      </c>
      <c r="C409">
        <v>6</v>
      </c>
      <c r="D409">
        <v>212.4</v>
      </c>
      <c r="E409" cm="1">
        <f t="array" ref="E409">_xlfn.IFS(B409&lt;=_xlfn.PERCENTILE.INC($B$2:$B$726,0.2),5, B409&lt;=_xlfn.PERCENTILE.INC($B$2:$B$726,0.4),4,B409&lt;=_xlfn.PERCENTILE.INC($B$2:$B$726,0.6),3,B409&lt;=_xlfn.PERCENTILE.INC($B$2:$B$726,0.8),4,TRUE,1)</f>
        <v>4</v>
      </c>
      <c r="F409" cm="1">
        <f t="array" ref="F409">_xlfn.IFS(C409&gt;=_xlfn.PERCENTILE.INC($C$2:$C$726,0.8),5,C409&gt;=_xlfn.PERCENTILE.INC($C$2:$C$726,0.6),4,C409&gt;=_xlfn.PERCENTILE.INC($C$2:$C$726,0.4),3,C409&gt;=_xlfn.PERCENTILE.INC($C$2:$C$726,0.2),2,TRUE,1)</f>
        <v>4</v>
      </c>
      <c r="G409" cm="1">
        <f t="array" ref="G409">_xlfn.IFS(D409&gt;=_xlfn.PERCENTILE.INC($D$2:$D$726,0.8),5,D409&gt;=_xlfn.PERCENTILE.INC($D$2:$D$726,0.6),4,D409&gt;=_xlfn.PERCENTILE.INC($D$2:$D$726,0.4),3,D409&gt;=_xlfn.PERCENTILE.INC($D$2:$D$726,0.2),2,TRUE,1)</f>
        <v>2</v>
      </c>
      <c r="H409">
        <f t="shared" si="6"/>
        <v>10</v>
      </c>
      <c r="I409" t="str" cm="1">
        <f t="array" ref="I409">_xlfn.IFS(H409&gt;=13,"Best Customers",H409&gt;=10,"Loyal Customers",H409&gt;=7,"Potential Loyal Customers",H409&gt;=4,"Need Attention",TRUE,"At Risk")</f>
        <v>Loyal Customers</v>
      </c>
    </row>
    <row r="410" spans="1:9" x14ac:dyDescent="0.25">
      <c r="A410" t="s">
        <v>2633</v>
      </c>
      <c r="B410" s="4">
        <v>629</v>
      </c>
      <c r="C410">
        <v>11</v>
      </c>
      <c r="D410">
        <v>511.00000000000006</v>
      </c>
      <c r="E410" cm="1">
        <f t="array" ref="E410">_xlfn.IFS(B410&lt;=_xlfn.PERCENTILE.INC($B$2:$B$726,0.2),5, B410&lt;=_xlfn.PERCENTILE.INC($B$2:$B$726,0.4),4,B410&lt;=_xlfn.PERCENTILE.INC($B$2:$B$726,0.6),3,B410&lt;=_xlfn.PERCENTILE.INC($B$2:$B$726,0.8),4,TRUE,1)</f>
        <v>4</v>
      </c>
      <c r="F410" cm="1">
        <f t="array" ref="F410">_xlfn.IFS(C410&gt;=_xlfn.PERCENTILE.INC($C$2:$C$726,0.8),5,C410&gt;=_xlfn.PERCENTILE.INC($C$2:$C$726,0.6),4,C410&gt;=_xlfn.PERCENTILE.INC($C$2:$C$726,0.4),3,C410&gt;=_xlfn.PERCENTILE.INC($C$2:$C$726,0.2),2,TRUE,1)</f>
        <v>5</v>
      </c>
      <c r="G410" cm="1">
        <f t="array" ref="G410">_xlfn.IFS(D410&gt;=_xlfn.PERCENTILE.INC($D$2:$D$726,0.8),5,D410&gt;=_xlfn.PERCENTILE.INC($D$2:$D$726,0.6),4,D410&gt;=_xlfn.PERCENTILE.INC($D$2:$D$726,0.4),3,D410&gt;=_xlfn.PERCENTILE.INC($D$2:$D$726,0.2),2,TRUE,1)</f>
        <v>5</v>
      </c>
      <c r="H410">
        <f t="shared" si="6"/>
        <v>14</v>
      </c>
      <c r="I410" t="str" cm="1">
        <f t="array" ref="I410">_xlfn.IFS(H410&gt;=13,"Best Customers",H410&gt;=10,"Loyal Customers",H410&gt;=7,"Potential Loyal Customers",H410&gt;=4,"Need Attention",TRUE,"At Risk")</f>
        <v>Best Customers</v>
      </c>
    </row>
    <row r="411" spans="1:9" x14ac:dyDescent="0.25">
      <c r="A411" t="s">
        <v>2846</v>
      </c>
      <c r="B411" s="4">
        <v>386</v>
      </c>
      <c r="C411">
        <v>5</v>
      </c>
      <c r="D411">
        <v>141.19999999999999</v>
      </c>
      <c r="E411" cm="1">
        <f t="array" ref="E411">_xlfn.IFS(B411&lt;=_xlfn.PERCENTILE.INC($B$2:$B$726,0.2),5, B411&lt;=_xlfn.PERCENTILE.INC($B$2:$B$726,0.4),4,B411&lt;=_xlfn.PERCENTILE.INC($B$2:$B$726,0.6),3,B411&lt;=_xlfn.PERCENTILE.INC($B$2:$B$726,0.8),4,TRUE,1)</f>
        <v>5</v>
      </c>
      <c r="F411" cm="1">
        <f t="array" ref="F411">_xlfn.IFS(C411&gt;=_xlfn.PERCENTILE.INC($C$2:$C$726,0.8),5,C411&gt;=_xlfn.PERCENTILE.INC($C$2:$C$726,0.6),4,C411&gt;=_xlfn.PERCENTILE.INC($C$2:$C$726,0.4),3,C411&gt;=_xlfn.PERCENTILE.INC($C$2:$C$726,0.2),2,TRUE,1)</f>
        <v>3</v>
      </c>
      <c r="G411" cm="1">
        <f t="array" ref="G411">_xlfn.IFS(D411&gt;=_xlfn.PERCENTILE.INC($D$2:$D$726,0.8),5,D411&gt;=_xlfn.PERCENTILE.INC($D$2:$D$726,0.6),4,D411&gt;=_xlfn.PERCENTILE.INC($D$2:$D$726,0.4),3,D411&gt;=_xlfn.PERCENTILE.INC($D$2:$D$726,0.2),2,TRUE,1)</f>
        <v>1</v>
      </c>
      <c r="H411">
        <f t="shared" si="6"/>
        <v>9</v>
      </c>
      <c r="I411" t="str" cm="1">
        <f t="array" ref="I411">_xlfn.IFS(H411&gt;=13,"Best Customers",H411&gt;=10,"Loyal Customers",H411&gt;=7,"Potential Loyal Customers",H411&gt;=4,"Need Attention",TRUE,"At Risk")</f>
        <v>Potential Loyal Customers</v>
      </c>
    </row>
    <row r="412" spans="1:9" x14ac:dyDescent="0.25">
      <c r="A412" t="s">
        <v>3033</v>
      </c>
      <c r="B412" s="4">
        <v>1733</v>
      </c>
      <c r="C412">
        <v>2</v>
      </c>
      <c r="D412">
        <v>31.9</v>
      </c>
      <c r="E412" cm="1">
        <f t="array" ref="E412">_xlfn.IFS(B412&lt;=_xlfn.PERCENTILE.INC($B$2:$B$726,0.2),5, B412&lt;=_xlfn.PERCENTILE.INC($B$2:$B$726,0.4),4,B412&lt;=_xlfn.PERCENTILE.INC($B$2:$B$726,0.6),3,B412&lt;=_xlfn.PERCENTILE.INC($B$2:$B$726,0.8),4,TRUE,1)</f>
        <v>1</v>
      </c>
      <c r="F412" cm="1">
        <f t="array" ref="F412">_xlfn.IFS(C412&gt;=_xlfn.PERCENTILE.INC($C$2:$C$726,0.8),5,C412&gt;=_xlfn.PERCENTILE.INC($C$2:$C$726,0.6),4,C412&gt;=_xlfn.PERCENTILE.INC($C$2:$C$726,0.4),3,C412&gt;=_xlfn.PERCENTILE.INC($C$2:$C$726,0.2),2,TRUE,1)</f>
        <v>1</v>
      </c>
      <c r="G412" cm="1">
        <f t="array" ref="G412">_xlfn.IFS(D412&gt;=_xlfn.PERCENTILE.INC($D$2:$D$726,0.8),5,D412&gt;=_xlfn.PERCENTILE.INC($D$2:$D$726,0.6),4,D412&gt;=_xlfn.PERCENTILE.INC($D$2:$D$726,0.4),3,D412&gt;=_xlfn.PERCENTILE.INC($D$2:$D$726,0.2),2,TRUE,1)</f>
        <v>1</v>
      </c>
      <c r="H412">
        <f t="shared" si="6"/>
        <v>3</v>
      </c>
      <c r="I412" t="str" cm="1">
        <f t="array" ref="I412">_xlfn.IFS(H412&gt;=13,"Best Customers",H412&gt;=10,"Loyal Customers",H412&gt;=7,"Potential Loyal Customers",H412&gt;=4,"Need Attention",TRUE,"At Risk")</f>
        <v>At Risk</v>
      </c>
    </row>
    <row r="413" spans="1:9" x14ac:dyDescent="0.25">
      <c r="A413" t="s">
        <v>2515</v>
      </c>
      <c r="B413" s="4">
        <v>396</v>
      </c>
      <c r="C413">
        <v>3</v>
      </c>
      <c r="D413">
        <v>71</v>
      </c>
      <c r="E413" cm="1">
        <f t="array" ref="E413">_xlfn.IFS(B413&lt;=_xlfn.PERCENTILE.INC($B$2:$B$726,0.2),5, B413&lt;=_xlfn.PERCENTILE.INC($B$2:$B$726,0.4),4,B413&lt;=_xlfn.PERCENTILE.INC($B$2:$B$726,0.6),3,B413&lt;=_xlfn.PERCENTILE.INC($B$2:$B$726,0.8),4,TRUE,1)</f>
        <v>4</v>
      </c>
      <c r="F413" cm="1">
        <f t="array" ref="F413">_xlfn.IFS(C413&gt;=_xlfn.PERCENTILE.INC($C$2:$C$726,0.8),5,C413&gt;=_xlfn.PERCENTILE.INC($C$2:$C$726,0.6),4,C413&gt;=_xlfn.PERCENTILE.INC($C$2:$C$726,0.4),3,C413&gt;=_xlfn.PERCENTILE.INC($C$2:$C$726,0.2),2,TRUE,1)</f>
        <v>1</v>
      </c>
      <c r="G413" cm="1">
        <f t="array" ref="G413">_xlfn.IFS(D413&gt;=_xlfn.PERCENTILE.INC($D$2:$D$726,0.8),5,D413&gt;=_xlfn.PERCENTILE.INC($D$2:$D$726,0.6),4,D413&gt;=_xlfn.PERCENTILE.INC($D$2:$D$726,0.4),3,D413&gt;=_xlfn.PERCENTILE.INC($D$2:$D$726,0.2),2,TRUE,1)</f>
        <v>1</v>
      </c>
      <c r="H413">
        <f t="shared" si="6"/>
        <v>6</v>
      </c>
      <c r="I413" t="str" cm="1">
        <f t="array" ref="I413">_xlfn.IFS(H413&gt;=13,"Best Customers",H413&gt;=10,"Loyal Customers",H413&gt;=7,"Potential Loyal Customers",H413&gt;=4,"Need Attention",TRUE,"At Risk")</f>
        <v>Need Attention</v>
      </c>
    </row>
    <row r="414" spans="1:9" x14ac:dyDescent="0.25">
      <c r="A414" t="s">
        <v>1758</v>
      </c>
      <c r="B414" s="4">
        <v>771</v>
      </c>
      <c r="C414">
        <v>5</v>
      </c>
      <c r="D414">
        <v>298.3</v>
      </c>
      <c r="E414" cm="1">
        <f t="array" ref="E414">_xlfn.IFS(B414&lt;=_xlfn.PERCENTILE.INC($B$2:$B$726,0.2),5, B414&lt;=_xlfn.PERCENTILE.INC($B$2:$B$726,0.4),4,B414&lt;=_xlfn.PERCENTILE.INC($B$2:$B$726,0.6),3,B414&lt;=_xlfn.PERCENTILE.INC($B$2:$B$726,0.8),4,TRUE,1)</f>
        <v>1</v>
      </c>
      <c r="F414" cm="1">
        <f t="array" ref="F414">_xlfn.IFS(C414&gt;=_xlfn.PERCENTILE.INC($C$2:$C$726,0.8),5,C414&gt;=_xlfn.PERCENTILE.INC($C$2:$C$726,0.6),4,C414&gt;=_xlfn.PERCENTILE.INC($C$2:$C$726,0.4),3,C414&gt;=_xlfn.PERCENTILE.INC($C$2:$C$726,0.2),2,TRUE,1)</f>
        <v>3</v>
      </c>
      <c r="G414" cm="1">
        <f t="array" ref="G414">_xlfn.IFS(D414&gt;=_xlfn.PERCENTILE.INC($D$2:$D$726,0.8),5,D414&gt;=_xlfn.PERCENTILE.INC($D$2:$D$726,0.6),4,D414&gt;=_xlfn.PERCENTILE.INC($D$2:$D$726,0.4),3,D414&gt;=_xlfn.PERCENTILE.INC($D$2:$D$726,0.2),2,TRUE,1)</f>
        <v>3</v>
      </c>
      <c r="H414">
        <f t="shared" si="6"/>
        <v>7</v>
      </c>
      <c r="I414" t="str" cm="1">
        <f t="array" ref="I414">_xlfn.IFS(H414&gt;=13,"Best Customers",H414&gt;=10,"Loyal Customers",H414&gt;=7,"Potential Loyal Customers",H414&gt;=4,"Need Attention",TRUE,"At Risk")</f>
        <v>Potential Loyal Customers</v>
      </c>
    </row>
    <row r="415" spans="1:9" x14ac:dyDescent="0.25">
      <c r="A415" t="s">
        <v>872</v>
      </c>
      <c r="B415" s="4">
        <v>616</v>
      </c>
      <c r="C415">
        <v>6</v>
      </c>
      <c r="D415">
        <v>371.5</v>
      </c>
      <c r="E415" cm="1">
        <f t="array" ref="E415">_xlfn.IFS(B415&lt;=_xlfn.PERCENTILE.INC($B$2:$B$726,0.2),5, B415&lt;=_xlfn.PERCENTILE.INC($B$2:$B$726,0.4),4,B415&lt;=_xlfn.PERCENTILE.INC($B$2:$B$726,0.6),3,B415&lt;=_xlfn.PERCENTILE.INC($B$2:$B$726,0.8),4,TRUE,1)</f>
        <v>4</v>
      </c>
      <c r="F415" cm="1">
        <f t="array" ref="F415">_xlfn.IFS(C415&gt;=_xlfn.PERCENTILE.INC($C$2:$C$726,0.8),5,C415&gt;=_xlfn.PERCENTILE.INC($C$2:$C$726,0.6),4,C415&gt;=_xlfn.PERCENTILE.INC($C$2:$C$726,0.4),3,C415&gt;=_xlfn.PERCENTILE.INC($C$2:$C$726,0.2),2,TRUE,1)</f>
        <v>4</v>
      </c>
      <c r="G415" cm="1">
        <f t="array" ref="G415">_xlfn.IFS(D415&gt;=_xlfn.PERCENTILE.INC($D$2:$D$726,0.8),5,D415&gt;=_xlfn.PERCENTILE.INC($D$2:$D$726,0.6),4,D415&gt;=_xlfn.PERCENTILE.INC($D$2:$D$726,0.4),3,D415&gt;=_xlfn.PERCENTILE.INC($D$2:$D$726,0.2),2,TRUE,1)</f>
        <v>4</v>
      </c>
      <c r="H415">
        <f t="shared" si="6"/>
        <v>12</v>
      </c>
      <c r="I415" t="str" cm="1">
        <f t="array" ref="I415">_xlfn.IFS(H415&gt;=13,"Best Customers",H415&gt;=10,"Loyal Customers",H415&gt;=7,"Potential Loyal Customers",H415&gt;=4,"Need Attention",TRUE,"At Risk")</f>
        <v>Loyal Customers</v>
      </c>
    </row>
    <row r="416" spans="1:9" x14ac:dyDescent="0.25">
      <c r="A416" t="s">
        <v>1423</v>
      </c>
      <c r="B416" s="4">
        <v>558</v>
      </c>
      <c r="C416">
        <v>8</v>
      </c>
      <c r="D416">
        <v>489.1</v>
      </c>
      <c r="E416" cm="1">
        <f t="array" ref="E416">_xlfn.IFS(B416&lt;=_xlfn.PERCENTILE.INC($B$2:$B$726,0.2),5, B416&lt;=_xlfn.PERCENTILE.INC($B$2:$B$726,0.4),4,B416&lt;=_xlfn.PERCENTILE.INC($B$2:$B$726,0.6),3,B416&lt;=_xlfn.PERCENTILE.INC($B$2:$B$726,0.8),4,TRUE,1)</f>
        <v>3</v>
      </c>
      <c r="F416" cm="1">
        <f t="array" ref="F416">_xlfn.IFS(C416&gt;=_xlfn.PERCENTILE.INC($C$2:$C$726,0.8),5,C416&gt;=_xlfn.PERCENTILE.INC($C$2:$C$726,0.6),4,C416&gt;=_xlfn.PERCENTILE.INC($C$2:$C$726,0.4),3,C416&gt;=_xlfn.PERCENTILE.INC($C$2:$C$726,0.2),2,TRUE,1)</f>
        <v>5</v>
      </c>
      <c r="G416" cm="1">
        <f t="array" ref="G416">_xlfn.IFS(D416&gt;=_xlfn.PERCENTILE.INC($D$2:$D$726,0.8),5,D416&gt;=_xlfn.PERCENTILE.INC($D$2:$D$726,0.6),4,D416&gt;=_xlfn.PERCENTILE.INC($D$2:$D$726,0.4),3,D416&gt;=_xlfn.PERCENTILE.INC($D$2:$D$726,0.2),2,TRUE,1)</f>
        <v>5</v>
      </c>
      <c r="H416">
        <f t="shared" si="6"/>
        <v>13</v>
      </c>
      <c r="I416" t="str" cm="1">
        <f t="array" ref="I416">_xlfn.IFS(H416&gt;=13,"Best Customers",H416&gt;=10,"Loyal Customers",H416&gt;=7,"Potential Loyal Customers",H416&gt;=4,"Need Attention",TRUE,"At Risk")</f>
        <v>Best Customers</v>
      </c>
    </row>
    <row r="417" spans="1:9" x14ac:dyDescent="0.25">
      <c r="A417" t="s">
        <v>841</v>
      </c>
      <c r="B417" s="4">
        <v>429</v>
      </c>
      <c r="C417">
        <v>12</v>
      </c>
      <c r="D417">
        <v>475.3</v>
      </c>
      <c r="E417" cm="1">
        <f t="array" ref="E417">_xlfn.IFS(B417&lt;=_xlfn.PERCENTILE.INC($B$2:$B$726,0.2),5, B417&lt;=_xlfn.PERCENTILE.INC($B$2:$B$726,0.4),4,B417&lt;=_xlfn.PERCENTILE.INC($B$2:$B$726,0.6),3,B417&lt;=_xlfn.PERCENTILE.INC($B$2:$B$726,0.8),4,TRUE,1)</f>
        <v>4</v>
      </c>
      <c r="F417" cm="1">
        <f t="array" ref="F417">_xlfn.IFS(C417&gt;=_xlfn.PERCENTILE.INC($C$2:$C$726,0.8),5,C417&gt;=_xlfn.PERCENTILE.INC($C$2:$C$726,0.6),4,C417&gt;=_xlfn.PERCENTILE.INC($C$2:$C$726,0.4),3,C417&gt;=_xlfn.PERCENTILE.INC($C$2:$C$726,0.2),2,TRUE,1)</f>
        <v>5</v>
      </c>
      <c r="G417" cm="1">
        <f t="array" ref="G417">_xlfn.IFS(D417&gt;=_xlfn.PERCENTILE.INC($D$2:$D$726,0.8),5,D417&gt;=_xlfn.PERCENTILE.INC($D$2:$D$726,0.6),4,D417&gt;=_xlfn.PERCENTILE.INC($D$2:$D$726,0.4),3,D417&gt;=_xlfn.PERCENTILE.INC($D$2:$D$726,0.2),2,TRUE,1)</f>
        <v>5</v>
      </c>
      <c r="H417">
        <f t="shared" si="6"/>
        <v>14</v>
      </c>
      <c r="I417" t="str" cm="1">
        <f t="array" ref="I417">_xlfn.IFS(H417&gt;=13,"Best Customers",H417&gt;=10,"Loyal Customers",H417&gt;=7,"Potential Loyal Customers",H417&gt;=4,"Need Attention",TRUE,"At Risk")</f>
        <v>Best Customers</v>
      </c>
    </row>
    <row r="418" spans="1:9" x14ac:dyDescent="0.25">
      <c r="A418" t="s">
        <v>1145</v>
      </c>
      <c r="B418" s="4">
        <v>415</v>
      </c>
      <c r="C418">
        <v>9</v>
      </c>
      <c r="D418">
        <v>321.3</v>
      </c>
      <c r="E418" cm="1">
        <f t="array" ref="E418">_xlfn.IFS(B418&lt;=_xlfn.PERCENTILE.INC($B$2:$B$726,0.2),5, B418&lt;=_xlfn.PERCENTILE.INC($B$2:$B$726,0.4),4,B418&lt;=_xlfn.PERCENTILE.INC($B$2:$B$726,0.6),3,B418&lt;=_xlfn.PERCENTILE.INC($B$2:$B$726,0.8),4,TRUE,1)</f>
        <v>4</v>
      </c>
      <c r="F418" cm="1">
        <f t="array" ref="F418">_xlfn.IFS(C418&gt;=_xlfn.PERCENTILE.INC($C$2:$C$726,0.8),5,C418&gt;=_xlfn.PERCENTILE.INC($C$2:$C$726,0.6),4,C418&gt;=_xlfn.PERCENTILE.INC($C$2:$C$726,0.4),3,C418&gt;=_xlfn.PERCENTILE.INC($C$2:$C$726,0.2),2,TRUE,1)</f>
        <v>5</v>
      </c>
      <c r="G418" cm="1">
        <f t="array" ref="G418">_xlfn.IFS(D418&gt;=_xlfn.PERCENTILE.INC($D$2:$D$726,0.8),5,D418&gt;=_xlfn.PERCENTILE.INC($D$2:$D$726,0.6),4,D418&gt;=_xlfn.PERCENTILE.INC($D$2:$D$726,0.4),3,D418&gt;=_xlfn.PERCENTILE.INC($D$2:$D$726,0.2),2,TRUE,1)</f>
        <v>4</v>
      </c>
      <c r="H418">
        <f t="shared" si="6"/>
        <v>13</v>
      </c>
      <c r="I418" t="str" cm="1">
        <f t="array" ref="I418">_xlfn.IFS(H418&gt;=13,"Best Customers",H418&gt;=10,"Loyal Customers",H418&gt;=7,"Potential Loyal Customers",H418&gt;=4,"Need Attention",TRUE,"At Risk")</f>
        <v>Best Customers</v>
      </c>
    </row>
    <row r="419" spans="1:9" x14ac:dyDescent="0.25">
      <c r="A419" t="s">
        <v>2639</v>
      </c>
      <c r="B419" s="4">
        <v>411</v>
      </c>
      <c r="C419">
        <v>5</v>
      </c>
      <c r="D419">
        <v>165.99999999999997</v>
      </c>
      <c r="E419" cm="1">
        <f t="array" ref="E419">_xlfn.IFS(B419&lt;=_xlfn.PERCENTILE.INC($B$2:$B$726,0.2),5, B419&lt;=_xlfn.PERCENTILE.INC($B$2:$B$726,0.4),4,B419&lt;=_xlfn.PERCENTILE.INC($B$2:$B$726,0.6),3,B419&lt;=_xlfn.PERCENTILE.INC($B$2:$B$726,0.8),4,TRUE,1)</f>
        <v>4</v>
      </c>
      <c r="F419" cm="1">
        <f t="array" ref="F419">_xlfn.IFS(C419&gt;=_xlfn.PERCENTILE.INC($C$2:$C$726,0.8),5,C419&gt;=_xlfn.PERCENTILE.INC($C$2:$C$726,0.6),4,C419&gt;=_xlfn.PERCENTILE.INC($C$2:$C$726,0.4),3,C419&gt;=_xlfn.PERCENTILE.INC($C$2:$C$726,0.2),2,TRUE,1)</f>
        <v>3</v>
      </c>
      <c r="G419" cm="1">
        <f t="array" ref="G419">_xlfn.IFS(D419&gt;=_xlfn.PERCENTILE.INC($D$2:$D$726,0.8),5,D419&gt;=_xlfn.PERCENTILE.INC($D$2:$D$726,0.6),4,D419&gt;=_xlfn.PERCENTILE.INC($D$2:$D$726,0.4),3,D419&gt;=_xlfn.PERCENTILE.INC($D$2:$D$726,0.2),2,TRUE,1)</f>
        <v>2</v>
      </c>
      <c r="H419">
        <f t="shared" si="6"/>
        <v>9</v>
      </c>
      <c r="I419" t="str" cm="1">
        <f t="array" ref="I419">_xlfn.IFS(H419&gt;=13,"Best Customers",H419&gt;=10,"Loyal Customers",H419&gt;=7,"Potential Loyal Customers",H419&gt;=4,"Need Attention",TRUE,"At Risk")</f>
        <v>Potential Loyal Customers</v>
      </c>
    </row>
    <row r="420" spans="1:9" x14ac:dyDescent="0.25">
      <c r="A420" t="s">
        <v>1196</v>
      </c>
      <c r="B420" s="4">
        <v>515</v>
      </c>
      <c r="C420">
        <v>7</v>
      </c>
      <c r="D420">
        <v>236.4</v>
      </c>
      <c r="E420" cm="1">
        <f t="array" ref="E420">_xlfn.IFS(B420&lt;=_xlfn.PERCENTILE.INC($B$2:$B$726,0.2),5, B420&lt;=_xlfn.PERCENTILE.INC($B$2:$B$726,0.4),4,B420&lt;=_xlfn.PERCENTILE.INC($B$2:$B$726,0.6),3,B420&lt;=_xlfn.PERCENTILE.INC($B$2:$B$726,0.8),4,TRUE,1)</f>
        <v>3</v>
      </c>
      <c r="F420" cm="1">
        <f t="array" ref="F420">_xlfn.IFS(C420&gt;=_xlfn.PERCENTILE.INC($C$2:$C$726,0.8),5,C420&gt;=_xlfn.PERCENTILE.INC($C$2:$C$726,0.6),4,C420&gt;=_xlfn.PERCENTILE.INC($C$2:$C$726,0.4),3,C420&gt;=_xlfn.PERCENTILE.INC($C$2:$C$726,0.2),2,TRUE,1)</f>
        <v>4</v>
      </c>
      <c r="G420" cm="1">
        <f t="array" ref="G420">_xlfn.IFS(D420&gt;=_xlfn.PERCENTILE.INC($D$2:$D$726,0.8),5,D420&gt;=_xlfn.PERCENTILE.INC($D$2:$D$726,0.6),4,D420&gt;=_xlfn.PERCENTILE.INC($D$2:$D$726,0.4),3,D420&gt;=_xlfn.PERCENTILE.INC($D$2:$D$726,0.2),2,TRUE,1)</f>
        <v>3</v>
      </c>
      <c r="H420">
        <f t="shared" si="6"/>
        <v>10</v>
      </c>
      <c r="I420" t="str" cm="1">
        <f t="array" ref="I420">_xlfn.IFS(H420&gt;=13,"Best Customers",H420&gt;=10,"Loyal Customers",H420&gt;=7,"Potential Loyal Customers",H420&gt;=4,"Need Attention",TRUE,"At Risk")</f>
        <v>Loyal Customers</v>
      </c>
    </row>
    <row r="421" spans="1:9" x14ac:dyDescent="0.25">
      <c r="A421" t="s">
        <v>1939</v>
      </c>
      <c r="B421" s="4">
        <v>554</v>
      </c>
      <c r="C421">
        <v>4</v>
      </c>
      <c r="D421">
        <v>194.7</v>
      </c>
      <c r="E421" cm="1">
        <f t="array" ref="E421">_xlfn.IFS(B421&lt;=_xlfn.PERCENTILE.INC($B$2:$B$726,0.2),5, B421&lt;=_xlfn.PERCENTILE.INC($B$2:$B$726,0.4),4,B421&lt;=_xlfn.PERCENTILE.INC($B$2:$B$726,0.6),3,B421&lt;=_xlfn.PERCENTILE.INC($B$2:$B$726,0.8),4,TRUE,1)</f>
        <v>3</v>
      </c>
      <c r="F421" cm="1">
        <f t="array" ref="F421">_xlfn.IFS(C421&gt;=_xlfn.PERCENTILE.INC($C$2:$C$726,0.8),5,C421&gt;=_xlfn.PERCENTILE.INC($C$2:$C$726,0.6),4,C421&gt;=_xlfn.PERCENTILE.INC($C$2:$C$726,0.4),3,C421&gt;=_xlfn.PERCENTILE.INC($C$2:$C$726,0.2),2,TRUE,1)</f>
        <v>2</v>
      </c>
      <c r="G421" cm="1">
        <f t="array" ref="G421">_xlfn.IFS(D421&gt;=_xlfn.PERCENTILE.INC($D$2:$D$726,0.8),5,D421&gt;=_xlfn.PERCENTILE.INC($D$2:$D$726,0.6),4,D421&gt;=_xlfn.PERCENTILE.INC($D$2:$D$726,0.4),3,D421&gt;=_xlfn.PERCENTILE.INC($D$2:$D$726,0.2),2,TRUE,1)</f>
        <v>2</v>
      </c>
      <c r="H421">
        <f t="shared" si="6"/>
        <v>7</v>
      </c>
      <c r="I421" t="str" cm="1">
        <f t="array" ref="I421">_xlfn.IFS(H421&gt;=13,"Best Customers",H421&gt;=10,"Loyal Customers",H421&gt;=7,"Potential Loyal Customers",H421&gt;=4,"Need Attention",TRUE,"At Risk")</f>
        <v>Potential Loyal Customers</v>
      </c>
    </row>
    <row r="422" spans="1:9" x14ac:dyDescent="0.25">
      <c r="A422" t="s">
        <v>1767</v>
      </c>
      <c r="B422" s="4">
        <v>589</v>
      </c>
      <c r="C422">
        <v>6</v>
      </c>
      <c r="D422">
        <v>141.1</v>
      </c>
      <c r="E422" cm="1">
        <f t="array" ref="E422">_xlfn.IFS(B422&lt;=_xlfn.PERCENTILE.INC($B$2:$B$726,0.2),5, B422&lt;=_xlfn.PERCENTILE.INC($B$2:$B$726,0.4),4,B422&lt;=_xlfn.PERCENTILE.INC($B$2:$B$726,0.6),3,B422&lt;=_xlfn.PERCENTILE.INC($B$2:$B$726,0.8),4,TRUE,1)</f>
        <v>4</v>
      </c>
      <c r="F422" cm="1">
        <f t="array" ref="F422">_xlfn.IFS(C422&gt;=_xlfn.PERCENTILE.INC($C$2:$C$726,0.8),5,C422&gt;=_xlfn.PERCENTILE.INC($C$2:$C$726,0.6),4,C422&gt;=_xlfn.PERCENTILE.INC($C$2:$C$726,0.4),3,C422&gt;=_xlfn.PERCENTILE.INC($C$2:$C$726,0.2),2,TRUE,1)</f>
        <v>4</v>
      </c>
      <c r="G422" cm="1">
        <f t="array" ref="G422">_xlfn.IFS(D422&gt;=_xlfn.PERCENTILE.INC($D$2:$D$726,0.8),5,D422&gt;=_xlfn.PERCENTILE.INC($D$2:$D$726,0.6),4,D422&gt;=_xlfn.PERCENTILE.INC($D$2:$D$726,0.4),3,D422&gt;=_xlfn.PERCENTILE.INC($D$2:$D$726,0.2),2,TRUE,1)</f>
        <v>1</v>
      </c>
      <c r="H422">
        <f t="shared" si="6"/>
        <v>9</v>
      </c>
      <c r="I422" t="str" cm="1">
        <f t="array" ref="I422">_xlfn.IFS(H422&gt;=13,"Best Customers",H422&gt;=10,"Loyal Customers",H422&gt;=7,"Potential Loyal Customers",H422&gt;=4,"Need Attention",TRUE,"At Risk")</f>
        <v>Potential Loyal Customers</v>
      </c>
    </row>
    <row r="423" spans="1:9" x14ac:dyDescent="0.25">
      <c r="A423" t="s">
        <v>3022</v>
      </c>
      <c r="B423" s="4">
        <v>494</v>
      </c>
      <c r="C423">
        <v>9</v>
      </c>
      <c r="D423">
        <v>221.7</v>
      </c>
      <c r="E423" cm="1">
        <f t="array" ref="E423">_xlfn.IFS(B423&lt;=_xlfn.PERCENTILE.INC($B$2:$B$726,0.2),5, B423&lt;=_xlfn.PERCENTILE.INC($B$2:$B$726,0.4),4,B423&lt;=_xlfn.PERCENTILE.INC($B$2:$B$726,0.6),3,B423&lt;=_xlfn.PERCENTILE.INC($B$2:$B$726,0.8),4,TRUE,1)</f>
        <v>3</v>
      </c>
      <c r="F423" cm="1">
        <f t="array" ref="F423">_xlfn.IFS(C423&gt;=_xlfn.PERCENTILE.INC($C$2:$C$726,0.8),5,C423&gt;=_xlfn.PERCENTILE.INC($C$2:$C$726,0.6),4,C423&gt;=_xlfn.PERCENTILE.INC($C$2:$C$726,0.4),3,C423&gt;=_xlfn.PERCENTILE.INC($C$2:$C$726,0.2),2,TRUE,1)</f>
        <v>5</v>
      </c>
      <c r="G423" cm="1">
        <f t="array" ref="G423">_xlfn.IFS(D423&gt;=_xlfn.PERCENTILE.INC($D$2:$D$726,0.8),5,D423&gt;=_xlfn.PERCENTILE.INC($D$2:$D$726,0.6),4,D423&gt;=_xlfn.PERCENTILE.INC($D$2:$D$726,0.4),3,D423&gt;=_xlfn.PERCENTILE.INC($D$2:$D$726,0.2),2,TRUE,1)</f>
        <v>2</v>
      </c>
      <c r="H423">
        <f t="shared" si="6"/>
        <v>10</v>
      </c>
      <c r="I423" t="str" cm="1">
        <f t="array" ref="I423">_xlfn.IFS(H423&gt;=13,"Best Customers",H423&gt;=10,"Loyal Customers",H423&gt;=7,"Potential Loyal Customers",H423&gt;=4,"Need Attention",TRUE,"At Risk")</f>
        <v>Loyal Customers</v>
      </c>
    </row>
    <row r="424" spans="1:9" x14ac:dyDescent="0.25">
      <c r="A424" t="s">
        <v>1622</v>
      </c>
      <c r="B424" s="4">
        <v>500</v>
      </c>
      <c r="C424">
        <v>3</v>
      </c>
      <c r="D424">
        <v>191.6</v>
      </c>
      <c r="E424" cm="1">
        <f t="array" ref="E424">_xlfn.IFS(B424&lt;=_xlfn.PERCENTILE.INC($B$2:$B$726,0.2),5, B424&lt;=_xlfn.PERCENTILE.INC($B$2:$B$726,0.4),4,B424&lt;=_xlfn.PERCENTILE.INC($B$2:$B$726,0.6),3,B424&lt;=_xlfn.PERCENTILE.INC($B$2:$B$726,0.8),4,TRUE,1)</f>
        <v>3</v>
      </c>
      <c r="F424" cm="1">
        <f t="array" ref="F424">_xlfn.IFS(C424&gt;=_xlfn.PERCENTILE.INC($C$2:$C$726,0.8),5,C424&gt;=_xlfn.PERCENTILE.INC($C$2:$C$726,0.6),4,C424&gt;=_xlfn.PERCENTILE.INC($C$2:$C$726,0.4),3,C424&gt;=_xlfn.PERCENTILE.INC($C$2:$C$726,0.2),2,TRUE,1)</f>
        <v>1</v>
      </c>
      <c r="G424" cm="1">
        <f t="array" ref="G424">_xlfn.IFS(D424&gt;=_xlfn.PERCENTILE.INC($D$2:$D$726,0.8),5,D424&gt;=_xlfn.PERCENTILE.INC($D$2:$D$726,0.6),4,D424&gt;=_xlfn.PERCENTILE.INC($D$2:$D$726,0.4),3,D424&gt;=_xlfn.PERCENTILE.INC($D$2:$D$726,0.2),2,TRUE,1)</f>
        <v>2</v>
      </c>
      <c r="H424">
        <f t="shared" si="6"/>
        <v>6</v>
      </c>
      <c r="I424" t="str" cm="1">
        <f t="array" ref="I424">_xlfn.IFS(H424&gt;=13,"Best Customers",H424&gt;=10,"Loyal Customers",H424&gt;=7,"Potential Loyal Customers",H424&gt;=4,"Need Attention",TRUE,"At Risk")</f>
        <v>Need Attention</v>
      </c>
    </row>
    <row r="425" spans="1:9" x14ac:dyDescent="0.25">
      <c r="A425" t="s">
        <v>3378</v>
      </c>
      <c r="B425" s="4">
        <v>354</v>
      </c>
      <c r="C425">
        <v>10</v>
      </c>
      <c r="D425">
        <v>369.90000000000003</v>
      </c>
      <c r="E425" cm="1">
        <f t="array" ref="E425">_xlfn.IFS(B425&lt;=_xlfn.PERCENTILE.INC($B$2:$B$726,0.2),5, B425&lt;=_xlfn.PERCENTILE.INC($B$2:$B$726,0.4),4,B425&lt;=_xlfn.PERCENTILE.INC($B$2:$B$726,0.6),3,B425&lt;=_xlfn.PERCENTILE.INC($B$2:$B$726,0.8),4,TRUE,1)</f>
        <v>5</v>
      </c>
      <c r="F425" cm="1">
        <f t="array" ref="F425">_xlfn.IFS(C425&gt;=_xlfn.PERCENTILE.INC($C$2:$C$726,0.8),5,C425&gt;=_xlfn.PERCENTILE.INC($C$2:$C$726,0.6),4,C425&gt;=_xlfn.PERCENTILE.INC($C$2:$C$726,0.4),3,C425&gt;=_xlfn.PERCENTILE.INC($C$2:$C$726,0.2),2,TRUE,1)</f>
        <v>5</v>
      </c>
      <c r="G425" cm="1">
        <f t="array" ref="G425">_xlfn.IFS(D425&gt;=_xlfn.PERCENTILE.INC($D$2:$D$726,0.8),5,D425&gt;=_xlfn.PERCENTILE.INC($D$2:$D$726,0.6),4,D425&gt;=_xlfn.PERCENTILE.INC($D$2:$D$726,0.4),3,D425&gt;=_xlfn.PERCENTILE.INC($D$2:$D$726,0.2),2,TRUE,1)</f>
        <v>4</v>
      </c>
      <c r="H425">
        <f t="shared" si="6"/>
        <v>14</v>
      </c>
      <c r="I425" t="str" cm="1">
        <f t="array" ref="I425">_xlfn.IFS(H425&gt;=13,"Best Customers",H425&gt;=10,"Loyal Customers",H425&gt;=7,"Potential Loyal Customers",H425&gt;=4,"Need Attention",TRUE,"At Risk")</f>
        <v>Best Customers</v>
      </c>
    </row>
    <row r="426" spans="1:9" x14ac:dyDescent="0.25">
      <c r="A426" t="s">
        <v>3282</v>
      </c>
      <c r="B426" s="4">
        <v>662</v>
      </c>
      <c r="C426">
        <v>7</v>
      </c>
      <c r="D426">
        <v>360.29999999999995</v>
      </c>
      <c r="E426" cm="1">
        <f t="array" ref="E426">_xlfn.IFS(B426&lt;=_xlfn.PERCENTILE.INC($B$2:$B$726,0.2),5, B426&lt;=_xlfn.PERCENTILE.INC($B$2:$B$726,0.4),4,B426&lt;=_xlfn.PERCENTILE.INC($B$2:$B$726,0.6),3,B426&lt;=_xlfn.PERCENTILE.INC($B$2:$B$726,0.8),4,TRUE,1)</f>
        <v>4</v>
      </c>
      <c r="F426" cm="1">
        <f t="array" ref="F426">_xlfn.IFS(C426&gt;=_xlfn.PERCENTILE.INC($C$2:$C$726,0.8),5,C426&gt;=_xlfn.PERCENTILE.INC($C$2:$C$726,0.6),4,C426&gt;=_xlfn.PERCENTILE.INC($C$2:$C$726,0.4),3,C426&gt;=_xlfn.PERCENTILE.INC($C$2:$C$726,0.2),2,TRUE,1)</f>
        <v>4</v>
      </c>
      <c r="G426" cm="1">
        <f t="array" ref="G426">_xlfn.IFS(D426&gt;=_xlfn.PERCENTILE.INC($D$2:$D$726,0.8),5,D426&gt;=_xlfn.PERCENTILE.INC($D$2:$D$726,0.6),4,D426&gt;=_xlfn.PERCENTILE.INC($D$2:$D$726,0.4),3,D426&gt;=_xlfn.PERCENTILE.INC($D$2:$D$726,0.2),2,TRUE,1)</f>
        <v>4</v>
      </c>
      <c r="H426">
        <f t="shared" si="6"/>
        <v>12</v>
      </c>
      <c r="I426" t="str" cm="1">
        <f t="array" ref="I426">_xlfn.IFS(H426&gt;=13,"Best Customers",H426&gt;=10,"Loyal Customers",H426&gt;=7,"Potential Loyal Customers",H426&gt;=4,"Need Attention",TRUE,"At Risk")</f>
        <v>Loyal Customers</v>
      </c>
    </row>
    <row r="427" spans="1:9" x14ac:dyDescent="0.25">
      <c r="A427" t="s">
        <v>2089</v>
      </c>
      <c r="B427" s="4">
        <v>483</v>
      </c>
      <c r="C427">
        <v>4</v>
      </c>
      <c r="D427">
        <v>78.399999999999991</v>
      </c>
      <c r="E427" cm="1">
        <f t="array" ref="E427">_xlfn.IFS(B427&lt;=_xlfn.PERCENTILE.INC($B$2:$B$726,0.2),5, B427&lt;=_xlfn.PERCENTILE.INC($B$2:$B$726,0.4),4,B427&lt;=_xlfn.PERCENTILE.INC($B$2:$B$726,0.6),3,B427&lt;=_xlfn.PERCENTILE.INC($B$2:$B$726,0.8),4,TRUE,1)</f>
        <v>3</v>
      </c>
      <c r="F427" cm="1">
        <f t="array" ref="F427">_xlfn.IFS(C427&gt;=_xlfn.PERCENTILE.INC($C$2:$C$726,0.8),5,C427&gt;=_xlfn.PERCENTILE.INC($C$2:$C$726,0.6),4,C427&gt;=_xlfn.PERCENTILE.INC($C$2:$C$726,0.4),3,C427&gt;=_xlfn.PERCENTILE.INC($C$2:$C$726,0.2),2,TRUE,1)</f>
        <v>2</v>
      </c>
      <c r="G427" cm="1">
        <f t="array" ref="G427">_xlfn.IFS(D427&gt;=_xlfn.PERCENTILE.INC($D$2:$D$726,0.8),5,D427&gt;=_xlfn.PERCENTILE.INC($D$2:$D$726,0.6),4,D427&gt;=_xlfn.PERCENTILE.INC($D$2:$D$726,0.4),3,D427&gt;=_xlfn.PERCENTILE.INC($D$2:$D$726,0.2),2,TRUE,1)</f>
        <v>1</v>
      </c>
      <c r="H427">
        <f t="shared" si="6"/>
        <v>6</v>
      </c>
      <c r="I427" t="str" cm="1">
        <f t="array" ref="I427">_xlfn.IFS(H427&gt;=13,"Best Customers",H427&gt;=10,"Loyal Customers",H427&gt;=7,"Potential Loyal Customers",H427&gt;=4,"Need Attention",TRUE,"At Risk")</f>
        <v>Need Attention</v>
      </c>
    </row>
    <row r="428" spans="1:9" x14ac:dyDescent="0.25">
      <c r="A428" t="s">
        <v>1711</v>
      </c>
      <c r="B428" s="4">
        <v>570</v>
      </c>
      <c r="C428">
        <v>6</v>
      </c>
      <c r="D428">
        <v>231.4</v>
      </c>
      <c r="E428" cm="1">
        <f t="array" ref="E428">_xlfn.IFS(B428&lt;=_xlfn.PERCENTILE.INC($B$2:$B$726,0.2),5, B428&lt;=_xlfn.PERCENTILE.INC($B$2:$B$726,0.4),4,B428&lt;=_xlfn.PERCENTILE.INC($B$2:$B$726,0.6),3,B428&lt;=_xlfn.PERCENTILE.INC($B$2:$B$726,0.8),4,TRUE,1)</f>
        <v>4</v>
      </c>
      <c r="F428" cm="1">
        <f t="array" ref="F428">_xlfn.IFS(C428&gt;=_xlfn.PERCENTILE.INC($C$2:$C$726,0.8),5,C428&gt;=_xlfn.PERCENTILE.INC($C$2:$C$726,0.6),4,C428&gt;=_xlfn.PERCENTILE.INC($C$2:$C$726,0.4),3,C428&gt;=_xlfn.PERCENTILE.INC($C$2:$C$726,0.2),2,TRUE,1)</f>
        <v>4</v>
      </c>
      <c r="G428" cm="1">
        <f t="array" ref="G428">_xlfn.IFS(D428&gt;=_xlfn.PERCENTILE.INC($D$2:$D$726,0.8),5,D428&gt;=_xlfn.PERCENTILE.INC($D$2:$D$726,0.6),4,D428&gt;=_xlfn.PERCENTILE.INC($D$2:$D$726,0.4),3,D428&gt;=_xlfn.PERCENTILE.INC($D$2:$D$726,0.2),2,TRUE,1)</f>
        <v>2</v>
      </c>
      <c r="H428">
        <f t="shared" si="6"/>
        <v>10</v>
      </c>
      <c r="I428" t="str" cm="1">
        <f t="array" ref="I428">_xlfn.IFS(H428&gt;=13,"Best Customers",H428&gt;=10,"Loyal Customers",H428&gt;=7,"Potential Loyal Customers",H428&gt;=4,"Need Attention",TRUE,"At Risk")</f>
        <v>Loyal Customers</v>
      </c>
    </row>
    <row r="429" spans="1:9" x14ac:dyDescent="0.25">
      <c r="A429" t="s">
        <v>1610</v>
      </c>
      <c r="B429" s="4">
        <v>353</v>
      </c>
      <c r="C429">
        <v>6</v>
      </c>
      <c r="D429">
        <v>71</v>
      </c>
      <c r="E429" cm="1">
        <f t="array" ref="E429">_xlfn.IFS(B429&lt;=_xlfn.PERCENTILE.INC($B$2:$B$726,0.2),5, B429&lt;=_xlfn.PERCENTILE.INC($B$2:$B$726,0.4),4,B429&lt;=_xlfn.PERCENTILE.INC($B$2:$B$726,0.6),3,B429&lt;=_xlfn.PERCENTILE.INC($B$2:$B$726,0.8),4,TRUE,1)</f>
        <v>5</v>
      </c>
      <c r="F429" cm="1">
        <f t="array" ref="F429">_xlfn.IFS(C429&gt;=_xlfn.PERCENTILE.INC($C$2:$C$726,0.8),5,C429&gt;=_xlfn.PERCENTILE.INC($C$2:$C$726,0.6),4,C429&gt;=_xlfn.PERCENTILE.INC($C$2:$C$726,0.4),3,C429&gt;=_xlfn.PERCENTILE.INC($C$2:$C$726,0.2),2,TRUE,1)</f>
        <v>4</v>
      </c>
      <c r="G429" cm="1">
        <f t="array" ref="G429">_xlfn.IFS(D429&gt;=_xlfn.PERCENTILE.INC($D$2:$D$726,0.8),5,D429&gt;=_xlfn.PERCENTILE.INC($D$2:$D$726,0.6),4,D429&gt;=_xlfn.PERCENTILE.INC($D$2:$D$726,0.4),3,D429&gt;=_xlfn.PERCENTILE.INC($D$2:$D$726,0.2),2,TRUE,1)</f>
        <v>1</v>
      </c>
      <c r="H429">
        <f t="shared" si="6"/>
        <v>10</v>
      </c>
      <c r="I429" t="str" cm="1">
        <f t="array" ref="I429">_xlfn.IFS(H429&gt;=13,"Best Customers",H429&gt;=10,"Loyal Customers",H429&gt;=7,"Potential Loyal Customers",H429&gt;=4,"Need Attention",TRUE,"At Risk")</f>
        <v>Loyal Customers</v>
      </c>
    </row>
    <row r="430" spans="1:9" x14ac:dyDescent="0.25">
      <c r="A430" t="s">
        <v>1187</v>
      </c>
      <c r="B430" s="4">
        <v>471</v>
      </c>
      <c r="C430">
        <v>7</v>
      </c>
      <c r="D430">
        <v>210.40000000000003</v>
      </c>
      <c r="E430" cm="1">
        <f t="array" ref="E430">_xlfn.IFS(B430&lt;=_xlfn.PERCENTILE.INC($B$2:$B$726,0.2),5, B430&lt;=_xlfn.PERCENTILE.INC($B$2:$B$726,0.4),4,B430&lt;=_xlfn.PERCENTILE.INC($B$2:$B$726,0.6),3,B430&lt;=_xlfn.PERCENTILE.INC($B$2:$B$726,0.8),4,TRUE,1)</f>
        <v>3</v>
      </c>
      <c r="F430" cm="1">
        <f t="array" ref="F430">_xlfn.IFS(C430&gt;=_xlfn.PERCENTILE.INC($C$2:$C$726,0.8),5,C430&gt;=_xlfn.PERCENTILE.INC($C$2:$C$726,0.6),4,C430&gt;=_xlfn.PERCENTILE.INC($C$2:$C$726,0.4),3,C430&gt;=_xlfn.PERCENTILE.INC($C$2:$C$726,0.2),2,TRUE,1)</f>
        <v>4</v>
      </c>
      <c r="G430" cm="1">
        <f t="array" ref="G430">_xlfn.IFS(D430&gt;=_xlfn.PERCENTILE.INC($D$2:$D$726,0.8),5,D430&gt;=_xlfn.PERCENTILE.INC($D$2:$D$726,0.6),4,D430&gt;=_xlfn.PERCENTILE.INC($D$2:$D$726,0.4),3,D430&gt;=_xlfn.PERCENTILE.INC($D$2:$D$726,0.2),2,TRUE,1)</f>
        <v>2</v>
      </c>
      <c r="H430">
        <f t="shared" si="6"/>
        <v>9</v>
      </c>
      <c r="I430" t="str" cm="1">
        <f t="array" ref="I430">_xlfn.IFS(H430&gt;=13,"Best Customers",H430&gt;=10,"Loyal Customers",H430&gt;=7,"Potential Loyal Customers",H430&gt;=4,"Need Attention",TRUE,"At Risk")</f>
        <v>Potential Loyal Customers</v>
      </c>
    </row>
    <row r="431" spans="1:9" x14ac:dyDescent="0.25">
      <c r="A431" t="s">
        <v>2876</v>
      </c>
      <c r="B431" s="4">
        <v>410</v>
      </c>
      <c r="C431">
        <v>5</v>
      </c>
      <c r="D431">
        <v>446.4</v>
      </c>
      <c r="E431" cm="1">
        <f t="array" ref="E431">_xlfn.IFS(B431&lt;=_xlfn.PERCENTILE.INC($B$2:$B$726,0.2),5, B431&lt;=_xlfn.PERCENTILE.INC($B$2:$B$726,0.4),4,B431&lt;=_xlfn.PERCENTILE.INC($B$2:$B$726,0.6),3,B431&lt;=_xlfn.PERCENTILE.INC($B$2:$B$726,0.8),4,TRUE,1)</f>
        <v>4</v>
      </c>
      <c r="F431" cm="1">
        <f t="array" ref="F431">_xlfn.IFS(C431&gt;=_xlfn.PERCENTILE.INC($C$2:$C$726,0.8),5,C431&gt;=_xlfn.PERCENTILE.INC($C$2:$C$726,0.6),4,C431&gt;=_xlfn.PERCENTILE.INC($C$2:$C$726,0.4),3,C431&gt;=_xlfn.PERCENTILE.INC($C$2:$C$726,0.2),2,TRUE,1)</f>
        <v>3</v>
      </c>
      <c r="G431" cm="1">
        <f t="array" ref="G431">_xlfn.IFS(D431&gt;=_xlfn.PERCENTILE.INC($D$2:$D$726,0.8),5,D431&gt;=_xlfn.PERCENTILE.INC($D$2:$D$726,0.6),4,D431&gt;=_xlfn.PERCENTILE.INC($D$2:$D$726,0.4),3,D431&gt;=_xlfn.PERCENTILE.INC($D$2:$D$726,0.2),2,TRUE,1)</f>
        <v>5</v>
      </c>
      <c r="H431">
        <f t="shared" si="6"/>
        <v>12</v>
      </c>
      <c r="I431" t="str" cm="1">
        <f t="array" ref="I431">_xlfn.IFS(H431&gt;=13,"Best Customers",H431&gt;=10,"Loyal Customers",H431&gt;=7,"Potential Loyal Customers",H431&gt;=4,"Need Attention",TRUE,"At Risk")</f>
        <v>Loyal Customers</v>
      </c>
    </row>
    <row r="432" spans="1:9" x14ac:dyDescent="0.25">
      <c r="A432" t="s">
        <v>1290</v>
      </c>
      <c r="B432" s="4">
        <v>478</v>
      </c>
      <c r="C432">
        <v>9</v>
      </c>
      <c r="D432">
        <v>423.5</v>
      </c>
      <c r="E432" cm="1">
        <f t="array" ref="E432">_xlfn.IFS(B432&lt;=_xlfn.PERCENTILE.INC($B$2:$B$726,0.2),5, B432&lt;=_xlfn.PERCENTILE.INC($B$2:$B$726,0.4),4,B432&lt;=_xlfn.PERCENTILE.INC($B$2:$B$726,0.6),3,B432&lt;=_xlfn.PERCENTILE.INC($B$2:$B$726,0.8),4,TRUE,1)</f>
        <v>3</v>
      </c>
      <c r="F432" cm="1">
        <f t="array" ref="F432">_xlfn.IFS(C432&gt;=_xlfn.PERCENTILE.INC($C$2:$C$726,0.8),5,C432&gt;=_xlfn.PERCENTILE.INC($C$2:$C$726,0.6),4,C432&gt;=_xlfn.PERCENTILE.INC($C$2:$C$726,0.4),3,C432&gt;=_xlfn.PERCENTILE.INC($C$2:$C$726,0.2),2,TRUE,1)</f>
        <v>5</v>
      </c>
      <c r="G432" cm="1">
        <f t="array" ref="G432">_xlfn.IFS(D432&gt;=_xlfn.PERCENTILE.INC($D$2:$D$726,0.8),5,D432&gt;=_xlfn.PERCENTILE.INC($D$2:$D$726,0.6),4,D432&gt;=_xlfn.PERCENTILE.INC($D$2:$D$726,0.4),3,D432&gt;=_xlfn.PERCENTILE.INC($D$2:$D$726,0.2),2,TRUE,1)</f>
        <v>5</v>
      </c>
      <c r="H432">
        <f t="shared" si="6"/>
        <v>13</v>
      </c>
      <c r="I432" t="str" cm="1">
        <f t="array" ref="I432">_xlfn.IFS(H432&gt;=13,"Best Customers",H432&gt;=10,"Loyal Customers",H432&gt;=7,"Potential Loyal Customers",H432&gt;=4,"Need Attention",TRUE,"At Risk")</f>
        <v>Best Customers</v>
      </c>
    </row>
    <row r="433" spans="1:9" x14ac:dyDescent="0.25">
      <c r="A433" t="s">
        <v>564</v>
      </c>
      <c r="B433" s="4">
        <v>794</v>
      </c>
      <c r="C433">
        <v>4</v>
      </c>
      <c r="D433">
        <v>113.2</v>
      </c>
      <c r="E433" cm="1">
        <f t="array" ref="E433">_xlfn.IFS(B433&lt;=_xlfn.PERCENTILE.INC($B$2:$B$726,0.2),5, B433&lt;=_xlfn.PERCENTILE.INC($B$2:$B$726,0.4),4,B433&lt;=_xlfn.PERCENTILE.INC($B$2:$B$726,0.6),3,B433&lt;=_xlfn.PERCENTILE.INC($B$2:$B$726,0.8),4,TRUE,1)</f>
        <v>1</v>
      </c>
      <c r="F433" cm="1">
        <f t="array" ref="F433">_xlfn.IFS(C433&gt;=_xlfn.PERCENTILE.INC($C$2:$C$726,0.8),5,C433&gt;=_xlfn.PERCENTILE.INC($C$2:$C$726,0.6),4,C433&gt;=_xlfn.PERCENTILE.INC($C$2:$C$726,0.4),3,C433&gt;=_xlfn.PERCENTILE.INC($C$2:$C$726,0.2),2,TRUE,1)</f>
        <v>2</v>
      </c>
      <c r="G433" cm="1">
        <f t="array" ref="G433">_xlfn.IFS(D433&gt;=_xlfn.PERCENTILE.INC($D$2:$D$726,0.8),5,D433&gt;=_xlfn.PERCENTILE.INC($D$2:$D$726,0.6),4,D433&gt;=_xlfn.PERCENTILE.INC($D$2:$D$726,0.4),3,D433&gt;=_xlfn.PERCENTILE.INC($D$2:$D$726,0.2),2,TRUE,1)</f>
        <v>1</v>
      </c>
      <c r="H433">
        <f t="shared" si="6"/>
        <v>4</v>
      </c>
      <c r="I433" t="str" cm="1">
        <f t="array" ref="I433">_xlfn.IFS(H433&gt;=13,"Best Customers",H433&gt;=10,"Loyal Customers",H433&gt;=7,"Potential Loyal Customers",H433&gt;=4,"Need Attention",TRUE,"At Risk")</f>
        <v>Need Attention</v>
      </c>
    </row>
    <row r="434" spans="1:9" x14ac:dyDescent="0.25">
      <c r="A434" t="s">
        <v>520</v>
      </c>
      <c r="B434" s="4">
        <v>414</v>
      </c>
      <c r="C434">
        <v>6</v>
      </c>
      <c r="D434">
        <v>319.20000000000005</v>
      </c>
      <c r="E434" cm="1">
        <f t="array" ref="E434">_xlfn.IFS(B434&lt;=_xlfn.PERCENTILE.INC($B$2:$B$726,0.2),5, B434&lt;=_xlfn.PERCENTILE.INC($B$2:$B$726,0.4),4,B434&lt;=_xlfn.PERCENTILE.INC($B$2:$B$726,0.6),3,B434&lt;=_xlfn.PERCENTILE.INC($B$2:$B$726,0.8),4,TRUE,1)</f>
        <v>4</v>
      </c>
      <c r="F434" cm="1">
        <f t="array" ref="F434">_xlfn.IFS(C434&gt;=_xlfn.PERCENTILE.INC($C$2:$C$726,0.8),5,C434&gt;=_xlfn.PERCENTILE.INC($C$2:$C$726,0.6),4,C434&gt;=_xlfn.PERCENTILE.INC($C$2:$C$726,0.4),3,C434&gt;=_xlfn.PERCENTILE.INC($C$2:$C$726,0.2),2,TRUE,1)</f>
        <v>4</v>
      </c>
      <c r="G434" cm="1">
        <f t="array" ref="G434">_xlfn.IFS(D434&gt;=_xlfn.PERCENTILE.INC($D$2:$D$726,0.8),5,D434&gt;=_xlfn.PERCENTILE.INC($D$2:$D$726,0.6),4,D434&gt;=_xlfn.PERCENTILE.INC($D$2:$D$726,0.4),3,D434&gt;=_xlfn.PERCENTILE.INC($D$2:$D$726,0.2),2,TRUE,1)</f>
        <v>4</v>
      </c>
      <c r="H434">
        <f t="shared" si="6"/>
        <v>12</v>
      </c>
      <c r="I434" t="str" cm="1">
        <f t="array" ref="I434">_xlfn.IFS(H434&gt;=13,"Best Customers",H434&gt;=10,"Loyal Customers",H434&gt;=7,"Potential Loyal Customers",H434&gt;=4,"Need Attention",TRUE,"At Risk")</f>
        <v>Loyal Customers</v>
      </c>
    </row>
    <row r="435" spans="1:9" x14ac:dyDescent="0.25">
      <c r="A435" t="s">
        <v>2995</v>
      </c>
      <c r="B435" s="4">
        <v>759</v>
      </c>
      <c r="C435">
        <v>7</v>
      </c>
      <c r="D435">
        <v>294.59999999999997</v>
      </c>
      <c r="E435" cm="1">
        <f t="array" ref="E435">_xlfn.IFS(B435&lt;=_xlfn.PERCENTILE.INC($B$2:$B$726,0.2),5, B435&lt;=_xlfn.PERCENTILE.INC($B$2:$B$726,0.4),4,B435&lt;=_xlfn.PERCENTILE.INC($B$2:$B$726,0.6),3,B435&lt;=_xlfn.PERCENTILE.INC($B$2:$B$726,0.8),4,TRUE,1)</f>
        <v>1</v>
      </c>
      <c r="F435" cm="1">
        <f t="array" ref="F435">_xlfn.IFS(C435&gt;=_xlfn.PERCENTILE.INC($C$2:$C$726,0.8),5,C435&gt;=_xlfn.PERCENTILE.INC($C$2:$C$726,0.6),4,C435&gt;=_xlfn.PERCENTILE.INC($C$2:$C$726,0.4),3,C435&gt;=_xlfn.PERCENTILE.INC($C$2:$C$726,0.2),2,TRUE,1)</f>
        <v>4</v>
      </c>
      <c r="G435" cm="1">
        <f t="array" ref="G435">_xlfn.IFS(D435&gt;=_xlfn.PERCENTILE.INC($D$2:$D$726,0.8),5,D435&gt;=_xlfn.PERCENTILE.INC($D$2:$D$726,0.6),4,D435&gt;=_xlfn.PERCENTILE.INC($D$2:$D$726,0.4),3,D435&gt;=_xlfn.PERCENTILE.INC($D$2:$D$726,0.2),2,TRUE,1)</f>
        <v>3</v>
      </c>
      <c r="H435">
        <f t="shared" si="6"/>
        <v>8</v>
      </c>
      <c r="I435" t="str" cm="1">
        <f t="array" ref="I435">_xlfn.IFS(H435&gt;=13,"Best Customers",H435&gt;=10,"Loyal Customers",H435&gt;=7,"Potential Loyal Customers",H435&gt;=4,"Need Attention",TRUE,"At Risk")</f>
        <v>Potential Loyal Customers</v>
      </c>
    </row>
    <row r="436" spans="1:9" x14ac:dyDescent="0.25">
      <c r="A436" t="s">
        <v>2018</v>
      </c>
      <c r="B436" s="4">
        <v>498</v>
      </c>
      <c r="C436">
        <v>8</v>
      </c>
      <c r="D436">
        <v>207.9</v>
      </c>
      <c r="E436" cm="1">
        <f t="array" ref="E436">_xlfn.IFS(B436&lt;=_xlfn.PERCENTILE.INC($B$2:$B$726,0.2),5, B436&lt;=_xlfn.PERCENTILE.INC($B$2:$B$726,0.4),4,B436&lt;=_xlfn.PERCENTILE.INC($B$2:$B$726,0.6),3,B436&lt;=_xlfn.PERCENTILE.INC($B$2:$B$726,0.8),4,TRUE,1)</f>
        <v>3</v>
      </c>
      <c r="F436" cm="1">
        <f t="array" ref="F436">_xlfn.IFS(C436&gt;=_xlfn.PERCENTILE.INC($C$2:$C$726,0.8),5,C436&gt;=_xlfn.PERCENTILE.INC($C$2:$C$726,0.6),4,C436&gt;=_xlfn.PERCENTILE.INC($C$2:$C$726,0.4),3,C436&gt;=_xlfn.PERCENTILE.INC($C$2:$C$726,0.2),2,TRUE,1)</f>
        <v>5</v>
      </c>
      <c r="G436" cm="1">
        <f t="array" ref="G436">_xlfn.IFS(D436&gt;=_xlfn.PERCENTILE.INC($D$2:$D$726,0.8),5,D436&gt;=_xlfn.PERCENTILE.INC($D$2:$D$726,0.6),4,D436&gt;=_xlfn.PERCENTILE.INC($D$2:$D$726,0.4),3,D436&gt;=_xlfn.PERCENTILE.INC($D$2:$D$726,0.2),2,TRUE,1)</f>
        <v>2</v>
      </c>
      <c r="H436">
        <f t="shared" si="6"/>
        <v>10</v>
      </c>
      <c r="I436" t="str" cm="1">
        <f t="array" ref="I436">_xlfn.IFS(H436&gt;=13,"Best Customers",H436&gt;=10,"Loyal Customers",H436&gt;=7,"Potential Loyal Customers",H436&gt;=4,"Need Attention",TRUE,"At Risk")</f>
        <v>Loyal Customers</v>
      </c>
    </row>
    <row r="437" spans="1:9" x14ac:dyDescent="0.25">
      <c r="A437" t="s">
        <v>2503</v>
      </c>
      <c r="B437" s="4">
        <v>511</v>
      </c>
      <c r="C437">
        <v>8</v>
      </c>
      <c r="D437">
        <v>296.8</v>
      </c>
      <c r="E437" cm="1">
        <f t="array" ref="E437">_xlfn.IFS(B437&lt;=_xlfn.PERCENTILE.INC($B$2:$B$726,0.2),5, B437&lt;=_xlfn.PERCENTILE.INC($B$2:$B$726,0.4),4,B437&lt;=_xlfn.PERCENTILE.INC($B$2:$B$726,0.6),3,B437&lt;=_xlfn.PERCENTILE.INC($B$2:$B$726,0.8),4,TRUE,1)</f>
        <v>3</v>
      </c>
      <c r="F437" cm="1">
        <f t="array" ref="F437">_xlfn.IFS(C437&gt;=_xlfn.PERCENTILE.INC($C$2:$C$726,0.8),5,C437&gt;=_xlfn.PERCENTILE.INC($C$2:$C$726,0.6),4,C437&gt;=_xlfn.PERCENTILE.INC($C$2:$C$726,0.4),3,C437&gt;=_xlfn.PERCENTILE.INC($C$2:$C$726,0.2),2,TRUE,1)</f>
        <v>5</v>
      </c>
      <c r="G437" cm="1">
        <f t="array" ref="G437">_xlfn.IFS(D437&gt;=_xlfn.PERCENTILE.INC($D$2:$D$726,0.8),5,D437&gt;=_xlfn.PERCENTILE.INC($D$2:$D$726,0.6),4,D437&gt;=_xlfn.PERCENTILE.INC($D$2:$D$726,0.4),3,D437&gt;=_xlfn.PERCENTILE.INC($D$2:$D$726,0.2),2,TRUE,1)</f>
        <v>3</v>
      </c>
      <c r="H437">
        <f t="shared" si="6"/>
        <v>11</v>
      </c>
      <c r="I437" t="str" cm="1">
        <f t="array" ref="I437">_xlfn.IFS(H437&gt;=13,"Best Customers",H437&gt;=10,"Loyal Customers",H437&gt;=7,"Potential Loyal Customers",H437&gt;=4,"Need Attention",TRUE,"At Risk")</f>
        <v>Loyal Customers</v>
      </c>
    </row>
    <row r="438" spans="1:9" x14ac:dyDescent="0.25">
      <c r="A438" t="s">
        <v>826</v>
      </c>
      <c r="B438" s="4">
        <v>653</v>
      </c>
      <c r="C438">
        <v>5</v>
      </c>
      <c r="D438">
        <v>95.9</v>
      </c>
      <c r="E438" cm="1">
        <f t="array" ref="E438">_xlfn.IFS(B438&lt;=_xlfn.PERCENTILE.INC($B$2:$B$726,0.2),5, B438&lt;=_xlfn.PERCENTILE.INC($B$2:$B$726,0.4),4,B438&lt;=_xlfn.PERCENTILE.INC($B$2:$B$726,0.6),3,B438&lt;=_xlfn.PERCENTILE.INC($B$2:$B$726,0.8),4,TRUE,1)</f>
        <v>4</v>
      </c>
      <c r="F438" cm="1">
        <f t="array" ref="F438">_xlfn.IFS(C438&gt;=_xlfn.PERCENTILE.INC($C$2:$C$726,0.8),5,C438&gt;=_xlfn.PERCENTILE.INC($C$2:$C$726,0.6),4,C438&gt;=_xlfn.PERCENTILE.INC($C$2:$C$726,0.4),3,C438&gt;=_xlfn.PERCENTILE.INC($C$2:$C$726,0.2),2,TRUE,1)</f>
        <v>3</v>
      </c>
      <c r="G438" cm="1">
        <f t="array" ref="G438">_xlfn.IFS(D438&gt;=_xlfn.PERCENTILE.INC($D$2:$D$726,0.8),5,D438&gt;=_xlfn.PERCENTILE.INC($D$2:$D$726,0.6),4,D438&gt;=_xlfn.PERCENTILE.INC($D$2:$D$726,0.4),3,D438&gt;=_xlfn.PERCENTILE.INC($D$2:$D$726,0.2),2,TRUE,1)</f>
        <v>1</v>
      </c>
      <c r="H438">
        <f t="shared" si="6"/>
        <v>8</v>
      </c>
      <c r="I438" t="str" cm="1">
        <f t="array" ref="I438">_xlfn.IFS(H438&gt;=13,"Best Customers",H438&gt;=10,"Loyal Customers",H438&gt;=7,"Potential Loyal Customers",H438&gt;=4,"Need Attention",TRUE,"At Risk")</f>
        <v>Potential Loyal Customers</v>
      </c>
    </row>
    <row r="439" spans="1:9" x14ac:dyDescent="0.25">
      <c r="A439" t="s">
        <v>1348</v>
      </c>
      <c r="B439" s="4">
        <v>479</v>
      </c>
      <c r="C439">
        <v>6</v>
      </c>
      <c r="D439">
        <v>196.2</v>
      </c>
      <c r="E439" cm="1">
        <f t="array" ref="E439">_xlfn.IFS(B439&lt;=_xlfn.PERCENTILE.INC($B$2:$B$726,0.2),5, B439&lt;=_xlfn.PERCENTILE.INC($B$2:$B$726,0.4),4,B439&lt;=_xlfn.PERCENTILE.INC($B$2:$B$726,0.6),3,B439&lt;=_xlfn.PERCENTILE.INC($B$2:$B$726,0.8),4,TRUE,1)</f>
        <v>3</v>
      </c>
      <c r="F439" cm="1">
        <f t="array" ref="F439">_xlfn.IFS(C439&gt;=_xlfn.PERCENTILE.INC($C$2:$C$726,0.8),5,C439&gt;=_xlfn.PERCENTILE.INC($C$2:$C$726,0.6),4,C439&gt;=_xlfn.PERCENTILE.INC($C$2:$C$726,0.4),3,C439&gt;=_xlfn.PERCENTILE.INC($C$2:$C$726,0.2),2,TRUE,1)</f>
        <v>4</v>
      </c>
      <c r="G439" cm="1">
        <f t="array" ref="G439">_xlfn.IFS(D439&gt;=_xlfn.PERCENTILE.INC($D$2:$D$726,0.8),5,D439&gt;=_xlfn.PERCENTILE.INC($D$2:$D$726,0.6),4,D439&gt;=_xlfn.PERCENTILE.INC($D$2:$D$726,0.4),3,D439&gt;=_xlfn.PERCENTILE.INC($D$2:$D$726,0.2),2,TRUE,1)</f>
        <v>2</v>
      </c>
      <c r="H439">
        <f t="shared" si="6"/>
        <v>9</v>
      </c>
      <c r="I439" t="str" cm="1">
        <f t="array" ref="I439">_xlfn.IFS(H439&gt;=13,"Best Customers",H439&gt;=10,"Loyal Customers",H439&gt;=7,"Potential Loyal Customers",H439&gt;=4,"Need Attention",TRUE,"At Risk")</f>
        <v>Potential Loyal Customers</v>
      </c>
    </row>
    <row r="440" spans="1:9" x14ac:dyDescent="0.25">
      <c r="A440" t="s">
        <v>3354</v>
      </c>
      <c r="B440" s="4">
        <v>726</v>
      </c>
      <c r="C440">
        <v>3</v>
      </c>
      <c r="D440">
        <v>168.2</v>
      </c>
      <c r="E440" cm="1">
        <f t="array" ref="E440">_xlfn.IFS(B440&lt;=_xlfn.PERCENTILE.INC($B$2:$B$726,0.2),5, B440&lt;=_xlfn.PERCENTILE.INC($B$2:$B$726,0.4),4,B440&lt;=_xlfn.PERCENTILE.INC($B$2:$B$726,0.6),3,B440&lt;=_xlfn.PERCENTILE.INC($B$2:$B$726,0.8),4,TRUE,1)</f>
        <v>4</v>
      </c>
      <c r="F440" cm="1">
        <f t="array" ref="F440">_xlfn.IFS(C440&gt;=_xlfn.PERCENTILE.INC($C$2:$C$726,0.8),5,C440&gt;=_xlfn.PERCENTILE.INC($C$2:$C$726,0.6),4,C440&gt;=_xlfn.PERCENTILE.INC($C$2:$C$726,0.4),3,C440&gt;=_xlfn.PERCENTILE.INC($C$2:$C$726,0.2),2,TRUE,1)</f>
        <v>1</v>
      </c>
      <c r="G440" cm="1">
        <f t="array" ref="G440">_xlfn.IFS(D440&gt;=_xlfn.PERCENTILE.INC($D$2:$D$726,0.8),5,D440&gt;=_xlfn.PERCENTILE.INC($D$2:$D$726,0.6),4,D440&gt;=_xlfn.PERCENTILE.INC($D$2:$D$726,0.4),3,D440&gt;=_xlfn.PERCENTILE.INC($D$2:$D$726,0.2),2,TRUE,1)</f>
        <v>2</v>
      </c>
      <c r="H440">
        <f t="shared" si="6"/>
        <v>7</v>
      </c>
      <c r="I440" t="str" cm="1">
        <f t="array" ref="I440">_xlfn.IFS(H440&gt;=13,"Best Customers",H440&gt;=10,"Loyal Customers",H440&gt;=7,"Potential Loyal Customers",H440&gt;=4,"Need Attention",TRUE,"At Risk")</f>
        <v>Potential Loyal Customers</v>
      </c>
    </row>
    <row r="441" spans="1:9" x14ac:dyDescent="0.25">
      <c r="A441" t="s">
        <v>2672</v>
      </c>
      <c r="B441" s="4">
        <v>481</v>
      </c>
      <c r="C441">
        <v>11</v>
      </c>
      <c r="D441">
        <v>547.9</v>
      </c>
      <c r="E441" cm="1">
        <f t="array" ref="E441">_xlfn.IFS(B441&lt;=_xlfn.PERCENTILE.INC($B$2:$B$726,0.2),5, B441&lt;=_xlfn.PERCENTILE.INC($B$2:$B$726,0.4),4,B441&lt;=_xlfn.PERCENTILE.INC($B$2:$B$726,0.6),3,B441&lt;=_xlfn.PERCENTILE.INC($B$2:$B$726,0.8),4,TRUE,1)</f>
        <v>3</v>
      </c>
      <c r="F441" cm="1">
        <f t="array" ref="F441">_xlfn.IFS(C441&gt;=_xlfn.PERCENTILE.INC($C$2:$C$726,0.8),5,C441&gt;=_xlfn.PERCENTILE.INC($C$2:$C$726,0.6),4,C441&gt;=_xlfn.PERCENTILE.INC($C$2:$C$726,0.4),3,C441&gt;=_xlfn.PERCENTILE.INC($C$2:$C$726,0.2),2,TRUE,1)</f>
        <v>5</v>
      </c>
      <c r="G441" cm="1">
        <f t="array" ref="G441">_xlfn.IFS(D441&gt;=_xlfn.PERCENTILE.INC($D$2:$D$726,0.8),5,D441&gt;=_xlfn.PERCENTILE.INC($D$2:$D$726,0.6),4,D441&gt;=_xlfn.PERCENTILE.INC($D$2:$D$726,0.4),3,D441&gt;=_xlfn.PERCENTILE.INC($D$2:$D$726,0.2),2,TRUE,1)</f>
        <v>5</v>
      </c>
      <c r="H441">
        <f t="shared" si="6"/>
        <v>13</v>
      </c>
      <c r="I441" t="str" cm="1">
        <f t="array" ref="I441">_xlfn.IFS(H441&gt;=13,"Best Customers",H441&gt;=10,"Loyal Customers",H441&gt;=7,"Potential Loyal Customers",H441&gt;=4,"Need Attention",TRUE,"At Risk")</f>
        <v>Best Customers</v>
      </c>
    </row>
    <row r="442" spans="1:9" x14ac:dyDescent="0.25">
      <c r="A442" t="s">
        <v>601</v>
      </c>
      <c r="B442" s="4">
        <v>431</v>
      </c>
      <c r="C442">
        <v>6</v>
      </c>
      <c r="D442">
        <v>160.80000000000001</v>
      </c>
      <c r="E442" cm="1">
        <f t="array" ref="E442">_xlfn.IFS(B442&lt;=_xlfn.PERCENTILE.INC($B$2:$B$726,0.2),5, B442&lt;=_xlfn.PERCENTILE.INC($B$2:$B$726,0.4),4,B442&lt;=_xlfn.PERCENTILE.INC($B$2:$B$726,0.6),3,B442&lt;=_xlfn.PERCENTILE.INC($B$2:$B$726,0.8),4,TRUE,1)</f>
        <v>4</v>
      </c>
      <c r="F442" cm="1">
        <f t="array" ref="F442">_xlfn.IFS(C442&gt;=_xlfn.PERCENTILE.INC($C$2:$C$726,0.8),5,C442&gt;=_xlfn.PERCENTILE.INC($C$2:$C$726,0.6),4,C442&gt;=_xlfn.PERCENTILE.INC($C$2:$C$726,0.4),3,C442&gt;=_xlfn.PERCENTILE.INC($C$2:$C$726,0.2),2,TRUE,1)</f>
        <v>4</v>
      </c>
      <c r="G442" cm="1">
        <f t="array" ref="G442">_xlfn.IFS(D442&gt;=_xlfn.PERCENTILE.INC($D$2:$D$726,0.8),5,D442&gt;=_xlfn.PERCENTILE.INC($D$2:$D$726,0.6),4,D442&gt;=_xlfn.PERCENTILE.INC($D$2:$D$726,0.4),3,D442&gt;=_xlfn.PERCENTILE.INC($D$2:$D$726,0.2),2,TRUE,1)</f>
        <v>2</v>
      </c>
      <c r="H442">
        <f t="shared" si="6"/>
        <v>10</v>
      </c>
      <c r="I442" t="str" cm="1">
        <f t="array" ref="I442">_xlfn.IFS(H442&gt;=13,"Best Customers",H442&gt;=10,"Loyal Customers",H442&gt;=7,"Potential Loyal Customers",H442&gt;=4,"Need Attention",TRUE,"At Risk")</f>
        <v>Loyal Customers</v>
      </c>
    </row>
    <row r="443" spans="1:9" x14ac:dyDescent="0.25">
      <c r="A443" t="s">
        <v>1825</v>
      </c>
      <c r="B443" s="4">
        <v>1037</v>
      </c>
      <c r="C443">
        <v>3</v>
      </c>
      <c r="D443">
        <v>60.6</v>
      </c>
      <c r="E443" cm="1">
        <f t="array" ref="E443">_xlfn.IFS(B443&lt;=_xlfn.PERCENTILE.INC($B$2:$B$726,0.2),5, B443&lt;=_xlfn.PERCENTILE.INC($B$2:$B$726,0.4),4,B443&lt;=_xlfn.PERCENTILE.INC($B$2:$B$726,0.6),3,B443&lt;=_xlfn.PERCENTILE.INC($B$2:$B$726,0.8),4,TRUE,1)</f>
        <v>1</v>
      </c>
      <c r="F443" cm="1">
        <f t="array" ref="F443">_xlfn.IFS(C443&gt;=_xlfn.PERCENTILE.INC($C$2:$C$726,0.8),5,C443&gt;=_xlfn.PERCENTILE.INC($C$2:$C$726,0.6),4,C443&gt;=_xlfn.PERCENTILE.INC($C$2:$C$726,0.4),3,C443&gt;=_xlfn.PERCENTILE.INC($C$2:$C$726,0.2),2,TRUE,1)</f>
        <v>1</v>
      </c>
      <c r="G443" cm="1">
        <f t="array" ref="G443">_xlfn.IFS(D443&gt;=_xlfn.PERCENTILE.INC($D$2:$D$726,0.8),5,D443&gt;=_xlfn.PERCENTILE.INC($D$2:$D$726,0.6),4,D443&gt;=_xlfn.PERCENTILE.INC($D$2:$D$726,0.4),3,D443&gt;=_xlfn.PERCENTILE.INC($D$2:$D$726,0.2),2,TRUE,1)</f>
        <v>1</v>
      </c>
      <c r="H443">
        <f t="shared" si="6"/>
        <v>3</v>
      </c>
      <c r="I443" t="str" cm="1">
        <f t="array" ref="I443">_xlfn.IFS(H443&gt;=13,"Best Customers",H443&gt;=10,"Loyal Customers",H443&gt;=7,"Potential Loyal Customers",H443&gt;=4,"Need Attention",TRUE,"At Risk")</f>
        <v>At Risk</v>
      </c>
    </row>
    <row r="444" spans="1:9" x14ac:dyDescent="0.25">
      <c r="A444" t="s">
        <v>1869</v>
      </c>
      <c r="B444" s="4">
        <v>766</v>
      </c>
      <c r="C444">
        <v>4</v>
      </c>
      <c r="D444">
        <v>95.3</v>
      </c>
      <c r="E444" cm="1">
        <f t="array" ref="E444">_xlfn.IFS(B444&lt;=_xlfn.PERCENTILE.INC($B$2:$B$726,0.2),5, B444&lt;=_xlfn.PERCENTILE.INC($B$2:$B$726,0.4),4,B444&lt;=_xlfn.PERCENTILE.INC($B$2:$B$726,0.6),3,B444&lt;=_xlfn.PERCENTILE.INC($B$2:$B$726,0.8),4,TRUE,1)</f>
        <v>1</v>
      </c>
      <c r="F444" cm="1">
        <f t="array" ref="F444">_xlfn.IFS(C444&gt;=_xlfn.PERCENTILE.INC($C$2:$C$726,0.8),5,C444&gt;=_xlfn.PERCENTILE.INC($C$2:$C$726,0.6),4,C444&gt;=_xlfn.PERCENTILE.INC($C$2:$C$726,0.4),3,C444&gt;=_xlfn.PERCENTILE.INC($C$2:$C$726,0.2),2,TRUE,1)</f>
        <v>2</v>
      </c>
      <c r="G444" cm="1">
        <f t="array" ref="G444">_xlfn.IFS(D444&gt;=_xlfn.PERCENTILE.INC($D$2:$D$726,0.8),5,D444&gt;=_xlfn.PERCENTILE.INC($D$2:$D$726,0.6),4,D444&gt;=_xlfn.PERCENTILE.INC($D$2:$D$726,0.4),3,D444&gt;=_xlfn.PERCENTILE.INC($D$2:$D$726,0.2),2,TRUE,1)</f>
        <v>1</v>
      </c>
      <c r="H444">
        <f t="shared" si="6"/>
        <v>4</v>
      </c>
      <c r="I444" t="str" cm="1">
        <f t="array" ref="I444">_xlfn.IFS(H444&gt;=13,"Best Customers",H444&gt;=10,"Loyal Customers",H444&gt;=7,"Potential Loyal Customers",H444&gt;=4,"Need Attention",TRUE,"At Risk")</f>
        <v>Need Attention</v>
      </c>
    </row>
    <row r="445" spans="1:9" x14ac:dyDescent="0.25">
      <c r="A445" t="s">
        <v>567</v>
      </c>
      <c r="B445" s="4">
        <v>564</v>
      </c>
      <c r="C445">
        <v>3</v>
      </c>
      <c r="D445">
        <v>162.9</v>
      </c>
      <c r="E445" cm="1">
        <f t="array" ref="E445">_xlfn.IFS(B445&lt;=_xlfn.PERCENTILE.INC($B$2:$B$726,0.2),5, B445&lt;=_xlfn.PERCENTILE.INC($B$2:$B$726,0.4),4,B445&lt;=_xlfn.PERCENTILE.INC($B$2:$B$726,0.6),3,B445&lt;=_xlfn.PERCENTILE.INC($B$2:$B$726,0.8),4,TRUE,1)</f>
        <v>3</v>
      </c>
      <c r="F445" cm="1">
        <f t="array" ref="F445">_xlfn.IFS(C445&gt;=_xlfn.PERCENTILE.INC($C$2:$C$726,0.8),5,C445&gt;=_xlfn.PERCENTILE.INC($C$2:$C$726,0.6),4,C445&gt;=_xlfn.PERCENTILE.INC($C$2:$C$726,0.4),3,C445&gt;=_xlfn.PERCENTILE.INC($C$2:$C$726,0.2),2,TRUE,1)</f>
        <v>1</v>
      </c>
      <c r="G445" cm="1">
        <f t="array" ref="G445">_xlfn.IFS(D445&gt;=_xlfn.PERCENTILE.INC($D$2:$D$726,0.8),5,D445&gt;=_xlfn.PERCENTILE.INC($D$2:$D$726,0.6),4,D445&gt;=_xlfn.PERCENTILE.INC($D$2:$D$726,0.4),3,D445&gt;=_xlfn.PERCENTILE.INC($D$2:$D$726,0.2),2,TRUE,1)</f>
        <v>2</v>
      </c>
      <c r="H445">
        <f t="shared" si="6"/>
        <v>6</v>
      </c>
      <c r="I445" t="str" cm="1">
        <f t="array" ref="I445">_xlfn.IFS(H445&gt;=13,"Best Customers",H445&gt;=10,"Loyal Customers",H445&gt;=7,"Potential Loyal Customers",H445&gt;=4,"Need Attention",TRUE,"At Risk")</f>
        <v>Need Attention</v>
      </c>
    </row>
    <row r="446" spans="1:9" x14ac:dyDescent="0.25">
      <c r="A446" t="s">
        <v>1963</v>
      </c>
      <c r="B446" s="4">
        <v>771</v>
      </c>
      <c r="C446">
        <v>4</v>
      </c>
      <c r="D446">
        <v>143.9</v>
      </c>
      <c r="E446" cm="1">
        <f t="array" ref="E446">_xlfn.IFS(B446&lt;=_xlfn.PERCENTILE.INC($B$2:$B$726,0.2),5, B446&lt;=_xlfn.PERCENTILE.INC($B$2:$B$726,0.4),4,B446&lt;=_xlfn.PERCENTILE.INC($B$2:$B$726,0.6),3,B446&lt;=_xlfn.PERCENTILE.INC($B$2:$B$726,0.8),4,TRUE,1)</f>
        <v>1</v>
      </c>
      <c r="F446" cm="1">
        <f t="array" ref="F446">_xlfn.IFS(C446&gt;=_xlfn.PERCENTILE.INC($C$2:$C$726,0.8),5,C446&gt;=_xlfn.PERCENTILE.INC($C$2:$C$726,0.6),4,C446&gt;=_xlfn.PERCENTILE.INC($C$2:$C$726,0.4),3,C446&gt;=_xlfn.PERCENTILE.INC($C$2:$C$726,0.2),2,TRUE,1)</f>
        <v>2</v>
      </c>
      <c r="G446" cm="1">
        <f t="array" ref="G446">_xlfn.IFS(D446&gt;=_xlfn.PERCENTILE.INC($D$2:$D$726,0.8),5,D446&gt;=_xlfn.PERCENTILE.INC($D$2:$D$726,0.6),4,D446&gt;=_xlfn.PERCENTILE.INC($D$2:$D$726,0.4),3,D446&gt;=_xlfn.PERCENTILE.INC($D$2:$D$726,0.2),2,TRUE,1)</f>
        <v>1</v>
      </c>
      <c r="H446">
        <f t="shared" si="6"/>
        <v>4</v>
      </c>
      <c r="I446" t="str" cm="1">
        <f t="array" ref="I446">_xlfn.IFS(H446&gt;=13,"Best Customers",H446&gt;=10,"Loyal Customers",H446&gt;=7,"Potential Loyal Customers",H446&gt;=4,"Need Attention",TRUE,"At Risk")</f>
        <v>Need Attention</v>
      </c>
    </row>
    <row r="447" spans="1:9" x14ac:dyDescent="0.25">
      <c r="A447" t="s">
        <v>2942</v>
      </c>
      <c r="B447" s="4">
        <v>405</v>
      </c>
      <c r="C447">
        <v>6</v>
      </c>
      <c r="D447">
        <v>241.2</v>
      </c>
      <c r="E447" cm="1">
        <f t="array" ref="E447">_xlfn.IFS(B447&lt;=_xlfn.PERCENTILE.INC($B$2:$B$726,0.2),5, B447&lt;=_xlfn.PERCENTILE.INC($B$2:$B$726,0.4),4,B447&lt;=_xlfn.PERCENTILE.INC($B$2:$B$726,0.6),3,B447&lt;=_xlfn.PERCENTILE.INC($B$2:$B$726,0.8),4,TRUE,1)</f>
        <v>4</v>
      </c>
      <c r="F447" cm="1">
        <f t="array" ref="F447">_xlfn.IFS(C447&gt;=_xlfn.PERCENTILE.INC($C$2:$C$726,0.8),5,C447&gt;=_xlfn.PERCENTILE.INC($C$2:$C$726,0.6),4,C447&gt;=_xlfn.PERCENTILE.INC($C$2:$C$726,0.4),3,C447&gt;=_xlfn.PERCENTILE.INC($C$2:$C$726,0.2),2,TRUE,1)</f>
        <v>4</v>
      </c>
      <c r="G447" cm="1">
        <f t="array" ref="G447">_xlfn.IFS(D447&gt;=_xlfn.PERCENTILE.INC($D$2:$D$726,0.8),5,D447&gt;=_xlfn.PERCENTILE.INC($D$2:$D$726,0.6),4,D447&gt;=_xlfn.PERCENTILE.INC($D$2:$D$726,0.4),3,D447&gt;=_xlfn.PERCENTILE.INC($D$2:$D$726,0.2),2,TRUE,1)</f>
        <v>3</v>
      </c>
      <c r="H447">
        <f t="shared" si="6"/>
        <v>11</v>
      </c>
      <c r="I447" t="str" cm="1">
        <f t="array" ref="I447">_xlfn.IFS(H447&gt;=13,"Best Customers",H447&gt;=10,"Loyal Customers",H447&gt;=7,"Potential Loyal Customers",H447&gt;=4,"Need Attention",TRUE,"At Risk")</f>
        <v>Loyal Customers</v>
      </c>
    </row>
    <row r="448" spans="1:9" x14ac:dyDescent="0.25">
      <c r="A448" t="s">
        <v>1806</v>
      </c>
      <c r="B448" s="4">
        <v>379</v>
      </c>
      <c r="C448">
        <v>9</v>
      </c>
      <c r="D448">
        <v>408.7</v>
      </c>
      <c r="E448" cm="1">
        <f t="array" ref="E448">_xlfn.IFS(B448&lt;=_xlfn.PERCENTILE.INC($B$2:$B$726,0.2),5, B448&lt;=_xlfn.PERCENTILE.INC($B$2:$B$726,0.4),4,B448&lt;=_xlfn.PERCENTILE.INC($B$2:$B$726,0.6),3,B448&lt;=_xlfn.PERCENTILE.INC($B$2:$B$726,0.8),4,TRUE,1)</f>
        <v>5</v>
      </c>
      <c r="F448" cm="1">
        <f t="array" ref="F448">_xlfn.IFS(C448&gt;=_xlfn.PERCENTILE.INC($C$2:$C$726,0.8),5,C448&gt;=_xlfn.PERCENTILE.INC($C$2:$C$726,0.6),4,C448&gt;=_xlfn.PERCENTILE.INC($C$2:$C$726,0.4),3,C448&gt;=_xlfn.PERCENTILE.INC($C$2:$C$726,0.2),2,TRUE,1)</f>
        <v>5</v>
      </c>
      <c r="G448" cm="1">
        <f t="array" ref="G448">_xlfn.IFS(D448&gt;=_xlfn.PERCENTILE.INC($D$2:$D$726,0.8),5,D448&gt;=_xlfn.PERCENTILE.INC($D$2:$D$726,0.6),4,D448&gt;=_xlfn.PERCENTILE.INC($D$2:$D$726,0.4),3,D448&gt;=_xlfn.PERCENTILE.INC($D$2:$D$726,0.2),2,TRUE,1)</f>
        <v>5</v>
      </c>
      <c r="H448">
        <f t="shared" si="6"/>
        <v>15</v>
      </c>
      <c r="I448" t="str" cm="1">
        <f t="array" ref="I448">_xlfn.IFS(H448&gt;=13,"Best Customers",H448&gt;=10,"Loyal Customers",H448&gt;=7,"Potential Loyal Customers",H448&gt;=4,"Need Attention",TRUE,"At Risk")</f>
        <v>Best Customers</v>
      </c>
    </row>
    <row r="449" spans="1:9" x14ac:dyDescent="0.25">
      <c r="A449" t="s">
        <v>2651</v>
      </c>
      <c r="B449" s="4">
        <v>715</v>
      </c>
      <c r="C449">
        <v>3</v>
      </c>
      <c r="D449">
        <v>112.7</v>
      </c>
      <c r="E449" cm="1">
        <f t="array" ref="E449">_xlfn.IFS(B449&lt;=_xlfn.PERCENTILE.INC($B$2:$B$726,0.2),5, B449&lt;=_xlfn.PERCENTILE.INC($B$2:$B$726,0.4),4,B449&lt;=_xlfn.PERCENTILE.INC($B$2:$B$726,0.6),3,B449&lt;=_xlfn.PERCENTILE.INC($B$2:$B$726,0.8),4,TRUE,1)</f>
        <v>4</v>
      </c>
      <c r="F449" cm="1">
        <f t="array" ref="F449">_xlfn.IFS(C449&gt;=_xlfn.PERCENTILE.INC($C$2:$C$726,0.8),5,C449&gt;=_xlfn.PERCENTILE.INC($C$2:$C$726,0.6),4,C449&gt;=_xlfn.PERCENTILE.INC($C$2:$C$726,0.4),3,C449&gt;=_xlfn.PERCENTILE.INC($C$2:$C$726,0.2),2,TRUE,1)</f>
        <v>1</v>
      </c>
      <c r="G449" cm="1">
        <f t="array" ref="G449">_xlfn.IFS(D449&gt;=_xlfn.PERCENTILE.INC($D$2:$D$726,0.8),5,D449&gt;=_xlfn.PERCENTILE.INC($D$2:$D$726,0.6),4,D449&gt;=_xlfn.PERCENTILE.INC($D$2:$D$726,0.4),3,D449&gt;=_xlfn.PERCENTILE.INC($D$2:$D$726,0.2),2,TRUE,1)</f>
        <v>1</v>
      </c>
      <c r="H449">
        <f t="shared" si="6"/>
        <v>6</v>
      </c>
      <c r="I449" t="str" cm="1">
        <f t="array" ref="I449">_xlfn.IFS(H449&gt;=13,"Best Customers",H449&gt;=10,"Loyal Customers",H449&gt;=7,"Potential Loyal Customers",H449&gt;=4,"Need Attention",TRUE,"At Risk")</f>
        <v>Need Attention</v>
      </c>
    </row>
    <row r="450" spans="1:9" x14ac:dyDescent="0.25">
      <c r="A450" t="s">
        <v>2879</v>
      </c>
      <c r="B450" s="4">
        <v>554</v>
      </c>
      <c r="C450">
        <v>5</v>
      </c>
      <c r="D450">
        <v>275.79999999999995</v>
      </c>
      <c r="E450" cm="1">
        <f t="array" ref="E450">_xlfn.IFS(B450&lt;=_xlfn.PERCENTILE.INC($B$2:$B$726,0.2),5, B450&lt;=_xlfn.PERCENTILE.INC($B$2:$B$726,0.4),4,B450&lt;=_xlfn.PERCENTILE.INC($B$2:$B$726,0.6),3,B450&lt;=_xlfn.PERCENTILE.INC($B$2:$B$726,0.8),4,TRUE,1)</f>
        <v>3</v>
      </c>
      <c r="F450" cm="1">
        <f t="array" ref="F450">_xlfn.IFS(C450&gt;=_xlfn.PERCENTILE.INC($C$2:$C$726,0.8),5,C450&gt;=_xlfn.PERCENTILE.INC($C$2:$C$726,0.6),4,C450&gt;=_xlfn.PERCENTILE.INC($C$2:$C$726,0.4),3,C450&gt;=_xlfn.PERCENTILE.INC($C$2:$C$726,0.2),2,TRUE,1)</f>
        <v>3</v>
      </c>
      <c r="G450" cm="1">
        <f t="array" ref="G450">_xlfn.IFS(D450&gt;=_xlfn.PERCENTILE.INC($D$2:$D$726,0.8),5,D450&gt;=_xlfn.PERCENTILE.INC($D$2:$D$726,0.6),4,D450&gt;=_xlfn.PERCENTILE.INC($D$2:$D$726,0.4),3,D450&gt;=_xlfn.PERCENTILE.INC($D$2:$D$726,0.2),2,TRUE,1)</f>
        <v>3</v>
      </c>
      <c r="H450">
        <f t="shared" si="6"/>
        <v>9</v>
      </c>
      <c r="I450" t="str" cm="1">
        <f t="array" ref="I450">_xlfn.IFS(H450&gt;=13,"Best Customers",H450&gt;=10,"Loyal Customers",H450&gt;=7,"Potential Loyal Customers",H450&gt;=4,"Need Attention",TRUE,"At Risk")</f>
        <v>Potential Loyal Customers</v>
      </c>
    </row>
    <row r="451" spans="1:9" x14ac:dyDescent="0.25">
      <c r="A451" t="s">
        <v>3136</v>
      </c>
      <c r="B451" s="4">
        <v>1087</v>
      </c>
      <c r="C451">
        <v>3</v>
      </c>
      <c r="D451">
        <v>39</v>
      </c>
      <c r="E451" cm="1">
        <f t="array" ref="E451">_xlfn.IFS(B451&lt;=_xlfn.PERCENTILE.INC($B$2:$B$726,0.2),5, B451&lt;=_xlfn.PERCENTILE.INC($B$2:$B$726,0.4),4,B451&lt;=_xlfn.PERCENTILE.INC($B$2:$B$726,0.6),3,B451&lt;=_xlfn.PERCENTILE.INC($B$2:$B$726,0.8),4,TRUE,1)</f>
        <v>1</v>
      </c>
      <c r="F451" cm="1">
        <f t="array" ref="F451">_xlfn.IFS(C451&gt;=_xlfn.PERCENTILE.INC($C$2:$C$726,0.8),5,C451&gt;=_xlfn.PERCENTILE.INC($C$2:$C$726,0.6),4,C451&gt;=_xlfn.PERCENTILE.INC($C$2:$C$726,0.4),3,C451&gt;=_xlfn.PERCENTILE.INC($C$2:$C$726,0.2),2,TRUE,1)</f>
        <v>1</v>
      </c>
      <c r="G451" cm="1">
        <f t="array" ref="G451">_xlfn.IFS(D451&gt;=_xlfn.PERCENTILE.INC($D$2:$D$726,0.8),5,D451&gt;=_xlfn.PERCENTILE.INC($D$2:$D$726,0.6),4,D451&gt;=_xlfn.PERCENTILE.INC($D$2:$D$726,0.4),3,D451&gt;=_xlfn.PERCENTILE.INC($D$2:$D$726,0.2),2,TRUE,1)</f>
        <v>1</v>
      </c>
      <c r="H451">
        <f t="shared" ref="H451:H514" si="7">SUM(E451,F451,G451)</f>
        <v>3</v>
      </c>
      <c r="I451" t="str" cm="1">
        <f t="array" ref="I451">_xlfn.IFS(H451&gt;=13,"Best Customers",H451&gt;=10,"Loyal Customers",H451&gt;=7,"Potential Loyal Customers",H451&gt;=4,"Need Attention",TRUE,"At Risk")</f>
        <v>At Risk</v>
      </c>
    </row>
    <row r="452" spans="1:9" x14ac:dyDescent="0.25">
      <c r="A452" t="s">
        <v>3429</v>
      </c>
      <c r="B452" s="4">
        <v>359</v>
      </c>
      <c r="C452">
        <v>5</v>
      </c>
      <c r="D452">
        <v>244.4</v>
      </c>
      <c r="E452" cm="1">
        <f t="array" ref="E452">_xlfn.IFS(B452&lt;=_xlfn.PERCENTILE.INC($B$2:$B$726,0.2),5, B452&lt;=_xlfn.PERCENTILE.INC($B$2:$B$726,0.4),4,B452&lt;=_xlfn.PERCENTILE.INC($B$2:$B$726,0.6),3,B452&lt;=_xlfn.PERCENTILE.INC($B$2:$B$726,0.8),4,TRUE,1)</f>
        <v>5</v>
      </c>
      <c r="F452" cm="1">
        <f t="array" ref="F452">_xlfn.IFS(C452&gt;=_xlfn.PERCENTILE.INC($C$2:$C$726,0.8),5,C452&gt;=_xlfn.PERCENTILE.INC($C$2:$C$726,0.6),4,C452&gt;=_xlfn.PERCENTILE.INC($C$2:$C$726,0.4),3,C452&gt;=_xlfn.PERCENTILE.INC($C$2:$C$726,0.2),2,TRUE,1)</f>
        <v>3</v>
      </c>
      <c r="G452" cm="1">
        <f t="array" ref="G452">_xlfn.IFS(D452&gt;=_xlfn.PERCENTILE.INC($D$2:$D$726,0.8),5,D452&gt;=_xlfn.PERCENTILE.INC($D$2:$D$726,0.6),4,D452&gt;=_xlfn.PERCENTILE.INC($D$2:$D$726,0.4),3,D452&gt;=_xlfn.PERCENTILE.INC($D$2:$D$726,0.2),2,TRUE,1)</f>
        <v>3</v>
      </c>
      <c r="H452">
        <f t="shared" si="7"/>
        <v>11</v>
      </c>
      <c r="I452" t="str" cm="1">
        <f t="array" ref="I452">_xlfn.IFS(H452&gt;=13,"Best Customers",H452&gt;=10,"Loyal Customers",H452&gt;=7,"Potential Loyal Customers",H452&gt;=4,"Need Attention",TRUE,"At Risk")</f>
        <v>Loyal Customers</v>
      </c>
    </row>
    <row r="453" spans="1:9" x14ac:dyDescent="0.25">
      <c r="A453" t="s">
        <v>576</v>
      </c>
      <c r="B453" s="4">
        <v>421</v>
      </c>
      <c r="C453">
        <v>6</v>
      </c>
      <c r="D453">
        <v>188.6</v>
      </c>
      <c r="E453" cm="1">
        <f t="array" ref="E453">_xlfn.IFS(B453&lt;=_xlfn.PERCENTILE.INC($B$2:$B$726,0.2),5, B453&lt;=_xlfn.PERCENTILE.INC($B$2:$B$726,0.4),4,B453&lt;=_xlfn.PERCENTILE.INC($B$2:$B$726,0.6),3,B453&lt;=_xlfn.PERCENTILE.INC($B$2:$B$726,0.8),4,TRUE,1)</f>
        <v>4</v>
      </c>
      <c r="F453" cm="1">
        <f t="array" ref="F453">_xlfn.IFS(C453&gt;=_xlfn.PERCENTILE.INC($C$2:$C$726,0.8),5,C453&gt;=_xlfn.PERCENTILE.INC($C$2:$C$726,0.6),4,C453&gt;=_xlfn.PERCENTILE.INC($C$2:$C$726,0.4),3,C453&gt;=_xlfn.PERCENTILE.INC($C$2:$C$726,0.2),2,TRUE,1)</f>
        <v>4</v>
      </c>
      <c r="G453" cm="1">
        <f t="array" ref="G453">_xlfn.IFS(D453&gt;=_xlfn.PERCENTILE.INC($D$2:$D$726,0.8),5,D453&gt;=_xlfn.PERCENTILE.INC($D$2:$D$726,0.6),4,D453&gt;=_xlfn.PERCENTILE.INC($D$2:$D$726,0.4),3,D453&gt;=_xlfn.PERCENTILE.INC($D$2:$D$726,0.2),2,TRUE,1)</f>
        <v>2</v>
      </c>
      <c r="H453">
        <f t="shared" si="7"/>
        <v>10</v>
      </c>
      <c r="I453" t="str" cm="1">
        <f t="array" ref="I453">_xlfn.IFS(H453&gt;=13,"Best Customers",H453&gt;=10,"Loyal Customers",H453&gt;=7,"Potential Loyal Customers",H453&gt;=4,"Need Attention",TRUE,"At Risk")</f>
        <v>Loyal Customers</v>
      </c>
    </row>
    <row r="454" spans="1:9" x14ac:dyDescent="0.25">
      <c r="A454" t="s">
        <v>1000</v>
      </c>
      <c r="B454" s="4">
        <v>360</v>
      </c>
      <c r="C454">
        <v>8</v>
      </c>
      <c r="D454">
        <v>242.90000000000003</v>
      </c>
      <c r="E454" cm="1">
        <f t="array" ref="E454">_xlfn.IFS(B454&lt;=_xlfn.PERCENTILE.INC($B$2:$B$726,0.2),5, B454&lt;=_xlfn.PERCENTILE.INC($B$2:$B$726,0.4),4,B454&lt;=_xlfn.PERCENTILE.INC($B$2:$B$726,0.6),3,B454&lt;=_xlfn.PERCENTILE.INC($B$2:$B$726,0.8),4,TRUE,1)</f>
        <v>5</v>
      </c>
      <c r="F454" cm="1">
        <f t="array" ref="F454">_xlfn.IFS(C454&gt;=_xlfn.PERCENTILE.INC($C$2:$C$726,0.8),5,C454&gt;=_xlfn.PERCENTILE.INC($C$2:$C$726,0.6),4,C454&gt;=_xlfn.PERCENTILE.INC($C$2:$C$726,0.4),3,C454&gt;=_xlfn.PERCENTILE.INC($C$2:$C$726,0.2),2,TRUE,1)</f>
        <v>5</v>
      </c>
      <c r="G454" cm="1">
        <f t="array" ref="G454">_xlfn.IFS(D454&gt;=_xlfn.PERCENTILE.INC($D$2:$D$726,0.8),5,D454&gt;=_xlfn.PERCENTILE.INC($D$2:$D$726,0.6),4,D454&gt;=_xlfn.PERCENTILE.INC($D$2:$D$726,0.4),3,D454&gt;=_xlfn.PERCENTILE.INC($D$2:$D$726,0.2),2,TRUE,1)</f>
        <v>3</v>
      </c>
      <c r="H454">
        <f t="shared" si="7"/>
        <v>13</v>
      </c>
      <c r="I454" t="str" cm="1">
        <f t="array" ref="I454">_xlfn.IFS(H454&gt;=13,"Best Customers",H454&gt;=10,"Loyal Customers",H454&gt;=7,"Potential Loyal Customers",H454&gt;=4,"Need Attention",TRUE,"At Risk")</f>
        <v>Best Customers</v>
      </c>
    </row>
    <row r="455" spans="1:9" x14ac:dyDescent="0.25">
      <c r="A455" t="s">
        <v>1330</v>
      </c>
      <c r="B455" s="4">
        <v>624</v>
      </c>
      <c r="C455">
        <v>5</v>
      </c>
      <c r="D455">
        <v>277.60000000000002</v>
      </c>
      <c r="E455" cm="1">
        <f t="array" ref="E455">_xlfn.IFS(B455&lt;=_xlfn.PERCENTILE.INC($B$2:$B$726,0.2),5, B455&lt;=_xlfn.PERCENTILE.INC($B$2:$B$726,0.4),4,B455&lt;=_xlfn.PERCENTILE.INC($B$2:$B$726,0.6),3,B455&lt;=_xlfn.PERCENTILE.INC($B$2:$B$726,0.8),4,TRUE,1)</f>
        <v>4</v>
      </c>
      <c r="F455" cm="1">
        <f t="array" ref="F455">_xlfn.IFS(C455&gt;=_xlfn.PERCENTILE.INC($C$2:$C$726,0.8),5,C455&gt;=_xlfn.PERCENTILE.INC($C$2:$C$726,0.6),4,C455&gt;=_xlfn.PERCENTILE.INC($C$2:$C$726,0.4),3,C455&gt;=_xlfn.PERCENTILE.INC($C$2:$C$726,0.2),2,TRUE,1)</f>
        <v>3</v>
      </c>
      <c r="G455" cm="1">
        <f t="array" ref="G455">_xlfn.IFS(D455&gt;=_xlfn.PERCENTILE.INC($D$2:$D$726,0.8),5,D455&gt;=_xlfn.PERCENTILE.INC($D$2:$D$726,0.6),4,D455&gt;=_xlfn.PERCENTILE.INC($D$2:$D$726,0.4),3,D455&gt;=_xlfn.PERCENTILE.INC($D$2:$D$726,0.2),2,TRUE,1)</f>
        <v>3</v>
      </c>
      <c r="H455">
        <f t="shared" si="7"/>
        <v>10</v>
      </c>
      <c r="I455" t="str" cm="1">
        <f t="array" ref="I455">_xlfn.IFS(H455&gt;=13,"Best Customers",H455&gt;=10,"Loyal Customers",H455&gt;=7,"Potential Loyal Customers",H455&gt;=4,"Need Attention",TRUE,"At Risk")</f>
        <v>Loyal Customers</v>
      </c>
    </row>
    <row r="456" spans="1:9" x14ac:dyDescent="0.25">
      <c r="A456" t="s">
        <v>2840</v>
      </c>
      <c r="B456" s="4">
        <v>547</v>
      </c>
      <c r="C456">
        <v>8</v>
      </c>
      <c r="D456">
        <v>244.20000000000002</v>
      </c>
      <c r="E456" cm="1">
        <f t="array" ref="E456">_xlfn.IFS(B456&lt;=_xlfn.PERCENTILE.INC($B$2:$B$726,0.2),5, B456&lt;=_xlfn.PERCENTILE.INC($B$2:$B$726,0.4),4,B456&lt;=_xlfn.PERCENTILE.INC($B$2:$B$726,0.6),3,B456&lt;=_xlfn.PERCENTILE.INC($B$2:$B$726,0.8),4,TRUE,1)</f>
        <v>3</v>
      </c>
      <c r="F456" cm="1">
        <f t="array" ref="F456">_xlfn.IFS(C456&gt;=_xlfn.PERCENTILE.INC($C$2:$C$726,0.8),5,C456&gt;=_xlfn.PERCENTILE.INC($C$2:$C$726,0.6),4,C456&gt;=_xlfn.PERCENTILE.INC($C$2:$C$726,0.4),3,C456&gt;=_xlfn.PERCENTILE.INC($C$2:$C$726,0.2),2,TRUE,1)</f>
        <v>5</v>
      </c>
      <c r="G456" cm="1">
        <f t="array" ref="G456">_xlfn.IFS(D456&gt;=_xlfn.PERCENTILE.INC($D$2:$D$726,0.8),5,D456&gt;=_xlfn.PERCENTILE.INC($D$2:$D$726,0.6),4,D456&gt;=_xlfn.PERCENTILE.INC($D$2:$D$726,0.4),3,D456&gt;=_xlfn.PERCENTILE.INC($D$2:$D$726,0.2),2,TRUE,1)</f>
        <v>3</v>
      </c>
      <c r="H456">
        <f t="shared" si="7"/>
        <v>11</v>
      </c>
      <c r="I456" t="str" cm="1">
        <f t="array" ref="I456">_xlfn.IFS(H456&gt;=13,"Best Customers",H456&gt;=10,"Loyal Customers",H456&gt;=7,"Potential Loyal Customers",H456&gt;=4,"Need Attention",TRUE,"At Risk")</f>
        <v>Loyal Customers</v>
      </c>
    </row>
    <row r="457" spans="1:9" x14ac:dyDescent="0.25">
      <c r="A457" t="s">
        <v>3258</v>
      </c>
      <c r="B457" s="4">
        <v>770</v>
      </c>
      <c r="C457">
        <v>6</v>
      </c>
      <c r="D457">
        <v>231.2</v>
      </c>
      <c r="E457" cm="1">
        <f t="array" ref="E457">_xlfn.IFS(B457&lt;=_xlfn.PERCENTILE.INC($B$2:$B$726,0.2),5, B457&lt;=_xlfn.PERCENTILE.INC($B$2:$B$726,0.4),4,B457&lt;=_xlfn.PERCENTILE.INC($B$2:$B$726,0.6),3,B457&lt;=_xlfn.PERCENTILE.INC($B$2:$B$726,0.8),4,TRUE,1)</f>
        <v>1</v>
      </c>
      <c r="F457" cm="1">
        <f t="array" ref="F457">_xlfn.IFS(C457&gt;=_xlfn.PERCENTILE.INC($C$2:$C$726,0.8),5,C457&gt;=_xlfn.PERCENTILE.INC($C$2:$C$726,0.6),4,C457&gt;=_xlfn.PERCENTILE.INC($C$2:$C$726,0.4),3,C457&gt;=_xlfn.PERCENTILE.INC($C$2:$C$726,0.2),2,TRUE,1)</f>
        <v>4</v>
      </c>
      <c r="G457" cm="1">
        <f t="array" ref="G457">_xlfn.IFS(D457&gt;=_xlfn.PERCENTILE.INC($D$2:$D$726,0.8),5,D457&gt;=_xlfn.PERCENTILE.INC($D$2:$D$726,0.6),4,D457&gt;=_xlfn.PERCENTILE.INC($D$2:$D$726,0.4),3,D457&gt;=_xlfn.PERCENTILE.INC($D$2:$D$726,0.2),2,TRUE,1)</f>
        <v>2</v>
      </c>
      <c r="H457">
        <f t="shared" si="7"/>
        <v>7</v>
      </c>
      <c r="I457" t="str" cm="1">
        <f t="array" ref="I457">_xlfn.IFS(H457&gt;=13,"Best Customers",H457&gt;=10,"Loyal Customers",H457&gt;=7,"Potential Loyal Customers",H457&gt;=4,"Need Attention",TRUE,"At Risk")</f>
        <v>Potential Loyal Customers</v>
      </c>
    </row>
    <row r="458" spans="1:9" x14ac:dyDescent="0.25">
      <c r="A458" t="s">
        <v>2257</v>
      </c>
      <c r="B458" s="4">
        <v>707</v>
      </c>
      <c r="C458">
        <v>5</v>
      </c>
      <c r="D458">
        <v>268.89999999999998</v>
      </c>
      <c r="E458" cm="1">
        <f t="array" ref="E458">_xlfn.IFS(B458&lt;=_xlfn.PERCENTILE.INC($B$2:$B$726,0.2),5, B458&lt;=_xlfn.PERCENTILE.INC($B$2:$B$726,0.4),4,B458&lt;=_xlfn.PERCENTILE.INC($B$2:$B$726,0.6),3,B458&lt;=_xlfn.PERCENTILE.INC($B$2:$B$726,0.8),4,TRUE,1)</f>
        <v>4</v>
      </c>
      <c r="F458" cm="1">
        <f t="array" ref="F458">_xlfn.IFS(C458&gt;=_xlfn.PERCENTILE.INC($C$2:$C$726,0.8),5,C458&gt;=_xlfn.PERCENTILE.INC($C$2:$C$726,0.6),4,C458&gt;=_xlfn.PERCENTILE.INC($C$2:$C$726,0.4),3,C458&gt;=_xlfn.PERCENTILE.INC($C$2:$C$726,0.2),2,TRUE,1)</f>
        <v>3</v>
      </c>
      <c r="G458" cm="1">
        <f t="array" ref="G458">_xlfn.IFS(D458&gt;=_xlfn.PERCENTILE.INC($D$2:$D$726,0.8),5,D458&gt;=_xlfn.PERCENTILE.INC($D$2:$D$726,0.6),4,D458&gt;=_xlfn.PERCENTILE.INC($D$2:$D$726,0.4),3,D458&gt;=_xlfn.PERCENTILE.INC($D$2:$D$726,0.2),2,TRUE,1)</f>
        <v>3</v>
      </c>
      <c r="H458">
        <f t="shared" si="7"/>
        <v>10</v>
      </c>
      <c r="I458" t="str" cm="1">
        <f t="array" ref="I458">_xlfn.IFS(H458&gt;=13,"Best Customers",H458&gt;=10,"Loyal Customers",H458&gt;=7,"Potential Loyal Customers",H458&gt;=4,"Need Attention",TRUE,"At Risk")</f>
        <v>Loyal Customers</v>
      </c>
    </row>
    <row r="459" spans="1:9" x14ac:dyDescent="0.25">
      <c r="A459" t="s">
        <v>3175</v>
      </c>
      <c r="B459" s="4">
        <v>569</v>
      </c>
      <c r="C459">
        <v>8</v>
      </c>
      <c r="D459">
        <v>380.2</v>
      </c>
      <c r="E459" cm="1">
        <f t="array" ref="E459">_xlfn.IFS(B459&lt;=_xlfn.PERCENTILE.INC($B$2:$B$726,0.2),5, B459&lt;=_xlfn.PERCENTILE.INC($B$2:$B$726,0.4),4,B459&lt;=_xlfn.PERCENTILE.INC($B$2:$B$726,0.6),3,B459&lt;=_xlfn.PERCENTILE.INC($B$2:$B$726,0.8),4,TRUE,1)</f>
        <v>3</v>
      </c>
      <c r="F459" cm="1">
        <f t="array" ref="F459">_xlfn.IFS(C459&gt;=_xlfn.PERCENTILE.INC($C$2:$C$726,0.8),5,C459&gt;=_xlfn.PERCENTILE.INC($C$2:$C$726,0.6),4,C459&gt;=_xlfn.PERCENTILE.INC($C$2:$C$726,0.4),3,C459&gt;=_xlfn.PERCENTILE.INC($C$2:$C$726,0.2),2,TRUE,1)</f>
        <v>5</v>
      </c>
      <c r="G459" cm="1">
        <f t="array" ref="G459">_xlfn.IFS(D459&gt;=_xlfn.PERCENTILE.INC($D$2:$D$726,0.8),5,D459&gt;=_xlfn.PERCENTILE.INC($D$2:$D$726,0.6),4,D459&gt;=_xlfn.PERCENTILE.INC($D$2:$D$726,0.4),3,D459&gt;=_xlfn.PERCENTILE.INC($D$2:$D$726,0.2),2,TRUE,1)</f>
        <v>4</v>
      </c>
      <c r="H459">
        <f t="shared" si="7"/>
        <v>12</v>
      </c>
      <c r="I459" t="str" cm="1">
        <f t="array" ref="I459">_xlfn.IFS(H459&gt;=13,"Best Customers",H459&gt;=10,"Loyal Customers",H459&gt;=7,"Potential Loyal Customers",H459&gt;=4,"Need Attention",TRUE,"At Risk")</f>
        <v>Loyal Customers</v>
      </c>
    </row>
    <row r="460" spans="1:9" x14ac:dyDescent="0.25">
      <c r="A460" t="s">
        <v>974</v>
      </c>
      <c r="B460" s="4">
        <v>633</v>
      </c>
      <c r="C460">
        <v>4</v>
      </c>
      <c r="D460">
        <v>253.3</v>
      </c>
      <c r="E460" cm="1">
        <f t="array" ref="E460">_xlfn.IFS(B460&lt;=_xlfn.PERCENTILE.INC($B$2:$B$726,0.2),5, B460&lt;=_xlfn.PERCENTILE.INC($B$2:$B$726,0.4),4,B460&lt;=_xlfn.PERCENTILE.INC($B$2:$B$726,0.6),3,B460&lt;=_xlfn.PERCENTILE.INC($B$2:$B$726,0.8),4,TRUE,1)</f>
        <v>4</v>
      </c>
      <c r="F460" cm="1">
        <f t="array" ref="F460">_xlfn.IFS(C460&gt;=_xlfn.PERCENTILE.INC($C$2:$C$726,0.8),5,C460&gt;=_xlfn.PERCENTILE.INC($C$2:$C$726,0.6),4,C460&gt;=_xlfn.PERCENTILE.INC($C$2:$C$726,0.4),3,C460&gt;=_xlfn.PERCENTILE.INC($C$2:$C$726,0.2),2,TRUE,1)</f>
        <v>2</v>
      </c>
      <c r="G460" cm="1">
        <f t="array" ref="G460">_xlfn.IFS(D460&gt;=_xlfn.PERCENTILE.INC($D$2:$D$726,0.8),5,D460&gt;=_xlfn.PERCENTILE.INC($D$2:$D$726,0.6),4,D460&gt;=_xlfn.PERCENTILE.INC($D$2:$D$726,0.4),3,D460&gt;=_xlfn.PERCENTILE.INC($D$2:$D$726,0.2),2,TRUE,1)</f>
        <v>3</v>
      </c>
      <c r="H460">
        <f t="shared" si="7"/>
        <v>9</v>
      </c>
      <c r="I460" t="str" cm="1">
        <f t="array" ref="I460">_xlfn.IFS(H460&gt;=13,"Best Customers",H460&gt;=10,"Loyal Customers",H460&gt;=7,"Potential Loyal Customers",H460&gt;=4,"Need Attention",TRUE,"At Risk")</f>
        <v>Potential Loyal Customers</v>
      </c>
    </row>
    <row r="461" spans="1:9" x14ac:dyDescent="0.25">
      <c r="A461" t="s">
        <v>3013</v>
      </c>
      <c r="B461" s="4">
        <v>554</v>
      </c>
      <c r="C461">
        <v>4</v>
      </c>
      <c r="D461">
        <v>292.39999999999998</v>
      </c>
      <c r="E461" cm="1">
        <f t="array" ref="E461">_xlfn.IFS(B461&lt;=_xlfn.PERCENTILE.INC($B$2:$B$726,0.2),5, B461&lt;=_xlfn.PERCENTILE.INC($B$2:$B$726,0.4),4,B461&lt;=_xlfn.PERCENTILE.INC($B$2:$B$726,0.6),3,B461&lt;=_xlfn.PERCENTILE.INC($B$2:$B$726,0.8),4,TRUE,1)</f>
        <v>3</v>
      </c>
      <c r="F461" cm="1">
        <f t="array" ref="F461">_xlfn.IFS(C461&gt;=_xlfn.PERCENTILE.INC($C$2:$C$726,0.8),5,C461&gt;=_xlfn.PERCENTILE.INC($C$2:$C$726,0.6),4,C461&gt;=_xlfn.PERCENTILE.INC($C$2:$C$726,0.4),3,C461&gt;=_xlfn.PERCENTILE.INC($C$2:$C$726,0.2),2,TRUE,1)</f>
        <v>2</v>
      </c>
      <c r="G461" cm="1">
        <f t="array" ref="G461">_xlfn.IFS(D461&gt;=_xlfn.PERCENTILE.INC($D$2:$D$726,0.8),5,D461&gt;=_xlfn.PERCENTILE.INC($D$2:$D$726,0.6),4,D461&gt;=_xlfn.PERCENTILE.INC($D$2:$D$726,0.4),3,D461&gt;=_xlfn.PERCENTILE.INC($D$2:$D$726,0.2),2,TRUE,1)</f>
        <v>3</v>
      </c>
      <c r="H461">
        <f t="shared" si="7"/>
        <v>8</v>
      </c>
      <c r="I461" t="str" cm="1">
        <f t="array" ref="I461">_xlfn.IFS(H461&gt;=13,"Best Customers",H461&gt;=10,"Loyal Customers",H461&gt;=7,"Potential Loyal Customers",H461&gt;=4,"Need Attention",TRUE,"At Risk")</f>
        <v>Potential Loyal Customers</v>
      </c>
    </row>
    <row r="462" spans="1:9" x14ac:dyDescent="0.25">
      <c r="A462" t="s">
        <v>2420</v>
      </c>
      <c r="B462" s="4">
        <v>534</v>
      </c>
      <c r="C462">
        <v>6</v>
      </c>
      <c r="D462">
        <v>289.10000000000002</v>
      </c>
      <c r="E462" cm="1">
        <f t="array" ref="E462">_xlfn.IFS(B462&lt;=_xlfn.PERCENTILE.INC($B$2:$B$726,0.2),5, B462&lt;=_xlfn.PERCENTILE.INC($B$2:$B$726,0.4),4,B462&lt;=_xlfn.PERCENTILE.INC($B$2:$B$726,0.6),3,B462&lt;=_xlfn.PERCENTILE.INC($B$2:$B$726,0.8),4,TRUE,1)</f>
        <v>3</v>
      </c>
      <c r="F462" cm="1">
        <f t="array" ref="F462">_xlfn.IFS(C462&gt;=_xlfn.PERCENTILE.INC($C$2:$C$726,0.8),5,C462&gt;=_xlfn.PERCENTILE.INC($C$2:$C$726,0.6),4,C462&gt;=_xlfn.PERCENTILE.INC($C$2:$C$726,0.4),3,C462&gt;=_xlfn.PERCENTILE.INC($C$2:$C$726,0.2),2,TRUE,1)</f>
        <v>4</v>
      </c>
      <c r="G462" cm="1">
        <f t="array" ref="G462">_xlfn.IFS(D462&gt;=_xlfn.PERCENTILE.INC($D$2:$D$726,0.8),5,D462&gt;=_xlfn.PERCENTILE.INC($D$2:$D$726,0.6),4,D462&gt;=_xlfn.PERCENTILE.INC($D$2:$D$726,0.4),3,D462&gt;=_xlfn.PERCENTILE.INC($D$2:$D$726,0.2),2,TRUE,1)</f>
        <v>3</v>
      </c>
      <c r="H462">
        <f t="shared" si="7"/>
        <v>10</v>
      </c>
      <c r="I462" t="str" cm="1">
        <f t="array" ref="I462">_xlfn.IFS(H462&gt;=13,"Best Customers",H462&gt;=10,"Loyal Customers",H462&gt;=7,"Potential Loyal Customers",H462&gt;=4,"Need Attention",TRUE,"At Risk")</f>
        <v>Loyal Customers</v>
      </c>
    </row>
    <row r="463" spans="1:9" x14ac:dyDescent="0.25">
      <c r="A463" t="s">
        <v>2885</v>
      </c>
      <c r="B463" s="4">
        <v>378</v>
      </c>
      <c r="C463">
        <v>6</v>
      </c>
      <c r="D463">
        <v>396.99999999999994</v>
      </c>
      <c r="E463" cm="1">
        <f t="array" ref="E463">_xlfn.IFS(B463&lt;=_xlfn.PERCENTILE.INC($B$2:$B$726,0.2),5, B463&lt;=_xlfn.PERCENTILE.INC($B$2:$B$726,0.4),4,B463&lt;=_xlfn.PERCENTILE.INC($B$2:$B$726,0.6),3,B463&lt;=_xlfn.PERCENTILE.INC($B$2:$B$726,0.8),4,TRUE,1)</f>
        <v>5</v>
      </c>
      <c r="F463" cm="1">
        <f t="array" ref="F463">_xlfn.IFS(C463&gt;=_xlfn.PERCENTILE.INC($C$2:$C$726,0.8),5,C463&gt;=_xlfn.PERCENTILE.INC($C$2:$C$726,0.6),4,C463&gt;=_xlfn.PERCENTILE.INC($C$2:$C$726,0.4),3,C463&gt;=_xlfn.PERCENTILE.INC($C$2:$C$726,0.2),2,TRUE,1)</f>
        <v>4</v>
      </c>
      <c r="G463" cm="1">
        <f t="array" ref="G463">_xlfn.IFS(D463&gt;=_xlfn.PERCENTILE.INC($D$2:$D$726,0.8),5,D463&gt;=_xlfn.PERCENTILE.INC($D$2:$D$726,0.6),4,D463&gt;=_xlfn.PERCENTILE.INC($D$2:$D$726,0.4),3,D463&gt;=_xlfn.PERCENTILE.INC($D$2:$D$726,0.2),2,TRUE,1)</f>
        <v>5</v>
      </c>
      <c r="H463">
        <f t="shared" si="7"/>
        <v>14</v>
      </c>
      <c r="I463" t="str" cm="1">
        <f t="array" ref="I463">_xlfn.IFS(H463&gt;=13,"Best Customers",H463&gt;=10,"Loyal Customers",H463&gt;=7,"Potential Loyal Customers",H463&gt;=4,"Need Attention",TRUE,"At Risk")</f>
        <v>Best Customers</v>
      </c>
    </row>
    <row r="464" spans="1:9" x14ac:dyDescent="0.25">
      <c r="A464" t="s">
        <v>2441</v>
      </c>
      <c r="B464" s="4">
        <v>1058</v>
      </c>
      <c r="C464">
        <v>5</v>
      </c>
      <c r="D464">
        <v>422.5</v>
      </c>
      <c r="E464" cm="1">
        <f t="array" ref="E464">_xlfn.IFS(B464&lt;=_xlfn.PERCENTILE.INC($B$2:$B$726,0.2),5, B464&lt;=_xlfn.PERCENTILE.INC($B$2:$B$726,0.4),4,B464&lt;=_xlfn.PERCENTILE.INC($B$2:$B$726,0.6),3,B464&lt;=_xlfn.PERCENTILE.INC($B$2:$B$726,0.8),4,TRUE,1)</f>
        <v>1</v>
      </c>
      <c r="F464" cm="1">
        <f t="array" ref="F464">_xlfn.IFS(C464&gt;=_xlfn.PERCENTILE.INC($C$2:$C$726,0.8),5,C464&gt;=_xlfn.PERCENTILE.INC($C$2:$C$726,0.6),4,C464&gt;=_xlfn.PERCENTILE.INC($C$2:$C$726,0.4),3,C464&gt;=_xlfn.PERCENTILE.INC($C$2:$C$726,0.2),2,TRUE,1)</f>
        <v>3</v>
      </c>
      <c r="G464" cm="1">
        <f t="array" ref="G464">_xlfn.IFS(D464&gt;=_xlfn.PERCENTILE.INC($D$2:$D$726,0.8),5,D464&gt;=_xlfn.PERCENTILE.INC($D$2:$D$726,0.6),4,D464&gt;=_xlfn.PERCENTILE.INC($D$2:$D$726,0.4),3,D464&gt;=_xlfn.PERCENTILE.INC($D$2:$D$726,0.2),2,TRUE,1)</f>
        <v>5</v>
      </c>
      <c r="H464">
        <f t="shared" si="7"/>
        <v>9</v>
      </c>
      <c r="I464" t="str" cm="1">
        <f t="array" ref="I464">_xlfn.IFS(H464&gt;=13,"Best Customers",H464&gt;=10,"Loyal Customers",H464&gt;=7,"Potential Loyal Customers",H464&gt;=4,"Need Attention",TRUE,"At Risk")</f>
        <v>Potential Loyal Customers</v>
      </c>
    </row>
    <row r="465" spans="1:9" x14ac:dyDescent="0.25">
      <c r="A465" t="s">
        <v>3287</v>
      </c>
      <c r="B465" s="4">
        <v>1249</v>
      </c>
      <c r="C465">
        <v>3</v>
      </c>
      <c r="D465">
        <v>157.69999999999999</v>
      </c>
      <c r="E465" cm="1">
        <f t="array" ref="E465">_xlfn.IFS(B465&lt;=_xlfn.PERCENTILE.INC($B$2:$B$726,0.2),5, B465&lt;=_xlfn.PERCENTILE.INC($B$2:$B$726,0.4),4,B465&lt;=_xlfn.PERCENTILE.INC($B$2:$B$726,0.6),3,B465&lt;=_xlfn.PERCENTILE.INC($B$2:$B$726,0.8),4,TRUE,1)</f>
        <v>1</v>
      </c>
      <c r="F465" cm="1">
        <f t="array" ref="F465">_xlfn.IFS(C465&gt;=_xlfn.PERCENTILE.INC($C$2:$C$726,0.8),5,C465&gt;=_xlfn.PERCENTILE.INC($C$2:$C$726,0.6),4,C465&gt;=_xlfn.PERCENTILE.INC($C$2:$C$726,0.4),3,C465&gt;=_xlfn.PERCENTILE.INC($C$2:$C$726,0.2),2,TRUE,1)</f>
        <v>1</v>
      </c>
      <c r="G465" cm="1">
        <f t="array" ref="G465">_xlfn.IFS(D465&gt;=_xlfn.PERCENTILE.INC($D$2:$D$726,0.8),5,D465&gt;=_xlfn.PERCENTILE.INC($D$2:$D$726,0.6),4,D465&gt;=_xlfn.PERCENTILE.INC($D$2:$D$726,0.4),3,D465&gt;=_xlfn.PERCENTILE.INC($D$2:$D$726,0.2),2,TRUE,1)</f>
        <v>2</v>
      </c>
      <c r="H465">
        <f t="shared" si="7"/>
        <v>4</v>
      </c>
      <c r="I465" t="str" cm="1">
        <f t="array" ref="I465">_xlfn.IFS(H465&gt;=13,"Best Customers",H465&gt;=10,"Loyal Customers",H465&gt;=7,"Potential Loyal Customers",H465&gt;=4,"Need Attention",TRUE,"At Risk")</f>
        <v>Need Attention</v>
      </c>
    </row>
    <row r="466" spans="1:9" x14ac:dyDescent="0.25">
      <c r="A466" t="s">
        <v>2539</v>
      </c>
      <c r="B466" s="4">
        <v>358</v>
      </c>
      <c r="C466">
        <v>8</v>
      </c>
      <c r="D466">
        <v>302.5</v>
      </c>
      <c r="E466" cm="1">
        <f t="array" ref="E466">_xlfn.IFS(B466&lt;=_xlfn.PERCENTILE.INC($B$2:$B$726,0.2),5, B466&lt;=_xlfn.PERCENTILE.INC($B$2:$B$726,0.4),4,B466&lt;=_xlfn.PERCENTILE.INC($B$2:$B$726,0.6),3,B466&lt;=_xlfn.PERCENTILE.INC($B$2:$B$726,0.8),4,TRUE,1)</f>
        <v>5</v>
      </c>
      <c r="F466" cm="1">
        <f t="array" ref="F466">_xlfn.IFS(C466&gt;=_xlfn.PERCENTILE.INC($C$2:$C$726,0.8),5,C466&gt;=_xlfn.PERCENTILE.INC($C$2:$C$726,0.6),4,C466&gt;=_xlfn.PERCENTILE.INC($C$2:$C$726,0.4),3,C466&gt;=_xlfn.PERCENTILE.INC($C$2:$C$726,0.2),2,TRUE,1)</f>
        <v>5</v>
      </c>
      <c r="G466" cm="1">
        <f t="array" ref="G466">_xlfn.IFS(D466&gt;=_xlfn.PERCENTILE.INC($D$2:$D$726,0.8),5,D466&gt;=_xlfn.PERCENTILE.INC($D$2:$D$726,0.6),4,D466&gt;=_xlfn.PERCENTILE.INC($D$2:$D$726,0.4),3,D466&gt;=_xlfn.PERCENTILE.INC($D$2:$D$726,0.2),2,TRUE,1)</f>
        <v>3</v>
      </c>
      <c r="H466">
        <f t="shared" si="7"/>
        <v>13</v>
      </c>
      <c r="I466" t="str" cm="1">
        <f t="array" ref="I466">_xlfn.IFS(H466&gt;=13,"Best Customers",H466&gt;=10,"Loyal Customers",H466&gt;=7,"Potential Loyal Customers",H466&gt;=4,"Need Attention",TRUE,"At Risk")</f>
        <v>Best Customers</v>
      </c>
    </row>
    <row r="467" spans="1:9" x14ac:dyDescent="0.25">
      <c r="A467" t="s">
        <v>1339</v>
      </c>
      <c r="B467" s="4">
        <v>494</v>
      </c>
      <c r="C467">
        <v>7</v>
      </c>
      <c r="D467">
        <v>294.7</v>
      </c>
      <c r="E467" cm="1">
        <f t="array" ref="E467">_xlfn.IFS(B467&lt;=_xlfn.PERCENTILE.INC($B$2:$B$726,0.2),5, B467&lt;=_xlfn.PERCENTILE.INC($B$2:$B$726,0.4),4,B467&lt;=_xlfn.PERCENTILE.INC($B$2:$B$726,0.6),3,B467&lt;=_xlfn.PERCENTILE.INC($B$2:$B$726,0.8),4,TRUE,1)</f>
        <v>3</v>
      </c>
      <c r="F467" cm="1">
        <f t="array" ref="F467">_xlfn.IFS(C467&gt;=_xlfn.PERCENTILE.INC($C$2:$C$726,0.8),5,C467&gt;=_xlfn.PERCENTILE.INC($C$2:$C$726,0.6),4,C467&gt;=_xlfn.PERCENTILE.INC($C$2:$C$726,0.4),3,C467&gt;=_xlfn.PERCENTILE.INC($C$2:$C$726,0.2),2,TRUE,1)</f>
        <v>4</v>
      </c>
      <c r="G467" cm="1">
        <f t="array" ref="G467">_xlfn.IFS(D467&gt;=_xlfn.PERCENTILE.INC($D$2:$D$726,0.8),5,D467&gt;=_xlfn.PERCENTILE.INC($D$2:$D$726,0.6),4,D467&gt;=_xlfn.PERCENTILE.INC($D$2:$D$726,0.4),3,D467&gt;=_xlfn.PERCENTILE.INC($D$2:$D$726,0.2),2,TRUE,1)</f>
        <v>3</v>
      </c>
      <c r="H467">
        <f t="shared" si="7"/>
        <v>10</v>
      </c>
      <c r="I467" t="str" cm="1">
        <f t="array" ref="I467">_xlfn.IFS(H467&gt;=13,"Best Customers",H467&gt;=10,"Loyal Customers",H467&gt;=7,"Potential Loyal Customers",H467&gt;=4,"Need Attention",TRUE,"At Risk")</f>
        <v>Loyal Customers</v>
      </c>
    </row>
    <row r="468" spans="1:9" x14ac:dyDescent="0.25">
      <c r="A468" t="s">
        <v>1426</v>
      </c>
      <c r="B468" s="4">
        <v>425</v>
      </c>
      <c r="C468">
        <v>6</v>
      </c>
      <c r="D468">
        <v>445.9</v>
      </c>
      <c r="E468" cm="1">
        <f t="array" ref="E468">_xlfn.IFS(B468&lt;=_xlfn.PERCENTILE.INC($B$2:$B$726,0.2),5, B468&lt;=_xlfn.PERCENTILE.INC($B$2:$B$726,0.4),4,B468&lt;=_xlfn.PERCENTILE.INC($B$2:$B$726,0.6),3,B468&lt;=_xlfn.PERCENTILE.INC($B$2:$B$726,0.8),4,TRUE,1)</f>
        <v>4</v>
      </c>
      <c r="F468" cm="1">
        <f t="array" ref="F468">_xlfn.IFS(C468&gt;=_xlfn.PERCENTILE.INC($C$2:$C$726,0.8),5,C468&gt;=_xlfn.PERCENTILE.INC($C$2:$C$726,0.6),4,C468&gt;=_xlfn.PERCENTILE.INC($C$2:$C$726,0.4),3,C468&gt;=_xlfn.PERCENTILE.INC($C$2:$C$726,0.2),2,TRUE,1)</f>
        <v>4</v>
      </c>
      <c r="G468" cm="1">
        <f t="array" ref="G468">_xlfn.IFS(D468&gt;=_xlfn.PERCENTILE.INC($D$2:$D$726,0.8),5,D468&gt;=_xlfn.PERCENTILE.INC($D$2:$D$726,0.6),4,D468&gt;=_xlfn.PERCENTILE.INC($D$2:$D$726,0.4),3,D468&gt;=_xlfn.PERCENTILE.INC($D$2:$D$726,0.2),2,TRUE,1)</f>
        <v>5</v>
      </c>
      <c r="H468">
        <f t="shared" si="7"/>
        <v>13</v>
      </c>
      <c r="I468" t="str" cm="1">
        <f t="array" ref="I468">_xlfn.IFS(H468&gt;=13,"Best Customers",H468&gt;=10,"Loyal Customers",H468&gt;=7,"Potential Loyal Customers",H468&gt;=4,"Need Attention",TRUE,"At Risk")</f>
        <v>Best Customers</v>
      </c>
    </row>
    <row r="469" spans="1:9" x14ac:dyDescent="0.25">
      <c r="A469" t="s">
        <v>1271</v>
      </c>
      <c r="B469" s="4">
        <v>1003</v>
      </c>
      <c r="C469">
        <v>5</v>
      </c>
      <c r="D469">
        <v>125</v>
      </c>
      <c r="E469" cm="1">
        <f t="array" ref="E469">_xlfn.IFS(B469&lt;=_xlfn.PERCENTILE.INC($B$2:$B$726,0.2),5, B469&lt;=_xlfn.PERCENTILE.INC($B$2:$B$726,0.4),4,B469&lt;=_xlfn.PERCENTILE.INC($B$2:$B$726,0.6),3,B469&lt;=_xlfn.PERCENTILE.INC($B$2:$B$726,0.8),4,TRUE,1)</f>
        <v>1</v>
      </c>
      <c r="F469" cm="1">
        <f t="array" ref="F469">_xlfn.IFS(C469&gt;=_xlfn.PERCENTILE.INC($C$2:$C$726,0.8),5,C469&gt;=_xlfn.PERCENTILE.INC($C$2:$C$726,0.6),4,C469&gt;=_xlfn.PERCENTILE.INC($C$2:$C$726,0.4),3,C469&gt;=_xlfn.PERCENTILE.INC($C$2:$C$726,0.2),2,TRUE,1)</f>
        <v>3</v>
      </c>
      <c r="G469" cm="1">
        <f t="array" ref="G469">_xlfn.IFS(D469&gt;=_xlfn.PERCENTILE.INC($D$2:$D$726,0.8),5,D469&gt;=_xlfn.PERCENTILE.INC($D$2:$D$726,0.6),4,D469&gt;=_xlfn.PERCENTILE.INC($D$2:$D$726,0.4),3,D469&gt;=_xlfn.PERCENTILE.INC($D$2:$D$726,0.2),2,TRUE,1)</f>
        <v>1</v>
      </c>
      <c r="H469">
        <f t="shared" si="7"/>
        <v>5</v>
      </c>
      <c r="I469" t="str" cm="1">
        <f t="array" ref="I469">_xlfn.IFS(H469&gt;=13,"Best Customers",H469&gt;=10,"Loyal Customers",H469&gt;=7,"Potential Loyal Customers",H469&gt;=4,"Need Attention",TRUE,"At Risk")</f>
        <v>Need Attention</v>
      </c>
    </row>
    <row r="470" spans="1:9" x14ac:dyDescent="0.25">
      <c r="A470" t="s">
        <v>2500</v>
      </c>
      <c r="B470" s="4">
        <v>407</v>
      </c>
      <c r="C470">
        <v>5</v>
      </c>
      <c r="D470">
        <v>391.00000000000006</v>
      </c>
      <c r="E470" cm="1">
        <f t="array" ref="E470">_xlfn.IFS(B470&lt;=_xlfn.PERCENTILE.INC($B$2:$B$726,0.2),5, B470&lt;=_xlfn.PERCENTILE.INC($B$2:$B$726,0.4),4,B470&lt;=_xlfn.PERCENTILE.INC($B$2:$B$726,0.6),3,B470&lt;=_xlfn.PERCENTILE.INC($B$2:$B$726,0.8),4,TRUE,1)</f>
        <v>4</v>
      </c>
      <c r="F470" cm="1">
        <f t="array" ref="F470">_xlfn.IFS(C470&gt;=_xlfn.PERCENTILE.INC($C$2:$C$726,0.8),5,C470&gt;=_xlfn.PERCENTILE.INC($C$2:$C$726,0.6),4,C470&gt;=_xlfn.PERCENTILE.INC($C$2:$C$726,0.4),3,C470&gt;=_xlfn.PERCENTILE.INC($C$2:$C$726,0.2),2,TRUE,1)</f>
        <v>3</v>
      </c>
      <c r="G470" cm="1">
        <f t="array" ref="G470">_xlfn.IFS(D470&gt;=_xlfn.PERCENTILE.INC($D$2:$D$726,0.8),5,D470&gt;=_xlfn.PERCENTILE.INC($D$2:$D$726,0.6),4,D470&gt;=_xlfn.PERCENTILE.INC($D$2:$D$726,0.4),3,D470&gt;=_xlfn.PERCENTILE.INC($D$2:$D$726,0.2),2,TRUE,1)</f>
        <v>4</v>
      </c>
      <c r="H470">
        <f t="shared" si="7"/>
        <v>11</v>
      </c>
      <c r="I470" t="str" cm="1">
        <f t="array" ref="I470">_xlfn.IFS(H470&gt;=13,"Best Customers",H470&gt;=10,"Loyal Customers",H470&gt;=7,"Potential Loyal Customers",H470&gt;=4,"Need Attention",TRUE,"At Risk")</f>
        <v>Loyal Customers</v>
      </c>
    </row>
    <row r="471" spans="1:9" x14ac:dyDescent="0.25">
      <c r="A471" t="s">
        <v>2024</v>
      </c>
      <c r="B471" s="4">
        <v>557</v>
      </c>
      <c r="C471">
        <v>5</v>
      </c>
      <c r="D471">
        <v>234.10000000000002</v>
      </c>
      <c r="E471" cm="1">
        <f t="array" ref="E471">_xlfn.IFS(B471&lt;=_xlfn.PERCENTILE.INC($B$2:$B$726,0.2),5, B471&lt;=_xlfn.PERCENTILE.INC($B$2:$B$726,0.4),4,B471&lt;=_xlfn.PERCENTILE.INC($B$2:$B$726,0.6),3,B471&lt;=_xlfn.PERCENTILE.INC($B$2:$B$726,0.8),4,TRUE,1)</f>
        <v>3</v>
      </c>
      <c r="F471" cm="1">
        <f t="array" ref="F471">_xlfn.IFS(C471&gt;=_xlfn.PERCENTILE.INC($C$2:$C$726,0.8),5,C471&gt;=_xlfn.PERCENTILE.INC($C$2:$C$726,0.6),4,C471&gt;=_xlfn.PERCENTILE.INC($C$2:$C$726,0.4),3,C471&gt;=_xlfn.PERCENTILE.INC($C$2:$C$726,0.2),2,TRUE,1)</f>
        <v>3</v>
      </c>
      <c r="G471" cm="1">
        <f t="array" ref="G471">_xlfn.IFS(D471&gt;=_xlfn.PERCENTILE.INC($D$2:$D$726,0.8),5,D471&gt;=_xlfn.PERCENTILE.INC($D$2:$D$726,0.6),4,D471&gt;=_xlfn.PERCENTILE.INC($D$2:$D$726,0.4),3,D471&gt;=_xlfn.PERCENTILE.INC($D$2:$D$726,0.2),2,TRUE,1)</f>
        <v>3</v>
      </c>
      <c r="H471">
        <f t="shared" si="7"/>
        <v>9</v>
      </c>
      <c r="I471" t="str" cm="1">
        <f t="array" ref="I471">_xlfn.IFS(H471&gt;=13,"Best Customers",H471&gt;=10,"Loyal Customers",H471&gt;=7,"Potential Loyal Customers",H471&gt;=4,"Need Attention",TRUE,"At Risk")</f>
        <v>Potential Loyal Customers</v>
      </c>
    </row>
    <row r="472" spans="1:9" x14ac:dyDescent="0.25">
      <c r="A472" t="s">
        <v>1773</v>
      </c>
      <c r="B472" s="4">
        <v>615</v>
      </c>
      <c r="C472">
        <v>5</v>
      </c>
      <c r="D472">
        <v>211.9</v>
      </c>
      <c r="E472" cm="1">
        <f t="array" ref="E472">_xlfn.IFS(B472&lt;=_xlfn.PERCENTILE.INC($B$2:$B$726,0.2),5, B472&lt;=_xlfn.PERCENTILE.INC($B$2:$B$726,0.4),4,B472&lt;=_xlfn.PERCENTILE.INC($B$2:$B$726,0.6),3,B472&lt;=_xlfn.PERCENTILE.INC($B$2:$B$726,0.8),4,TRUE,1)</f>
        <v>4</v>
      </c>
      <c r="F472" cm="1">
        <f t="array" ref="F472">_xlfn.IFS(C472&gt;=_xlfn.PERCENTILE.INC($C$2:$C$726,0.8),5,C472&gt;=_xlfn.PERCENTILE.INC($C$2:$C$726,0.6),4,C472&gt;=_xlfn.PERCENTILE.INC($C$2:$C$726,0.4),3,C472&gt;=_xlfn.PERCENTILE.INC($C$2:$C$726,0.2),2,TRUE,1)</f>
        <v>3</v>
      </c>
      <c r="G472" cm="1">
        <f t="array" ref="G472">_xlfn.IFS(D472&gt;=_xlfn.PERCENTILE.INC($D$2:$D$726,0.8),5,D472&gt;=_xlfn.PERCENTILE.INC($D$2:$D$726,0.6),4,D472&gt;=_xlfn.PERCENTILE.INC($D$2:$D$726,0.4),3,D472&gt;=_xlfn.PERCENTILE.INC($D$2:$D$726,0.2),2,TRUE,1)</f>
        <v>2</v>
      </c>
      <c r="H472">
        <f t="shared" si="7"/>
        <v>9</v>
      </c>
      <c r="I472" t="str" cm="1">
        <f t="array" ref="I472">_xlfn.IFS(H472&gt;=13,"Best Customers",H472&gt;=10,"Loyal Customers",H472&gt;=7,"Potential Loyal Customers",H472&gt;=4,"Need Attention",TRUE,"At Risk")</f>
        <v>Potential Loyal Customers</v>
      </c>
    </row>
    <row r="473" spans="1:9" x14ac:dyDescent="0.25">
      <c r="A473" t="s">
        <v>2056</v>
      </c>
      <c r="B473" s="4">
        <v>494</v>
      </c>
      <c r="C473">
        <v>6</v>
      </c>
      <c r="D473">
        <v>171.5</v>
      </c>
      <c r="E473" cm="1">
        <f t="array" ref="E473">_xlfn.IFS(B473&lt;=_xlfn.PERCENTILE.INC($B$2:$B$726,0.2),5, B473&lt;=_xlfn.PERCENTILE.INC($B$2:$B$726,0.4),4,B473&lt;=_xlfn.PERCENTILE.INC($B$2:$B$726,0.6),3,B473&lt;=_xlfn.PERCENTILE.INC($B$2:$B$726,0.8),4,TRUE,1)</f>
        <v>3</v>
      </c>
      <c r="F473" cm="1">
        <f t="array" ref="F473">_xlfn.IFS(C473&gt;=_xlfn.PERCENTILE.INC($C$2:$C$726,0.8),5,C473&gt;=_xlfn.PERCENTILE.INC($C$2:$C$726,0.6),4,C473&gt;=_xlfn.PERCENTILE.INC($C$2:$C$726,0.4),3,C473&gt;=_xlfn.PERCENTILE.INC($C$2:$C$726,0.2),2,TRUE,1)</f>
        <v>4</v>
      </c>
      <c r="G473" cm="1">
        <f t="array" ref="G473">_xlfn.IFS(D473&gt;=_xlfn.PERCENTILE.INC($D$2:$D$726,0.8),5,D473&gt;=_xlfn.PERCENTILE.INC($D$2:$D$726,0.6),4,D473&gt;=_xlfn.PERCENTILE.INC($D$2:$D$726,0.4),3,D473&gt;=_xlfn.PERCENTILE.INC($D$2:$D$726,0.2),2,TRUE,1)</f>
        <v>2</v>
      </c>
      <c r="H473">
        <f t="shared" si="7"/>
        <v>9</v>
      </c>
      <c r="I473" t="str" cm="1">
        <f t="array" ref="I473">_xlfn.IFS(H473&gt;=13,"Best Customers",H473&gt;=10,"Loyal Customers",H473&gt;=7,"Potential Loyal Customers",H473&gt;=4,"Need Attention",TRUE,"At Risk")</f>
        <v>Potential Loyal Customers</v>
      </c>
    </row>
    <row r="474" spans="1:9" x14ac:dyDescent="0.25">
      <c r="A474" t="s">
        <v>3270</v>
      </c>
      <c r="B474" s="4">
        <v>351</v>
      </c>
      <c r="C474">
        <v>5</v>
      </c>
      <c r="D474">
        <v>188</v>
      </c>
      <c r="E474" cm="1">
        <f t="array" ref="E474">_xlfn.IFS(B474&lt;=_xlfn.PERCENTILE.INC($B$2:$B$726,0.2),5, B474&lt;=_xlfn.PERCENTILE.INC($B$2:$B$726,0.4),4,B474&lt;=_xlfn.PERCENTILE.INC($B$2:$B$726,0.6),3,B474&lt;=_xlfn.PERCENTILE.INC($B$2:$B$726,0.8),4,TRUE,1)</f>
        <v>5</v>
      </c>
      <c r="F474" cm="1">
        <f t="array" ref="F474">_xlfn.IFS(C474&gt;=_xlfn.PERCENTILE.INC($C$2:$C$726,0.8),5,C474&gt;=_xlfn.PERCENTILE.INC($C$2:$C$726,0.6),4,C474&gt;=_xlfn.PERCENTILE.INC($C$2:$C$726,0.4),3,C474&gt;=_xlfn.PERCENTILE.INC($C$2:$C$726,0.2),2,TRUE,1)</f>
        <v>3</v>
      </c>
      <c r="G474" cm="1">
        <f t="array" ref="G474">_xlfn.IFS(D474&gt;=_xlfn.PERCENTILE.INC($D$2:$D$726,0.8),5,D474&gt;=_xlfn.PERCENTILE.INC($D$2:$D$726,0.6),4,D474&gt;=_xlfn.PERCENTILE.INC($D$2:$D$726,0.4),3,D474&gt;=_xlfn.PERCENTILE.INC($D$2:$D$726,0.2),2,TRUE,1)</f>
        <v>2</v>
      </c>
      <c r="H474">
        <f t="shared" si="7"/>
        <v>10</v>
      </c>
      <c r="I474" t="str" cm="1">
        <f t="array" ref="I474">_xlfn.IFS(H474&gt;=13,"Best Customers",H474&gt;=10,"Loyal Customers",H474&gt;=7,"Potential Loyal Customers",H474&gt;=4,"Need Attention",TRUE,"At Risk")</f>
        <v>Loyal Customers</v>
      </c>
    </row>
    <row r="475" spans="1:9" x14ac:dyDescent="0.25">
      <c r="A475" t="s">
        <v>1278</v>
      </c>
      <c r="B475" s="4">
        <v>343</v>
      </c>
      <c r="C475">
        <v>6</v>
      </c>
      <c r="D475">
        <v>69.800000000000011</v>
      </c>
      <c r="E475" cm="1">
        <f t="array" ref="E475">_xlfn.IFS(B475&lt;=_xlfn.PERCENTILE.INC($B$2:$B$726,0.2),5, B475&lt;=_xlfn.PERCENTILE.INC($B$2:$B$726,0.4),4,B475&lt;=_xlfn.PERCENTILE.INC($B$2:$B$726,0.6),3,B475&lt;=_xlfn.PERCENTILE.INC($B$2:$B$726,0.8),4,TRUE,1)</f>
        <v>5</v>
      </c>
      <c r="F475" cm="1">
        <f t="array" ref="F475">_xlfn.IFS(C475&gt;=_xlfn.PERCENTILE.INC($C$2:$C$726,0.8),5,C475&gt;=_xlfn.PERCENTILE.INC($C$2:$C$726,0.6),4,C475&gt;=_xlfn.PERCENTILE.INC($C$2:$C$726,0.4),3,C475&gt;=_xlfn.PERCENTILE.INC($C$2:$C$726,0.2),2,TRUE,1)</f>
        <v>4</v>
      </c>
      <c r="G475" cm="1">
        <f t="array" ref="G475">_xlfn.IFS(D475&gt;=_xlfn.PERCENTILE.INC($D$2:$D$726,0.8),5,D475&gt;=_xlfn.PERCENTILE.INC($D$2:$D$726,0.6),4,D475&gt;=_xlfn.PERCENTILE.INC($D$2:$D$726,0.4),3,D475&gt;=_xlfn.PERCENTILE.INC($D$2:$D$726,0.2),2,TRUE,1)</f>
        <v>1</v>
      </c>
      <c r="H475">
        <f t="shared" si="7"/>
        <v>10</v>
      </c>
      <c r="I475" t="str" cm="1">
        <f t="array" ref="I475">_xlfn.IFS(H475&gt;=13,"Best Customers",H475&gt;=10,"Loyal Customers",H475&gt;=7,"Potential Loyal Customers",H475&gt;=4,"Need Attention",TRUE,"At Risk")</f>
        <v>Loyal Customers</v>
      </c>
    </row>
    <row r="476" spans="1:9" x14ac:dyDescent="0.25">
      <c r="A476" t="s">
        <v>2939</v>
      </c>
      <c r="B476" s="4">
        <v>1063</v>
      </c>
      <c r="C476">
        <v>4</v>
      </c>
      <c r="D476">
        <v>117.19999999999999</v>
      </c>
      <c r="E476" cm="1">
        <f t="array" ref="E476">_xlfn.IFS(B476&lt;=_xlfn.PERCENTILE.INC($B$2:$B$726,0.2),5, B476&lt;=_xlfn.PERCENTILE.INC($B$2:$B$726,0.4),4,B476&lt;=_xlfn.PERCENTILE.INC($B$2:$B$726,0.6),3,B476&lt;=_xlfn.PERCENTILE.INC($B$2:$B$726,0.8),4,TRUE,1)</f>
        <v>1</v>
      </c>
      <c r="F476" cm="1">
        <f t="array" ref="F476">_xlfn.IFS(C476&gt;=_xlfn.PERCENTILE.INC($C$2:$C$726,0.8),5,C476&gt;=_xlfn.PERCENTILE.INC($C$2:$C$726,0.6),4,C476&gt;=_xlfn.PERCENTILE.INC($C$2:$C$726,0.4),3,C476&gt;=_xlfn.PERCENTILE.INC($C$2:$C$726,0.2),2,TRUE,1)</f>
        <v>2</v>
      </c>
      <c r="G476" cm="1">
        <f t="array" ref="G476">_xlfn.IFS(D476&gt;=_xlfn.PERCENTILE.INC($D$2:$D$726,0.8),5,D476&gt;=_xlfn.PERCENTILE.INC($D$2:$D$726,0.6),4,D476&gt;=_xlfn.PERCENTILE.INC($D$2:$D$726,0.4),3,D476&gt;=_xlfn.PERCENTILE.INC($D$2:$D$726,0.2),2,TRUE,1)</f>
        <v>1</v>
      </c>
      <c r="H476">
        <f t="shared" si="7"/>
        <v>4</v>
      </c>
      <c r="I476" t="str" cm="1">
        <f t="array" ref="I476">_xlfn.IFS(H476&gt;=13,"Best Customers",H476&gt;=10,"Loyal Customers",H476&gt;=7,"Potential Loyal Customers",H476&gt;=4,"Need Attention",TRUE,"At Risk")</f>
        <v>Need Attention</v>
      </c>
    </row>
    <row r="477" spans="1:9" x14ac:dyDescent="0.25">
      <c r="A477" t="s">
        <v>1321</v>
      </c>
      <c r="B477" s="4">
        <v>703</v>
      </c>
      <c r="C477">
        <v>5</v>
      </c>
      <c r="D477">
        <v>354.1</v>
      </c>
      <c r="E477" cm="1">
        <f t="array" ref="E477">_xlfn.IFS(B477&lt;=_xlfn.PERCENTILE.INC($B$2:$B$726,0.2),5, B477&lt;=_xlfn.PERCENTILE.INC($B$2:$B$726,0.4),4,B477&lt;=_xlfn.PERCENTILE.INC($B$2:$B$726,0.6),3,B477&lt;=_xlfn.PERCENTILE.INC($B$2:$B$726,0.8),4,TRUE,1)</f>
        <v>4</v>
      </c>
      <c r="F477" cm="1">
        <f t="array" ref="F477">_xlfn.IFS(C477&gt;=_xlfn.PERCENTILE.INC($C$2:$C$726,0.8),5,C477&gt;=_xlfn.PERCENTILE.INC($C$2:$C$726,0.6),4,C477&gt;=_xlfn.PERCENTILE.INC($C$2:$C$726,0.4),3,C477&gt;=_xlfn.PERCENTILE.INC($C$2:$C$726,0.2),2,TRUE,1)</f>
        <v>3</v>
      </c>
      <c r="G477" cm="1">
        <f t="array" ref="G477">_xlfn.IFS(D477&gt;=_xlfn.PERCENTILE.INC($D$2:$D$726,0.8),5,D477&gt;=_xlfn.PERCENTILE.INC($D$2:$D$726,0.6),4,D477&gt;=_xlfn.PERCENTILE.INC($D$2:$D$726,0.4),3,D477&gt;=_xlfn.PERCENTILE.INC($D$2:$D$726,0.2),2,TRUE,1)</f>
        <v>4</v>
      </c>
      <c r="H477">
        <f t="shared" si="7"/>
        <v>11</v>
      </c>
      <c r="I477" t="str" cm="1">
        <f t="array" ref="I477">_xlfn.IFS(H477&gt;=13,"Best Customers",H477&gt;=10,"Loyal Customers",H477&gt;=7,"Potential Loyal Customers",H477&gt;=4,"Need Attention",TRUE,"At Risk")</f>
        <v>Loyal Customers</v>
      </c>
    </row>
    <row r="478" spans="1:9" x14ac:dyDescent="0.25">
      <c r="A478" t="s">
        <v>2266</v>
      </c>
      <c r="B478" s="4">
        <v>447</v>
      </c>
      <c r="C478">
        <v>4</v>
      </c>
      <c r="D478">
        <v>288.89999999999998</v>
      </c>
      <c r="E478" cm="1">
        <f t="array" ref="E478">_xlfn.IFS(B478&lt;=_xlfn.PERCENTILE.INC($B$2:$B$726,0.2),5, B478&lt;=_xlfn.PERCENTILE.INC($B$2:$B$726,0.4),4,B478&lt;=_xlfn.PERCENTILE.INC($B$2:$B$726,0.6),3,B478&lt;=_xlfn.PERCENTILE.INC($B$2:$B$726,0.8),4,TRUE,1)</f>
        <v>4</v>
      </c>
      <c r="F478" cm="1">
        <f t="array" ref="F478">_xlfn.IFS(C478&gt;=_xlfn.PERCENTILE.INC($C$2:$C$726,0.8),5,C478&gt;=_xlfn.PERCENTILE.INC($C$2:$C$726,0.6),4,C478&gt;=_xlfn.PERCENTILE.INC($C$2:$C$726,0.4),3,C478&gt;=_xlfn.PERCENTILE.INC($C$2:$C$726,0.2),2,TRUE,1)</f>
        <v>2</v>
      </c>
      <c r="G478" cm="1">
        <f t="array" ref="G478">_xlfn.IFS(D478&gt;=_xlfn.PERCENTILE.INC($D$2:$D$726,0.8),5,D478&gt;=_xlfn.PERCENTILE.INC($D$2:$D$726,0.6),4,D478&gt;=_xlfn.PERCENTILE.INC($D$2:$D$726,0.4),3,D478&gt;=_xlfn.PERCENTILE.INC($D$2:$D$726,0.2),2,TRUE,1)</f>
        <v>3</v>
      </c>
      <c r="H478">
        <f t="shared" si="7"/>
        <v>9</v>
      </c>
      <c r="I478" t="str" cm="1">
        <f t="array" ref="I478">_xlfn.IFS(H478&gt;=13,"Best Customers",H478&gt;=10,"Loyal Customers",H478&gt;=7,"Potential Loyal Customers",H478&gt;=4,"Need Attention",TRUE,"At Risk")</f>
        <v>Potential Loyal Customers</v>
      </c>
    </row>
    <row r="479" spans="1:9" x14ac:dyDescent="0.25">
      <c r="A479" t="s">
        <v>1723</v>
      </c>
      <c r="B479" s="4">
        <v>514</v>
      </c>
      <c r="C479">
        <v>10</v>
      </c>
      <c r="D479">
        <v>305.59999999999997</v>
      </c>
      <c r="E479" cm="1">
        <f t="array" ref="E479">_xlfn.IFS(B479&lt;=_xlfn.PERCENTILE.INC($B$2:$B$726,0.2),5, B479&lt;=_xlfn.PERCENTILE.INC($B$2:$B$726,0.4),4,B479&lt;=_xlfn.PERCENTILE.INC($B$2:$B$726,0.6),3,B479&lt;=_xlfn.PERCENTILE.INC($B$2:$B$726,0.8),4,TRUE,1)</f>
        <v>3</v>
      </c>
      <c r="F479" cm="1">
        <f t="array" ref="F479">_xlfn.IFS(C479&gt;=_xlfn.PERCENTILE.INC($C$2:$C$726,0.8),5,C479&gt;=_xlfn.PERCENTILE.INC($C$2:$C$726,0.6),4,C479&gt;=_xlfn.PERCENTILE.INC($C$2:$C$726,0.4),3,C479&gt;=_xlfn.PERCENTILE.INC($C$2:$C$726,0.2),2,TRUE,1)</f>
        <v>5</v>
      </c>
      <c r="G479" cm="1">
        <f t="array" ref="G479">_xlfn.IFS(D479&gt;=_xlfn.PERCENTILE.INC($D$2:$D$726,0.8),5,D479&gt;=_xlfn.PERCENTILE.INC($D$2:$D$726,0.6),4,D479&gt;=_xlfn.PERCENTILE.INC($D$2:$D$726,0.4),3,D479&gt;=_xlfn.PERCENTILE.INC($D$2:$D$726,0.2),2,TRUE,1)</f>
        <v>3</v>
      </c>
      <c r="H479">
        <f t="shared" si="7"/>
        <v>11</v>
      </c>
      <c r="I479" t="str" cm="1">
        <f t="array" ref="I479">_xlfn.IFS(H479&gt;=13,"Best Customers",H479&gt;=10,"Loyal Customers",H479&gt;=7,"Potential Loyal Customers",H479&gt;=4,"Need Attention",TRUE,"At Risk")</f>
        <v>Loyal Customers</v>
      </c>
    </row>
    <row r="480" spans="1:9" x14ac:dyDescent="0.25">
      <c r="A480" t="s">
        <v>2945</v>
      </c>
      <c r="B480" s="4">
        <v>351</v>
      </c>
      <c r="C480">
        <v>6</v>
      </c>
      <c r="D480">
        <v>314.09999999999997</v>
      </c>
      <c r="E480" cm="1">
        <f t="array" ref="E480">_xlfn.IFS(B480&lt;=_xlfn.PERCENTILE.INC($B$2:$B$726,0.2),5, B480&lt;=_xlfn.PERCENTILE.INC($B$2:$B$726,0.4),4,B480&lt;=_xlfn.PERCENTILE.INC($B$2:$B$726,0.6),3,B480&lt;=_xlfn.PERCENTILE.INC($B$2:$B$726,0.8),4,TRUE,1)</f>
        <v>5</v>
      </c>
      <c r="F480" cm="1">
        <f t="array" ref="F480">_xlfn.IFS(C480&gt;=_xlfn.PERCENTILE.INC($C$2:$C$726,0.8),5,C480&gt;=_xlfn.PERCENTILE.INC($C$2:$C$726,0.6),4,C480&gt;=_xlfn.PERCENTILE.INC($C$2:$C$726,0.4),3,C480&gt;=_xlfn.PERCENTILE.INC($C$2:$C$726,0.2),2,TRUE,1)</f>
        <v>4</v>
      </c>
      <c r="G480" cm="1">
        <f t="array" ref="G480">_xlfn.IFS(D480&gt;=_xlfn.PERCENTILE.INC($D$2:$D$726,0.8),5,D480&gt;=_xlfn.PERCENTILE.INC($D$2:$D$726,0.6),4,D480&gt;=_xlfn.PERCENTILE.INC($D$2:$D$726,0.4),3,D480&gt;=_xlfn.PERCENTILE.INC($D$2:$D$726,0.2),2,TRUE,1)</f>
        <v>3</v>
      </c>
      <c r="H480">
        <f t="shared" si="7"/>
        <v>12</v>
      </c>
      <c r="I480" t="str" cm="1">
        <f t="array" ref="I480">_xlfn.IFS(H480&gt;=13,"Best Customers",H480&gt;=10,"Loyal Customers",H480&gt;=7,"Potential Loyal Customers",H480&gt;=4,"Need Attention",TRUE,"At Risk")</f>
        <v>Loyal Customers</v>
      </c>
    </row>
    <row r="481" spans="1:9" x14ac:dyDescent="0.25">
      <c r="A481" t="s">
        <v>3075</v>
      </c>
      <c r="B481" s="4">
        <v>497</v>
      </c>
      <c r="C481">
        <v>4</v>
      </c>
      <c r="D481">
        <v>100.8</v>
      </c>
      <c r="E481" cm="1">
        <f t="array" ref="E481">_xlfn.IFS(B481&lt;=_xlfn.PERCENTILE.INC($B$2:$B$726,0.2),5, B481&lt;=_xlfn.PERCENTILE.INC($B$2:$B$726,0.4),4,B481&lt;=_xlfn.PERCENTILE.INC($B$2:$B$726,0.6),3,B481&lt;=_xlfn.PERCENTILE.INC($B$2:$B$726,0.8),4,TRUE,1)</f>
        <v>3</v>
      </c>
      <c r="F481" cm="1">
        <f t="array" ref="F481">_xlfn.IFS(C481&gt;=_xlfn.PERCENTILE.INC($C$2:$C$726,0.8),5,C481&gt;=_xlfn.PERCENTILE.INC($C$2:$C$726,0.6),4,C481&gt;=_xlfn.PERCENTILE.INC($C$2:$C$726,0.4),3,C481&gt;=_xlfn.PERCENTILE.INC($C$2:$C$726,0.2),2,TRUE,1)</f>
        <v>2</v>
      </c>
      <c r="G481" cm="1">
        <f t="array" ref="G481">_xlfn.IFS(D481&gt;=_xlfn.PERCENTILE.INC($D$2:$D$726,0.8),5,D481&gt;=_xlfn.PERCENTILE.INC($D$2:$D$726,0.6),4,D481&gt;=_xlfn.PERCENTILE.INC($D$2:$D$726,0.4),3,D481&gt;=_xlfn.PERCENTILE.INC($D$2:$D$726,0.2),2,TRUE,1)</f>
        <v>1</v>
      </c>
      <c r="H481">
        <f t="shared" si="7"/>
        <v>6</v>
      </c>
      <c r="I481" t="str" cm="1">
        <f t="array" ref="I481">_xlfn.IFS(H481&gt;=13,"Best Customers",H481&gt;=10,"Loyal Customers",H481&gt;=7,"Potential Loyal Customers",H481&gt;=4,"Need Attention",TRUE,"At Risk")</f>
        <v>Need Attention</v>
      </c>
    </row>
    <row r="482" spans="1:9" x14ac:dyDescent="0.25">
      <c r="A482" t="s">
        <v>2242</v>
      </c>
      <c r="B482" s="4">
        <v>379</v>
      </c>
      <c r="C482">
        <v>6</v>
      </c>
      <c r="D482">
        <v>330.90000000000003</v>
      </c>
      <c r="E482" cm="1">
        <f t="array" ref="E482">_xlfn.IFS(B482&lt;=_xlfn.PERCENTILE.INC($B$2:$B$726,0.2),5, B482&lt;=_xlfn.PERCENTILE.INC($B$2:$B$726,0.4),4,B482&lt;=_xlfn.PERCENTILE.INC($B$2:$B$726,0.6),3,B482&lt;=_xlfn.PERCENTILE.INC($B$2:$B$726,0.8),4,TRUE,1)</f>
        <v>5</v>
      </c>
      <c r="F482" cm="1">
        <f t="array" ref="F482">_xlfn.IFS(C482&gt;=_xlfn.PERCENTILE.INC($C$2:$C$726,0.8),5,C482&gt;=_xlfn.PERCENTILE.INC($C$2:$C$726,0.6),4,C482&gt;=_xlfn.PERCENTILE.INC($C$2:$C$726,0.4),3,C482&gt;=_xlfn.PERCENTILE.INC($C$2:$C$726,0.2),2,TRUE,1)</f>
        <v>4</v>
      </c>
      <c r="G482" cm="1">
        <f t="array" ref="G482">_xlfn.IFS(D482&gt;=_xlfn.PERCENTILE.INC($D$2:$D$726,0.8),5,D482&gt;=_xlfn.PERCENTILE.INC($D$2:$D$726,0.6),4,D482&gt;=_xlfn.PERCENTILE.INC($D$2:$D$726,0.4),3,D482&gt;=_xlfn.PERCENTILE.INC($D$2:$D$726,0.2),2,TRUE,1)</f>
        <v>4</v>
      </c>
      <c r="H482">
        <f t="shared" si="7"/>
        <v>13</v>
      </c>
      <c r="I482" t="str" cm="1">
        <f t="array" ref="I482">_xlfn.IFS(H482&gt;=13,"Best Customers",H482&gt;=10,"Loyal Customers",H482&gt;=7,"Potential Loyal Customers",H482&gt;=4,"Need Attention",TRUE,"At Risk")</f>
        <v>Best Customers</v>
      </c>
    </row>
    <row r="483" spans="1:9" x14ac:dyDescent="0.25">
      <c r="A483" t="s">
        <v>1435</v>
      </c>
      <c r="B483" s="4">
        <v>541</v>
      </c>
      <c r="C483">
        <v>5</v>
      </c>
      <c r="D483">
        <v>108.39999999999999</v>
      </c>
      <c r="E483" cm="1">
        <f t="array" ref="E483">_xlfn.IFS(B483&lt;=_xlfn.PERCENTILE.INC($B$2:$B$726,0.2),5, B483&lt;=_xlfn.PERCENTILE.INC($B$2:$B$726,0.4),4,B483&lt;=_xlfn.PERCENTILE.INC($B$2:$B$726,0.6),3,B483&lt;=_xlfn.PERCENTILE.INC($B$2:$B$726,0.8),4,TRUE,1)</f>
        <v>3</v>
      </c>
      <c r="F483" cm="1">
        <f t="array" ref="F483">_xlfn.IFS(C483&gt;=_xlfn.PERCENTILE.INC($C$2:$C$726,0.8),5,C483&gt;=_xlfn.PERCENTILE.INC($C$2:$C$726,0.6),4,C483&gt;=_xlfn.PERCENTILE.INC($C$2:$C$726,0.4),3,C483&gt;=_xlfn.PERCENTILE.INC($C$2:$C$726,0.2),2,TRUE,1)</f>
        <v>3</v>
      </c>
      <c r="G483" cm="1">
        <f t="array" ref="G483">_xlfn.IFS(D483&gt;=_xlfn.PERCENTILE.INC($D$2:$D$726,0.8),5,D483&gt;=_xlfn.PERCENTILE.INC($D$2:$D$726,0.6),4,D483&gt;=_xlfn.PERCENTILE.INC($D$2:$D$726,0.4),3,D483&gt;=_xlfn.PERCENTILE.INC($D$2:$D$726,0.2),2,TRUE,1)</f>
        <v>1</v>
      </c>
      <c r="H483">
        <f t="shared" si="7"/>
        <v>7</v>
      </c>
      <c r="I483" t="str" cm="1">
        <f t="array" ref="I483">_xlfn.IFS(H483&gt;=13,"Best Customers",H483&gt;=10,"Loyal Customers",H483&gt;=7,"Potential Loyal Customers",H483&gt;=4,"Need Attention",TRUE,"At Risk")</f>
        <v>Potential Loyal Customers</v>
      </c>
    </row>
    <row r="484" spans="1:9" x14ac:dyDescent="0.25">
      <c r="A484" t="s">
        <v>1106</v>
      </c>
      <c r="B484" s="4">
        <v>438</v>
      </c>
      <c r="C484">
        <v>6</v>
      </c>
      <c r="D484">
        <v>224.4</v>
      </c>
      <c r="E484" cm="1">
        <f t="array" ref="E484">_xlfn.IFS(B484&lt;=_xlfn.PERCENTILE.INC($B$2:$B$726,0.2),5, B484&lt;=_xlfn.PERCENTILE.INC($B$2:$B$726,0.4),4,B484&lt;=_xlfn.PERCENTILE.INC($B$2:$B$726,0.6),3,B484&lt;=_xlfn.PERCENTILE.INC($B$2:$B$726,0.8),4,TRUE,1)</f>
        <v>4</v>
      </c>
      <c r="F484" cm="1">
        <f t="array" ref="F484">_xlfn.IFS(C484&gt;=_xlfn.PERCENTILE.INC($C$2:$C$726,0.8),5,C484&gt;=_xlfn.PERCENTILE.INC($C$2:$C$726,0.6),4,C484&gt;=_xlfn.PERCENTILE.INC($C$2:$C$726,0.4),3,C484&gt;=_xlfn.PERCENTILE.INC($C$2:$C$726,0.2),2,TRUE,1)</f>
        <v>4</v>
      </c>
      <c r="G484" cm="1">
        <f t="array" ref="G484">_xlfn.IFS(D484&gt;=_xlfn.PERCENTILE.INC($D$2:$D$726,0.8),5,D484&gt;=_xlfn.PERCENTILE.INC($D$2:$D$726,0.6),4,D484&gt;=_xlfn.PERCENTILE.INC($D$2:$D$726,0.4),3,D484&gt;=_xlfn.PERCENTILE.INC($D$2:$D$726,0.2),2,TRUE,1)</f>
        <v>2</v>
      </c>
      <c r="H484">
        <f t="shared" si="7"/>
        <v>10</v>
      </c>
      <c r="I484" t="str" cm="1">
        <f t="array" ref="I484">_xlfn.IFS(H484&gt;=13,"Best Customers",H484&gt;=10,"Loyal Customers",H484&gt;=7,"Potential Loyal Customers",H484&gt;=4,"Need Attention",TRUE,"At Risk")</f>
        <v>Loyal Customers</v>
      </c>
    </row>
    <row r="485" spans="1:9" x14ac:dyDescent="0.25">
      <c r="A485" t="s">
        <v>2717</v>
      </c>
      <c r="B485" s="4">
        <v>345</v>
      </c>
      <c r="C485">
        <v>5</v>
      </c>
      <c r="D485">
        <v>176.3</v>
      </c>
      <c r="E485" cm="1">
        <f t="array" ref="E485">_xlfn.IFS(B485&lt;=_xlfn.PERCENTILE.INC($B$2:$B$726,0.2),5, B485&lt;=_xlfn.PERCENTILE.INC($B$2:$B$726,0.4),4,B485&lt;=_xlfn.PERCENTILE.INC($B$2:$B$726,0.6),3,B485&lt;=_xlfn.PERCENTILE.INC($B$2:$B$726,0.8),4,TRUE,1)</f>
        <v>5</v>
      </c>
      <c r="F485" cm="1">
        <f t="array" ref="F485">_xlfn.IFS(C485&gt;=_xlfn.PERCENTILE.INC($C$2:$C$726,0.8),5,C485&gt;=_xlfn.PERCENTILE.INC($C$2:$C$726,0.6),4,C485&gt;=_xlfn.PERCENTILE.INC($C$2:$C$726,0.4),3,C485&gt;=_xlfn.PERCENTILE.INC($C$2:$C$726,0.2),2,TRUE,1)</f>
        <v>3</v>
      </c>
      <c r="G485" cm="1">
        <f t="array" ref="G485">_xlfn.IFS(D485&gt;=_xlfn.PERCENTILE.INC($D$2:$D$726,0.8),5,D485&gt;=_xlfn.PERCENTILE.INC($D$2:$D$726,0.6),4,D485&gt;=_xlfn.PERCENTILE.INC($D$2:$D$726,0.4),3,D485&gt;=_xlfn.PERCENTILE.INC($D$2:$D$726,0.2),2,TRUE,1)</f>
        <v>2</v>
      </c>
      <c r="H485">
        <f t="shared" si="7"/>
        <v>10</v>
      </c>
      <c r="I485" t="str" cm="1">
        <f t="array" ref="I485">_xlfn.IFS(H485&gt;=13,"Best Customers",H485&gt;=10,"Loyal Customers",H485&gt;=7,"Potential Loyal Customers",H485&gt;=4,"Need Attention",TRUE,"At Risk")</f>
        <v>Loyal Customers</v>
      </c>
    </row>
    <row r="486" spans="1:9" x14ac:dyDescent="0.25">
      <c r="A486" t="s">
        <v>1960</v>
      </c>
      <c r="B486" s="4">
        <v>1042</v>
      </c>
      <c r="C486">
        <v>3</v>
      </c>
      <c r="D486">
        <v>156.30000000000001</v>
      </c>
      <c r="E486" cm="1">
        <f t="array" ref="E486">_xlfn.IFS(B486&lt;=_xlfn.PERCENTILE.INC($B$2:$B$726,0.2),5, B486&lt;=_xlfn.PERCENTILE.INC($B$2:$B$726,0.4),4,B486&lt;=_xlfn.PERCENTILE.INC($B$2:$B$726,0.6),3,B486&lt;=_xlfn.PERCENTILE.INC($B$2:$B$726,0.8),4,TRUE,1)</f>
        <v>1</v>
      </c>
      <c r="F486" cm="1">
        <f t="array" ref="F486">_xlfn.IFS(C486&gt;=_xlfn.PERCENTILE.INC($C$2:$C$726,0.8),5,C486&gt;=_xlfn.PERCENTILE.INC($C$2:$C$726,0.6),4,C486&gt;=_xlfn.PERCENTILE.INC($C$2:$C$726,0.4),3,C486&gt;=_xlfn.PERCENTILE.INC($C$2:$C$726,0.2),2,TRUE,1)</f>
        <v>1</v>
      </c>
      <c r="G486" cm="1">
        <f t="array" ref="G486">_xlfn.IFS(D486&gt;=_xlfn.PERCENTILE.INC($D$2:$D$726,0.8),5,D486&gt;=_xlfn.PERCENTILE.INC($D$2:$D$726,0.6),4,D486&gt;=_xlfn.PERCENTILE.INC($D$2:$D$726,0.4),3,D486&gt;=_xlfn.PERCENTILE.INC($D$2:$D$726,0.2),2,TRUE,1)</f>
        <v>2</v>
      </c>
      <c r="H486">
        <f t="shared" si="7"/>
        <v>4</v>
      </c>
      <c r="I486" t="str" cm="1">
        <f t="array" ref="I486">_xlfn.IFS(H486&gt;=13,"Best Customers",H486&gt;=10,"Loyal Customers",H486&gt;=7,"Potential Loyal Customers",H486&gt;=4,"Need Attention",TRUE,"At Risk")</f>
        <v>Need Attention</v>
      </c>
    </row>
    <row r="487" spans="1:9" x14ac:dyDescent="0.25">
      <c r="A487" t="s">
        <v>620</v>
      </c>
      <c r="B487" s="4">
        <v>905</v>
      </c>
      <c r="C487">
        <v>3</v>
      </c>
      <c r="D487">
        <v>408.6</v>
      </c>
      <c r="E487" cm="1">
        <f t="array" ref="E487">_xlfn.IFS(B487&lt;=_xlfn.PERCENTILE.INC($B$2:$B$726,0.2),5, B487&lt;=_xlfn.PERCENTILE.INC($B$2:$B$726,0.4),4,B487&lt;=_xlfn.PERCENTILE.INC($B$2:$B$726,0.6),3,B487&lt;=_xlfn.PERCENTILE.INC($B$2:$B$726,0.8),4,TRUE,1)</f>
        <v>1</v>
      </c>
      <c r="F487" cm="1">
        <f t="array" ref="F487">_xlfn.IFS(C487&gt;=_xlfn.PERCENTILE.INC($C$2:$C$726,0.8),5,C487&gt;=_xlfn.PERCENTILE.INC($C$2:$C$726,0.6),4,C487&gt;=_xlfn.PERCENTILE.INC($C$2:$C$726,0.4),3,C487&gt;=_xlfn.PERCENTILE.INC($C$2:$C$726,0.2),2,TRUE,1)</f>
        <v>1</v>
      </c>
      <c r="G487" cm="1">
        <f t="array" ref="G487">_xlfn.IFS(D487&gt;=_xlfn.PERCENTILE.INC($D$2:$D$726,0.8),5,D487&gt;=_xlfn.PERCENTILE.INC($D$2:$D$726,0.6),4,D487&gt;=_xlfn.PERCENTILE.INC($D$2:$D$726,0.4),3,D487&gt;=_xlfn.PERCENTILE.INC($D$2:$D$726,0.2),2,TRUE,1)</f>
        <v>5</v>
      </c>
      <c r="H487">
        <f t="shared" si="7"/>
        <v>7</v>
      </c>
      <c r="I487" t="str" cm="1">
        <f t="array" ref="I487">_xlfn.IFS(H487&gt;=13,"Best Customers",H487&gt;=10,"Loyal Customers",H487&gt;=7,"Potential Loyal Customers",H487&gt;=4,"Need Attention",TRUE,"At Risk")</f>
        <v>Potential Loyal Customers</v>
      </c>
    </row>
    <row r="488" spans="1:9" x14ac:dyDescent="0.25">
      <c r="A488" t="s">
        <v>3130</v>
      </c>
      <c r="B488" s="4">
        <v>400</v>
      </c>
      <c r="C488">
        <v>7</v>
      </c>
      <c r="D488">
        <v>431.29999999999995</v>
      </c>
      <c r="E488" cm="1">
        <f t="array" ref="E488">_xlfn.IFS(B488&lt;=_xlfn.PERCENTILE.INC($B$2:$B$726,0.2),5, B488&lt;=_xlfn.PERCENTILE.INC($B$2:$B$726,0.4),4,B488&lt;=_xlfn.PERCENTILE.INC($B$2:$B$726,0.6),3,B488&lt;=_xlfn.PERCENTILE.INC($B$2:$B$726,0.8),4,TRUE,1)</f>
        <v>4</v>
      </c>
      <c r="F488" cm="1">
        <f t="array" ref="F488">_xlfn.IFS(C488&gt;=_xlfn.PERCENTILE.INC($C$2:$C$726,0.8),5,C488&gt;=_xlfn.PERCENTILE.INC($C$2:$C$726,0.6),4,C488&gt;=_xlfn.PERCENTILE.INC($C$2:$C$726,0.4),3,C488&gt;=_xlfn.PERCENTILE.INC($C$2:$C$726,0.2),2,TRUE,1)</f>
        <v>4</v>
      </c>
      <c r="G488" cm="1">
        <f t="array" ref="G488">_xlfn.IFS(D488&gt;=_xlfn.PERCENTILE.INC($D$2:$D$726,0.8),5,D488&gt;=_xlfn.PERCENTILE.INC($D$2:$D$726,0.6),4,D488&gt;=_xlfn.PERCENTILE.INC($D$2:$D$726,0.4),3,D488&gt;=_xlfn.PERCENTILE.INC($D$2:$D$726,0.2),2,TRUE,1)</f>
        <v>5</v>
      </c>
      <c r="H488">
        <f t="shared" si="7"/>
        <v>13</v>
      </c>
      <c r="I488" t="str" cm="1">
        <f t="array" ref="I488">_xlfn.IFS(H488&gt;=13,"Best Customers",H488&gt;=10,"Loyal Customers",H488&gt;=7,"Potential Loyal Customers",H488&gt;=4,"Need Attention",TRUE,"At Risk")</f>
        <v>Best Customers</v>
      </c>
    </row>
    <row r="489" spans="1:9" x14ac:dyDescent="0.25">
      <c r="A489" t="s">
        <v>2968</v>
      </c>
      <c r="B489" s="4">
        <v>434</v>
      </c>
      <c r="C489">
        <v>7</v>
      </c>
      <c r="D489">
        <v>291.20000000000005</v>
      </c>
      <c r="E489" cm="1">
        <f t="array" ref="E489">_xlfn.IFS(B489&lt;=_xlfn.PERCENTILE.INC($B$2:$B$726,0.2),5, B489&lt;=_xlfn.PERCENTILE.INC($B$2:$B$726,0.4),4,B489&lt;=_xlfn.PERCENTILE.INC($B$2:$B$726,0.6),3,B489&lt;=_xlfn.PERCENTILE.INC($B$2:$B$726,0.8),4,TRUE,1)</f>
        <v>4</v>
      </c>
      <c r="F489" cm="1">
        <f t="array" ref="F489">_xlfn.IFS(C489&gt;=_xlfn.PERCENTILE.INC($C$2:$C$726,0.8),5,C489&gt;=_xlfn.PERCENTILE.INC($C$2:$C$726,0.6),4,C489&gt;=_xlfn.PERCENTILE.INC($C$2:$C$726,0.4),3,C489&gt;=_xlfn.PERCENTILE.INC($C$2:$C$726,0.2),2,TRUE,1)</f>
        <v>4</v>
      </c>
      <c r="G489" cm="1">
        <f t="array" ref="G489">_xlfn.IFS(D489&gt;=_xlfn.PERCENTILE.INC($D$2:$D$726,0.8),5,D489&gt;=_xlfn.PERCENTILE.INC($D$2:$D$726,0.6),4,D489&gt;=_xlfn.PERCENTILE.INC($D$2:$D$726,0.4),3,D489&gt;=_xlfn.PERCENTILE.INC($D$2:$D$726,0.2),2,TRUE,1)</f>
        <v>3</v>
      </c>
      <c r="H489">
        <f t="shared" si="7"/>
        <v>11</v>
      </c>
      <c r="I489" t="str" cm="1">
        <f t="array" ref="I489">_xlfn.IFS(H489&gt;=13,"Best Customers",H489&gt;=10,"Loyal Customers",H489&gt;=7,"Potential Loyal Customers",H489&gt;=4,"Need Attention",TRUE,"At Risk")</f>
        <v>Loyal Customers</v>
      </c>
    </row>
    <row r="490" spans="1:9" x14ac:dyDescent="0.25">
      <c r="A490" t="s">
        <v>722</v>
      </c>
      <c r="B490" s="4">
        <v>364</v>
      </c>
      <c r="C490">
        <v>12</v>
      </c>
      <c r="D490">
        <v>711</v>
      </c>
      <c r="E490" cm="1">
        <f t="array" ref="E490">_xlfn.IFS(B490&lt;=_xlfn.PERCENTILE.INC($B$2:$B$726,0.2),5, B490&lt;=_xlfn.PERCENTILE.INC($B$2:$B$726,0.4),4,B490&lt;=_xlfn.PERCENTILE.INC($B$2:$B$726,0.6),3,B490&lt;=_xlfn.PERCENTILE.INC($B$2:$B$726,0.8),4,TRUE,1)</f>
        <v>5</v>
      </c>
      <c r="F490" cm="1">
        <f t="array" ref="F490">_xlfn.IFS(C490&gt;=_xlfn.PERCENTILE.INC($C$2:$C$726,0.8),5,C490&gt;=_xlfn.PERCENTILE.INC($C$2:$C$726,0.6),4,C490&gt;=_xlfn.PERCENTILE.INC($C$2:$C$726,0.4),3,C490&gt;=_xlfn.PERCENTILE.INC($C$2:$C$726,0.2),2,TRUE,1)</f>
        <v>5</v>
      </c>
      <c r="G490" cm="1">
        <f t="array" ref="G490">_xlfn.IFS(D490&gt;=_xlfn.PERCENTILE.INC($D$2:$D$726,0.8),5,D490&gt;=_xlfn.PERCENTILE.INC($D$2:$D$726,0.6),4,D490&gt;=_xlfn.PERCENTILE.INC($D$2:$D$726,0.4),3,D490&gt;=_xlfn.PERCENTILE.INC($D$2:$D$726,0.2),2,TRUE,1)</f>
        <v>5</v>
      </c>
      <c r="H490">
        <f t="shared" si="7"/>
        <v>15</v>
      </c>
      <c r="I490" t="str" cm="1">
        <f t="array" ref="I490">_xlfn.IFS(H490&gt;=13,"Best Customers",H490&gt;=10,"Loyal Customers",H490&gt;=7,"Potential Loyal Customers",H490&gt;=4,"Need Attention",TRUE,"At Risk")</f>
        <v>Best Customers</v>
      </c>
    </row>
    <row r="491" spans="1:9" x14ac:dyDescent="0.25">
      <c r="A491" t="s">
        <v>863</v>
      </c>
      <c r="B491" s="4">
        <v>394</v>
      </c>
      <c r="C491">
        <v>10</v>
      </c>
      <c r="D491">
        <v>626.1</v>
      </c>
      <c r="E491" cm="1">
        <f t="array" ref="E491">_xlfn.IFS(B491&lt;=_xlfn.PERCENTILE.INC($B$2:$B$726,0.2),5, B491&lt;=_xlfn.PERCENTILE.INC($B$2:$B$726,0.4),4,B491&lt;=_xlfn.PERCENTILE.INC($B$2:$B$726,0.6),3,B491&lt;=_xlfn.PERCENTILE.INC($B$2:$B$726,0.8),4,TRUE,1)</f>
        <v>4</v>
      </c>
      <c r="F491" cm="1">
        <f t="array" ref="F491">_xlfn.IFS(C491&gt;=_xlfn.PERCENTILE.INC($C$2:$C$726,0.8),5,C491&gt;=_xlfn.PERCENTILE.INC($C$2:$C$726,0.6),4,C491&gt;=_xlfn.PERCENTILE.INC($C$2:$C$726,0.4),3,C491&gt;=_xlfn.PERCENTILE.INC($C$2:$C$726,0.2),2,TRUE,1)</f>
        <v>5</v>
      </c>
      <c r="G491" cm="1">
        <f t="array" ref="G491">_xlfn.IFS(D491&gt;=_xlfn.PERCENTILE.INC($D$2:$D$726,0.8),5,D491&gt;=_xlfn.PERCENTILE.INC($D$2:$D$726,0.6),4,D491&gt;=_xlfn.PERCENTILE.INC($D$2:$D$726,0.4),3,D491&gt;=_xlfn.PERCENTILE.INC($D$2:$D$726,0.2),2,TRUE,1)</f>
        <v>5</v>
      </c>
      <c r="H491">
        <f t="shared" si="7"/>
        <v>14</v>
      </c>
      <c r="I491" t="str" cm="1">
        <f t="array" ref="I491">_xlfn.IFS(H491&gt;=13,"Best Customers",H491&gt;=10,"Loyal Customers",H491&gt;=7,"Potential Loyal Customers",H491&gt;=4,"Need Attention",TRUE,"At Risk")</f>
        <v>Best Customers</v>
      </c>
    </row>
    <row r="492" spans="1:9" x14ac:dyDescent="0.25">
      <c r="A492" t="s">
        <v>1032</v>
      </c>
      <c r="B492" s="4">
        <v>1090</v>
      </c>
      <c r="C492">
        <v>3</v>
      </c>
      <c r="D492">
        <v>50.4</v>
      </c>
      <c r="E492" cm="1">
        <f t="array" ref="E492">_xlfn.IFS(B492&lt;=_xlfn.PERCENTILE.INC($B$2:$B$726,0.2),5, B492&lt;=_xlfn.PERCENTILE.INC($B$2:$B$726,0.4),4,B492&lt;=_xlfn.PERCENTILE.INC($B$2:$B$726,0.6),3,B492&lt;=_xlfn.PERCENTILE.INC($B$2:$B$726,0.8),4,TRUE,1)</f>
        <v>1</v>
      </c>
      <c r="F492" cm="1">
        <f t="array" ref="F492">_xlfn.IFS(C492&gt;=_xlfn.PERCENTILE.INC($C$2:$C$726,0.8),5,C492&gt;=_xlfn.PERCENTILE.INC($C$2:$C$726,0.6),4,C492&gt;=_xlfn.PERCENTILE.INC($C$2:$C$726,0.4),3,C492&gt;=_xlfn.PERCENTILE.INC($C$2:$C$726,0.2),2,TRUE,1)</f>
        <v>1</v>
      </c>
      <c r="G492" cm="1">
        <f t="array" ref="G492">_xlfn.IFS(D492&gt;=_xlfn.PERCENTILE.INC($D$2:$D$726,0.8),5,D492&gt;=_xlfn.PERCENTILE.INC($D$2:$D$726,0.6),4,D492&gt;=_xlfn.PERCENTILE.INC($D$2:$D$726,0.4),3,D492&gt;=_xlfn.PERCENTILE.INC($D$2:$D$726,0.2),2,TRUE,1)</f>
        <v>1</v>
      </c>
      <c r="H492">
        <f t="shared" si="7"/>
        <v>3</v>
      </c>
      <c r="I492" t="str" cm="1">
        <f t="array" ref="I492">_xlfn.IFS(H492&gt;=13,"Best Customers",H492&gt;=10,"Loyal Customers",H492&gt;=7,"Potential Loyal Customers",H492&gt;=4,"Need Attention",TRUE,"At Risk")</f>
        <v>At Risk</v>
      </c>
    </row>
    <row r="493" spans="1:9" x14ac:dyDescent="0.25">
      <c r="A493" t="s">
        <v>1755</v>
      </c>
      <c r="B493" s="4">
        <v>380</v>
      </c>
      <c r="C493">
        <v>10</v>
      </c>
      <c r="D493">
        <v>339.20000000000005</v>
      </c>
      <c r="E493" cm="1">
        <f t="array" ref="E493">_xlfn.IFS(B493&lt;=_xlfn.PERCENTILE.INC($B$2:$B$726,0.2),5, B493&lt;=_xlfn.PERCENTILE.INC($B$2:$B$726,0.4),4,B493&lt;=_xlfn.PERCENTILE.INC($B$2:$B$726,0.6),3,B493&lt;=_xlfn.PERCENTILE.INC($B$2:$B$726,0.8),4,TRUE,1)</f>
        <v>5</v>
      </c>
      <c r="F493" cm="1">
        <f t="array" ref="F493">_xlfn.IFS(C493&gt;=_xlfn.PERCENTILE.INC($C$2:$C$726,0.8),5,C493&gt;=_xlfn.PERCENTILE.INC($C$2:$C$726,0.6),4,C493&gt;=_xlfn.PERCENTILE.INC($C$2:$C$726,0.4),3,C493&gt;=_xlfn.PERCENTILE.INC($C$2:$C$726,0.2),2,TRUE,1)</f>
        <v>5</v>
      </c>
      <c r="G493" cm="1">
        <f t="array" ref="G493">_xlfn.IFS(D493&gt;=_xlfn.PERCENTILE.INC($D$2:$D$726,0.8),5,D493&gt;=_xlfn.PERCENTILE.INC($D$2:$D$726,0.6),4,D493&gt;=_xlfn.PERCENTILE.INC($D$2:$D$726,0.4),3,D493&gt;=_xlfn.PERCENTILE.INC($D$2:$D$726,0.2),2,TRUE,1)</f>
        <v>4</v>
      </c>
      <c r="H493">
        <f t="shared" si="7"/>
        <v>14</v>
      </c>
      <c r="I493" t="str" cm="1">
        <f t="array" ref="I493">_xlfn.IFS(H493&gt;=13,"Best Customers",H493&gt;=10,"Loyal Customers",H493&gt;=7,"Potential Loyal Customers",H493&gt;=4,"Need Attention",TRUE,"At Risk")</f>
        <v>Best Customers</v>
      </c>
    </row>
    <row r="494" spans="1:9" x14ac:dyDescent="0.25">
      <c r="A494" t="s">
        <v>2708</v>
      </c>
      <c r="B494" s="4">
        <v>507</v>
      </c>
      <c r="C494">
        <v>9</v>
      </c>
      <c r="D494">
        <v>446.9</v>
      </c>
      <c r="E494" cm="1">
        <f t="array" ref="E494">_xlfn.IFS(B494&lt;=_xlfn.PERCENTILE.INC($B$2:$B$726,0.2),5, B494&lt;=_xlfn.PERCENTILE.INC($B$2:$B$726,0.4),4,B494&lt;=_xlfn.PERCENTILE.INC($B$2:$B$726,0.6),3,B494&lt;=_xlfn.PERCENTILE.INC($B$2:$B$726,0.8),4,TRUE,1)</f>
        <v>3</v>
      </c>
      <c r="F494" cm="1">
        <f t="array" ref="F494">_xlfn.IFS(C494&gt;=_xlfn.PERCENTILE.INC($C$2:$C$726,0.8),5,C494&gt;=_xlfn.PERCENTILE.INC($C$2:$C$726,0.6),4,C494&gt;=_xlfn.PERCENTILE.INC($C$2:$C$726,0.4),3,C494&gt;=_xlfn.PERCENTILE.INC($C$2:$C$726,0.2),2,TRUE,1)</f>
        <v>5</v>
      </c>
      <c r="G494" cm="1">
        <f t="array" ref="G494">_xlfn.IFS(D494&gt;=_xlfn.PERCENTILE.INC($D$2:$D$726,0.8),5,D494&gt;=_xlfn.PERCENTILE.INC($D$2:$D$726,0.6),4,D494&gt;=_xlfn.PERCENTILE.INC($D$2:$D$726,0.4),3,D494&gt;=_xlfn.PERCENTILE.INC($D$2:$D$726,0.2),2,TRUE,1)</f>
        <v>5</v>
      </c>
      <c r="H494">
        <f t="shared" si="7"/>
        <v>13</v>
      </c>
      <c r="I494" t="str" cm="1">
        <f t="array" ref="I494">_xlfn.IFS(H494&gt;=13,"Best Customers",H494&gt;=10,"Loyal Customers",H494&gt;=7,"Potential Loyal Customers",H494&gt;=4,"Need Attention",TRUE,"At Risk")</f>
        <v>Best Customers</v>
      </c>
    </row>
    <row r="495" spans="1:9" x14ac:dyDescent="0.25">
      <c r="A495" t="s">
        <v>3414</v>
      </c>
      <c r="B495" s="4">
        <v>664</v>
      </c>
      <c r="C495">
        <v>7</v>
      </c>
      <c r="D495">
        <v>333.1</v>
      </c>
      <c r="E495" cm="1">
        <f t="array" ref="E495">_xlfn.IFS(B495&lt;=_xlfn.PERCENTILE.INC($B$2:$B$726,0.2),5, B495&lt;=_xlfn.PERCENTILE.INC($B$2:$B$726,0.4),4,B495&lt;=_xlfn.PERCENTILE.INC($B$2:$B$726,0.6),3,B495&lt;=_xlfn.PERCENTILE.INC($B$2:$B$726,0.8),4,TRUE,1)</f>
        <v>4</v>
      </c>
      <c r="F495" cm="1">
        <f t="array" ref="F495">_xlfn.IFS(C495&gt;=_xlfn.PERCENTILE.INC($C$2:$C$726,0.8),5,C495&gt;=_xlfn.PERCENTILE.INC($C$2:$C$726,0.6),4,C495&gt;=_xlfn.PERCENTILE.INC($C$2:$C$726,0.4),3,C495&gt;=_xlfn.PERCENTILE.INC($C$2:$C$726,0.2),2,TRUE,1)</f>
        <v>4</v>
      </c>
      <c r="G495" cm="1">
        <f t="array" ref="G495">_xlfn.IFS(D495&gt;=_xlfn.PERCENTILE.INC($D$2:$D$726,0.8),5,D495&gt;=_xlfn.PERCENTILE.INC($D$2:$D$726,0.6),4,D495&gt;=_xlfn.PERCENTILE.INC($D$2:$D$726,0.4),3,D495&gt;=_xlfn.PERCENTILE.INC($D$2:$D$726,0.2),2,TRUE,1)</f>
        <v>4</v>
      </c>
      <c r="H495">
        <f t="shared" si="7"/>
        <v>12</v>
      </c>
      <c r="I495" t="str" cm="1">
        <f t="array" ref="I495">_xlfn.IFS(H495&gt;=13,"Best Customers",H495&gt;=10,"Loyal Customers",H495&gt;=7,"Potential Loyal Customers",H495&gt;=4,"Need Attention",TRUE,"At Risk")</f>
        <v>Loyal Customers</v>
      </c>
    </row>
    <row r="496" spans="1:9" x14ac:dyDescent="0.25">
      <c r="A496" t="s">
        <v>3372</v>
      </c>
      <c r="B496" s="4">
        <v>544</v>
      </c>
      <c r="C496">
        <v>5</v>
      </c>
      <c r="D496">
        <v>247.9</v>
      </c>
      <c r="E496" cm="1">
        <f t="array" ref="E496">_xlfn.IFS(B496&lt;=_xlfn.PERCENTILE.INC($B$2:$B$726,0.2),5, B496&lt;=_xlfn.PERCENTILE.INC($B$2:$B$726,0.4),4,B496&lt;=_xlfn.PERCENTILE.INC($B$2:$B$726,0.6),3,B496&lt;=_xlfn.PERCENTILE.INC($B$2:$B$726,0.8),4,TRUE,1)</f>
        <v>3</v>
      </c>
      <c r="F496" cm="1">
        <f t="array" ref="F496">_xlfn.IFS(C496&gt;=_xlfn.PERCENTILE.INC($C$2:$C$726,0.8),5,C496&gt;=_xlfn.PERCENTILE.INC($C$2:$C$726,0.6),4,C496&gt;=_xlfn.PERCENTILE.INC($C$2:$C$726,0.4),3,C496&gt;=_xlfn.PERCENTILE.INC($C$2:$C$726,0.2),2,TRUE,1)</f>
        <v>3</v>
      </c>
      <c r="G496" cm="1">
        <f t="array" ref="G496">_xlfn.IFS(D496&gt;=_xlfn.PERCENTILE.INC($D$2:$D$726,0.8),5,D496&gt;=_xlfn.PERCENTILE.INC($D$2:$D$726,0.6),4,D496&gt;=_xlfn.PERCENTILE.INC($D$2:$D$726,0.4),3,D496&gt;=_xlfn.PERCENTILE.INC($D$2:$D$726,0.2),2,TRUE,1)</f>
        <v>3</v>
      </c>
      <c r="H496">
        <f t="shared" si="7"/>
        <v>9</v>
      </c>
      <c r="I496" t="str" cm="1">
        <f t="array" ref="I496">_xlfn.IFS(H496&gt;=13,"Best Customers",H496&gt;=10,"Loyal Customers",H496&gt;=7,"Potential Loyal Customers",H496&gt;=4,"Need Attention",TRUE,"At Risk")</f>
        <v>Potential Loyal Customers</v>
      </c>
    </row>
    <row r="497" spans="1:9" x14ac:dyDescent="0.25">
      <c r="A497" t="s">
        <v>1991</v>
      </c>
      <c r="B497" s="4">
        <v>858</v>
      </c>
      <c r="C497">
        <v>4</v>
      </c>
      <c r="D497">
        <v>168.40000000000003</v>
      </c>
      <c r="E497" cm="1">
        <f t="array" ref="E497">_xlfn.IFS(B497&lt;=_xlfn.PERCENTILE.INC($B$2:$B$726,0.2),5, B497&lt;=_xlfn.PERCENTILE.INC($B$2:$B$726,0.4),4,B497&lt;=_xlfn.PERCENTILE.INC($B$2:$B$726,0.6),3,B497&lt;=_xlfn.PERCENTILE.INC($B$2:$B$726,0.8),4,TRUE,1)</f>
        <v>1</v>
      </c>
      <c r="F497" cm="1">
        <f t="array" ref="F497">_xlfn.IFS(C497&gt;=_xlfn.PERCENTILE.INC($C$2:$C$726,0.8),5,C497&gt;=_xlfn.PERCENTILE.INC($C$2:$C$726,0.6),4,C497&gt;=_xlfn.PERCENTILE.INC($C$2:$C$726,0.4),3,C497&gt;=_xlfn.PERCENTILE.INC($C$2:$C$726,0.2),2,TRUE,1)</f>
        <v>2</v>
      </c>
      <c r="G497" cm="1">
        <f t="array" ref="G497">_xlfn.IFS(D497&gt;=_xlfn.PERCENTILE.INC($D$2:$D$726,0.8),5,D497&gt;=_xlfn.PERCENTILE.INC($D$2:$D$726,0.6),4,D497&gt;=_xlfn.PERCENTILE.INC($D$2:$D$726,0.4),3,D497&gt;=_xlfn.PERCENTILE.INC($D$2:$D$726,0.2),2,TRUE,1)</f>
        <v>2</v>
      </c>
      <c r="H497">
        <f t="shared" si="7"/>
        <v>5</v>
      </c>
      <c r="I497" t="str" cm="1">
        <f t="array" ref="I497">_xlfn.IFS(H497&gt;=13,"Best Customers",H497&gt;=10,"Loyal Customers",H497&gt;=7,"Potential Loyal Customers",H497&gt;=4,"Need Attention",TRUE,"At Risk")</f>
        <v>Need Attention</v>
      </c>
    </row>
    <row r="498" spans="1:9" x14ac:dyDescent="0.25">
      <c r="A498" t="s">
        <v>2414</v>
      </c>
      <c r="B498" s="4">
        <v>409</v>
      </c>
      <c r="C498">
        <v>13</v>
      </c>
      <c r="D498">
        <v>577.70000000000005</v>
      </c>
      <c r="E498" cm="1">
        <f t="array" ref="E498">_xlfn.IFS(B498&lt;=_xlfn.PERCENTILE.INC($B$2:$B$726,0.2),5, B498&lt;=_xlfn.PERCENTILE.INC($B$2:$B$726,0.4),4,B498&lt;=_xlfn.PERCENTILE.INC($B$2:$B$726,0.6),3,B498&lt;=_xlfn.PERCENTILE.INC($B$2:$B$726,0.8),4,TRUE,1)</f>
        <v>4</v>
      </c>
      <c r="F498" cm="1">
        <f t="array" ref="F498">_xlfn.IFS(C498&gt;=_xlfn.PERCENTILE.INC($C$2:$C$726,0.8),5,C498&gt;=_xlfn.PERCENTILE.INC($C$2:$C$726,0.6),4,C498&gt;=_xlfn.PERCENTILE.INC($C$2:$C$726,0.4),3,C498&gt;=_xlfn.PERCENTILE.INC($C$2:$C$726,0.2),2,TRUE,1)</f>
        <v>5</v>
      </c>
      <c r="G498" cm="1">
        <f t="array" ref="G498">_xlfn.IFS(D498&gt;=_xlfn.PERCENTILE.INC($D$2:$D$726,0.8),5,D498&gt;=_xlfn.PERCENTILE.INC($D$2:$D$726,0.6),4,D498&gt;=_xlfn.PERCENTILE.INC($D$2:$D$726,0.4),3,D498&gt;=_xlfn.PERCENTILE.INC($D$2:$D$726,0.2),2,TRUE,1)</f>
        <v>5</v>
      </c>
      <c r="H498">
        <f t="shared" si="7"/>
        <v>14</v>
      </c>
      <c r="I498" t="str" cm="1">
        <f t="array" ref="I498">_xlfn.IFS(H498&gt;=13,"Best Customers",H498&gt;=10,"Loyal Customers",H498&gt;=7,"Potential Loyal Customers",H498&gt;=4,"Need Attention",TRUE,"At Risk")</f>
        <v>Best Customers</v>
      </c>
    </row>
    <row r="499" spans="1:9" x14ac:dyDescent="0.25">
      <c r="A499" t="s">
        <v>2485</v>
      </c>
      <c r="B499" s="4">
        <v>401</v>
      </c>
      <c r="C499">
        <v>7</v>
      </c>
      <c r="D499">
        <v>308.10000000000002</v>
      </c>
      <c r="E499" cm="1">
        <f t="array" ref="E499">_xlfn.IFS(B499&lt;=_xlfn.PERCENTILE.INC($B$2:$B$726,0.2),5, B499&lt;=_xlfn.PERCENTILE.INC($B$2:$B$726,0.4),4,B499&lt;=_xlfn.PERCENTILE.INC($B$2:$B$726,0.6),3,B499&lt;=_xlfn.PERCENTILE.INC($B$2:$B$726,0.8),4,TRUE,1)</f>
        <v>4</v>
      </c>
      <c r="F499" cm="1">
        <f t="array" ref="F499">_xlfn.IFS(C499&gt;=_xlfn.PERCENTILE.INC($C$2:$C$726,0.8),5,C499&gt;=_xlfn.PERCENTILE.INC($C$2:$C$726,0.6),4,C499&gt;=_xlfn.PERCENTILE.INC($C$2:$C$726,0.4),3,C499&gt;=_xlfn.PERCENTILE.INC($C$2:$C$726,0.2),2,TRUE,1)</f>
        <v>4</v>
      </c>
      <c r="G499" cm="1">
        <f t="array" ref="G499">_xlfn.IFS(D499&gt;=_xlfn.PERCENTILE.INC($D$2:$D$726,0.8),5,D499&gt;=_xlfn.PERCENTILE.INC($D$2:$D$726,0.6),4,D499&gt;=_xlfn.PERCENTILE.INC($D$2:$D$726,0.4),3,D499&gt;=_xlfn.PERCENTILE.INC($D$2:$D$726,0.2),2,TRUE,1)</f>
        <v>3</v>
      </c>
      <c r="H499">
        <f t="shared" si="7"/>
        <v>11</v>
      </c>
      <c r="I499" t="str" cm="1">
        <f t="array" ref="I499">_xlfn.IFS(H499&gt;=13,"Best Customers",H499&gt;=10,"Loyal Customers",H499&gt;=7,"Potential Loyal Customers",H499&gt;=4,"Need Attention",TRUE,"At Risk")</f>
        <v>Loyal Customers</v>
      </c>
    </row>
    <row r="500" spans="1:9" x14ac:dyDescent="0.25">
      <c r="A500" t="s">
        <v>802</v>
      </c>
      <c r="B500" s="4">
        <v>610</v>
      </c>
      <c r="C500">
        <v>6</v>
      </c>
      <c r="D500">
        <v>386.9</v>
      </c>
      <c r="E500" cm="1">
        <f t="array" ref="E500">_xlfn.IFS(B500&lt;=_xlfn.PERCENTILE.INC($B$2:$B$726,0.2),5, B500&lt;=_xlfn.PERCENTILE.INC($B$2:$B$726,0.4),4,B500&lt;=_xlfn.PERCENTILE.INC($B$2:$B$726,0.6),3,B500&lt;=_xlfn.PERCENTILE.INC($B$2:$B$726,0.8),4,TRUE,1)</f>
        <v>4</v>
      </c>
      <c r="F500" cm="1">
        <f t="array" ref="F500">_xlfn.IFS(C500&gt;=_xlfn.PERCENTILE.INC($C$2:$C$726,0.8),5,C500&gt;=_xlfn.PERCENTILE.INC($C$2:$C$726,0.6),4,C500&gt;=_xlfn.PERCENTILE.INC($C$2:$C$726,0.4),3,C500&gt;=_xlfn.PERCENTILE.INC($C$2:$C$726,0.2),2,TRUE,1)</f>
        <v>4</v>
      </c>
      <c r="G500" cm="1">
        <f t="array" ref="G500">_xlfn.IFS(D500&gt;=_xlfn.PERCENTILE.INC($D$2:$D$726,0.8),5,D500&gt;=_xlfn.PERCENTILE.INC($D$2:$D$726,0.6),4,D500&gt;=_xlfn.PERCENTILE.INC($D$2:$D$726,0.4),3,D500&gt;=_xlfn.PERCENTILE.INC($D$2:$D$726,0.2),2,TRUE,1)</f>
        <v>4</v>
      </c>
      <c r="H500">
        <f t="shared" si="7"/>
        <v>12</v>
      </c>
      <c r="I500" t="str" cm="1">
        <f t="array" ref="I500">_xlfn.IFS(H500&gt;=13,"Best Customers",H500&gt;=10,"Loyal Customers",H500&gt;=7,"Potential Loyal Customers",H500&gt;=4,"Need Attention",TRUE,"At Risk")</f>
        <v>Loyal Customers</v>
      </c>
    </row>
    <row r="501" spans="1:9" x14ac:dyDescent="0.25">
      <c r="A501" t="s">
        <v>2678</v>
      </c>
      <c r="B501" s="4">
        <v>1157</v>
      </c>
      <c r="C501">
        <v>2</v>
      </c>
      <c r="D501">
        <v>41.9</v>
      </c>
      <c r="E501" cm="1">
        <f t="array" ref="E501">_xlfn.IFS(B501&lt;=_xlfn.PERCENTILE.INC($B$2:$B$726,0.2),5, B501&lt;=_xlfn.PERCENTILE.INC($B$2:$B$726,0.4),4,B501&lt;=_xlfn.PERCENTILE.INC($B$2:$B$726,0.6),3,B501&lt;=_xlfn.PERCENTILE.INC($B$2:$B$726,0.8),4,TRUE,1)</f>
        <v>1</v>
      </c>
      <c r="F501" cm="1">
        <f t="array" ref="F501">_xlfn.IFS(C501&gt;=_xlfn.PERCENTILE.INC($C$2:$C$726,0.8),5,C501&gt;=_xlfn.PERCENTILE.INC($C$2:$C$726,0.6),4,C501&gt;=_xlfn.PERCENTILE.INC($C$2:$C$726,0.4),3,C501&gt;=_xlfn.PERCENTILE.INC($C$2:$C$726,0.2),2,TRUE,1)</f>
        <v>1</v>
      </c>
      <c r="G501" cm="1">
        <f t="array" ref="G501">_xlfn.IFS(D501&gt;=_xlfn.PERCENTILE.INC($D$2:$D$726,0.8),5,D501&gt;=_xlfn.PERCENTILE.INC($D$2:$D$726,0.6),4,D501&gt;=_xlfn.PERCENTILE.INC($D$2:$D$726,0.4),3,D501&gt;=_xlfn.PERCENTILE.INC($D$2:$D$726,0.2),2,TRUE,1)</f>
        <v>1</v>
      </c>
      <c r="H501">
        <f t="shared" si="7"/>
        <v>3</v>
      </c>
      <c r="I501" t="str" cm="1">
        <f t="array" ref="I501">_xlfn.IFS(H501&gt;=13,"Best Customers",H501&gt;=10,"Loyal Customers",H501&gt;=7,"Potential Loyal Customers",H501&gt;=4,"Need Attention",TRUE,"At Risk")</f>
        <v>At Risk</v>
      </c>
    </row>
    <row r="502" spans="1:9" x14ac:dyDescent="0.25">
      <c r="A502" t="s">
        <v>1646</v>
      </c>
      <c r="B502" s="4">
        <v>770</v>
      </c>
      <c r="C502">
        <v>6</v>
      </c>
      <c r="D502">
        <v>372.70000000000005</v>
      </c>
      <c r="E502" cm="1">
        <f t="array" ref="E502">_xlfn.IFS(B502&lt;=_xlfn.PERCENTILE.INC($B$2:$B$726,0.2),5, B502&lt;=_xlfn.PERCENTILE.INC($B$2:$B$726,0.4),4,B502&lt;=_xlfn.PERCENTILE.INC($B$2:$B$726,0.6),3,B502&lt;=_xlfn.PERCENTILE.INC($B$2:$B$726,0.8),4,TRUE,1)</f>
        <v>1</v>
      </c>
      <c r="F502" cm="1">
        <f t="array" ref="F502">_xlfn.IFS(C502&gt;=_xlfn.PERCENTILE.INC($C$2:$C$726,0.8),5,C502&gt;=_xlfn.PERCENTILE.INC($C$2:$C$726,0.6),4,C502&gt;=_xlfn.PERCENTILE.INC($C$2:$C$726,0.4),3,C502&gt;=_xlfn.PERCENTILE.INC($C$2:$C$726,0.2),2,TRUE,1)</f>
        <v>4</v>
      </c>
      <c r="G502" cm="1">
        <f t="array" ref="G502">_xlfn.IFS(D502&gt;=_xlfn.PERCENTILE.INC($D$2:$D$726,0.8),5,D502&gt;=_xlfn.PERCENTILE.INC($D$2:$D$726,0.6),4,D502&gt;=_xlfn.PERCENTILE.INC($D$2:$D$726,0.4),3,D502&gt;=_xlfn.PERCENTILE.INC($D$2:$D$726,0.2),2,TRUE,1)</f>
        <v>4</v>
      </c>
      <c r="H502">
        <f t="shared" si="7"/>
        <v>9</v>
      </c>
      <c r="I502" t="str" cm="1">
        <f t="array" ref="I502">_xlfn.IFS(H502&gt;=13,"Best Customers",H502&gt;=10,"Loyal Customers",H502&gt;=7,"Potential Loyal Customers",H502&gt;=4,"Need Attention",TRUE,"At Risk")</f>
        <v>Potential Loyal Customers</v>
      </c>
    </row>
    <row r="503" spans="1:9" x14ac:dyDescent="0.25">
      <c r="A503" t="s">
        <v>3223</v>
      </c>
      <c r="B503" s="4">
        <v>545</v>
      </c>
      <c r="C503">
        <v>3</v>
      </c>
      <c r="D503">
        <v>86.1</v>
      </c>
      <c r="E503" cm="1">
        <f t="array" ref="E503">_xlfn.IFS(B503&lt;=_xlfn.PERCENTILE.INC($B$2:$B$726,0.2),5, B503&lt;=_xlfn.PERCENTILE.INC($B$2:$B$726,0.4),4,B503&lt;=_xlfn.PERCENTILE.INC($B$2:$B$726,0.6),3,B503&lt;=_xlfn.PERCENTILE.INC($B$2:$B$726,0.8),4,TRUE,1)</f>
        <v>3</v>
      </c>
      <c r="F503" cm="1">
        <f t="array" ref="F503">_xlfn.IFS(C503&gt;=_xlfn.PERCENTILE.INC($C$2:$C$726,0.8),5,C503&gt;=_xlfn.PERCENTILE.INC($C$2:$C$726,0.6),4,C503&gt;=_xlfn.PERCENTILE.INC($C$2:$C$726,0.4),3,C503&gt;=_xlfn.PERCENTILE.INC($C$2:$C$726,0.2),2,TRUE,1)</f>
        <v>1</v>
      </c>
      <c r="G503" cm="1">
        <f t="array" ref="G503">_xlfn.IFS(D503&gt;=_xlfn.PERCENTILE.INC($D$2:$D$726,0.8),5,D503&gt;=_xlfn.PERCENTILE.INC($D$2:$D$726,0.6),4,D503&gt;=_xlfn.PERCENTILE.INC($D$2:$D$726,0.4),3,D503&gt;=_xlfn.PERCENTILE.INC($D$2:$D$726,0.2),2,TRUE,1)</f>
        <v>1</v>
      </c>
      <c r="H503">
        <f t="shared" si="7"/>
        <v>5</v>
      </c>
      <c r="I503" t="str" cm="1">
        <f t="array" ref="I503">_xlfn.IFS(H503&gt;=13,"Best Customers",H503&gt;=10,"Loyal Customers",H503&gt;=7,"Potential Loyal Customers",H503&gt;=4,"Need Attention",TRUE,"At Risk")</f>
        <v>Need Attention</v>
      </c>
    </row>
    <row r="504" spans="1:9" x14ac:dyDescent="0.25">
      <c r="A504" t="s">
        <v>965</v>
      </c>
      <c r="B504" s="4">
        <v>577</v>
      </c>
      <c r="C504">
        <v>9</v>
      </c>
      <c r="D504">
        <v>538.79999999999995</v>
      </c>
      <c r="E504" cm="1">
        <f t="array" ref="E504">_xlfn.IFS(B504&lt;=_xlfn.PERCENTILE.INC($B$2:$B$726,0.2),5, B504&lt;=_xlfn.PERCENTILE.INC($B$2:$B$726,0.4),4,B504&lt;=_xlfn.PERCENTILE.INC($B$2:$B$726,0.6),3,B504&lt;=_xlfn.PERCENTILE.INC($B$2:$B$726,0.8),4,TRUE,1)</f>
        <v>4</v>
      </c>
      <c r="F504" cm="1">
        <f t="array" ref="F504">_xlfn.IFS(C504&gt;=_xlfn.PERCENTILE.INC($C$2:$C$726,0.8),5,C504&gt;=_xlfn.PERCENTILE.INC($C$2:$C$726,0.6),4,C504&gt;=_xlfn.PERCENTILE.INC($C$2:$C$726,0.4),3,C504&gt;=_xlfn.PERCENTILE.INC($C$2:$C$726,0.2),2,TRUE,1)</f>
        <v>5</v>
      </c>
      <c r="G504" cm="1">
        <f t="array" ref="G504">_xlfn.IFS(D504&gt;=_xlfn.PERCENTILE.INC($D$2:$D$726,0.8),5,D504&gt;=_xlfn.PERCENTILE.INC($D$2:$D$726,0.6),4,D504&gt;=_xlfn.PERCENTILE.INC($D$2:$D$726,0.4),3,D504&gt;=_xlfn.PERCENTILE.INC($D$2:$D$726,0.2),2,TRUE,1)</f>
        <v>5</v>
      </c>
      <c r="H504">
        <f t="shared" si="7"/>
        <v>14</v>
      </c>
      <c r="I504" t="str" cm="1">
        <f t="array" ref="I504">_xlfn.IFS(H504&gt;=13,"Best Customers",H504&gt;=10,"Loyal Customers",H504&gt;=7,"Potential Loyal Customers",H504&gt;=4,"Need Attention",TRUE,"At Risk")</f>
        <v>Best Customers</v>
      </c>
    </row>
    <row r="505" spans="1:9" x14ac:dyDescent="0.25">
      <c r="A505" t="s">
        <v>2760</v>
      </c>
      <c r="B505" s="4">
        <v>541</v>
      </c>
      <c r="C505">
        <v>5</v>
      </c>
      <c r="D505">
        <v>352.4</v>
      </c>
      <c r="E505" cm="1">
        <f t="array" ref="E505">_xlfn.IFS(B505&lt;=_xlfn.PERCENTILE.INC($B$2:$B$726,0.2),5, B505&lt;=_xlfn.PERCENTILE.INC($B$2:$B$726,0.4),4,B505&lt;=_xlfn.PERCENTILE.INC($B$2:$B$726,0.6),3,B505&lt;=_xlfn.PERCENTILE.INC($B$2:$B$726,0.8),4,TRUE,1)</f>
        <v>3</v>
      </c>
      <c r="F505" cm="1">
        <f t="array" ref="F505">_xlfn.IFS(C505&gt;=_xlfn.PERCENTILE.INC($C$2:$C$726,0.8),5,C505&gt;=_xlfn.PERCENTILE.INC($C$2:$C$726,0.6),4,C505&gt;=_xlfn.PERCENTILE.INC($C$2:$C$726,0.4),3,C505&gt;=_xlfn.PERCENTILE.INC($C$2:$C$726,0.2),2,TRUE,1)</f>
        <v>3</v>
      </c>
      <c r="G505" cm="1">
        <f t="array" ref="G505">_xlfn.IFS(D505&gt;=_xlfn.PERCENTILE.INC($D$2:$D$726,0.8),5,D505&gt;=_xlfn.PERCENTILE.INC($D$2:$D$726,0.6),4,D505&gt;=_xlfn.PERCENTILE.INC($D$2:$D$726,0.4),3,D505&gt;=_xlfn.PERCENTILE.INC($D$2:$D$726,0.2),2,TRUE,1)</f>
        <v>4</v>
      </c>
      <c r="H505">
        <f t="shared" si="7"/>
        <v>10</v>
      </c>
      <c r="I505" t="str" cm="1">
        <f t="array" ref="I505">_xlfn.IFS(H505&gt;=13,"Best Customers",H505&gt;=10,"Loyal Customers",H505&gt;=7,"Potential Loyal Customers",H505&gt;=4,"Need Attention",TRUE,"At Risk")</f>
        <v>Loyal Customers</v>
      </c>
    </row>
    <row r="506" spans="1:9" x14ac:dyDescent="0.25">
      <c r="A506" t="s">
        <v>2456</v>
      </c>
      <c r="B506" s="4">
        <v>381</v>
      </c>
      <c r="C506">
        <v>4</v>
      </c>
      <c r="D506">
        <v>149.80000000000001</v>
      </c>
      <c r="E506" cm="1">
        <f t="array" ref="E506">_xlfn.IFS(B506&lt;=_xlfn.PERCENTILE.INC($B$2:$B$726,0.2),5, B506&lt;=_xlfn.PERCENTILE.INC($B$2:$B$726,0.4),4,B506&lt;=_xlfn.PERCENTILE.INC($B$2:$B$726,0.6),3,B506&lt;=_xlfn.PERCENTILE.INC($B$2:$B$726,0.8),4,TRUE,1)</f>
        <v>5</v>
      </c>
      <c r="F506" cm="1">
        <f t="array" ref="F506">_xlfn.IFS(C506&gt;=_xlfn.PERCENTILE.INC($C$2:$C$726,0.8),5,C506&gt;=_xlfn.PERCENTILE.INC($C$2:$C$726,0.6),4,C506&gt;=_xlfn.PERCENTILE.INC($C$2:$C$726,0.4),3,C506&gt;=_xlfn.PERCENTILE.INC($C$2:$C$726,0.2),2,TRUE,1)</f>
        <v>2</v>
      </c>
      <c r="G506" cm="1">
        <f t="array" ref="G506">_xlfn.IFS(D506&gt;=_xlfn.PERCENTILE.INC($D$2:$D$726,0.8),5,D506&gt;=_xlfn.PERCENTILE.INC($D$2:$D$726,0.6),4,D506&gt;=_xlfn.PERCENTILE.INC($D$2:$D$726,0.4),3,D506&gt;=_xlfn.PERCENTILE.INC($D$2:$D$726,0.2),2,TRUE,1)</f>
        <v>1</v>
      </c>
      <c r="H506">
        <f t="shared" si="7"/>
        <v>8</v>
      </c>
      <c r="I506" t="str" cm="1">
        <f t="array" ref="I506">_xlfn.IFS(H506&gt;=13,"Best Customers",H506&gt;=10,"Loyal Customers",H506&gt;=7,"Potential Loyal Customers",H506&gt;=4,"Need Attention",TRUE,"At Risk")</f>
        <v>Potential Loyal Customers</v>
      </c>
    </row>
    <row r="507" spans="1:9" x14ac:dyDescent="0.25">
      <c r="A507" t="s">
        <v>2807</v>
      </c>
      <c r="B507" s="4">
        <v>645</v>
      </c>
      <c r="C507">
        <v>4</v>
      </c>
      <c r="D507">
        <v>277.70000000000005</v>
      </c>
      <c r="E507" cm="1">
        <f t="array" ref="E507">_xlfn.IFS(B507&lt;=_xlfn.PERCENTILE.INC($B$2:$B$726,0.2),5, B507&lt;=_xlfn.PERCENTILE.INC($B$2:$B$726,0.4),4,B507&lt;=_xlfn.PERCENTILE.INC($B$2:$B$726,0.6),3,B507&lt;=_xlfn.PERCENTILE.INC($B$2:$B$726,0.8),4,TRUE,1)</f>
        <v>4</v>
      </c>
      <c r="F507" cm="1">
        <f t="array" ref="F507">_xlfn.IFS(C507&gt;=_xlfn.PERCENTILE.INC($C$2:$C$726,0.8),5,C507&gt;=_xlfn.PERCENTILE.INC($C$2:$C$726,0.6),4,C507&gt;=_xlfn.PERCENTILE.INC($C$2:$C$726,0.4),3,C507&gt;=_xlfn.PERCENTILE.INC($C$2:$C$726,0.2),2,TRUE,1)</f>
        <v>2</v>
      </c>
      <c r="G507" cm="1">
        <f t="array" ref="G507">_xlfn.IFS(D507&gt;=_xlfn.PERCENTILE.INC($D$2:$D$726,0.8),5,D507&gt;=_xlfn.PERCENTILE.INC($D$2:$D$726,0.6),4,D507&gt;=_xlfn.PERCENTILE.INC($D$2:$D$726,0.4),3,D507&gt;=_xlfn.PERCENTILE.INC($D$2:$D$726,0.2),2,TRUE,1)</f>
        <v>3</v>
      </c>
      <c r="H507">
        <f t="shared" si="7"/>
        <v>9</v>
      </c>
      <c r="I507" t="str" cm="1">
        <f t="array" ref="I507">_xlfn.IFS(H507&gt;=13,"Best Customers",H507&gt;=10,"Loyal Customers",H507&gt;=7,"Potential Loyal Customers",H507&gt;=4,"Need Attention",TRUE,"At Risk")</f>
        <v>Potential Loyal Customers</v>
      </c>
    </row>
    <row r="508" spans="1:9" x14ac:dyDescent="0.25">
      <c r="A508" t="s">
        <v>1160</v>
      </c>
      <c r="B508" s="4">
        <v>353</v>
      </c>
      <c r="C508">
        <v>8</v>
      </c>
      <c r="D508">
        <v>369.5</v>
      </c>
      <c r="E508" cm="1">
        <f t="array" ref="E508">_xlfn.IFS(B508&lt;=_xlfn.PERCENTILE.INC($B$2:$B$726,0.2),5, B508&lt;=_xlfn.PERCENTILE.INC($B$2:$B$726,0.4),4,B508&lt;=_xlfn.PERCENTILE.INC($B$2:$B$726,0.6),3,B508&lt;=_xlfn.PERCENTILE.INC($B$2:$B$726,0.8),4,TRUE,1)</f>
        <v>5</v>
      </c>
      <c r="F508" cm="1">
        <f t="array" ref="F508">_xlfn.IFS(C508&gt;=_xlfn.PERCENTILE.INC($C$2:$C$726,0.8),5,C508&gt;=_xlfn.PERCENTILE.INC($C$2:$C$726,0.6),4,C508&gt;=_xlfn.PERCENTILE.INC($C$2:$C$726,0.4),3,C508&gt;=_xlfn.PERCENTILE.INC($C$2:$C$726,0.2),2,TRUE,1)</f>
        <v>5</v>
      </c>
      <c r="G508" cm="1">
        <f t="array" ref="G508">_xlfn.IFS(D508&gt;=_xlfn.PERCENTILE.INC($D$2:$D$726,0.8),5,D508&gt;=_xlfn.PERCENTILE.INC($D$2:$D$726,0.6),4,D508&gt;=_xlfn.PERCENTILE.INC($D$2:$D$726,0.4),3,D508&gt;=_xlfn.PERCENTILE.INC($D$2:$D$726,0.2),2,TRUE,1)</f>
        <v>4</v>
      </c>
      <c r="H508">
        <f t="shared" si="7"/>
        <v>14</v>
      </c>
      <c r="I508" t="str" cm="1">
        <f t="array" ref="I508">_xlfn.IFS(H508&gt;=13,"Best Customers",H508&gt;=10,"Loyal Customers",H508&gt;=7,"Potential Loyal Customers",H508&gt;=4,"Need Attention",TRUE,"At Risk")</f>
        <v>Best Customers</v>
      </c>
    </row>
    <row r="509" spans="1:9" x14ac:dyDescent="0.25">
      <c r="A509" t="s">
        <v>1333</v>
      </c>
      <c r="B509" s="4">
        <v>794</v>
      </c>
      <c r="C509">
        <v>8</v>
      </c>
      <c r="D509">
        <v>348.4</v>
      </c>
      <c r="E509" cm="1">
        <f t="array" ref="E509">_xlfn.IFS(B509&lt;=_xlfn.PERCENTILE.INC($B$2:$B$726,0.2),5, B509&lt;=_xlfn.PERCENTILE.INC($B$2:$B$726,0.4),4,B509&lt;=_xlfn.PERCENTILE.INC($B$2:$B$726,0.6),3,B509&lt;=_xlfn.PERCENTILE.INC($B$2:$B$726,0.8),4,TRUE,1)</f>
        <v>1</v>
      </c>
      <c r="F509" cm="1">
        <f t="array" ref="F509">_xlfn.IFS(C509&gt;=_xlfn.PERCENTILE.INC($C$2:$C$726,0.8),5,C509&gt;=_xlfn.PERCENTILE.INC($C$2:$C$726,0.6),4,C509&gt;=_xlfn.PERCENTILE.INC($C$2:$C$726,0.4),3,C509&gt;=_xlfn.PERCENTILE.INC($C$2:$C$726,0.2),2,TRUE,1)</f>
        <v>5</v>
      </c>
      <c r="G509" cm="1">
        <f t="array" ref="G509">_xlfn.IFS(D509&gt;=_xlfn.PERCENTILE.INC($D$2:$D$726,0.8),5,D509&gt;=_xlfn.PERCENTILE.INC($D$2:$D$726,0.6),4,D509&gt;=_xlfn.PERCENTILE.INC($D$2:$D$726,0.4),3,D509&gt;=_xlfn.PERCENTILE.INC($D$2:$D$726,0.2),2,TRUE,1)</f>
        <v>4</v>
      </c>
      <c r="H509">
        <f t="shared" si="7"/>
        <v>10</v>
      </c>
      <c r="I509" t="str" cm="1">
        <f t="array" ref="I509">_xlfn.IFS(H509&gt;=13,"Best Customers",H509&gt;=10,"Loyal Customers",H509&gt;=7,"Potential Loyal Customers",H509&gt;=4,"Need Attention",TRUE,"At Risk")</f>
        <v>Loyal Customers</v>
      </c>
    </row>
    <row r="510" spans="1:9" x14ac:dyDescent="0.25">
      <c r="A510" t="s">
        <v>2657</v>
      </c>
      <c r="B510" s="4">
        <v>935</v>
      </c>
      <c r="C510">
        <v>8</v>
      </c>
      <c r="D510">
        <v>516.5</v>
      </c>
      <c r="E510" cm="1">
        <f t="array" ref="E510">_xlfn.IFS(B510&lt;=_xlfn.PERCENTILE.INC($B$2:$B$726,0.2),5, B510&lt;=_xlfn.PERCENTILE.INC($B$2:$B$726,0.4),4,B510&lt;=_xlfn.PERCENTILE.INC($B$2:$B$726,0.6),3,B510&lt;=_xlfn.PERCENTILE.INC($B$2:$B$726,0.8),4,TRUE,1)</f>
        <v>1</v>
      </c>
      <c r="F510" cm="1">
        <f t="array" ref="F510">_xlfn.IFS(C510&gt;=_xlfn.PERCENTILE.INC($C$2:$C$726,0.8),5,C510&gt;=_xlfn.PERCENTILE.INC($C$2:$C$726,0.6),4,C510&gt;=_xlfn.PERCENTILE.INC($C$2:$C$726,0.4),3,C510&gt;=_xlfn.PERCENTILE.INC($C$2:$C$726,0.2),2,TRUE,1)</f>
        <v>5</v>
      </c>
      <c r="G510" cm="1">
        <f t="array" ref="G510">_xlfn.IFS(D510&gt;=_xlfn.PERCENTILE.INC($D$2:$D$726,0.8),5,D510&gt;=_xlfn.PERCENTILE.INC($D$2:$D$726,0.6),4,D510&gt;=_xlfn.PERCENTILE.INC($D$2:$D$726,0.4),3,D510&gt;=_xlfn.PERCENTILE.INC($D$2:$D$726,0.2),2,TRUE,1)</f>
        <v>5</v>
      </c>
      <c r="H510">
        <f t="shared" si="7"/>
        <v>11</v>
      </c>
      <c r="I510" t="str" cm="1">
        <f t="array" ref="I510">_xlfn.IFS(H510&gt;=13,"Best Customers",H510&gt;=10,"Loyal Customers",H510&gt;=7,"Potential Loyal Customers",H510&gt;=4,"Need Attention",TRUE,"At Risk")</f>
        <v>Loyal Customers</v>
      </c>
    </row>
    <row r="511" spans="1:9" x14ac:dyDescent="0.25">
      <c r="A511" t="s">
        <v>941</v>
      </c>
      <c r="B511" s="4">
        <v>487</v>
      </c>
      <c r="C511">
        <v>4</v>
      </c>
      <c r="D511">
        <v>65.7</v>
      </c>
      <c r="E511" cm="1">
        <f t="array" ref="E511">_xlfn.IFS(B511&lt;=_xlfn.PERCENTILE.INC($B$2:$B$726,0.2),5, B511&lt;=_xlfn.PERCENTILE.INC($B$2:$B$726,0.4),4,B511&lt;=_xlfn.PERCENTILE.INC($B$2:$B$726,0.6),3,B511&lt;=_xlfn.PERCENTILE.INC($B$2:$B$726,0.8),4,TRUE,1)</f>
        <v>3</v>
      </c>
      <c r="F511" cm="1">
        <f t="array" ref="F511">_xlfn.IFS(C511&gt;=_xlfn.PERCENTILE.INC($C$2:$C$726,0.8),5,C511&gt;=_xlfn.PERCENTILE.INC($C$2:$C$726,0.6),4,C511&gt;=_xlfn.PERCENTILE.INC($C$2:$C$726,0.4),3,C511&gt;=_xlfn.PERCENTILE.INC($C$2:$C$726,0.2),2,TRUE,1)</f>
        <v>2</v>
      </c>
      <c r="G511" cm="1">
        <f t="array" ref="G511">_xlfn.IFS(D511&gt;=_xlfn.PERCENTILE.INC($D$2:$D$726,0.8),5,D511&gt;=_xlfn.PERCENTILE.INC($D$2:$D$726,0.6),4,D511&gt;=_xlfn.PERCENTILE.INC($D$2:$D$726,0.4),3,D511&gt;=_xlfn.PERCENTILE.INC($D$2:$D$726,0.2),2,TRUE,1)</f>
        <v>1</v>
      </c>
      <c r="H511">
        <f t="shared" si="7"/>
        <v>6</v>
      </c>
      <c r="I511" t="str" cm="1">
        <f t="array" ref="I511">_xlfn.IFS(H511&gt;=13,"Best Customers",H511&gt;=10,"Loyal Customers",H511&gt;=7,"Potential Loyal Customers",H511&gt;=4,"Need Attention",TRUE,"At Risk")</f>
        <v>Need Attention</v>
      </c>
    </row>
    <row r="512" spans="1:9" x14ac:dyDescent="0.25">
      <c r="A512" t="s">
        <v>3387</v>
      </c>
      <c r="B512" s="4">
        <v>603</v>
      </c>
      <c r="C512">
        <v>7</v>
      </c>
      <c r="D512">
        <v>251</v>
      </c>
      <c r="E512" cm="1">
        <f t="array" ref="E512">_xlfn.IFS(B512&lt;=_xlfn.PERCENTILE.INC($B$2:$B$726,0.2),5, B512&lt;=_xlfn.PERCENTILE.INC($B$2:$B$726,0.4),4,B512&lt;=_xlfn.PERCENTILE.INC($B$2:$B$726,0.6),3,B512&lt;=_xlfn.PERCENTILE.INC($B$2:$B$726,0.8),4,TRUE,1)</f>
        <v>4</v>
      </c>
      <c r="F512" cm="1">
        <f t="array" ref="F512">_xlfn.IFS(C512&gt;=_xlfn.PERCENTILE.INC($C$2:$C$726,0.8),5,C512&gt;=_xlfn.PERCENTILE.INC($C$2:$C$726,0.6),4,C512&gt;=_xlfn.PERCENTILE.INC($C$2:$C$726,0.4),3,C512&gt;=_xlfn.PERCENTILE.INC($C$2:$C$726,0.2),2,TRUE,1)</f>
        <v>4</v>
      </c>
      <c r="G512" cm="1">
        <f t="array" ref="G512">_xlfn.IFS(D512&gt;=_xlfn.PERCENTILE.INC($D$2:$D$726,0.8),5,D512&gt;=_xlfn.PERCENTILE.INC($D$2:$D$726,0.6),4,D512&gt;=_xlfn.PERCENTILE.INC($D$2:$D$726,0.4),3,D512&gt;=_xlfn.PERCENTILE.INC($D$2:$D$726,0.2),2,TRUE,1)</f>
        <v>3</v>
      </c>
      <c r="H512">
        <f t="shared" si="7"/>
        <v>11</v>
      </c>
      <c r="I512" t="str" cm="1">
        <f t="array" ref="I512">_xlfn.IFS(H512&gt;=13,"Best Customers",H512&gt;=10,"Loyal Customers",H512&gt;=7,"Potential Loyal Customers",H512&gt;=4,"Need Attention",TRUE,"At Risk")</f>
        <v>Loyal Customers</v>
      </c>
    </row>
    <row r="513" spans="1:9" x14ac:dyDescent="0.25">
      <c r="A513" t="s">
        <v>1318</v>
      </c>
      <c r="B513" s="4">
        <v>1158</v>
      </c>
      <c r="C513">
        <v>6</v>
      </c>
      <c r="D513">
        <v>386.40000000000003</v>
      </c>
      <c r="E513" cm="1">
        <f t="array" ref="E513">_xlfn.IFS(B513&lt;=_xlfn.PERCENTILE.INC($B$2:$B$726,0.2),5, B513&lt;=_xlfn.PERCENTILE.INC($B$2:$B$726,0.4),4,B513&lt;=_xlfn.PERCENTILE.INC($B$2:$B$726,0.6),3,B513&lt;=_xlfn.PERCENTILE.INC($B$2:$B$726,0.8),4,TRUE,1)</f>
        <v>1</v>
      </c>
      <c r="F513" cm="1">
        <f t="array" ref="F513">_xlfn.IFS(C513&gt;=_xlfn.PERCENTILE.INC($C$2:$C$726,0.8),5,C513&gt;=_xlfn.PERCENTILE.INC($C$2:$C$726,0.6),4,C513&gt;=_xlfn.PERCENTILE.INC($C$2:$C$726,0.4),3,C513&gt;=_xlfn.PERCENTILE.INC($C$2:$C$726,0.2),2,TRUE,1)</f>
        <v>4</v>
      </c>
      <c r="G513" cm="1">
        <f t="array" ref="G513">_xlfn.IFS(D513&gt;=_xlfn.PERCENTILE.INC($D$2:$D$726,0.8),5,D513&gt;=_xlfn.PERCENTILE.INC($D$2:$D$726,0.6),4,D513&gt;=_xlfn.PERCENTILE.INC($D$2:$D$726,0.4),3,D513&gt;=_xlfn.PERCENTILE.INC($D$2:$D$726,0.2),2,TRUE,1)</f>
        <v>4</v>
      </c>
      <c r="H513">
        <f t="shared" si="7"/>
        <v>9</v>
      </c>
      <c r="I513" t="str" cm="1">
        <f t="array" ref="I513">_xlfn.IFS(H513&gt;=13,"Best Customers",H513&gt;=10,"Loyal Customers",H513&gt;=7,"Potential Loyal Customers",H513&gt;=4,"Need Attention",TRUE,"At Risk")</f>
        <v>Potential Loyal Customers</v>
      </c>
    </row>
    <row r="514" spans="1:9" x14ac:dyDescent="0.25">
      <c r="A514" t="s">
        <v>541</v>
      </c>
      <c r="B514" s="4">
        <v>354</v>
      </c>
      <c r="C514">
        <v>8</v>
      </c>
      <c r="D514">
        <v>508.29999999999995</v>
      </c>
      <c r="E514" cm="1">
        <f t="array" ref="E514">_xlfn.IFS(B514&lt;=_xlfn.PERCENTILE.INC($B$2:$B$726,0.2),5, B514&lt;=_xlfn.PERCENTILE.INC($B$2:$B$726,0.4),4,B514&lt;=_xlfn.PERCENTILE.INC($B$2:$B$726,0.6),3,B514&lt;=_xlfn.PERCENTILE.INC($B$2:$B$726,0.8),4,TRUE,1)</f>
        <v>5</v>
      </c>
      <c r="F514" cm="1">
        <f t="array" ref="F514">_xlfn.IFS(C514&gt;=_xlfn.PERCENTILE.INC($C$2:$C$726,0.8),5,C514&gt;=_xlfn.PERCENTILE.INC($C$2:$C$726,0.6),4,C514&gt;=_xlfn.PERCENTILE.INC($C$2:$C$726,0.4),3,C514&gt;=_xlfn.PERCENTILE.INC($C$2:$C$726,0.2),2,TRUE,1)</f>
        <v>5</v>
      </c>
      <c r="G514" cm="1">
        <f t="array" ref="G514">_xlfn.IFS(D514&gt;=_xlfn.PERCENTILE.INC($D$2:$D$726,0.8),5,D514&gt;=_xlfn.PERCENTILE.INC($D$2:$D$726,0.6),4,D514&gt;=_xlfn.PERCENTILE.INC($D$2:$D$726,0.4),3,D514&gt;=_xlfn.PERCENTILE.INC($D$2:$D$726,0.2),2,TRUE,1)</f>
        <v>5</v>
      </c>
      <c r="H514">
        <f t="shared" si="7"/>
        <v>15</v>
      </c>
      <c r="I514" t="str" cm="1">
        <f t="array" ref="I514">_xlfn.IFS(H514&gt;=13,"Best Customers",H514&gt;=10,"Loyal Customers",H514&gt;=7,"Potential Loyal Customers",H514&gt;=4,"Need Attention",TRUE,"At Risk")</f>
        <v>Best Customers</v>
      </c>
    </row>
    <row r="515" spans="1:9" x14ac:dyDescent="0.25">
      <c r="A515" t="s">
        <v>3160</v>
      </c>
      <c r="B515" s="4">
        <v>548</v>
      </c>
      <c r="C515">
        <v>7</v>
      </c>
      <c r="D515">
        <v>328.5</v>
      </c>
      <c r="E515" cm="1">
        <f t="array" ref="E515">_xlfn.IFS(B515&lt;=_xlfn.PERCENTILE.INC($B$2:$B$726,0.2),5, B515&lt;=_xlfn.PERCENTILE.INC($B$2:$B$726,0.4),4,B515&lt;=_xlfn.PERCENTILE.INC($B$2:$B$726,0.6),3,B515&lt;=_xlfn.PERCENTILE.INC($B$2:$B$726,0.8),4,TRUE,1)</f>
        <v>3</v>
      </c>
      <c r="F515" cm="1">
        <f t="array" ref="F515">_xlfn.IFS(C515&gt;=_xlfn.PERCENTILE.INC($C$2:$C$726,0.8),5,C515&gt;=_xlfn.PERCENTILE.INC($C$2:$C$726,0.6),4,C515&gt;=_xlfn.PERCENTILE.INC($C$2:$C$726,0.4),3,C515&gt;=_xlfn.PERCENTILE.INC($C$2:$C$726,0.2),2,TRUE,1)</f>
        <v>4</v>
      </c>
      <c r="G515" cm="1">
        <f t="array" ref="G515">_xlfn.IFS(D515&gt;=_xlfn.PERCENTILE.INC($D$2:$D$726,0.8),5,D515&gt;=_xlfn.PERCENTILE.INC($D$2:$D$726,0.6),4,D515&gt;=_xlfn.PERCENTILE.INC($D$2:$D$726,0.4),3,D515&gt;=_xlfn.PERCENTILE.INC($D$2:$D$726,0.2),2,TRUE,1)</f>
        <v>4</v>
      </c>
      <c r="H515">
        <f t="shared" ref="H515:H578" si="8">SUM(E515,F515,G515)</f>
        <v>11</v>
      </c>
      <c r="I515" t="str" cm="1">
        <f t="array" ref="I515">_xlfn.IFS(H515&gt;=13,"Best Customers",H515&gt;=10,"Loyal Customers",H515&gt;=7,"Potential Loyal Customers",H515&gt;=4,"Need Attention",TRUE,"At Risk")</f>
        <v>Loyal Customers</v>
      </c>
    </row>
    <row r="516" spans="1:9" x14ac:dyDescent="0.25">
      <c r="A516" t="s">
        <v>2113</v>
      </c>
      <c r="B516" s="4">
        <v>745</v>
      </c>
      <c r="C516">
        <v>4</v>
      </c>
      <c r="D516">
        <v>256.39999999999998</v>
      </c>
      <c r="E516" cm="1">
        <f t="array" ref="E516">_xlfn.IFS(B516&lt;=_xlfn.PERCENTILE.INC($B$2:$B$726,0.2),5, B516&lt;=_xlfn.PERCENTILE.INC($B$2:$B$726,0.4),4,B516&lt;=_xlfn.PERCENTILE.INC($B$2:$B$726,0.6),3,B516&lt;=_xlfn.PERCENTILE.INC($B$2:$B$726,0.8),4,TRUE,1)</f>
        <v>4</v>
      </c>
      <c r="F516" cm="1">
        <f t="array" ref="F516">_xlfn.IFS(C516&gt;=_xlfn.PERCENTILE.INC($C$2:$C$726,0.8),5,C516&gt;=_xlfn.PERCENTILE.INC($C$2:$C$726,0.6),4,C516&gt;=_xlfn.PERCENTILE.INC($C$2:$C$726,0.4),3,C516&gt;=_xlfn.PERCENTILE.INC($C$2:$C$726,0.2),2,TRUE,1)</f>
        <v>2</v>
      </c>
      <c r="G516" cm="1">
        <f t="array" ref="G516">_xlfn.IFS(D516&gt;=_xlfn.PERCENTILE.INC($D$2:$D$726,0.8),5,D516&gt;=_xlfn.PERCENTILE.INC($D$2:$D$726,0.6),4,D516&gt;=_xlfn.PERCENTILE.INC($D$2:$D$726,0.4),3,D516&gt;=_xlfn.PERCENTILE.INC($D$2:$D$726,0.2),2,TRUE,1)</f>
        <v>3</v>
      </c>
      <c r="H516">
        <f t="shared" si="8"/>
        <v>9</v>
      </c>
      <c r="I516" t="str" cm="1">
        <f t="array" ref="I516">_xlfn.IFS(H516&gt;=13,"Best Customers",H516&gt;=10,"Loyal Customers",H516&gt;=7,"Potential Loyal Customers",H516&gt;=4,"Need Attention",TRUE,"At Risk")</f>
        <v>Potential Loyal Customers</v>
      </c>
    </row>
    <row r="517" spans="1:9" x14ac:dyDescent="0.25">
      <c r="A517" t="s">
        <v>2675</v>
      </c>
      <c r="B517" s="4">
        <v>341</v>
      </c>
      <c r="C517">
        <v>7</v>
      </c>
      <c r="D517">
        <v>417.70000000000005</v>
      </c>
      <c r="E517" cm="1">
        <f t="array" ref="E517">_xlfn.IFS(B517&lt;=_xlfn.PERCENTILE.INC($B$2:$B$726,0.2),5, B517&lt;=_xlfn.PERCENTILE.INC($B$2:$B$726,0.4),4,B517&lt;=_xlfn.PERCENTILE.INC($B$2:$B$726,0.6),3,B517&lt;=_xlfn.PERCENTILE.INC($B$2:$B$726,0.8),4,TRUE,1)</f>
        <v>5</v>
      </c>
      <c r="F517" cm="1">
        <f t="array" ref="F517">_xlfn.IFS(C517&gt;=_xlfn.PERCENTILE.INC($C$2:$C$726,0.8),5,C517&gt;=_xlfn.PERCENTILE.INC($C$2:$C$726,0.6),4,C517&gt;=_xlfn.PERCENTILE.INC($C$2:$C$726,0.4),3,C517&gt;=_xlfn.PERCENTILE.INC($C$2:$C$726,0.2),2,TRUE,1)</f>
        <v>4</v>
      </c>
      <c r="G517" cm="1">
        <f t="array" ref="G517">_xlfn.IFS(D517&gt;=_xlfn.PERCENTILE.INC($D$2:$D$726,0.8),5,D517&gt;=_xlfn.PERCENTILE.INC($D$2:$D$726,0.6),4,D517&gt;=_xlfn.PERCENTILE.INC($D$2:$D$726,0.4),3,D517&gt;=_xlfn.PERCENTILE.INC($D$2:$D$726,0.2),2,TRUE,1)</f>
        <v>5</v>
      </c>
      <c r="H517">
        <f t="shared" si="8"/>
        <v>14</v>
      </c>
      <c r="I517" t="str" cm="1">
        <f t="array" ref="I517">_xlfn.IFS(H517&gt;=13,"Best Customers",H517&gt;=10,"Loyal Customers",H517&gt;=7,"Potential Loyal Customers",H517&gt;=4,"Need Attention",TRUE,"At Risk")</f>
        <v>Best Customers</v>
      </c>
    </row>
    <row r="518" spans="1:9" x14ac:dyDescent="0.25">
      <c r="A518" t="s">
        <v>2171</v>
      </c>
      <c r="B518" s="4">
        <v>699</v>
      </c>
      <c r="C518">
        <v>6</v>
      </c>
      <c r="D518">
        <v>343.6</v>
      </c>
      <c r="E518" cm="1">
        <f t="array" ref="E518">_xlfn.IFS(B518&lt;=_xlfn.PERCENTILE.INC($B$2:$B$726,0.2),5, B518&lt;=_xlfn.PERCENTILE.INC($B$2:$B$726,0.4),4,B518&lt;=_xlfn.PERCENTILE.INC($B$2:$B$726,0.6),3,B518&lt;=_xlfn.PERCENTILE.INC($B$2:$B$726,0.8),4,TRUE,1)</f>
        <v>4</v>
      </c>
      <c r="F518" cm="1">
        <f t="array" ref="F518">_xlfn.IFS(C518&gt;=_xlfn.PERCENTILE.INC($C$2:$C$726,0.8),5,C518&gt;=_xlfn.PERCENTILE.INC($C$2:$C$726,0.6),4,C518&gt;=_xlfn.PERCENTILE.INC($C$2:$C$726,0.4),3,C518&gt;=_xlfn.PERCENTILE.INC($C$2:$C$726,0.2),2,TRUE,1)</f>
        <v>4</v>
      </c>
      <c r="G518" cm="1">
        <f t="array" ref="G518">_xlfn.IFS(D518&gt;=_xlfn.PERCENTILE.INC($D$2:$D$726,0.8),5,D518&gt;=_xlfn.PERCENTILE.INC($D$2:$D$726,0.6),4,D518&gt;=_xlfn.PERCENTILE.INC($D$2:$D$726,0.4),3,D518&gt;=_xlfn.PERCENTILE.INC($D$2:$D$726,0.2),2,TRUE,1)</f>
        <v>4</v>
      </c>
      <c r="H518">
        <f t="shared" si="8"/>
        <v>12</v>
      </c>
      <c r="I518" t="str" cm="1">
        <f t="array" ref="I518">_xlfn.IFS(H518&gt;=13,"Best Customers",H518&gt;=10,"Loyal Customers",H518&gt;=7,"Potential Loyal Customers",H518&gt;=4,"Need Attention",TRUE,"At Risk")</f>
        <v>Loyal Customers</v>
      </c>
    </row>
    <row r="519" spans="1:9" x14ac:dyDescent="0.25">
      <c r="A519" t="s">
        <v>2605</v>
      </c>
      <c r="B519" s="4">
        <v>742</v>
      </c>
      <c r="C519">
        <v>2</v>
      </c>
      <c r="D519">
        <v>42.8</v>
      </c>
      <c r="E519" cm="1">
        <f t="array" ref="E519">_xlfn.IFS(B519&lt;=_xlfn.PERCENTILE.INC($B$2:$B$726,0.2),5, B519&lt;=_xlfn.PERCENTILE.INC($B$2:$B$726,0.4),4,B519&lt;=_xlfn.PERCENTILE.INC($B$2:$B$726,0.6),3,B519&lt;=_xlfn.PERCENTILE.INC($B$2:$B$726,0.8),4,TRUE,1)</f>
        <v>4</v>
      </c>
      <c r="F519" cm="1">
        <f t="array" ref="F519">_xlfn.IFS(C519&gt;=_xlfn.PERCENTILE.INC($C$2:$C$726,0.8),5,C519&gt;=_xlfn.PERCENTILE.INC($C$2:$C$726,0.6),4,C519&gt;=_xlfn.PERCENTILE.INC($C$2:$C$726,0.4),3,C519&gt;=_xlfn.PERCENTILE.INC($C$2:$C$726,0.2),2,TRUE,1)</f>
        <v>1</v>
      </c>
      <c r="G519" cm="1">
        <f t="array" ref="G519">_xlfn.IFS(D519&gt;=_xlfn.PERCENTILE.INC($D$2:$D$726,0.8),5,D519&gt;=_xlfn.PERCENTILE.INC($D$2:$D$726,0.6),4,D519&gt;=_xlfn.PERCENTILE.INC($D$2:$D$726,0.4),3,D519&gt;=_xlfn.PERCENTILE.INC($D$2:$D$726,0.2),2,TRUE,1)</f>
        <v>1</v>
      </c>
      <c r="H519">
        <f t="shared" si="8"/>
        <v>6</v>
      </c>
      <c r="I519" t="str" cm="1">
        <f t="array" ref="I519">_xlfn.IFS(H519&gt;=13,"Best Customers",H519&gt;=10,"Loyal Customers",H519&gt;=7,"Potential Loyal Customers",H519&gt;=4,"Need Attention",TRUE,"At Risk")</f>
        <v>Need Attention</v>
      </c>
    </row>
    <row r="520" spans="1:9" x14ac:dyDescent="0.25">
      <c r="A520" t="s">
        <v>1420</v>
      </c>
      <c r="B520" s="4">
        <v>491</v>
      </c>
      <c r="C520">
        <v>5</v>
      </c>
      <c r="D520">
        <v>219.9</v>
      </c>
      <c r="E520" cm="1">
        <f t="array" ref="E520">_xlfn.IFS(B520&lt;=_xlfn.PERCENTILE.INC($B$2:$B$726,0.2),5, B520&lt;=_xlfn.PERCENTILE.INC($B$2:$B$726,0.4),4,B520&lt;=_xlfn.PERCENTILE.INC($B$2:$B$726,0.6),3,B520&lt;=_xlfn.PERCENTILE.INC($B$2:$B$726,0.8),4,TRUE,1)</f>
        <v>3</v>
      </c>
      <c r="F520" cm="1">
        <f t="array" ref="F520">_xlfn.IFS(C520&gt;=_xlfn.PERCENTILE.INC($C$2:$C$726,0.8),5,C520&gt;=_xlfn.PERCENTILE.INC($C$2:$C$726,0.6),4,C520&gt;=_xlfn.PERCENTILE.INC($C$2:$C$726,0.4),3,C520&gt;=_xlfn.PERCENTILE.INC($C$2:$C$726,0.2),2,TRUE,1)</f>
        <v>3</v>
      </c>
      <c r="G520" cm="1">
        <f t="array" ref="G520">_xlfn.IFS(D520&gt;=_xlfn.PERCENTILE.INC($D$2:$D$726,0.8),5,D520&gt;=_xlfn.PERCENTILE.INC($D$2:$D$726,0.6),4,D520&gt;=_xlfn.PERCENTILE.INC($D$2:$D$726,0.4),3,D520&gt;=_xlfn.PERCENTILE.INC($D$2:$D$726,0.2),2,TRUE,1)</f>
        <v>2</v>
      </c>
      <c r="H520">
        <f t="shared" si="8"/>
        <v>8</v>
      </c>
      <c r="I520" t="str" cm="1">
        <f t="array" ref="I520">_xlfn.IFS(H520&gt;=13,"Best Customers",H520&gt;=10,"Loyal Customers",H520&gt;=7,"Potential Loyal Customers",H520&gt;=4,"Need Attention",TRUE,"At Risk")</f>
        <v>Potential Loyal Customers</v>
      </c>
    </row>
    <row r="521" spans="1:9" x14ac:dyDescent="0.25">
      <c r="A521" t="s">
        <v>3211</v>
      </c>
      <c r="B521" s="4">
        <v>431</v>
      </c>
      <c r="C521">
        <v>5</v>
      </c>
      <c r="D521">
        <v>243</v>
      </c>
      <c r="E521" cm="1">
        <f t="array" ref="E521">_xlfn.IFS(B521&lt;=_xlfn.PERCENTILE.INC($B$2:$B$726,0.2),5, B521&lt;=_xlfn.PERCENTILE.INC($B$2:$B$726,0.4),4,B521&lt;=_xlfn.PERCENTILE.INC($B$2:$B$726,0.6),3,B521&lt;=_xlfn.PERCENTILE.INC($B$2:$B$726,0.8),4,TRUE,1)</f>
        <v>4</v>
      </c>
      <c r="F521" cm="1">
        <f t="array" ref="F521">_xlfn.IFS(C521&gt;=_xlfn.PERCENTILE.INC($C$2:$C$726,0.8),5,C521&gt;=_xlfn.PERCENTILE.INC($C$2:$C$726,0.6),4,C521&gt;=_xlfn.PERCENTILE.INC($C$2:$C$726,0.4),3,C521&gt;=_xlfn.PERCENTILE.INC($C$2:$C$726,0.2),2,TRUE,1)</f>
        <v>3</v>
      </c>
      <c r="G521" cm="1">
        <f t="array" ref="G521">_xlfn.IFS(D521&gt;=_xlfn.PERCENTILE.INC($D$2:$D$726,0.8),5,D521&gt;=_xlfn.PERCENTILE.INC($D$2:$D$726,0.6),4,D521&gt;=_xlfn.PERCENTILE.INC($D$2:$D$726,0.4),3,D521&gt;=_xlfn.PERCENTILE.INC($D$2:$D$726,0.2),2,TRUE,1)</f>
        <v>3</v>
      </c>
      <c r="H521">
        <f t="shared" si="8"/>
        <v>10</v>
      </c>
      <c r="I521" t="str" cm="1">
        <f t="array" ref="I521">_xlfn.IFS(H521&gt;=13,"Best Customers",H521&gt;=10,"Loyal Customers",H521&gt;=7,"Potential Loyal Customers",H521&gt;=4,"Need Attention",TRUE,"At Risk")</f>
        <v>Loyal Customers</v>
      </c>
    </row>
    <row r="522" spans="1:9" x14ac:dyDescent="0.25">
      <c r="A522" t="s">
        <v>742</v>
      </c>
      <c r="B522" s="4">
        <v>393</v>
      </c>
      <c r="C522">
        <v>8</v>
      </c>
      <c r="D522">
        <v>289.2</v>
      </c>
      <c r="E522" cm="1">
        <f t="array" ref="E522">_xlfn.IFS(B522&lt;=_xlfn.PERCENTILE.INC($B$2:$B$726,0.2),5, B522&lt;=_xlfn.PERCENTILE.INC($B$2:$B$726,0.4),4,B522&lt;=_xlfn.PERCENTILE.INC($B$2:$B$726,0.6),3,B522&lt;=_xlfn.PERCENTILE.INC($B$2:$B$726,0.8),4,TRUE,1)</f>
        <v>4</v>
      </c>
      <c r="F522" cm="1">
        <f t="array" ref="F522">_xlfn.IFS(C522&gt;=_xlfn.PERCENTILE.INC($C$2:$C$726,0.8),5,C522&gt;=_xlfn.PERCENTILE.INC($C$2:$C$726,0.6),4,C522&gt;=_xlfn.PERCENTILE.INC($C$2:$C$726,0.4),3,C522&gt;=_xlfn.PERCENTILE.INC($C$2:$C$726,0.2),2,TRUE,1)</f>
        <v>5</v>
      </c>
      <c r="G522" cm="1">
        <f t="array" ref="G522">_xlfn.IFS(D522&gt;=_xlfn.PERCENTILE.INC($D$2:$D$726,0.8),5,D522&gt;=_xlfn.PERCENTILE.INC($D$2:$D$726,0.6),4,D522&gt;=_xlfn.PERCENTILE.INC($D$2:$D$726,0.4),3,D522&gt;=_xlfn.PERCENTILE.INC($D$2:$D$726,0.2),2,TRUE,1)</f>
        <v>3</v>
      </c>
      <c r="H522">
        <f t="shared" si="8"/>
        <v>12</v>
      </c>
      <c r="I522" t="str" cm="1">
        <f t="array" ref="I522">_xlfn.IFS(H522&gt;=13,"Best Customers",H522&gt;=10,"Loyal Customers",H522&gt;=7,"Potential Loyal Customers",H522&gt;=4,"Need Attention",TRUE,"At Risk")</f>
        <v>Loyal Customers</v>
      </c>
    </row>
    <row r="523" spans="1:9" x14ac:dyDescent="0.25">
      <c r="A523" t="s">
        <v>664</v>
      </c>
      <c r="B523" s="4">
        <v>966</v>
      </c>
      <c r="C523">
        <v>3</v>
      </c>
      <c r="D523">
        <v>155.30000000000001</v>
      </c>
      <c r="E523" cm="1">
        <f t="array" ref="E523">_xlfn.IFS(B523&lt;=_xlfn.PERCENTILE.INC($B$2:$B$726,0.2),5, B523&lt;=_xlfn.PERCENTILE.INC($B$2:$B$726,0.4),4,B523&lt;=_xlfn.PERCENTILE.INC($B$2:$B$726,0.6),3,B523&lt;=_xlfn.PERCENTILE.INC($B$2:$B$726,0.8),4,TRUE,1)</f>
        <v>1</v>
      </c>
      <c r="F523" cm="1">
        <f t="array" ref="F523">_xlfn.IFS(C523&gt;=_xlfn.PERCENTILE.INC($C$2:$C$726,0.8),5,C523&gt;=_xlfn.PERCENTILE.INC($C$2:$C$726,0.6),4,C523&gt;=_xlfn.PERCENTILE.INC($C$2:$C$726,0.4),3,C523&gt;=_xlfn.PERCENTILE.INC($C$2:$C$726,0.2),2,TRUE,1)</f>
        <v>1</v>
      </c>
      <c r="G523" cm="1">
        <f t="array" ref="G523">_xlfn.IFS(D523&gt;=_xlfn.PERCENTILE.INC($D$2:$D$726,0.8),5,D523&gt;=_xlfn.PERCENTILE.INC($D$2:$D$726,0.6),4,D523&gt;=_xlfn.PERCENTILE.INC($D$2:$D$726,0.4),3,D523&gt;=_xlfn.PERCENTILE.INC($D$2:$D$726,0.2),2,TRUE,1)</f>
        <v>2</v>
      </c>
      <c r="H523">
        <f t="shared" si="8"/>
        <v>4</v>
      </c>
      <c r="I523" t="str" cm="1">
        <f t="array" ref="I523">_xlfn.IFS(H523&gt;=13,"Best Customers",H523&gt;=10,"Loyal Customers",H523&gt;=7,"Potential Loyal Customers",H523&gt;=4,"Need Attention",TRUE,"At Risk")</f>
        <v>Need Attention</v>
      </c>
    </row>
    <row r="524" spans="1:9" x14ac:dyDescent="0.25">
      <c r="A524" t="s">
        <v>1357</v>
      </c>
      <c r="B524" s="4">
        <v>398</v>
      </c>
      <c r="C524">
        <v>8</v>
      </c>
      <c r="D524">
        <v>358.9</v>
      </c>
      <c r="E524" cm="1">
        <f t="array" ref="E524">_xlfn.IFS(B524&lt;=_xlfn.PERCENTILE.INC($B$2:$B$726,0.2),5, B524&lt;=_xlfn.PERCENTILE.INC($B$2:$B$726,0.4),4,B524&lt;=_xlfn.PERCENTILE.INC($B$2:$B$726,0.6),3,B524&lt;=_xlfn.PERCENTILE.INC($B$2:$B$726,0.8),4,TRUE,1)</f>
        <v>4</v>
      </c>
      <c r="F524" cm="1">
        <f t="array" ref="F524">_xlfn.IFS(C524&gt;=_xlfn.PERCENTILE.INC($C$2:$C$726,0.8),5,C524&gt;=_xlfn.PERCENTILE.INC($C$2:$C$726,0.6),4,C524&gt;=_xlfn.PERCENTILE.INC($C$2:$C$726,0.4),3,C524&gt;=_xlfn.PERCENTILE.INC($C$2:$C$726,0.2),2,TRUE,1)</f>
        <v>5</v>
      </c>
      <c r="G524" cm="1">
        <f t="array" ref="G524">_xlfn.IFS(D524&gt;=_xlfn.PERCENTILE.INC($D$2:$D$726,0.8),5,D524&gt;=_xlfn.PERCENTILE.INC($D$2:$D$726,0.6),4,D524&gt;=_xlfn.PERCENTILE.INC($D$2:$D$726,0.4),3,D524&gt;=_xlfn.PERCENTILE.INC($D$2:$D$726,0.2),2,TRUE,1)</f>
        <v>4</v>
      </c>
      <c r="H524">
        <f t="shared" si="8"/>
        <v>13</v>
      </c>
      <c r="I524" t="str" cm="1">
        <f t="array" ref="I524">_xlfn.IFS(H524&gt;=13,"Best Customers",H524&gt;=10,"Loyal Customers",H524&gt;=7,"Potential Loyal Customers",H524&gt;=4,"Need Attention",TRUE,"At Risk")</f>
        <v>Best Customers</v>
      </c>
    </row>
    <row r="525" spans="1:9" x14ac:dyDescent="0.25">
      <c r="A525" t="s">
        <v>1921</v>
      </c>
      <c r="B525" s="4">
        <v>527</v>
      </c>
      <c r="C525">
        <v>5</v>
      </c>
      <c r="D525">
        <v>432.3</v>
      </c>
      <c r="E525" cm="1">
        <f t="array" ref="E525">_xlfn.IFS(B525&lt;=_xlfn.PERCENTILE.INC($B$2:$B$726,0.2),5, B525&lt;=_xlfn.PERCENTILE.INC($B$2:$B$726,0.4),4,B525&lt;=_xlfn.PERCENTILE.INC($B$2:$B$726,0.6),3,B525&lt;=_xlfn.PERCENTILE.INC($B$2:$B$726,0.8),4,TRUE,1)</f>
        <v>3</v>
      </c>
      <c r="F525" cm="1">
        <f t="array" ref="F525">_xlfn.IFS(C525&gt;=_xlfn.PERCENTILE.INC($C$2:$C$726,0.8),5,C525&gt;=_xlfn.PERCENTILE.INC($C$2:$C$726,0.6),4,C525&gt;=_xlfn.PERCENTILE.INC($C$2:$C$726,0.4),3,C525&gt;=_xlfn.PERCENTILE.INC($C$2:$C$726,0.2),2,TRUE,1)</f>
        <v>3</v>
      </c>
      <c r="G525" cm="1">
        <f t="array" ref="G525">_xlfn.IFS(D525&gt;=_xlfn.PERCENTILE.INC($D$2:$D$726,0.8),5,D525&gt;=_xlfn.PERCENTILE.INC($D$2:$D$726,0.6),4,D525&gt;=_xlfn.PERCENTILE.INC($D$2:$D$726,0.4),3,D525&gt;=_xlfn.PERCENTILE.INC($D$2:$D$726,0.2),2,TRUE,1)</f>
        <v>5</v>
      </c>
      <c r="H525">
        <f t="shared" si="8"/>
        <v>11</v>
      </c>
      <c r="I525" t="str" cm="1">
        <f t="array" ref="I525">_xlfn.IFS(H525&gt;=13,"Best Customers",H525&gt;=10,"Loyal Customers",H525&gt;=7,"Potential Loyal Customers",H525&gt;=4,"Need Attention",TRUE,"At Risk")</f>
        <v>Loyal Customers</v>
      </c>
    </row>
    <row r="526" spans="1:9" x14ac:dyDescent="0.25">
      <c r="A526" t="s">
        <v>1797</v>
      </c>
      <c r="B526" s="4">
        <v>456</v>
      </c>
      <c r="C526">
        <v>11</v>
      </c>
      <c r="D526">
        <v>493.00000000000006</v>
      </c>
      <c r="E526" cm="1">
        <f t="array" ref="E526">_xlfn.IFS(B526&lt;=_xlfn.PERCENTILE.INC($B$2:$B$726,0.2),5, B526&lt;=_xlfn.PERCENTILE.INC($B$2:$B$726,0.4),4,B526&lt;=_xlfn.PERCENTILE.INC($B$2:$B$726,0.6),3,B526&lt;=_xlfn.PERCENTILE.INC($B$2:$B$726,0.8),4,TRUE,1)</f>
        <v>4</v>
      </c>
      <c r="F526" cm="1">
        <f t="array" ref="F526">_xlfn.IFS(C526&gt;=_xlfn.PERCENTILE.INC($C$2:$C$726,0.8),5,C526&gt;=_xlfn.PERCENTILE.INC($C$2:$C$726,0.6),4,C526&gt;=_xlfn.PERCENTILE.INC($C$2:$C$726,0.4),3,C526&gt;=_xlfn.PERCENTILE.INC($C$2:$C$726,0.2),2,TRUE,1)</f>
        <v>5</v>
      </c>
      <c r="G526" cm="1">
        <f t="array" ref="G526">_xlfn.IFS(D526&gt;=_xlfn.PERCENTILE.INC($D$2:$D$726,0.8),5,D526&gt;=_xlfn.PERCENTILE.INC($D$2:$D$726,0.6),4,D526&gt;=_xlfn.PERCENTILE.INC($D$2:$D$726,0.4),3,D526&gt;=_xlfn.PERCENTILE.INC($D$2:$D$726,0.2),2,TRUE,1)</f>
        <v>5</v>
      </c>
      <c r="H526">
        <f t="shared" si="8"/>
        <v>14</v>
      </c>
      <c r="I526" t="str" cm="1">
        <f t="array" ref="I526">_xlfn.IFS(H526&gt;=13,"Best Customers",H526&gt;=10,"Loyal Customers",H526&gt;=7,"Potential Loyal Customers",H526&gt;=4,"Need Attention",TRUE,"At Risk")</f>
        <v>Best Customers</v>
      </c>
    </row>
    <row r="527" spans="1:9" x14ac:dyDescent="0.25">
      <c r="A527" t="s">
        <v>1250</v>
      </c>
      <c r="B527" s="4">
        <v>769</v>
      </c>
      <c r="C527">
        <v>6</v>
      </c>
      <c r="D527">
        <v>375.09999999999997</v>
      </c>
      <c r="E527" cm="1">
        <f t="array" ref="E527">_xlfn.IFS(B527&lt;=_xlfn.PERCENTILE.INC($B$2:$B$726,0.2),5, B527&lt;=_xlfn.PERCENTILE.INC($B$2:$B$726,0.4),4,B527&lt;=_xlfn.PERCENTILE.INC($B$2:$B$726,0.6),3,B527&lt;=_xlfn.PERCENTILE.INC($B$2:$B$726,0.8),4,TRUE,1)</f>
        <v>1</v>
      </c>
      <c r="F527" cm="1">
        <f t="array" ref="F527">_xlfn.IFS(C527&gt;=_xlfn.PERCENTILE.INC($C$2:$C$726,0.8),5,C527&gt;=_xlfn.PERCENTILE.INC($C$2:$C$726,0.6),4,C527&gt;=_xlfn.PERCENTILE.INC($C$2:$C$726,0.4),3,C527&gt;=_xlfn.PERCENTILE.INC($C$2:$C$726,0.2),2,TRUE,1)</f>
        <v>4</v>
      </c>
      <c r="G527" cm="1">
        <f t="array" ref="G527">_xlfn.IFS(D527&gt;=_xlfn.PERCENTILE.INC($D$2:$D$726,0.8),5,D527&gt;=_xlfn.PERCENTILE.INC($D$2:$D$726,0.6),4,D527&gt;=_xlfn.PERCENTILE.INC($D$2:$D$726,0.4),3,D527&gt;=_xlfn.PERCENTILE.INC($D$2:$D$726,0.2),2,TRUE,1)</f>
        <v>4</v>
      </c>
      <c r="H527">
        <f t="shared" si="8"/>
        <v>9</v>
      </c>
      <c r="I527" t="str" cm="1">
        <f t="array" ref="I527">_xlfn.IFS(H527&gt;=13,"Best Customers",H527&gt;=10,"Loyal Customers",H527&gt;=7,"Potential Loyal Customers",H527&gt;=4,"Need Attention",TRUE,"At Risk")</f>
        <v>Potential Loyal Customers</v>
      </c>
    </row>
    <row r="528" spans="1:9" x14ac:dyDescent="0.25">
      <c r="A528" t="s">
        <v>1604</v>
      </c>
      <c r="B528" s="4">
        <v>343</v>
      </c>
      <c r="C528">
        <v>6</v>
      </c>
      <c r="D528">
        <v>156.60000000000002</v>
      </c>
      <c r="E528" cm="1">
        <f t="array" ref="E528">_xlfn.IFS(B528&lt;=_xlfn.PERCENTILE.INC($B$2:$B$726,0.2),5, B528&lt;=_xlfn.PERCENTILE.INC($B$2:$B$726,0.4),4,B528&lt;=_xlfn.PERCENTILE.INC($B$2:$B$726,0.6),3,B528&lt;=_xlfn.PERCENTILE.INC($B$2:$B$726,0.8),4,TRUE,1)</f>
        <v>5</v>
      </c>
      <c r="F528" cm="1">
        <f t="array" ref="F528">_xlfn.IFS(C528&gt;=_xlfn.PERCENTILE.INC($C$2:$C$726,0.8),5,C528&gt;=_xlfn.PERCENTILE.INC($C$2:$C$726,0.6),4,C528&gt;=_xlfn.PERCENTILE.INC($C$2:$C$726,0.4),3,C528&gt;=_xlfn.PERCENTILE.INC($C$2:$C$726,0.2),2,TRUE,1)</f>
        <v>4</v>
      </c>
      <c r="G528" cm="1">
        <f t="array" ref="G528">_xlfn.IFS(D528&gt;=_xlfn.PERCENTILE.INC($D$2:$D$726,0.8),5,D528&gt;=_xlfn.PERCENTILE.INC($D$2:$D$726,0.6),4,D528&gt;=_xlfn.PERCENTILE.INC($D$2:$D$726,0.4),3,D528&gt;=_xlfn.PERCENTILE.INC($D$2:$D$726,0.2),2,TRUE,1)</f>
        <v>2</v>
      </c>
      <c r="H528">
        <f t="shared" si="8"/>
        <v>11</v>
      </c>
      <c r="I528" t="str" cm="1">
        <f t="array" ref="I528">_xlfn.IFS(H528&gt;=13,"Best Customers",H528&gt;=10,"Loyal Customers",H528&gt;=7,"Potential Loyal Customers",H528&gt;=4,"Need Attention",TRUE,"At Risk")</f>
        <v>Loyal Customers</v>
      </c>
    </row>
    <row r="529" spans="1:9" x14ac:dyDescent="0.25">
      <c r="A529" t="s">
        <v>2198</v>
      </c>
      <c r="B529" s="4">
        <v>416</v>
      </c>
      <c r="C529">
        <v>10</v>
      </c>
      <c r="D529">
        <v>209.9</v>
      </c>
      <c r="E529" cm="1">
        <f t="array" ref="E529">_xlfn.IFS(B529&lt;=_xlfn.PERCENTILE.INC($B$2:$B$726,0.2),5, B529&lt;=_xlfn.PERCENTILE.INC($B$2:$B$726,0.4),4,B529&lt;=_xlfn.PERCENTILE.INC($B$2:$B$726,0.6),3,B529&lt;=_xlfn.PERCENTILE.INC($B$2:$B$726,0.8),4,TRUE,1)</f>
        <v>4</v>
      </c>
      <c r="F529" cm="1">
        <f t="array" ref="F529">_xlfn.IFS(C529&gt;=_xlfn.PERCENTILE.INC($C$2:$C$726,0.8),5,C529&gt;=_xlfn.PERCENTILE.INC($C$2:$C$726,0.6),4,C529&gt;=_xlfn.PERCENTILE.INC($C$2:$C$726,0.4),3,C529&gt;=_xlfn.PERCENTILE.INC($C$2:$C$726,0.2),2,TRUE,1)</f>
        <v>5</v>
      </c>
      <c r="G529" cm="1">
        <f t="array" ref="G529">_xlfn.IFS(D529&gt;=_xlfn.PERCENTILE.INC($D$2:$D$726,0.8),5,D529&gt;=_xlfn.PERCENTILE.INC($D$2:$D$726,0.6),4,D529&gt;=_xlfn.PERCENTILE.INC($D$2:$D$726,0.4),3,D529&gt;=_xlfn.PERCENTILE.INC($D$2:$D$726,0.2),2,TRUE,1)</f>
        <v>2</v>
      </c>
      <c r="H529">
        <f t="shared" si="8"/>
        <v>11</v>
      </c>
      <c r="I529" t="str" cm="1">
        <f t="array" ref="I529">_xlfn.IFS(H529&gt;=13,"Best Customers",H529&gt;=10,"Loyal Customers",H529&gt;=7,"Potential Loyal Customers",H529&gt;=4,"Need Attention",TRUE,"At Risk")</f>
        <v>Loyal Customers</v>
      </c>
    </row>
    <row r="530" spans="1:9" x14ac:dyDescent="0.25">
      <c r="A530" t="s">
        <v>1579</v>
      </c>
      <c r="B530" s="4">
        <v>408</v>
      </c>
      <c r="C530">
        <v>5</v>
      </c>
      <c r="D530">
        <v>285.5</v>
      </c>
      <c r="E530" cm="1">
        <f t="array" ref="E530">_xlfn.IFS(B530&lt;=_xlfn.PERCENTILE.INC($B$2:$B$726,0.2),5, B530&lt;=_xlfn.PERCENTILE.INC($B$2:$B$726,0.4),4,B530&lt;=_xlfn.PERCENTILE.INC($B$2:$B$726,0.6),3,B530&lt;=_xlfn.PERCENTILE.INC($B$2:$B$726,0.8),4,TRUE,1)</f>
        <v>4</v>
      </c>
      <c r="F530" cm="1">
        <f t="array" ref="F530">_xlfn.IFS(C530&gt;=_xlfn.PERCENTILE.INC($C$2:$C$726,0.8),5,C530&gt;=_xlfn.PERCENTILE.INC($C$2:$C$726,0.6),4,C530&gt;=_xlfn.PERCENTILE.INC($C$2:$C$726,0.4),3,C530&gt;=_xlfn.PERCENTILE.INC($C$2:$C$726,0.2),2,TRUE,1)</f>
        <v>3</v>
      </c>
      <c r="G530" cm="1">
        <f t="array" ref="G530">_xlfn.IFS(D530&gt;=_xlfn.PERCENTILE.INC($D$2:$D$726,0.8),5,D530&gt;=_xlfn.PERCENTILE.INC($D$2:$D$726,0.6),4,D530&gt;=_xlfn.PERCENTILE.INC($D$2:$D$726,0.4),3,D530&gt;=_xlfn.PERCENTILE.INC($D$2:$D$726,0.2),2,TRUE,1)</f>
        <v>3</v>
      </c>
      <c r="H530">
        <f t="shared" si="8"/>
        <v>10</v>
      </c>
      <c r="I530" t="str" cm="1">
        <f t="array" ref="I530">_xlfn.IFS(H530&gt;=13,"Best Customers",H530&gt;=10,"Loyal Customers",H530&gt;=7,"Potential Loyal Customers",H530&gt;=4,"Need Attention",TRUE,"At Risk")</f>
        <v>Loyal Customers</v>
      </c>
    </row>
    <row r="531" spans="1:9" x14ac:dyDescent="0.25">
      <c r="A531" t="s">
        <v>2152</v>
      </c>
      <c r="B531" s="4">
        <v>357</v>
      </c>
      <c r="C531">
        <v>8</v>
      </c>
      <c r="D531">
        <v>375.99999999999994</v>
      </c>
      <c r="E531" cm="1">
        <f t="array" ref="E531">_xlfn.IFS(B531&lt;=_xlfn.PERCENTILE.INC($B$2:$B$726,0.2),5, B531&lt;=_xlfn.PERCENTILE.INC($B$2:$B$726,0.4),4,B531&lt;=_xlfn.PERCENTILE.INC($B$2:$B$726,0.6),3,B531&lt;=_xlfn.PERCENTILE.INC($B$2:$B$726,0.8),4,TRUE,1)</f>
        <v>5</v>
      </c>
      <c r="F531" cm="1">
        <f t="array" ref="F531">_xlfn.IFS(C531&gt;=_xlfn.PERCENTILE.INC($C$2:$C$726,0.8),5,C531&gt;=_xlfn.PERCENTILE.INC($C$2:$C$726,0.6),4,C531&gt;=_xlfn.PERCENTILE.INC($C$2:$C$726,0.4),3,C531&gt;=_xlfn.PERCENTILE.INC($C$2:$C$726,0.2),2,TRUE,1)</f>
        <v>5</v>
      </c>
      <c r="G531" cm="1">
        <f t="array" ref="G531">_xlfn.IFS(D531&gt;=_xlfn.PERCENTILE.INC($D$2:$D$726,0.8),5,D531&gt;=_xlfn.PERCENTILE.INC($D$2:$D$726,0.6),4,D531&gt;=_xlfn.PERCENTILE.INC($D$2:$D$726,0.4),3,D531&gt;=_xlfn.PERCENTILE.INC($D$2:$D$726,0.2),2,TRUE,1)</f>
        <v>4</v>
      </c>
      <c r="H531">
        <f t="shared" si="8"/>
        <v>14</v>
      </c>
      <c r="I531" t="str" cm="1">
        <f t="array" ref="I531">_xlfn.IFS(H531&gt;=13,"Best Customers",H531&gt;=10,"Loyal Customers",H531&gt;=7,"Potential Loyal Customers",H531&gt;=4,"Need Attention",TRUE,"At Risk")</f>
        <v>Best Customers</v>
      </c>
    </row>
    <row r="532" spans="1:9" x14ac:dyDescent="0.25">
      <c r="A532" t="s">
        <v>1567</v>
      </c>
      <c r="B532" s="4">
        <v>499</v>
      </c>
      <c r="C532">
        <v>5</v>
      </c>
      <c r="D532">
        <v>310</v>
      </c>
      <c r="E532" cm="1">
        <f t="array" ref="E532">_xlfn.IFS(B532&lt;=_xlfn.PERCENTILE.INC($B$2:$B$726,0.2),5, B532&lt;=_xlfn.PERCENTILE.INC($B$2:$B$726,0.4),4,B532&lt;=_xlfn.PERCENTILE.INC($B$2:$B$726,0.6),3,B532&lt;=_xlfn.PERCENTILE.INC($B$2:$B$726,0.8),4,TRUE,1)</f>
        <v>3</v>
      </c>
      <c r="F532" cm="1">
        <f t="array" ref="F532">_xlfn.IFS(C532&gt;=_xlfn.PERCENTILE.INC($C$2:$C$726,0.8),5,C532&gt;=_xlfn.PERCENTILE.INC($C$2:$C$726,0.6),4,C532&gt;=_xlfn.PERCENTILE.INC($C$2:$C$726,0.4),3,C532&gt;=_xlfn.PERCENTILE.INC($C$2:$C$726,0.2),2,TRUE,1)</f>
        <v>3</v>
      </c>
      <c r="G532" cm="1">
        <f t="array" ref="G532">_xlfn.IFS(D532&gt;=_xlfn.PERCENTILE.INC($D$2:$D$726,0.8),5,D532&gt;=_xlfn.PERCENTILE.INC($D$2:$D$726,0.6),4,D532&gt;=_xlfn.PERCENTILE.INC($D$2:$D$726,0.4),3,D532&gt;=_xlfn.PERCENTILE.INC($D$2:$D$726,0.2),2,TRUE,1)</f>
        <v>3</v>
      </c>
      <c r="H532">
        <f t="shared" si="8"/>
        <v>9</v>
      </c>
      <c r="I532" t="str" cm="1">
        <f t="array" ref="I532">_xlfn.IFS(H532&gt;=13,"Best Customers",H532&gt;=10,"Loyal Customers",H532&gt;=7,"Potential Loyal Customers",H532&gt;=4,"Need Attention",TRUE,"At Risk")</f>
        <v>Potential Loyal Customers</v>
      </c>
    </row>
    <row r="533" spans="1:9" x14ac:dyDescent="0.25">
      <c r="A533" t="s">
        <v>981</v>
      </c>
      <c r="B533" s="4">
        <v>350</v>
      </c>
      <c r="C533">
        <v>8</v>
      </c>
      <c r="D533">
        <v>395.80000000000007</v>
      </c>
      <c r="E533" cm="1">
        <f t="array" ref="E533">_xlfn.IFS(B533&lt;=_xlfn.PERCENTILE.INC($B$2:$B$726,0.2),5, B533&lt;=_xlfn.PERCENTILE.INC($B$2:$B$726,0.4),4,B533&lt;=_xlfn.PERCENTILE.INC($B$2:$B$726,0.6),3,B533&lt;=_xlfn.PERCENTILE.INC($B$2:$B$726,0.8),4,TRUE,1)</f>
        <v>5</v>
      </c>
      <c r="F533" cm="1">
        <f t="array" ref="F533">_xlfn.IFS(C533&gt;=_xlfn.PERCENTILE.INC($C$2:$C$726,0.8),5,C533&gt;=_xlfn.PERCENTILE.INC($C$2:$C$726,0.6),4,C533&gt;=_xlfn.PERCENTILE.INC($C$2:$C$726,0.4),3,C533&gt;=_xlfn.PERCENTILE.INC($C$2:$C$726,0.2),2,TRUE,1)</f>
        <v>5</v>
      </c>
      <c r="G533" cm="1">
        <f t="array" ref="G533">_xlfn.IFS(D533&gt;=_xlfn.PERCENTILE.INC($D$2:$D$726,0.8),5,D533&gt;=_xlfn.PERCENTILE.INC($D$2:$D$726,0.6),4,D533&gt;=_xlfn.PERCENTILE.INC($D$2:$D$726,0.4),3,D533&gt;=_xlfn.PERCENTILE.INC($D$2:$D$726,0.2),2,TRUE,1)</f>
        <v>5</v>
      </c>
      <c r="H533">
        <f t="shared" si="8"/>
        <v>15</v>
      </c>
      <c r="I533" t="str" cm="1">
        <f t="array" ref="I533">_xlfn.IFS(H533&gt;=13,"Best Customers",H533&gt;=10,"Loyal Customers",H533&gt;=7,"Potential Loyal Customers",H533&gt;=4,"Need Attention",TRUE,"At Risk")</f>
        <v>Best Customers</v>
      </c>
    </row>
    <row r="534" spans="1:9" x14ac:dyDescent="0.25">
      <c r="A534" t="s">
        <v>1591</v>
      </c>
      <c r="B534" s="4">
        <v>552</v>
      </c>
      <c r="C534">
        <v>6</v>
      </c>
      <c r="D534">
        <v>387.5</v>
      </c>
      <c r="E534" cm="1">
        <f t="array" ref="E534">_xlfn.IFS(B534&lt;=_xlfn.PERCENTILE.INC($B$2:$B$726,0.2),5, B534&lt;=_xlfn.PERCENTILE.INC($B$2:$B$726,0.4),4,B534&lt;=_xlfn.PERCENTILE.INC($B$2:$B$726,0.6),3,B534&lt;=_xlfn.PERCENTILE.INC($B$2:$B$726,0.8),4,TRUE,1)</f>
        <v>3</v>
      </c>
      <c r="F534" cm="1">
        <f t="array" ref="F534">_xlfn.IFS(C534&gt;=_xlfn.PERCENTILE.INC($C$2:$C$726,0.8),5,C534&gt;=_xlfn.PERCENTILE.INC($C$2:$C$726,0.6),4,C534&gt;=_xlfn.PERCENTILE.INC($C$2:$C$726,0.4),3,C534&gt;=_xlfn.PERCENTILE.INC($C$2:$C$726,0.2),2,TRUE,1)</f>
        <v>4</v>
      </c>
      <c r="G534" cm="1">
        <f t="array" ref="G534">_xlfn.IFS(D534&gt;=_xlfn.PERCENTILE.INC($D$2:$D$726,0.8),5,D534&gt;=_xlfn.PERCENTILE.INC($D$2:$D$726,0.6),4,D534&gt;=_xlfn.PERCENTILE.INC($D$2:$D$726,0.4),3,D534&gt;=_xlfn.PERCENTILE.INC($D$2:$D$726,0.2),2,TRUE,1)</f>
        <v>4</v>
      </c>
      <c r="H534">
        <f t="shared" si="8"/>
        <v>11</v>
      </c>
      <c r="I534" t="str" cm="1">
        <f t="array" ref="I534">_xlfn.IFS(H534&gt;=13,"Best Customers",H534&gt;=10,"Loyal Customers",H534&gt;=7,"Potential Loyal Customers",H534&gt;=4,"Need Attention",TRUE,"At Risk")</f>
        <v>Loyal Customers</v>
      </c>
    </row>
    <row r="535" spans="1:9" x14ac:dyDescent="0.25">
      <c r="A535" t="s">
        <v>950</v>
      </c>
      <c r="B535" s="4">
        <v>1162</v>
      </c>
      <c r="C535">
        <v>3</v>
      </c>
      <c r="D535">
        <v>118.19999999999999</v>
      </c>
      <c r="E535" cm="1">
        <f t="array" ref="E535">_xlfn.IFS(B535&lt;=_xlfn.PERCENTILE.INC($B$2:$B$726,0.2),5, B535&lt;=_xlfn.PERCENTILE.INC($B$2:$B$726,0.4),4,B535&lt;=_xlfn.PERCENTILE.INC($B$2:$B$726,0.6),3,B535&lt;=_xlfn.PERCENTILE.INC($B$2:$B$726,0.8),4,TRUE,1)</f>
        <v>1</v>
      </c>
      <c r="F535" cm="1">
        <f t="array" ref="F535">_xlfn.IFS(C535&gt;=_xlfn.PERCENTILE.INC($C$2:$C$726,0.8),5,C535&gt;=_xlfn.PERCENTILE.INC($C$2:$C$726,0.6),4,C535&gt;=_xlfn.PERCENTILE.INC($C$2:$C$726,0.4),3,C535&gt;=_xlfn.PERCENTILE.INC($C$2:$C$726,0.2),2,TRUE,1)</f>
        <v>1</v>
      </c>
      <c r="G535" cm="1">
        <f t="array" ref="G535">_xlfn.IFS(D535&gt;=_xlfn.PERCENTILE.INC($D$2:$D$726,0.8),5,D535&gt;=_xlfn.PERCENTILE.INC($D$2:$D$726,0.6),4,D535&gt;=_xlfn.PERCENTILE.INC($D$2:$D$726,0.4),3,D535&gt;=_xlfn.PERCENTILE.INC($D$2:$D$726,0.2),2,TRUE,1)</f>
        <v>1</v>
      </c>
      <c r="H535">
        <f t="shared" si="8"/>
        <v>3</v>
      </c>
      <c r="I535" t="str" cm="1">
        <f t="array" ref="I535">_xlfn.IFS(H535&gt;=13,"Best Customers",H535&gt;=10,"Loyal Customers",H535&gt;=7,"Potential Loyal Customers",H535&gt;=4,"Need Attention",TRUE,"At Risk")</f>
        <v>At Risk</v>
      </c>
    </row>
    <row r="536" spans="1:9" x14ac:dyDescent="0.25">
      <c r="A536" t="s">
        <v>1663</v>
      </c>
      <c r="B536" s="4">
        <v>1039</v>
      </c>
      <c r="C536">
        <v>5</v>
      </c>
      <c r="D536">
        <v>161.1</v>
      </c>
      <c r="E536" cm="1">
        <f t="array" ref="E536">_xlfn.IFS(B536&lt;=_xlfn.PERCENTILE.INC($B$2:$B$726,0.2),5, B536&lt;=_xlfn.PERCENTILE.INC($B$2:$B$726,0.4),4,B536&lt;=_xlfn.PERCENTILE.INC($B$2:$B$726,0.6),3,B536&lt;=_xlfn.PERCENTILE.INC($B$2:$B$726,0.8),4,TRUE,1)</f>
        <v>1</v>
      </c>
      <c r="F536" cm="1">
        <f t="array" ref="F536">_xlfn.IFS(C536&gt;=_xlfn.PERCENTILE.INC($C$2:$C$726,0.8),5,C536&gt;=_xlfn.PERCENTILE.INC($C$2:$C$726,0.6),4,C536&gt;=_xlfn.PERCENTILE.INC($C$2:$C$726,0.4),3,C536&gt;=_xlfn.PERCENTILE.INC($C$2:$C$726,0.2),2,TRUE,1)</f>
        <v>3</v>
      </c>
      <c r="G536" cm="1">
        <f t="array" ref="G536">_xlfn.IFS(D536&gt;=_xlfn.PERCENTILE.INC($D$2:$D$726,0.8),5,D536&gt;=_xlfn.PERCENTILE.INC($D$2:$D$726,0.6),4,D536&gt;=_xlfn.PERCENTILE.INC($D$2:$D$726,0.4),3,D536&gt;=_xlfn.PERCENTILE.INC($D$2:$D$726,0.2),2,TRUE,1)</f>
        <v>2</v>
      </c>
      <c r="H536">
        <f t="shared" si="8"/>
        <v>6</v>
      </c>
      <c r="I536" t="str" cm="1">
        <f t="array" ref="I536">_xlfn.IFS(H536&gt;=13,"Best Customers",H536&gt;=10,"Loyal Customers",H536&gt;=7,"Potential Loyal Customers",H536&gt;=4,"Need Attention",TRUE,"At Risk")</f>
        <v>Need Attention</v>
      </c>
    </row>
    <row r="537" spans="1:9" x14ac:dyDescent="0.25">
      <c r="A537" t="s">
        <v>3016</v>
      </c>
      <c r="B537" s="4">
        <v>1155</v>
      </c>
      <c r="C537">
        <v>4</v>
      </c>
      <c r="D537">
        <v>84.3</v>
      </c>
      <c r="E537" cm="1">
        <f t="array" ref="E537">_xlfn.IFS(B537&lt;=_xlfn.PERCENTILE.INC($B$2:$B$726,0.2),5, B537&lt;=_xlfn.PERCENTILE.INC($B$2:$B$726,0.4),4,B537&lt;=_xlfn.PERCENTILE.INC($B$2:$B$726,0.6),3,B537&lt;=_xlfn.PERCENTILE.INC($B$2:$B$726,0.8),4,TRUE,1)</f>
        <v>1</v>
      </c>
      <c r="F537" cm="1">
        <f t="array" ref="F537">_xlfn.IFS(C537&gt;=_xlfn.PERCENTILE.INC($C$2:$C$726,0.8),5,C537&gt;=_xlfn.PERCENTILE.INC($C$2:$C$726,0.6),4,C537&gt;=_xlfn.PERCENTILE.INC($C$2:$C$726,0.4),3,C537&gt;=_xlfn.PERCENTILE.INC($C$2:$C$726,0.2),2,TRUE,1)</f>
        <v>2</v>
      </c>
      <c r="G537" cm="1">
        <f t="array" ref="G537">_xlfn.IFS(D537&gt;=_xlfn.PERCENTILE.INC($D$2:$D$726,0.8),5,D537&gt;=_xlfn.PERCENTILE.INC($D$2:$D$726,0.6),4,D537&gt;=_xlfn.PERCENTILE.INC($D$2:$D$726,0.4),3,D537&gt;=_xlfn.PERCENTILE.INC($D$2:$D$726,0.2),2,TRUE,1)</f>
        <v>1</v>
      </c>
      <c r="H537">
        <f t="shared" si="8"/>
        <v>4</v>
      </c>
      <c r="I537" t="str" cm="1">
        <f t="array" ref="I537">_xlfn.IFS(H537&gt;=13,"Best Customers",H537&gt;=10,"Loyal Customers",H537&gt;=7,"Potential Loyal Customers",H537&gt;=4,"Need Attention",TRUE,"At Risk")</f>
        <v>Need Attention</v>
      </c>
    </row>
    <row r="538" spans="1:9" x14ac:dyDescent="0.25">
      <c r="A538" t="s">
        <v>1375</v>
      </c>
      <c r="B538" s="4">
        <v>449</v>
      </c>
      <c r="C538">
        <v>5</v>
      </c>
      <c r="D538">
        <v>168.3</v>
      </c>
      <c r="E538" cm="1">
        <f t="array" ref="E538">_xlfn.IFS(B538&lt;=_xlfn.PERCENTILE.INC($B$2:$B$726,0.2),5, B538&lt;=_xlfn.PERCENTILE.INC($B$2:$B$726,0.4),4,B538&lt;=_xlfn.PERCENTILE.INC($B$2:$B$726,0.6),3,B538&lt;=_xlfn.PERCENTILE.INC($B$2:$B$726,0.8),4,TRUE,1)</f>
        <v>4</v>
      </c>
      <c r="F538" cm="1">
        <f t="array" ref="F538">_xlfn.IFS(C538&gt;=_xlfn.PERCENTILE.INC($C$2:$C$726,0.8),5,C538&gt;=_xlfn.PERCENTILE.INC($C$2:$C$726,0.6),4,C538&gt;=_xlfn.PERCENTILE.INC($C$2:$C$726,0.4),3,C538&gt;=_xlfn.PERCENTILE.INC($C$2:$C$726,0.2),2,TRUE,1)</f>
        <v>3</v>
      </c>
      <c r="G538" cm="1">
        <f t="array" ref="G538">_xlfn.IFS(D538&gt;=_xlfn.PERCENTILE.INC($D$2:$D$726,0.8),5,D538&gt;=_xlfn.PERCENTILE.INC($D$2:$D$726,0.6),4,D538&gt;=_xlfn.PERCENTILE.INC($D$2:$D$726,0.4),3,D538&gt;=_xlfn.PERCENTILE.INC($D$2:$D$726,0.2),2,TRUE,1)</f>
        <v>2</v>
      </c>
      <c r="H538">
        <f t="shared" si="8"/>
        <v>9</v>
      </c>
      <c r="I538" t="str" cm="1">
        <f t="array" ref="I538">_xlfn.IFS(H538&gt;=13,"Best Customers",H538&gt;=10,"Loyal Customers",H538&gt;=7,"Potential Loyal Customers",H538&gt;=4,"Need Attention",TRUE,"At Risk")</f>
        <v>Potential Loyal Customers</v>
      </c>
    </row>
    <row r="539" spans="1:9" x14ac:dyDescent="0.25">
      <c r="A539" t="s">
        <v>2963</v>
      </c>
      <c r="B539" s="4">
        <v>866</v>
      </c>
      <c r="C539">
        <v>5</v>
      </c>
      <c r="D539">
        <v>104.1</v>
      </c>
      <c r="E539" cm="1">
        <f t="array" ref="E539">_xlfn.IFS(B539&lt;=_xlfn.PERCENTILE.INC($B$2:$B$726,0.2),5, B539&lt;=_xlfn.PERCENTILE.INC($B$2:$B$726,0.4),4,B539&lt;=_xlfn.PERCENTILE.INC($B$2:$B$726,0.6),3,B539&lt;=_xlfn.PERCENTILE.INC($B$2:$B$726,0.8),4,TRUE,1)</f>
        <v>1</v>
      </c>
      <c r="F539" cm="1">
        <f t="array" ref="F539">_xlfn.IFS(C539&gt;=_xlfn.PERCENTILE.INC($C$2:$C$726,0.8),5,C539&gt;=_xlfn.PERCENTILE.INC($C$2:$C$726,0.6),4,C539&gt;=_xlfn.PERCENTILE.INC($C$2:$C$726,0.4),3,C539&gt;=_xlfn.PERCENTILE.INC($C$2:$C$726,0.2),2,TRUE,1)</f>
        <v>3</v>
      </c>
      <c r="G539" cm="1">
        <f t="array" ref="G539">_xlfn.IFS(D539&gt;=_xlfn.PERCENTILE.INC($D$2:$D$726,0.8),5,D539&gt;=_xlfn.PERCENTILE.INC($D$2:$D$726,0.6),4,D539&gt;=_xlfn.PERCENTILE.INC($D$2:$D$726,0.4),3,D539&gt;=_xlfn.PERCENTILE.INC($D$2:$D$726,0.2),2,TRUE,1)</f>
        <v>1</v>
      </c>
      <c r="H539">
        <f t="shared" si="8"/>
        <v>5</v>
      </c>
      <c r="I539" t="str" cm="1">
        <f t="array" ref="I539">_xlfn.IFS(H539&gt;=13,"Best Customers",H539&gt;=10,"Loyal Customers",H539&gt;=7,"Potential Loyal Customers",H539&gt;=4,"Need Attention",TRUE,"At Risk")</f>
        <v>Need Attention</v>
      </c>
    </row>
    <row r="540" spans="1:9" x14ac:dyDescent="0.25">
      <c r="A540" t="s">
        <v>1822</v>
      </c>
      <c r="B540" s="4">
        <v>720</v>
      </c>
      <c r="C540">
        <v>10</v>
      </c>
      <c r="D540">
        <v>397.2</v>
      </c>
      <c r="E540" cm="1">
        <f t="array" ref="E540">_xlfn.IFS(B540&lt;=_xlfn.PERCENTILE.INC($B$2:$B$726,0.2),5, B540&lt;=_xlfn.PERCENTILE.INC($B$2:$B$726,0.4),4,B540&lt;=_xlfn.PERCENTILE.INC($B$2:$B$726,0.6),3,B540&lt;=_xlfn.PERCENTILE.INC($B$2:$B$726,0.8),4,TRUE,1)</f>
        <v>4</v>
      </c>
      <c r="F540" cm="1">
        <f t="array" ref="F540">_xlfn.IFS(C540&gt;=_xlfn.PERCENTILE.INC($C$2:$C$726,0.8),5,C540&gt;=_xlfn.PERCENTILE.INC($C$2:$C$726,0.6),4,C540&gt;=_xlfn.PERCENTILE.INC($C$2:$C$726,0.4),3,C540&gt;=_xlfn.PERCENTILE.INC($C$2:$C$726,0.2),2,TRUE,1)</f>
        <v>5</v>
      </c>
      <c r="G540" cm="1">
        <f t="array" ref="G540">_xlfn.IFS(D540&gt;=_xlfn.PERCENTILE.INC($D$2:$D$726,0.8),5,D540&gt;=_xlfn.PERCENTILE.INC($D$2:$D$726,0.6),4,D540&gt;=_xlfn.PERCENTILE.INC($D$2:$D$726,0.4),3,D540&gt;=_xlfn.PERCENTILE.INC($D$2:$D$726,0.2),2,TRUE,1)</f>
        <v>5</v>
      </c>
      <c r="H540">
        <f t="shared" si="8"/>
        <v>14</v>
      </c>
      <c r="I540" t="str" cm="1">
        <f t="array" ref="I540">_xlfn.IFS(H540&gt;=13,"Best Customers",H540&gt;=10,"Loyal Customers",H540&gt;=7,"Potential Loyal Customers",H540&gt;=4,"Need Attention",TRUE,"At Risk")</f>
        <v>Best Customers</v>
      </c>
    </row>
    <row r="541" spans="1:9" x14ac:dyDescent="0.25">
      <c r="A541" t="s">
        <v>2642</v>
      </c>
      <c r="B541" s="4">
        <v>361</v>
      </c>
      <c r="C541">
        <v>8</v>
      </c>
      <c r="D541">
        <v>331.90000000000003</v>
      </c>
      <c r="E541" cm="1">
        <f t="array" ref="E541">_xlfn.IFS(B541&lt;=_xlfn.PERCENTILE.INC($B$2:$B$726,0.2),5, B541&lt;=_xlfn.PERCENTILE.INC($B$2:$B$726,0.4),4,B541&lt;=_xlfn.PERCENTILE.INC($B$2:$B$726,0.6),3,B541&lt;=_xlfn.PERCENTILE.INC($B$2:$B$726,0.8),4,TRUE,1)</f>
        <v>5</v>
      </c>
      <c r="F541" cm="1">
        <f t="array" ref="F541">_xlfn.IFS(C541&gt;=_xlfn.PERCENTILE.INC($C$2:$C$726,0.8),5,C541&gt;=_xlfn.PERCENTILE.INC($C$2:$C$726,0.6),4,C541&gt;=_xlfn.PERCENTILE.INC($C$2:$C$726,0.4),3,C541&gt;=_xlfn.PERCENTILE.INC($C$2:$C$726,0.2),2,TRUE,1)</f>
        <v>5</v>
      </c>
      <c r="G541" cm="1">
        <f t="array" ref="G541">_xlfn.IFS(D541&gt;=_xlfn.PERCENTILE.INC($D$2:$D$726,0.8),5,D541&gt;=_xlfn.PERCENTILE.INC($D$2:$D$726,0.6),4,D541&gt;=_xlfn.PERCENTILE.INC($D$2:$D$726,0.4),3,D541&gt;=_xlfn.PERCENTILE.INC($D$2:$D$726,0.2),2,TRUE,1)</f>
        <v>4</v>
      </c>
      <c r="H541">
        <f t="shared" si="8"/>
        <v>14</v>
      </c>
      <c r="I541" t="str" cm="1">
        <f t="array" ref="I541">_xlfn.IFS(H541&gt;=13,"Best Customers",H541&gt;=10,"Loyal Customers",H541&gt;=7,"Potential Loyal Customers",H541&gt;=4,"Need Attention",TRUE,"At Risk")</f>
        <v>Best Customers</v>
      </c>
    </row>
    <row r="542" spans="1:9" x14ac:dyDescent="0.25">
      <c r="A542" t="s">
        <v>1966</v>
      </c>
      <c r="B542" s="4">
        <v>515</v>
      </c>
      <c r="C542">
        <v>6</v>
      </c>
      <c r="D542">
        <v>241.39999999999998</v>
      </c>
      <c r="E542" cm="1">
        <f t="array" ref="E542">_xlfn.IFS(B542&lt;=_xlfn.PERCENTILE.INC($B$2:$B$726,0.2),5, B542&lt;=_xlfn.PERCENTILE.INC($B$2:$B$726,0.4),4,B542&lt;=_xlfn.PERCENTILE.INC($B$2:$B$726,0.6),3,B542&lt;=_xlfn.PERCENTILE.INC($B$2:$B$726,0.8),4,TRUE,1)</f>
        <v>3</v>
      </c>
      <c r="F542" cm="1">
        <f t="array" ref="F542">_xlfn.IFS(C542&gt;=_xlfn.PERCENTILE.INC($C$2:$C$726,0.8),5,C542&gt;=_xlfn.PERCENTILE.INC($C$2:$C$726,0.6),4,C542&gt;=_xlfn.PERCENTILE.INC($C$2:$C$726,0.4),3,C542&gt;=_xlfn.PERCENTILE.INC($C$2:$C$726,0.2),2,TRUE,1)</f>
        <v>4</v>
      </c>
      <c r="G542" cm="1">
        <f t="array" ref="G542">_xlfn.IFS(D542&gt;=_xlfn.PERCENTILE.INC($D$2:$D$726,0.8),5,D542&gt;=_xlfn.PERCENTILE.INC($D$2:$D$726,0.6),4,D542&gt;=_xlfn.PERCENTILE.INC($D$2:$D$726,0.4),3,D542&gt;=_xlfn.PERCENTILE.INC($D$2:$D$726,0.2),2,TRUE,1)</f>
        <v>3</v>
      </c>
      <c r="H542">
        <f t="shared" si="8"/>
        <v>10</v>
      </c>
      <c r="I542" t="str" cm="1">
        <f t="array" ref="I542">_xlfn.IFS(H542&gt;=13,"Best Customers",H542&gt;=10,"Loyal Customers",H542&gt;=7,"Potential Loyal Customers",H542&gt;=4,"Need Attention",TRUE,"At Risk")</f>
        <v>Loyal Customers</v>
      </c>
    </row>
    <row r="543" spans="1:9" x14ac:dyDescent="0.25">
      <c r="A543" t="s">
        <v>2384</v>
      </c>
      <c r="B543" s="4">
        <v>605</v>
      </c>
      <c r="C543">
        <v>5</v>
      </c>
      <c r="D543">
        <v>330.09999999999997</v>
      </c>
      <c r="E543" cm="1">
        <f t="array" ref="E543">_xlfn.IFS(B543&lt;=_xlfn.PERCENTILE.INC($B$2:$B$726,0.2),5, B543&lt;=_xlfn.PERCENTILE.INC($B$2:$B$726,0.4),4,B543&lt;=_xlfn.PERCENTILE.INC($B$2:$B$726,0.6),3,B543&lt;=_xlfn.PERCENTILE.INC($B$2:$B$726,0.8),4,TRUE,1)</f>
        <v>4</v>
      </c>
      <c r="F543" cm="1">
        <f t="array" ref="F543">_xlfn.IFS(C543&gt;=_xlfn.PERCENTILE.INC($C$2:$C$726,0.8),5,C543&gt;=_xlfn.PERCENTILE.INC($C$2:$C$726,0.6),4,C543&gt;=_xlfn.PERCENTILE.INC($C$2:$C$726,0.4),3,C543&gt;=_xlfn.PERCENTILE.INC($C$2:$C$726,0.2),2,TRUE,1)</f>
        <v>3</v>
      </c>
      <c r="G543" cm="1">
        <f t="array" ref="G543">_xlfn.IFS(D543&gt;=_xlfn.PERCENTILE.INC($D$2:$D$726,0.8),5,D543&gt;=_xlfn.PERCENTILE.INC($D$2:$D$726,0.6),4,D543&gt;=_xlfn.PERCENTILE.INC($D$2:$D$726,0.4),3,D543&gt;=_xlfn.PERCENTILE.INC($D$2:$D$726,0.2),2,TRUE,1)</f>
        <v>4</v>
      </c>
      <c r="H543">
        <f t="shared" si="8"/>
        <v>11</v>
      </c>
      <c r="I543" t="str" cm="1">
        <f t="array" ref="I543">_xlfn.IFS(H543&gt;=13,"Best Customers",H543&gt;=10,"Loyal Customers",H543&gt;=7,"Potential Loyal Customers",H543&gt;=4,"Need Attention",TRUE,"At Risk")</f>
        <v>Loyal Customers</v>
      </c>
    </row>
    <row r="544" spans="1:9" x14ac:dyDescent="0.25">
      <c r="A544" t="s">
        <v>918</v>
      </c>
      <c r="B544" s="4">
        <v>342</v>
      </c>
      <c r="C544">
        <v>5</v>
      </c>
      <c r="D544">
        <v>376.1</v>
      </c>
      <c r="E544" cm="1">
        <f t="array" ref="E544">_xlfn.IFS(B544&lt;=_xlfn.PERCENTILE.INC($B$2:$B$726,0.2),5, B544&lt;=_xlfn.PERCENTILE.INC($B$2:$B$726,0.4),4,B544&lt;=_xlfn.PERCENTILE.INC($B$2:$B$726,0.6),3,B544&lt;=_xlfn.PERCENTILE.INC($B$2:$B$726,0.8),4,TRUE,1)</f>
        <v>5</v>
      </c>
      <c r="F544" cm="1">
        <f t="array" ref="F544">_xlfn.IFS(C544&gt;=_xlfn.PERCENTILE.INC($C$2:$C$726,0.8),5,C544&gt;=_xlfn.PERCENTILE.INC($C$2:$C$726,0.6),4,C544&gt;=_xlfn.PERCENTILE.INC($C$2:$C$726,0.4),3,C544&gt;=_xlfn.PERCENTILE.INC($C$2:$C$726,0.2),2,TRUE,1)</f>
        <v>3</v>
      </c>
      <c r="G544" cm="1">
        <f t="array" ref="G544">_xlfn.IFS(D544&gt;=_xlfn.PERCENTILE.INC($D$2:$D$726,0.8),5,D544&gt;=_xlfn.PERCENTILE.INC($D$2:$D$726,0.6),4,D544&gt;=_xlfn.PERCENTILE.INC($D$2:$D$726,0.4),3,D544&gt;=_xlfn.PERCENTILE.INC($D$2:$D$726,0.2),2,TRUE,1)</f>
        <v>4</v>
      </c>
      <c r="H544">
        <f t="shared" si="8"/>
        <v>12</v>
      </c>
      <c r="I544" t="str" cm="1">
        <f t="array" ref="I544">_xlfn.IFS(H544&gt;=13,"Best Customers",H544&gt;=10,"Loyal Customers",H544&gt;=7,"Potential Loyal Customers",H544&gt;=4,"Need Attention",TRUE,"At Risk")</f>
        <v>Loyal Customers</v>
      </c>
    </row>
    <row r="545" spans="1:9" x14ac:dyDescent="0.25">
      <c r="A545" t="s">
        <v>1828</v>
      </c>
      <c r="B545" s="4">
        <v>432</v>
      </c>
      <c r="C545">
        <v>3</v>
      </c>
      <c r="D545">
        <v>51.7</v>
      </c>
      <c r="E545" cm="1">
        <f t="array" ref="E545">_xlfn.IFS(B545&lt;=_xlfn.PERCENTILE.INC($B$2:$B$726,0.2),5, B545&lt;=_xlfn.PERCENTILE.INC($B$2:$B$726,0.4),4,B545&lt;=_xlfn.PERCENTILE.INC($B$2:$B$726,0.6),3,B545&lt;=_xlfn.PERCENTILE.INC($B$2:$B$726,0.8),4,TRUE,1)</f>
        <v>4</v>
      </c>
      <c r="F545" cm="1">
        <f t="array" ref="F545">_xlfn.IFS(C545&gt;=_xlfn.PERCENTILE.INC($C$2:$C$726,0.8),5,C545&gt;=_xlfn.PERCENTILE.INC($C$2:$C$726,0.6),4,C545&gt;=_xlfn.PERCENTILE.INC($C$2:$C$726,0.4),3,C545&gt;=_xlfn.PERCENTILE.INC($C$2:$C$726,0.2),2,TRUE,1)</f>
        <v>1</v>
      </c>
      <c r="G545" cm="1">
        <f t="array" ref="G545">_xlfn.IFS(D545&gt;=_xlfn.PERCENTILE.INC($D$2:$D$726,0.8),5,D545&gt;=_xlfn.PERCENTILE.INC($D$2:$D$726,0.6),4,D545&gt;=_xlfn.PERCENTILE.INC($D$2:$D$726,0.4),3,D545&gt;=_xlfn.PERCENTILE.INC($D$2:$D$726,0.2),2,TRUE,1)</f>
        <v>1</v>
      </c>
      <c r="H545">
        <f t="shared" si="8"/>
        <v>6</v>
      </c>
      <c r="I545" t="str" cm="1">
        <f t="array" ref="I545">_xlfn.IFS(H545&gt;=13,"Best Customers",H545&gt;=10,"Loyal Customers",H545&gt;=7,"Potential Loyal Customers",H545&gt;=4,"Need Attention",TRUE,"At Risk")</f>
        <v>Need Attention</v>
      </c>
    </row>
    <row r="546" spans="1:9" x14ac:dyDescent="0.25">
      <c r="A546" t="s">
        <v>1585</v>
      </c>
      <c r="B546" s="4">
        <v>423</v>
      </c>
      <c r="C546">
        <v>5</v>
      </c>
      <c r="D546">
        <v>143.50000000000003</v>
      </c>
      <c r="E546" cm="1">
        <f t="array" ref="E546">_xlfn.IFS(B546&lt;=_xlfn.PERCENTILE.INC($B$2:$B$726,0.2),5, B546&lt;=_xlfn.PERCENTILE.INC($B$2:$B$726,0.4),4,B546&lt;=_xlfn.PERCENTILE.INC($B$2:$B$726,0.6),3,B546&lt;=_xlfn.PERCENTILE.INC($B$2:$B$726,0.8),4,TRUE,1)</f>
        <v>4</v>
      </c>
      <c r="F546" cm="1">
        <f t="array" ref="F546">_xlfn.IFS(C546&gt;=_xlfn.PERCENTILE.INC($C$2:$C$726,0.8),5,C546&gt;=_xlfn.PERCENTILE.INC($C$2:$C$726,0.6),4,C546&gt;=_xlfn.PERCENTILE.INC($C$2:$C$726,0.4),3,C546&gt;=_xlfn.PERCENTILE.INC($C$2:$C$726,0.2),2,TRUE,1)</f>
        <v>3</v>
      </c>
      <c r="G546" cm="1">
        <f t="array" ref="G546">_xlfn.IFS(D546&gt;=_xlfn.PERCENTILE.INC($D$2:$D$726,0.8),5,D546&gt;=_xlfn.PERCENTILE.INC($D$2:$D$726,0.6),4,D546&gt;=_xlfn.PERCENTILE.INC($D$2:$D$726,0.4),3,D546&gt;=_xlfn.PERCENTILE.INC($D$2:$D$726,0.2),2,TRUE,1)</f>
        <v>1</v>
      </c>
      <c r="H546">
        <f t="shared" si="8"/>
        <v>8</v>
      </c>
      <c r="I546" t="str" cm="1">
        <f t="array" ref="I546">_xlfn.IFS(H546&gt;=13,"Best Customers",H546&gt;=10,"Loyal Customers",H546&gt;=7,"Potential Loyal Customers",H546&gt;=4,"Need Attention",TRUE,"At Risk")</f>
        <v>Potential Loyal Customers</v>
      </c>
    </row>
    <row r="547" spans="1:9" x14ac:dyDescent="0.25">
      <c r="A547" t="s">
        <v>1655</v>
      </c>
      <c r="B547" s="4">
        <v>382</v>
      </c>
      <c r="C547">
        <v>8</v>
      </c>
      <c r="D547">
        <v>367.5</v>
      </c>
      <c r="E547" cm="1">
        <f t="array" ref="E547">_xlfn.IFS(B547&lt;=_xlfn.PERCENTILE.INC($B$2:$B$726,0.2),5, B547&lt;=_xlfn.PERCENTILE.INC($B$2:$B$726,0.4),4,B547&lt;=_xlfn.PERCENTILE.INC($B$2:$B$726,0.6),3,B547&lt;=_xlfn.PERCENTILE.INC($B$2:$B$726,0.8),4,TRUE,1)</f>
        <v>5</v>
      </c>
      <c r="F547" cm="1">
        <f t="array" ref="F547">_xlfn.IFS(C547&gt;=_xlfn.PERCENTILE.INC($C$2:$C$726,0.8),5,C547&gt;=_xlfn.PERCENTILE.INC($C$2:$C$726,0.6),4,C547&gt;=_xlfn.PERCENTILE.INC($C$2:$C$726,0.4),3,C547&gt;=_xlfn.PERCENTILE.INC($C$2:$C$726,0.2),2,TRUE,1)</f>
        <v>5</v>
      </c>
      <c r="G547" cm="1">
        <f t="array" ref="G547">_xlfn.IFS(D547&gt;=_xlfn.PERCENTILE.INC($D$2:$D$726,0.8),5,D547&gt;=_xlfn.PERCENTILE.INC($D$2:$D$726,0.6),4,D547&gt;=_xlfn.PERCENTILE.INC($D$2:$D$726,0.4),3,D547&gt;=_xlfn.PERCENTILE.INC($D$2:$D$726,0.2),2,TRUE,1)</f>
        <v>4</v>
      </c>
      <c r="H547">
        <f t="shared" si="8"/>
        <v>14</v>
      </c>
      <c r="I547" t="str" cm="1">
        <f t="array" ref="I547">_xlfn.IFS(H547&gt;=13,"Best Customers",H547&gt;=10,"Loyal Customers",H547&gt;=7,"Potential Loyal Customers",H547&gt;=4,"Need Attention",TRUE,"At Risk")</f>
        <v>Best Customers</v>
      </c>
    </row>
    <row r="548" spans="1:9" x14ac:dyDescent="0.25">
      <c r="A548" t="s">
        <v>514</v>
      </c>
      <c r="B548" s="4">
        <v>346</v>
      </c>
      <c r="C548">
        <v>4</v>
      </c>
      <c r="D548">
        <v>129.80000000000001</v>
      </c>
      <c r="E548" cm="1">
        <f t="array" ref="E548">_xlfn.IFS(B548&lt;=_xlfn.PERCENTILE.INC($B$2:$B$726,0.2),5, B548&lt;=_xlfn.PERCENTILE.INC($B$2:$B$726,0.4),4,B548&lt;=_xlfn.PERCENTILE.INC($B$2:$B$726,0.6),3,B548&lt;=_xlfn.PERCENTILE.INC($B$2:$B$726,0.8),4,TRUE,1)</f>
        <v>5</v>
      </c>
      <c r="F548" cm="1">
        <f t="array" ref="F548">_xlfn.IFS(C548&gt;=_xlfn.PERCENTILE.INC($C$2:$C$726,0.8),5,C548&gt;=_xlfn.PERCENTILE.INC($C$2:$C$726,0.6),4,C548&gt;=_xlfn.PERCENTILE.INC($C$2:$C$726,0.4),3,C548&gt;=_xlfn.PERCENTILE.INC($C$2:$C$726,0.2),2,TRUE,1)</f>
        <v>2</v>
      </c>
      <c r="G548" cm="1">
        <f t="array" ref="G548">_xlfn.IFS(D548&gt;=_xlfn.PERCENTILE.INC($D$2:$D$726,0.8),5,D548&gt;=_xlfn.PERCENTILE.INC($D$2:$D$726,0.6),4,D548&gt;=_xlfn.PERCENTILE.INC($D$2:$D$726,0.4),3,D548&gt;=_xlfn.PERCENTILE.INC($D$2:$D$726,0.2),2,TRUE,1)</f>
        <v>1</v>
      </c>
      <c r="H548">
        <f t="shared" si="8"/>
        <v>8</v>
      </c>
      <c r="I548" t="str" cm="1">
        <f t="array" ref="I548">_xlfn.IFS(H548&gt;=13,"Best Customers",H548&gt;=10,"Loyal Customers",H548&gt;=7,"Potential Loyal Customers",H548&gt;=4,"Need Attention",TRUE,"At Risk")</f>
        <v>Potential Loyal Customers</v>
      </c>
    </row>
    <row r="549" spans="1:9" x14ac:dyDescent="0.25">
      <c r="A549" t="s">
        <v>2849</v>
      </c>
      <c r="B549" s="4">
        <v>437</v>
      </c>
      <c r="C549">
        <v>5</v>
      </c>
      <c r="D549">
        <v>295.7</v>
      </c>
      <c r="E549" cm="1">
        <f t="array" ref="E549">_xlfn.IFS(B549&lt;=_xlfn.PERCENTILE.INC($B$2:$B$726,0.2),5, B549&lt;=_xlfn.PERCENTILE.INC($B$2:$B$726,0.4),4,B549&lt;=_xlfn.PERCENTILE.INC($B$2:$B$726,0.6),3,B549&lt;=_xlfn.PERCENTILE.INC($B$2:$B$726,0.8),4,TRUE,1)</f>
        <v>4</v>
      </c>
      <c r="F549" cm="1">
        <f t="array" ref="F549">_xlfn.IFS(C549&gt;=_xlfn.PERCENTILE.INC($C$2:$C$726,0.8),5,C549&gt;=_xlfn.PERCENTILE.INC($C$2:$C$726,0.6),4,C549&gt;=_xlfn.PERCENTILE.INC($C$2:$C$726,0.4),3,C549&gt;=_xlfn.PERCENTILE.INC($C$2:$C$726,0.2),2,TRUE,1)</f>
        <v>3</v>
      </c>
      <c r="G549" cm="1">
        <f t="array" ref="G549">_xlfn.IFS(D549&gt;=_xlfn.PERCENTILE.INC($D$2:$D$726,0.8),5,D549&gt;=_xlfn.PERCENTILE.INC($D$2:$D$726,0.6),4,D549&gt;=_xlfn.PERCENTILE.INC($D$2:$D$726,0.4),3,D549&gt;=_xlfn.PERCENTILE.INC($D$2:$D$726,0.2),2,TRUE,1)</f>
        <v>3</v>
      </c>
      <c r="H549">
        <f t="shared" si="8"/>
        <v>10</v>
      </c>
      <c r="I549" t="str" cm="1">
        <f t="array" ref="I549">_xlfn.IFS(H549&gt;=13,"Best Customers",H549&gt;=10,"Loyal Customers",H549&gt;=7,"Potential Loyal Customers",H549&gt;=4,"Need Attention",TRUE,"At Risk")</f>
        <v>Loyal Customers</v>
      </c>
    </row>
    <row r="550" spans="1:9" x14ac:dyDescent="0.25">
      <c r="A550" t="s">
        <v>1669</v>
      </c>
      <c r="B550" s="4">
        <v>347</v>
      </c>
      <c r="C550">
        <v>7</v>
      </c>
      <c r="D550">
        <v>249.1</v>
      </c>
      <c r="E550" cm="1">
        <f t="array" ref="E550">_xlfn.IFS(B550&lt;=_xlfn.PERCENTILE.INC($B$2:$B$726,0.2),5, B550&lt;=_xlfn.PERCENTILE.INC($B$2:$B$726,0.4),4,B550&lt;=_xlfn.PERCENTILE.INC($B$2:$B$726,0.6),3,B550&lt;=_xlfn.PERCENTILE.INC($B$2:$B$726,0.8),4,TRUE,1)</f>
        <v>5</v>
      </c>
      <c r="F550" cm="1">
        <f t="array" ref="F550">_xlfn.IFS(C550&gt;=_xlfn.PERCENTILE.INC($C$2:$C$726,0.8),5,C550&gt;=_xlfn.PERCENTILE.INC($C$2:$C$726,0.6),4,C550&gt;=_xlfn.PERCENTILE.INC($C$2:$C$726,0.4),3,C550&gt;=_xlfn.PERCENTILE.INC($C$2:$C$726,0.2),2,TRUE,1)</f>
        <v>4</v>
      </c>
      <c r="G550" cm="1">
        <f t="array" ref="G550">_xlfn.IFS(D550&gt;=_xlfn.PERCENTILE.INC($D$2:$D$726,0.8),5,D550&gt;=_xlfn.PERCENTILE.INC($D$2:$D$726,0.6),4,D550&gt;=_xlfn.PERCENTILE.INC($D$2:$D$726,0.4),3,D550&gt;=_xlfn.PERCENTILE.INC($D$2:$D$726,0.2),2,TRUE,1)</f>
        <v>3</v>
      </c>
      <c r="H550">
        <f t="shared" si="8"/>
        <v>12</v>
      </c>
      <c r="I550" t="str" cm="1">
        <f t="array" ref="I550">_xlfn.IFS(H550&gt;=13,"Best Customers",H550&gt;=10,"Loyal Customers",H550&gt;=7,"Potential Loyal Customers",H550&gt;=4,"Need Attention",TRUE,"At Risk")</f>
        <v>Loyal Customers</v>
      </c>
    </row>
    <row r="551" spans="1:9" x14ac:dyDescent="0.25">
      <c r="A551" t="s">
        <v>2524</v>
      </c>
      <c r="B551" s="4">
        <v>573</v>
      </c>
      <c r="C551">
        <v>5</v>
      </c>
      <c r="D551">
        <v>404.29999999999995</v>
      </c>
      <c r="E551" cm="1">
        <f t="array" ref="E551">_xlfn.IFS(B551&lt;=_xlfn.PERCENTILE.INC($B$2:$B$726,0.2),5, B551&lt;=_xlfn.PERCENTILE.INC($B$2:$B$726,0.4),4,B551&lt;=_xlfn.PERCENTILE.INC($B$2:$B$726,0.6),3,B551&lt;=_xlfn.PERCENTILE.INC($B$2:$B$726,0.8),4,TRUE,1)</f>
        <v>4</v>
      </c>
      <c r="F551" cm="1">
        <f t="array" ref="F551">_xlfn.IFS(C551&gt;=_xlfn.PERCENTILE.INC($C$2:$C$726,0.8),5,C551&gt;=_xlfn.PERCENTILE.INC($C$2:$C$726,0.6),4,C551&gt;=_xlfn.PERCENTILE.INC($C$2:$C$726,0.4),3,C551&gt;=_xlfn.PERCENTILE.INC($C$2:$C$726,0.2),2,TRUE,1)</f>
        <v>3</v>
      </c>
      <c r="G551" cm="1">
        <f t="array" ref="G551">_xlfn.IFS(D551&gt;=_xlfn.PERCENTILE.INC($D$2:$D$726,0.8),5,D551&gt;=_xlfn.PERCENTILE.INC($D$2:$D$726,0.6),4,D551&gt;=_xlfn.PERCENTILE.INC($D$2:$D$726,0.4),3,D551&gt;=_xlfn.PERCENTILE.INC($D$2:$D$726,0.2),2,TRUE,1)</f>
        <v>5</v>
      </c>
      <c r="H551">
        <f t="shared" si="8"/>
        <v>12</v>
      </c>
      <c r="I551" t="str" cm="1">
        <f t="array" ref="I551">_xlfn.IFS(H551&gt;=13,"Best Customers",H551&gt;=10,"Loyal Customers",H551&gt;=7,"Potential Loyal Customers",H551&gt;=4,"Need Attention",TRUE,"At Risk")</f>
        <v>Loyal Customers</v>
      </c>
    </row>
    <row r="552" spans="1:9" x14ac:dyDescent="0.25">
      <c r="A552" t="s">
        <v>2581</v>
      </c>
      <c r="B552" s="4">
        <v>514</v>
      </c>
      <c r="C552">
        <v>3</v>
      </c>
      <c r="D552">
        <v>257.70000000000005</v>
      </c>
      <c r="E552" cm="1">
        <f t="array" ref="E552">_xlfn.IFS(B552&lt;=_xlfn.PERCENTILE.INC($B$2:$B$726,0.2),5, B552&lt;=_xlfn.PERCENTILE.INC($B$2:$B$726,0.4),4,B552&lt;=_xlfn.PERCENTILE.INC($B$2:$B$726,0.6),3,B552&lt;=_xlfn.PERCENTILE.INC($B$2:$B$726,0.8),4,TRUE,1)</f>
        <v>3</v>
      </c>
      <c r="F552" cm="1">
        <f t="array" ref="F552">_xlfn.IFS(C552&gt;=_xlfn.PERCENTILE.INC($C$2:$C$726,0.8),5,C552&gt;=_xlfn.PERCENTILE.INC($C$2:$C$726,0.6),4,C552&gt;=_xlfn.PERCENTILE.INC($C$2:$C$726,0.4),3,C552&gt;=_xlfn.PERCENTILE.INC($C$2:$C$726,0.2),2,TRUE,1)</f>
        <v>1</v>
      </c>
      <c r="G552" cm="1">
        <f t="array" ref="G552">_xlfn.IFS(D552&gt;=_xlfn.PERCENTILE.INC($D$2:$D$726,0.8),5,D552&gt;=_xlfn.PERCENTILE.INC($D$2:$D$726,0.6),4,D552&gt;=_xlfn.PERCENTILE.INC($D$2:$D$726,0.4),3,D552&gt;=_xlfn.PERCENTILE.INC($D$2:$D$726,0.2),2,TRUE,1)</f>
        <v>3</v>
      </c>
      <c r="H552">
        <f t="shared" si="8"/>
        <v>7</v>
      </c>
      <c r="I552" t="str" cm="1">
        <f t="array" ref="I552">_xlfn.IFS(H552&gt;=13,"Best Customers",H552&gt;=10,"Loyal Customers",H552&gt;=7,"Potential Loyal Customers",H552&gt;=4,"Need Attention",TRUE,"At Risk")</f>
        <v>Potential Loyal Customers</v>
      </c>
    </row>
    <row r="553" spans="1:9" x14ac:dyDescent="0.25">
      <c r="A553" t="s">
        <v>848</v>
      </c>
      <c r="B553" s="4">
        <v>407</v>
      </c>
      <c r="C553">
        <v>10</v>
      </c>
      <c r="D553">
        <v>545.80000000000007</v>
      </c>
      <c r="E553" cm="1">
        <f t="array" ref="E553">_xlfn.IFS(B553&lt;=_xlfn.PERCENTILE.INC($B$2:$B$726,0.2),5, B553&lt;=_xlfn.PERCENTILE.INC($B$2:$B$726,0.4),4,B553&lt;=_xlfn.PERCENTILE.INC($B$2:$B$726,0.6),3,B553&lt;=_xlfn.PERCENTILE.INC($B$2:$B$726,0.8),4,TRUE,1)</f>
        <v>4</v>
      </c>
      <c r="F553" cm="1">
        <f t="array" ref="F553">_xlfn.IFS(C553&gt;=_xlfn.PERCENTILE.INC($C$2:$C$726,0.8),5,C553&gt;=_xlfn.PERCENTILE.INC($C$2:$C$726,0.6),4,C553&gt;=_xlfn.PERCENTILE.INC($C$2:$C$726,0.4),3,C553&gt;=_xlfn.PERCENTILE.INC($C$2:$C$726,0.2),2,TRUE,1)</f>
        <v>5</v>
      </c>
      <c r="G553" cm="1">
        <f t="array" ref="G553">_xlfn.IFS(D553&gt;=_xlfn.PERCENTILE.INC($D$2:$D$726,0.8),5,D553&gt;=_xlfn.PERCENTILE.INC($D$2:$D$726,0.6),4,D553&gt;=_xlfn.PERCENTILE.INC($D$2:$D$726,0.4),3,D553&gt;=_xlfn.PERCENTILE.INC($D$2:$D$726,0.2),2,TRUE,1)</f>
        <v>5</v>
      </c>
      <c r="H553">
        <f t="shared" si="8"/>
        <v>14</v>
      </c>
      <c r="I553" t="str" cm="1">
        <f t="array" ref="I553">_xlfn.IFS(H553&gt;=13,"Best Customers",H553&gt;=10,"Loyal Customers",H553&gt;=7,"Potential Loyal Customers",H553&gt;=4,"Need Attention",TRUE,"At Risk")</f>
        <v>Best Customers</v>
      </c>
    </row>
    <row r="554" spans="1:9" x14ac:dyDescent="0.25">
      <c r="A554" t="s">
        <v>1588</v>
      </c>
      <c r="B554" s="4">
        <v>506</v>
      </c>
      <c r="C554">
        <v>7</v>
      </c>
      <c r="D554">
        <v>361.90000000000003</v>
      </c>
      <c r="E554" cm="1">
        <f t="array" ref="E554">_xlfn.IFS(B554&lt;=_xlfn.PERCENTILE.INC($B$2:$B$726,0.2),5, B554&lt;=_xlfn.PERCENTILE.INC($B$2:$B$726,0.4),4,B554&lt;=_xlfn.PERCENTILE.INC($B$2:$B$726,0.6),3,B554&lt;=_xlfn.PERCENTILE.INC($B$2:$B$726,0.8),4,TRUE,1)</f>
        <v>3</v>
      </c>
      <c r="F554" cm="1">
        <f t="array" ref="F554">_xlfn.IFS(C554&gt;=_xlfn.PERCENTILE.INC($C$2:$C$726,0.8),5,C554&gt;=_xlfn.PERCENTILE.INC($C$2:$C$726,0.6),4,C554&gt;=_xlfn.PERCENTILE.INC($C$2:$C$726,0.4),3,C554&gt;=_xlfn.PERCENTILE.INC($C$2:$C$726,0.2),2,TRUE,1)</f>
        <v>4</v>
      </c>
      <c r="G554" cm="1">
        <f t="array" ref="G554">_xlfn.IFS(D554&gt;=_xlfn.PERCENTILE.INC($D$2:$D$726,0.8),5,D554&gt;=_xlfn.PERCENTILE.INC($D$2:$D$726,0.6),4,D554&gt;=_xlfn.PERCENTILE.INC($D$2:$D$726,0.4),3,D554&gt;=_xlfn.PERCENTILE.INC($D$2:$D$726,0.2),2,TRUE,1)</f>
        <v>4</v>
      </c>
      <c r="H554">
        <f t="shared" si="8"/>
        <v>11</v>
      </c>
      <c r="I554" t="str" cm="1">
        <f t="array" ref="I554">_xlfn.IFS(H554&gt;=13,"Best Customers",H554&gt;=10,"Loyal Customers",H554&gt;=7,"Potential Loyal Customers",H554&gt;=4,"Need Attention",TRUE,"At Risk")</f>
        <v>Loyal Customers</v>
      </c>
    </row>
    <row r="555" spans="1:9" x14ac:dyDescent="0.25">
      <c r="A555" t="s">
        <v>2155</v>
      </c>
      <c r="B555" s="4">
        <v>383</v>
      </c>
      <c r="C555">
        <v>7</v>
      </c>
      <c r="D555">
        <v>547.59999999999991</v>
      </c>
      <c r="E555" cm="1">
        <f t="array" ref="E555">_xlfn.IFS(B555&lt;=_xlfn.PERCENTILE.INC($B$2:$B$726,0.2),5, B555&lt;=_xlfn.PERCENTILE.INC($B$2:$B$726,0.4),4,B555&lt;=_xlfn.PERCENTILE.INC($B$2:$B$726,0.6),3,B555&lt;=_xlfn.PERCENTILE.INC($B$2:$B$726,0.8),4,TRUE,1)</f>
        <v>5</v>
      </c>
      <c r="F555" cm="1">
        <f t="array" ref="F555">_xlfn.IFS(C555&gt;=_xlfn.PERCENTILE.INC($C$2:$C$726,0.8),5,C555&gt;=_xlfn.PERCENTILE.INC($C$2:$C$726,0.6),4,C555&gt;=_xlfn.PERCENTILE.INC($C$2:$C$726,0.4),3,C555&gt;=_xlfn.PERCENTILE.INC($C$2:$C$726,0.2),2,TRUE,1)</f>
        <v>4</v>
      </c>
      <c r="G555" cm="1">
        <f t="array" ref="G555">_xlfn.IFS(D555&gt;=_xlfn.PERCENTILE.INC($D$2:$D$726,0.8),5,D555&gt;=_xlfn.PERCENTILE.INC($D$2:$D$726,0.6),4,D555&gt;=_xlfn.PERCENTILE.INC($D$2:$D$726,0.4),3,D555&gt;=_xlfn.PERCENTILE.INC($D$2:$D$726,0.2),2,TRUE,1)</f>
        <v>5</v>
      </c>
      <c r="H555">
        <f t="shared" si="8"/>
        <v>14</v>
      </c>
      <c r="I555" t="str" cm="1">
        <f t="array" ref="I555">_xlfn.IFS(H555&gt;=13,"Best Customers",H555&gt;=10,"Loyal Customers",H555&gt;=7,"Potential Loyal Customers",H555&gt;=4,"Need Attention",TRUE,"At Risk")</f>
        <v>Best Customers</v>
      </c>
    </row>
    <row r="556" spans="1:9" x14ac:dyDescent="0.25">
      <c r="A556" t="s">
        <v>838</v>
      </c>
      <c r="B556" s="4">
        <v>539</v>
      </c>
      <c r="C556">
        <v>7</v>
      </c>
      <c r="D556">
        <v>365.20000000000005</v>
      </c>
      <c r="E556" cm="1">
        <f t="array" ref="E556">_xlfn.IFS(B556&lt;=_xlfn.PERCENTILE.INC($B$2:$B$726,0.2),5, B556&lt;=_xlfn.PERCENTILE.INC($B$2:$B$726,0.4),4,B556&lt;=_xlfn.PERCENTILE.INC($B$2:$B$726,0.6),3,B556&lt;=_xlfn.PERCENTILE.INC($B$2:$B$726,0.8),4,TRUE,1)</f>
        <v>3</v>
      </c>
      <c r="F556" cm="1">
        <f t="array" ref="F556">_xlfn.IFS(C556&gt;=_xlfn.PERCENTILE.INC($C$2:$C$726,0.8),5,C556&gt;=_xlfn.PERCENTILE.INC($C$2:$C$726,0.6),4,C556&gt;=_xlfn.PERCENTILE.INC($C$2:$C$726,0.4),3,C556&gt;=_xlfn.PERCENTILE.INC($C$2:$C$726,0.2),2,TRUE,1)</f>
        <v>4</v>
      </c>
      <c r="G556" cm="1">
        <f t="array" ref="G556">_xlfn.IFS(D556&gt;=_xlfn.PERCENTILE.INC($D$2:$D$726,0.8),5,D556&gt;=_xlfn.PERCENTILE.INC($D$2:$D$726,0.6),4,D556&gt;=_xlfn.PERCENTILE.INC($D$2:$D$726,0.4),3,D556&gt;=_xlfn.PERCENTILE.INC($D$2:$D$726,0.2),2,TRUE,1)</f>
        <v>4</v>
      </c>
      <c r="H556">
        <f t="shared" si="8"/>
        <v>11</v>
      </c>
      <c r="I556" t="str" cm="1">
        <f t="array" ref="I556">_xlfn.IFS(H556&gt;=13,"Best Customers",H556&gt;=10,"Loyal Customers",H556&gt;=7,"Potential Loyal Customers",H556&gt;=4,"Need Attention",TRUE,"At Risk")</f>
        <v>Loyal Customers</v>
      </c>
    </row>
    <row r="557" spans="1:9" x14ac:dyDescent="0.25">
      <c r="A557" t="s">
        <v>538</v>
      </c>
      <c r="B557" s="4">
        <v>467</v>
      </c>
      <c r="C557">
        <v>10</v>
      </c>
      <c r="D557">
        <v>489.4</v>
      </c>
      <c r="E557" cm="1">
        <f t="array" ref="E557">_xlfn.IFS(B557&lt;=_xlfn.PERCENTILE.INC($B$2:$B$726,0.2),5, B557&lt;=_xlfn.PERCENTILE.INC($B$2:$B$726,0.4),4,B557&lt;=_xlfn.PERCENTILE.INC($B$2:$B$726,0.6),3,B557&lt;=_xlfn.PERCENTILE.INC($B$2:$B$726,0.8),4,TRUE,1)</f>
        <v>3</v>
      </c>
      <c r="F557" cm="1">
        <f t="array" ref="F557">_xlfn.IFS(C557&gt;=_xlfn.PERCENTILE.INC($C$2:$C$726,0.8),5,C557&gt;=_xlfn.PERCENTILE.INC($C$2:$C$726,0.6),4,C557&gt;=_xlfn.PERCENTILE.INC($C$2:$C$726,0.4),3,C557&gt;=_xlfn.PERCENTILE.INC($C$2:$C$726,0.2),2,TRUE,1)</f>
        <v>5</v>
      </c>
      <c r="G557" cm="1">
        <f t="array" ref="G557">_xlfn.IFS(D557&gt;=_xlfn.PERCENTILE.INC($D$2:$D$726,0.8),5,D557&gt;=_xlfn.PERCENTILE.INC($D$2:$D$726,0.6),4,D557&gt;=_xlfn.PERCENTILE.INC($D$2:$D$726,0.4),3,D557&gt;=_xlfn.PERCENTILE.INC($D$2:$D$726,0.2),2,TRUE,1)</f>
        <v>5</v>
      </c>
      <c r="H557">
        <f t="shared" si="8"/>
        <v>13</v>
      </c>
      <c r="I557" t="str" cm="1">
        <f t="array" ref="I557">_xlfn.IFS(H557&gt;=13,"Best Customers",H557&gt;=10,"Loyal Customers",H557&gt;=7,"Potential Loyal Customers",H557&gt;=4,"Need Attention",TRUE,"At Risk")</f>
        <v>Best Customers</v>
      </c>
    </row>
    <row r="558" spans="1:9" x14ac:dyDescent="0.25">
      <c r="A558" t="s">
        <v>1860</v>
      </c>
      <c r="B558" s="4">
        <v>350</v>
      </c>
      <c r="C558">
        <v>5</v>
      </c>
      <c r="D558">
        <v>119.10000000000001</v>
      </c>
      <c r="E558" cm="1">
        <f t="array" ref="E558">_xlfn.IFS(B558&lt;=_xlfn.PERCENTILE.INC($B$2:$B$726,0.2),5, B558&lt;=_xlfn.PERCENTILE.INC($B$2:$B$726,0.4),4,B558&lt;=_xlfn.PERCENTILE.INC($B$2:$B$726,0.6),3,B558&lt;=_xlfn.PERCENTILE.INC($B$2:$B$726,0.8),4,TRUE,1)</f>
        <v>5</v>
      </c>
      <c r="F558" cm="1">
        <f t="array" ref="F558">_xlfn.IFS(C558&gt;=_xlfn.PERCENTILE.INC($C$2:$C$726,0.8),5,C558&gt;=_xlfn.PERCENTILE.INC($C$2:$C$726,0.6),4,C558&gt;=_xlfn.PERCENTILE.INC($C$2:$C$726,0.4),3,C558&gt;=_xlfn.PERCENTILE.INC($C$2:$C$726,0.2),2,TRUE,1)</f>
        <v>3</v>
      </c>
      <c r="G558" cm="1">
        <f t="array" ref="G558">_xlfn.IFS(D558&gt;=_xlfn.PERCENTILE.INC($D$2:$D$726,0.8),5,D558&gt;=_xlfn.PERCENTILE.INC($D$2:$D$726,0.6),4,D558&gt;=_xlfn.PERCENTILE.INC($D$2:$D$726,0.4),3,D558&gt;=_xlfn.PERCENTILE.INC($D$2:$D$726,0.2),2,TRUE,1)</f>
        <v>1</v>
      </c>
      <c r="H558">
        <f t="shared" si="8"/>
        <v>9</v>
      </c>
      <c r="I558" t="str" cm="1">
        <f t="array" ref="I558">_xlfn.IFS(H558&gt;=13,"Best Customers",H558&gt;=10,"Loyal Customers",H558&gt;=7,"Potential Loyal Customers",H558&gt;=4,"Need Attention",TRUE,"At Risk")</f>
        <v>Potential Loyal Customers</v>
      </c>
    </row>
    <row r="559" spans="1:9" x14ac:dyDescent="0.25">
      <c r="A559" t="s">
        <v>2260</v>
      </c>
      <c r="B559" s="4">
        <v>607</v>
      </c>
      <c r="C559">
        <v>4</v>
      </c>
      <c r="D559">
        <v>222.9</v>
      </c>
      <c r="E559" cm="1">
        <f t="array" ref="E559">_xlfn.IFS(B559&lt;=_xlfn.PERCENTILE.INC($B$2:$B$726,0.2),5, B559&lt;=_xlfn.PERCENTILE.INC($B$2:$B$726,0.4),4,B559&lt;=_xlfn.PERCENTILE.INC($B$2:$B$726,0.6),3,B559&lt;=_xlfn.PERCENTILE.INC($B$2:$B$726,0.8),4,TRUE,1)</f>
        <v>4</v>
      </c>
      <c r="F559" cm="1">
        <f t="array" ref="F559">_xlfn.IFS(C559&gt;=_xlfn.PERCENTILE.INC($C$2:$C$726,0.8),5,C559&gt;=_xlfn.PERCENTILE.INC($C$2:$C$726,0.6),4,C559&gt;=_xlfn.PERCENTILE.INC($C$2:$C$726,0.4),3,C559&gt;=_xlfn.PERCENTILE.INC($C$2:$C$726,0.2),2,TRUE,1)</f>
        <v>2</v>
      </c>
      <c r="G559" cm="1">
        <f t="array" ref="G559">_xlfn.IFS(D559&gt;=_xlfn.PERCENTILE.INC($D$2:$D$726,0.8),5,D559&gt;=_xlfn.PERCENTILE.INC($D$2:$D$726,0.6),4,D559&gt;=_xlfn.PERCENTILE.INC($D$2:$D$726,0.4),3,D559&gt;=_xlfn.PERCENTILE.INC($D$2:$D$726,0.2),2,TRUE,1)</f>
        <v>2</v>
      </c>
      <c r="H559">
        <f t="shared" si="8"/>
        <v>8</v>
      </c>
      <c r="I559" t="str" cm="1">
        <f t="array" ref="I559">_xlfn.IFS(H559&gt;=13,"Best Customers",H559&gt;=10,"Loyal Customers",H559&gt;=7,"Potential Loyal Customers",H559&gt;=4,"Need Attention",TRUE,"At Risk")</f>
        <v>Potential Loyal Customers</v>
      </c>
    </row>
    <row r="560" spans="1:9" x14ac:dyDescent="0.25">
      <c r="A560" t="s">
        <v>3458</v>
      </c>
      <c r="B560" s="4">
        <v>492</v>
      </c>
      <c r="C560">
        <v>7</v>
      </c>
      <c r="D560">
        <v>387.1</v>
      </c>
      <c r="E560" cm="1">
        <f t="array" ref="E560">_xlfn.IFS(B560&lt;=_xlfn.PERCENTILE.INC($B$2:$B$726,0.2),5, B560&lt;=_xlfn.PERCENTILE.INC($B$2:$B$726,0.4),4,B560&lt;=_xlfn.PERCENTILE.INC($B$2:$B$726,0.6),3,B560&lt;=_xlfn.PERCENTILE.INC($B$2:$B$726,0.8),4,TRUE,1)</f>
        <v>3</v>
      </c>
      <c r="F560" cm="1">
        <f t="array" ref="F560">_xlfn.IFS(C560&gt;=_xlfn.PERCENTILE.INC($C$2:$C$726,0.8),5,C560&gt;=_xlfn.PERCENTILE.INC($C$2:$C$726,0.6),4,C560&gt;=_xlfn.PERCENTILE.INC($C$2:$C$726,0.4),3,C560&gt;=_xlfn.PERCENTILE.INC($C$2:$C$726,0.2),2,TRUE,1)</f>
        <v>4</v>
      </c>
      <c r="G560" cm="1">
        <f t="array" ref="G560">_xlfn.IFS(D560&gt;=_xlfn.PERCENTILE.INC($D$2:$D$726,0.8),5,D560&gt;=_xlfn.PERCENTILE.INC($D$2:$D$726,0.6),4,D560&gt;=_xlfn.PERCENTILE.INC($D$2:$D$726,0.4),3,D560&gt;=_xlfn.PERCENTILE.INC($D$2:$D$726,0.2),2,TRUE,1)</f>
        <v>4</v>
      </c>
      <c r="H560">
        <f t="shared" si="8"/>
        <v>11</v>
      </c>
      <c r="I560" t="str" cm="1">
        <f t="array" ref="I560">_xlfn.IFS(H560&gt;=13,"Best Customers",H560&gt;=10,"Loyal Customers",H560&gt;=7,"Potential Loyal Customers",H560&gt;=4,"Need Attention",TRUE,"At Risk")</f>
        <v>Loyal Customers</v>
      </c>
    </row>
    <row r="561" spans="1:9" x14ac:dyDescent="0.25">
      <c r="A561" t="s">
        <v>1405</v>
      </c>
      <c r="B561" s="4">
        <v>1217</v>
      </c>
      <c r="C561">
        <v>3</v>
      </c>
      <c r="D561">
        <v>109.8</v>
      </c>
      <c r="E561" cm="1">
        <f t="array" ref="E561">_xlfn.IFS(B561&lt;=_xlfn.PERCENTILE.INC($B$2:$B$726,0.2),5, B561&lt;=_xlfn.PERCENTILE.INC($B$2:$B$726,0.4),4,B561&lt;=_xlfn.PERCENTILE.INC($B$2:$B$726,0.6),3,B561&lt;=_xlfn.PERCENTILE.INC($B$2:$B$726,0.8),4,TRUE,1)</f>
        <v>1</v>
      </c>
      <c r="F561" cm="1">
        <f t="array" ref="F561">_xlfn.IFS(C561&gt;=_xlfn.PERCENTILE.INC($C$2:$C$726,0.8),5,C561&gt;=_xlfn.PERCENTILE.INC($C$2:$C$726,0.6),4,C561&gt;=_xlfn.PERCENTILE.INC($C$2:$C$726,0.4),3,C561&gt;=_xlfn.PERCENTILE.INC($C$2:$C$726,0.2),2,TRUE,1)</f>
        <v>1</v>
      </c>
      <c r="G561" cm="1">
        <f t="array" ref="G561">_xlfn.IFS(D561&gt;=_xlfn.PERCENTILE.INC($D$2:$D$726,0.8),5,D561&gt;=_xlfn.PERCENTILE.INC($D$2:$D$726,0.6),4,D561&gt;=_xlfn.PERCENTILE.INC($D$2:$D$726,0.4),3,D561&gt;=_xlfn.PERCENTILE.INC($D$2:$D$726,0.2),2,TRUE,1)</f>
        <v>1</v>
      </c>
      <c r="H561">
        <f t="shared" si="8"/>
        <v>3</v>
      </c>
      <c r="I561" t="str" cm="1">
        <f t="array" ref="I561">_xlfn.IFS(H561&gt;=13,"Best Customers",H561&gt;=10,"Loyal Customers",H561&gt;=7,"Potential Loyal Customers",H561&gt;=4,"Need Attention",TRUE,"At Risk")</f>
        <v>At Risk</v>
      </c>
    </row>
    <row r="562" spans="1:9" x14ac:dyDescent="0.25">
      <c r="A562" t="s">
        <v>984</v>
      </c>
      <c r="B562" s="4">
        <v>556</v>
      </c>
      <c r="C562">
        <v>5</v>
      </c>
      <c r="D562">
        <v>132.19999999999999</v>
      </c>
      <c r="E562" cm="1">
        <f t="array" ref="E562">_xlfn.IFS(B562&lt;=_xlfn.PERCENTILE.INC($B$2:$B$726,0.2),5, B562&lt;=_xlfn.PERCENTILE.INC($B$2:$B$726,0.4),4,B562&lt;=_xlfn.PERCENTILE.INC($B$2:$B$726,0.6),3,B562&lt;=_xlfn.PERCENTILE.INC($B$2:$B$726,0.8),4,TRUE,1)</f>
        <v>3</v>
      </c>
      <c r="F562" cm="1">
        <f t="array" ref="F562">_xlfn.IFS(C562&gt;=_xlfn.PERCENTILE.INC($C$2:$C$726,0.8),5,C562&gt;=_xlfn.PERCENTILE.INC($C$2:$C$726,0.6),4,C562&gt;=_xlfn.PERCENTILE.INC($C$2:$C$726,0.4),3,C562&gt;=_xlfn.PERCENTILE.INC($C$2:$C$726,0.2),2,TRUE,1)</f>
        <v>3</v>
      </c>
      <c r="G562" cm="1">
        <f t="array" ref="G562">_xlfn.IFS(D562&gt;=_xlfn.PERCENTILE.INC($D$2:$D$726,0.8),5,D562&gt;=_xlfn.PERCENTILE.INC($D$2:$D$726,0.6),4,D562&gt;=_xlfn.PERCENTILE.INC($D$2:$D$726,0.4),3,D562&gt;=_xlfn.PERCENTILE.INC($D$2:$D$726,0.2),2,TRUE,1)</f>
        <v>1</v>
      </c>
      <c r="H562">
        <f t="shared" si="8"/>
        <v>7</v>
      </c>
      <c r="I562" t="str" cm="1">
        <f t="array" ref="I562">_xlfn.IFS(H562&gt;=13,"Best Customers",H562&gt;=10,"Loyal Customers",H562&gt;=7,"Potential Loyal Customers",H562&gt;=4,"Need Attention",TRUE,"At Risk")</f>
        <v>Potential Loyal Customers</v>
      </c>
    </row>
    <row r="563" spans="1:9" x14ac:dyDescent="0.25">
      <c r="A563" t="s">
        <v>1488</v>
      </c>
      <c r="B563" s="4">
        <v>386</v>
      </c>
      <c r="C563">
        <v>8</v>
      </c>
      <c r="D563">
        <v>332.2</v>
      </c>
      <c r="E563" cm="1">
        <f t="array" ref="E563">_xlfn.IFS(B563&lt;=_xlfn.PERCENTILE.INC($B$2:$B$726,0.2),5, B563&lt;=_xlfn.PERCENTILE.INC($B$2:$B$726,0.4),4,B563&lt;=_xlfn.PERCENTILE.INC($B$2:$B$726,0.6),3,B563&lt;=_xlfn.PERCENTILE.INC($B$2:$B$726,0.8),4,TRUE,1)</f>
        <v>5</v>
      </c>
      <c r="F563" cm="1">
        <f t="array" ref="F563">_xlfn.IFS(C563&gt;=_xlfn.PERCENTILE.INC($C$2:$C$726,0.8),5,C563&gt;=_xlfn.PERCENTILE.INC($C$2:$C$726,0.6),4,C563&gt;=_xlfn.PERCENTILE.INC($C$2:$C$726,0.4),3,C563&gt;=_xlfn.PERCENTILE.INC($C$2:$C$726,0.2),2,TRUE,1)</f>
        <v>5</v>
      </c>
      <c r="G563" cm="1">
        <f t="array" ref="G563">_xlfn.IFS(D563&gt;=_xlfn.PERCENTILE.INC($D$2:$D$726,0.8),5,D563&gt;=_xlfn.PERCENTILE.INC($D$2:$D$726,0.6),4,D563&gt;=_xlfn.PERCENTILE.INC($D$2:$D$726,0.4),3,D563&gt;=_xlfn.PERCENTILE.INC($D$2:$D$726,0.2),2,TRUE,1)</f>
        <v>4</v>
      </c>
      <c r="H563">
        <f t="shared" si="8"/>
        <v>14</v>
      </c>
      <c r="I563" t="str" cm="1">
        <f t="array" ref="I563">_xlfn.IFS(H563&gt;=13,"Best Customers",H563&gt;=10,"Loyal Customers",H563&gt;=7,"Potential Loyal Customers",H563&gt;=4,"Need Attention",TRUE,"At Risk")</f>
        <v>Best Customers</v>
      </c>
    </row>
    <row r="564" spans="1:9" x14ac:dyDescent="0.25">
      <c r="A564" t="s">
        <v>3081</v>
      </c>
      <c r="B564" s="4">
        <v>449</v>
      </c>
      <c r="C564">
        <v>4</v>
      </c>
      <c r="D564">
        <v>349.70000000000005</v>
      </c>
      <c r="E564" cm="1">
        <f t="array" ref="E564">_xlfn.IFS(B564&lt;=_xlfn.PERCENTILE.INC($B$2:$B$726,0.2),5, B564&lt;=_xlfn.PERCENTILE.INC($B$2:$B$726,0.4),4,B564&lt;=_xlfn.PERCENTILE.INC($B$2:$B$726,0.6),3,B564&lt;=_xlfn.PERCENTILE.INC($B$2:$B$726,0.8),4,TRUE,1)</f>
        <v>4</v>
      </c>
      <c r="F564" cm="1">
        <f t="array" ref="F564">_xlfn.IFS(C564&gt;=_xlfn.PERCENTILE.INC($C$2:$C$726,0.8),5,C564&gt;=_xlfn.PERCENTILE.INC($C$2:$C$726,0.6),4,C564&gt;=_xlfn.PERCENTILE.INC($C$2:$C$726,0.4),3,C564&gt;=_xlfn.PERCENTILE.INC($C$2:$C$726,0.2),2,TRUE,1)</f>
        <v>2</v>
      </c>
      <c r="G564" cm="1">
        <f t="array" ref="G564">_xlfn.IFS(D564&gt;=_xlfn.PERCENTILE.INC($D$2:$D$726,0.8),5,D564&gt;=_xlfn.PERCENTILE.INC($D$2:$D$726,0.6),4,D564&gt;=_xlfn.PERCENTILE.INC($D$2:$D$726,0.4),3,D564&gt;=_xlfn.PERCENTILE.INC($D$2:$D$726,0.2),2,TRUE,1)</f>
        <v>4</v>
      </c>
      <c r="H564">
        <f t="shared" si="8"/>
        <v>10</v>
      </c>
      <c r="I564" t="str" cm="1">
        <f t="array" ref="I564">_xlfn.IFS(H564&gt;=13,"Best Customers",H564&gt;=10,"Loyal Customers",H564&gt;=7,"Potential Loyal Customers",H564&gt;=4,"Need Attention",TRUE,"At Risk")</f>
        <v>Loyal Customers</v>
      </c>
    </row>
    <row r="565" spans="1:9" x14ac:dyDescent="0.25">
      <c r="A565" t="s">
        <v>1360</v>
      </c>
      <c r="B565" s="4">
        <v>743</v>
      </c>
      <c r="C565">
        <v>4</v>
      </c>
      <c r="D565">
        <v>209.5</v>
      </c>
      <c r="E565" cm="1">
        <f t="array" ref="E565">_xlfn.IFS(B565&lt;=_xlfn.PERCENTILE.INC($B$2:$B$726,0.2),5, B565&lt;=_xlfn.PERCENTILE.INC($B$2:$B$726,0.4),4,B565&lt;=_xlfn.PERCENTILE.INC($B$2:$B$726,0.6),3,B565&lt;=_xlfn.PERCENTILE.INC($B$2:$B$726,0.8),4,TRUE,1)</f>
        <v>4</v>
      </c>
      <c r="F565" cm="1">
        <f t="array" ref="F565">_xlfn.IFS(C565&gt;=_xlfn.PERCENTILE.INC($C$2:$C$726,0.8),5,C565&gt;=_xlfn.PERCENTILE.INC($C$2:$C$726,0.6),4,C565&gt;=_xlfn.PERCENTILE.INC($C$2:$C$726,0.4),3,C565&gt;=_xlfn.PERCENTILE.INC($C$2:$C$726,0.2),2,TRUE,1)</f>
        <v>2</v>
      </c>
      <c r="G565" cm="1">
        <f t="array" ref="G565">_xlfn.IFS(D565&gt;=_xlfn.PERCENTILE.INC($D$2:$D$726,0.8),5,D565&gt;=_xlfn.PERCENTILE.INC($D$2:$D$726,0.6),4,D565&gt;=_xlfn.PERCENTILE.INC($D$2:$D$726,0.4),3,D565&gt;=_xlfn.PERCENTILE.INC($D$2:$D$726,0.2),2,TRUE,1)</f>
        <v>2</v>
      </c>
      <c r="H565">
        <f t="shared" si="8"/>
        <v>8</v>
      </c>
      <c r="I565" t="str" cm="1">
        <f t="array" ref="I565">_xlfn.IFS(H565&gt;=13,"Best Customers",H565&gt;=10,"Loyal Customers",H565&gt;=7,"Potential Loyal Customers",H565&gt;=4,"Need Attention",TRUE,"At Risk")</f>
        <v>Potential Loyal Customers</v>
      </c>
    </row>
    <row r="566" spans="1:9" x14ac:dyDescent="0.25">
      <c r="A566" t="s">
        <v>1378</v>
      </c>
      <c r="B566" s="4">
        <v>436</v>
      </c>
      <c r="C566">
        <v>6</v>
      </c>
      <c r="D566">
        <v>392.70000000000005</v>
      </c>
      <c r="E566" cm="1">
        <f t="array" ref="E566">_xlfn.IFS(B566&lt;=_xlfn.PERCENTILE.INC($B$2:$B$726,0.2),5, B566&lt;=_xlfn.PERCENTILE.INC($B$2:$B$726,0.4),4,B566&lt;=_xlfn.PERCENTILE.INC($B$2:$B$726,0.6),3,B566&lt;=_xlfn.PERCENTILE.INC($B$2:$B$726,0.8),4,TRUE,1)</f>
        <v>4</v>
      </c>
      <c r="F566" cm="1">
        <f t="array" ref="F566">_xlfn.IFS(C566&gt;=_xlfn.PERCENTILE.INC($C$2:$C$726,0.8),5,C566&gt;=_xlfn.PERCENTILE.INC($C$2:$C$726,0.6),4,C566&gt;=_xlfn.PERCENTILE.INC($C$2:$C$726,0.4),3,C566&gt;=_xlfn.PERCENTILE.INC($C$2:$C$726,0.2),2,TRUE,1)</f>
        <v>4</v>
      </c>
      <c r="G566" cm="1">
        <f t="array" ref="G566">_xlfn.IFS(D566&gt;=_xlfn.PERCENTILE.INC($D$2:$D$726,0.8),5,D566&gt;=_xlfn.PERCENTILE.INC($D$2:$D$726,0.6),4,D566&gt;=_xlfn.PERCENTILE.INC($D$2:$D$726,0.4),3,D566&gt;=_xlfn.PERCENTILE.INC($D$2:$D$726,0.2),2,TRUE,1)</f>
        <v>4</v>
      </c>
      <c r="H566">
        <f t="shared" si="8"/>
        <v>12</v>
      </c>
      <c r="I566" t="str" cm="1">
        <f t="array" ref="I566">_xlfn.IFS(H566&gt;=13,"Best Customers",H566&gt;=10,"Loyal Customers",H566&gt;=7,"Potential Loyal Customers",H566&gt;=4,"Need Attention",TRUE,"At Risk")</f>
        <v>Loyal Customers</v>
      </c>
    </row>
    <row r="567" spans="1:9" x14ac:dyDescent="0.25">
      <c r="A567" t="s">
        <v>719</v>
      </c>
      <c r="B567" s="4">
        <v>736</v>
      </c>
      <c r="C567">
        <v>3</v>
      </c>
      <c r="D567">
        <v>173.5</v>
      </c>
      <c r="E567" cm="1">
        <f t="array" ref="E567">_xlfn.IFS(B567&lt;=_xlfn.PERCENTILE.INC($B$2:$B$726,0.2),5, B567&lt;=_xlfn.PERCENTILE.INC($B$2:$B$726,0.4),4,B567&lt;=_xlfn.PERCENTILE.INC($B$2:$B$726,0.6),3,B567&lt;=_xlfn.PERCENTILE.INC($B$2:$B$726,0.8),4,TRUE,1)</f>
        <v>4</v>
      </c>
      <c r="F567" cm="1">
        <f t="array" ref="F567">_xlfn.IFS(C567&gt;=_xlfn.PERCENTILE.INC($C$2:$C$726,0.8),5,C567&gt;=_xlfn.PERCENTILE.INC($C$2:$C$726,0.6),4,C567&gt;=_xlfn.PERCENTILE.INC($C$2:$C$726,0.4),3,C567&gt;=_xlfn.PERCENTILE.INC($C$2:$C$726,0.2),2,TRUE,1)</f>
        <v>1</v>
      </c>
      <c r="G567" cm="1">
        <f t="array" ref="G567">_xlfn.IFS(D567&gt;=_xlfn.PERCENTILE.INC($D$2:$D$726,0.8),5,D567&gt;=_xlfn.PERCENTILE.INC($D$2:$D$726,0.6),4,D567&gt;=_xlfn.PERCENTILE.INC($D$2:$D$726,0.4),3,D567&gt;=_xlfn.PERCENTILE.INC($D$2:$D$726,0.2),2,TRUE,1)</f>
        <v>2</v>
      </c>
      <c r="H567">
        <f t="shared" si="8"/>
        <v>7</v>
      </c>
      <c r="I567" t="str" cm="1">
        <f t="array" ref="I567">_xlfn.IFS(H567&gt;=13,"Best Customers",H567&gt;=10,"Loyal Customers",H567&gt;=7,"Potential Loyal Customers",H567&gt;=4,"Need Attention",TRUE,"At Risk")</f>
        <v>Potential Loyal Customers</v>
      </c>
    </row>
    <row r="568" spans="1:9" x14ac:dyDescent="0.25">
      <c r="A568" t="s">
        <v>2873</v>
      </c>
      <c r="B568" s="4">
        <v>543</v>
      </c>
      <c r="C568">
        <v>8</v>
      </c>
      <c r="D568">
        <v>355</v>
      </c>
      <c r="E568" cm="1">
        <f t="array" ref="E568">_xlfn.IFS(B568&lt;=_xlfn.PERCENTILE.INC($B$2:$B$726,0.2),5, B568&lt;=_xlfn.PERCENTILE.INC($B$2:$B$726,0.4),4,B568&lt;=_xlfn.PERCENTILE.INC($B$2:$B$726,0.6),3,B568&lt;=_xlfn.PERCENTILE.INC($B$2:$B$726,0.8),4,TRUE,1)</f>
        <v>3</v>
      </c>
      <c r="F568" cm="1">
        <f t="array" ref="F568">_xlfn.IFS(C568&gt;=_xlfn.PERCENTILE.INC($C$2:$C$726,0.8),5,C568&gt;=_xlfn.PERCENTILE.INC($C$2:$C$726,0.6),4,C568&gt;=_xlfn.PERCENTILE.INC($C$2:$C$726,0.4),3,C568&gt;=_xlfn.PERCENTILE.INC($C$2:$C$726,0.2),2,TRUE,1)</f>
        <v>5</v>
      </c>
      <c r="G568" cm="1">
        <f t="array" ref="G568">_xlfn.IFS(D568&gt;=_xlfn.PERCENTILE.INC($D$2:$D$726,0.8),5,D568&gt;=_xlfn.PERCENTILE.INC($D$2:$D$726,0.6),4,D568&gt;=_xlfn.PERCENTILE.INC($D$2:$D$726,0.4),3,D568&gt;=_xlfn.PERCENTILE.INC($D$2:$D$726,0.2),2,TRUE,1)</f>
        <v>4</v>
      </c>
      <c r="H568">
        <f t="shared" si="8"/>
        <v>12</v>
      </c>
      <c r="I568" t="str" cm="1">
        <f t="array" ref="I568">_xlfn.IFS(H568&gt;=13,"Best Customers",H568&gt;=10,"Loyal Customers",H568&gt;=7,"Potential Loyal Customers",H568&gt;=4,"Need Attention",TRUE,"At Risk")</f>
        <v>Loyal Customers</v>
      </c>
    </row>
    <row r="569" spans="1:9" x14ac:dyDescent="0.25">
      <c r="A569" t="s">
        <v>2855</v>
      </c>
      <c r="B569" s="4">
        <v>712</v>
      </c>
      <c r="C569">
        <v>5</v>
      </c>
      <c r="D569">
        <v>390</v>
      </c>
      <c r="E569" cm="1">
        <f t="array" ref="E569">_xlfn.IFS(B569&lt;=_xlfn.PERCENTILE.INC($B$2:$B$726,0.2),5, B569&lt;=_xlfn.PERCENTILE.INC($B$2:$B$726,0.4),4,B569&lt;=_xlfn.PERCENTILE.INC($B$2:$B$726,0.6),3,B569&lt;=_xlfn.PERCENTILE.INC($B$2:$B$726,0.8),4,TRUE,1)</f>
        <v>4</v>
      </c>
      <c r="F569" cm="1">
        <f t="array" ref="F569">_xlfn.IFS(C569&gt;=_xlfn.PERCENTILE.INC($C$2:$C$726,0.8),5,C569&gt;=_xlfn.PERCENTILE.INC($C$2:$C$726,0.6),4,C569&gt;=_xlfn.PERCENTILE.INC($C$2:$C$726,0.4),3,C569&gt;=_xlfn.PERCENTILE.INC($C$2:$C$726,0.2),2,TRUE,1)</f>
        <v>3</v>
      </c>
      <c r="G569" cm="1">
        <f t="array" ref="G569">_xlfn.IFS(D569&gt;=_xlfn.PERCENTILE.INC($D$2:$D$726,0.8),5,D569&gt;=_xlfn.PERCENTILE.INC($D$2:$D$726,0.6),4,D569&gt;=_xlfn.PERCENTILE.INC($D$2:$D$726,0.4),3,D569&gt;=_xlfn.PERCENTILE.INC($D$2:$D$726,0.2),2,TRUE,1)</f>
        <v>4</v>
      </c>
      <c r="H569">
        <f t="shared" si="8"/>
        <v>11</v>
      </c>
      <c r="I569" t="str" cm="1">
        <f t="array" ref="I569">_xlfn.IFS(H569&gt;=13,"Best Customers",H569&gt;=10,"Loyal Customers",H569&gt;=7,"Potential Loyal Customers",H569&gt;=4,"Need Attention",TRUE,"At Risk")</f>
        <v>Loyal Customers</v>
      </c>
    </row>
    <row r="570" spans="1:9" x14ac:dyDescent="0.25">
      <c r="A570" t="s">
        <v>3300</v>
      </c>
      <c r="B570" s="4">
        <v>1070</v>
      </c>
      <c r="C570">
        <v>3</v>
      </c>
      <c r="D570">
        <v>90.7</v>
      </c>
      <c r="E570" cm="1">
        <f t="array" ref="E570">_xlfn.IFS(B570&lt;=_xlfn.PERCENTILE.INC($B$2:$B$726,0.2),5, B570&lt;=_xlfn.PERCENTILE.INC($B$2:$B$726,0.4),4,B570&lt;=_xlfn.PERCENTILE.INC($B$2:$B$726,0.6),3,B570&lt;=_xlfn.PERCENTILE.INC($B$2:$B$726,0.8),4,TRUE,1)</f>
        <v>1</v>
      </c>
      <c r="F570" cm="1">
        <f t="array" ref="F570">_xlfn.IFS(C570&gt;=_xlfn.PERCENTILE.INC($C$2:$C$726,0.8),5,C570&gt;=_xlfn.PERCENTILE.INC($C$2:$C$726,0.6),4,C570&gt;=_xlfn.PERCENTILE.INC($C$2:$C$726,0.4),3,C570&gt;=_xlfn.PERCENTILE.INC($C$2:$C$726,0.2),2,TRUE,1)</f>
        <v>1</v>
      </c>
      <c r="G570" cm="1">
        <f t="array" ref="G570">_xlfn.IFS(D570&gt;=_xlfn.PERCENTILE.INC($D$2:$D$726,0.8),5,D570&gt;=_xlfn.PERCENTILE.INC($D$2:$D$726,0.6),4,D570&gt;=_xlfn.PERCENTILE.INC($D$2:$D$726,0.4),3,D570&gt;=_xlfn.PERCENTILE.INC($D$2:$D$726,0.2),2,TRUE,1)</f>
        <v>1</v>
      </c>
      <c r="H570">
        <f t="shared" si="8"/>
        <v>3</v>
      </c>
      <c r="I570" t="str" cm="1">
        <f t="array" ref="I570">_xlfn.IFS(H570&gt;=13,"Best Customers",H570&gt;=10,"Loyal Customers",H570&gt;=7,"Potential Loyal Customers",H570&gt;=4,"Need Attention",TRUE,"At Risk")</f>
        <v>At Risk</v>
      </c>
    </row>
    <row r="571" spans="1:9" x14ac:dyDescent="0.25">
      <c r="A571" t="s">
        <v>2518</v>
      </c>
      <c r="B571" s="4">
        <v>451</v>
      </c>
      <c r="C571">
        <v>6</v>
      </c>
      <c r="D571">
        <v>123.20000000000002</v>
      </c>
      <c r="E571" cm="1">
        <f t="array" ref="E571">_xlfn.IFS(B571&lt;=_xlfn.PERCENTILE.INC($B$2:$B$726,0.2),5, B571&lt;=_xlfn.PERCENTILE.INC($B$2:$B$726,0.4),4,B571&lt;=_xlfn.PERCENTILE.INC($B$2:$B$726,0.6),3,B571&lt;=_xlfn.PERCENTILE.INC($B$2:$B$726,0.8),4,TRUE,1)</f>
        <v>4</v>
      </c>
      <c r="F571" cm="1">
        <f t="array" ref="F571">_xlfn.IFS(C571&gt;=_xlfn.PERCENTILE.INC($C$2:$C$726,0.8),5,C571&gt;=_xlfn.PERCENTILE.INC($C$2:$C$726,0.6),4,C571&gt;=_xlfn.PERCENTILE.INC($C$2:$C$726,0.4),3,C571&gt;=_xlfn.PERCENTILE.INC($C$2:$C$726,0.2),2,TRUE,1)</f>
        <v>4</v>
      </c>
      <c r="G571" cm="1">
        <f t="array" ref="G571">_xlfn.IFS(D571&gt;=_xlfn.PERCENTILE.INC($D$2:$D$726,0.8),5,D571&gt;=_xlfn.PERCENTILE.INC($D$2:$D$726,0.6),4,D571&gt;=_xlfn.PERCENTILE.INC($D$2:$D$726,0.4),3,D571&gt;=_xlfn.PERCENTILE.INC($D$2:$D$726,0.2),2,TRUE,1)</f>
        <v>1</v>
      </c>
      <c r="H571">
        <f t="shared" si="8"/>
        <v>9</v>
      </c>
      <c r="I571" t="str" cm="1">
        <f t="array" ref="I571">_xlfn.IFS(H571&gt;=13,"Best Customers",H571&gt;=10,"Loyal Customers",H571&gt;=7,"Potential Loyal Customers",H571&gt;=4,"Need Attention",TRUE,"At Risk")</f>
        <v>Potential Loyal Customers</v>
      </c>
    </row>
    <row r="572" spans="1:9" x14ac:dyDescent="0.25">
      <c r="A572" t="s">
        <v>823</v>
      </c>
      <c r="B572" s="4">
        <v>436</v>
      </c>
      <c r="C572">
        <v>5</v>
      </c>
      <c r="D572">
        <v>104.69999999999999</v>
      </c>
      <c r="E572" cm="1">
        <f t="array" ref="E572">_xlfn.IFS(B572&lt;=_xlfn.PERCENTILE.INC($B$2:$B$726,0.2),5, B572&lt;=_xlfn.PERCENTILE.INC($B$2:$B$726,0.4),4,B572&lt;=_xlfn.PERCENTILE.INC($B$2:$B$726,0.6),3,B572&lt;=_xlfn.PERCENTILE.INC($B$2:$B$726,0.8),4,TRUE,1)</f>
        <v>4</v>
      </c>
      <c r="F572" cm="1">
        <f t="array" ref="F572">_xlfn.IFS(C572&gt;=_xlfn.PERCENTILE.INC($C$2:$C$726,0.8),5,C572&gt;=_xlfn.PERCENTILE.INC($C$2:$C$726,0.6),4,C572&gt;=_xlfn.PERCENTILE.INC($C$2:$C$726,0.4),3,C572&gt;=_xlfn.PERCENTILE.INC($C$2:$C$726,0.2),2,TRUE,1)</f>
        <v>3</v>
      </c>
      <c r="G572" cm="1">
        <f t="array" ref="G572">_xlfn.IFS(D572&gt;=_xlfn.PERCENTILE.INC($D$2:$D$726,0.8),5,D572&gt;=_xlfn.PERCENTILE.INC($D$2:$D$726,0.6),4,D572&gt;=_xlfn.PERCENTILE.INC($D$2:$D$726,0.4),3,D572&gt;=_xlfn.PERCENTILE.INC($D$2:$D$726,0.2),2,TRUE,1)</f>
        <v>1</v>
      </c>
      <c r="H572">
        <f t="shared" si="8"/>
        <v>8</v>
      </c>
      <c r="I572" t="str" cm="1">
        <f t="array" ref="I572">_xlfn.IFS(H572&gt;=13,"Best Customers",H572&gt;=10,"Loyal Customers",H572&gt;=7,"Potential Loyal Customers",H572&gt;=4,"Need Attention",TRUE,"At Risk")</f>
        <v>Potential Loyal Customers</v>
      </c>
    </row>
    <row r="573" spans="1:9" x14ac:dyDescent="0.25">
      <c r="A573" t="s">
        <v>1449</v>
      </c>
      <c r="B573" s="4">
        <v>484</v>
      </c>
      <c r="C573">
        <v>4</v>
      </c>
      <c r="D573">
        <v>71.8</v>
      </c>
      <c r="E573" cm="1">
        <f t="array" ref="E573">_xlfn.IFS(B573&lt;=_xlfn.PERCENTILE.INC($B$2:$B$726,0.2),5, B573&lt;=_xlfn.PERCENTILE.INC($B$2:$B$726,0.4),4,B573&lt;=_xlfn.PERCENTILE.INC($B$2:$B$726,0.6),3,B573&lt;=_xlfn.PERCENTILE.INC($B$2:$B$726,0.8),4,TRUE,1)</f>
        <v>3</v>
      </c>
      <c r="F573" cm="1">
        <f t="array" ref="F573">_xlfn.IFS(C573&gt;=_xlfn.PERCENTILE.INC($C$2:$C$726,0.8),5,C573&gt;=_xlfn.PERCENTILE.INC($C$2:$C$726,0.6),4,C573&gt;=_xlfn.PERCENTILE.INC($C$2:$C$726,0.4),3,C573&gt;=_xlfn.PERCENTILE.INC($C$2:$C$726,0.2),2,TRUE,1)</f>
        <v>2</v>
      </c>
      <c r="G573" cm="1">
        <f t="array" ref="G573">_xlfn.IFS(D573&gt;=_xlfn.PERCENTILE.INC($D$2:$D$726,0.8),5,D573&gt;=_xlfn.PERCENTILE.INC($D$2:$D$726,0.6),4,D573&gt;=_xlfn.PERCENTILE.INC($D$2:$D$726,0.4),3,D573&gt;=_xlfn.PERCENTILE.INC($D$2:$D$726,0.2),2,TRUE,1)</f>
        <v>1</v>
      </c>
      <c r="H573">
        <f t="shared" si="8"/>
        <v>6</v>
      </c>
      <c r="I573" t="str" cm="1">
        <f t="array" ref="I573">_xlfn.IFS(H573&gt;=13,"Best Customers",H573&gt;=10,"Loyal Customers",H573&gt;=7,"Potential Loyal Customers",H573&gt;=4,"Need Attention",TRUE,"At Risk")</f>
        <v>Need Attention</v>
      </c>
    </row>
    <row r="574" spans="1:9" x14ac:dyDescent="0.25">
      <c r="A574" t="s">
        <v>775</v>
      </c>
      <c r="B574" s="4">
        <v>541</v>
      </c>
      <c r="C574">
        <v>6</v>
      </c>
      <c r="D574">
        <v>254.10000000000002</v>
      </c>
      <c r="E574" cm="1">
        <f t="array" ref="E574">_xlfn.IFS(B574&lt;=_xlfn.PERCENTILE.INC($B$2:$B$726,0.2),5, B574&lt;=_xlfn.PERCENTILE.INC($B$2:$B$726,0.4),4,B574&lt;=_xlfn.PERCENTILE.INC($B$2:$B$726,0.6),3,B574&lt;=_xlfn.PERCENTILE.INC($B$2:$B$726,0.8),4,TRUE,1)</f>
        <v>3</v>
      </c>
      <c r="F574" cm="1">
        <f t="array" ref="F574">_xlfn.IFS(C574&gt;=_xlfn.PERCENTILE.INC($C$2:$C$726,0.8),5,C574&gt;=_xlfn.PERCENTILE.INC($C$2:$C$726,0.6),4,C574&gt;=_xlfn.PERCENTILE.INC($C$2:$C$726,0.4),3,C574&gt;=_xlfn.PERCENTILE.INC($C$2:$C$726,0.2),2,TRUE,1)</f>
        <v>4</v>
      </c>
      <c r="G574" cm="1">
        <f t="array" ref="G574">_xlfn.IFS(D574&gt;=_xlfn.PERCENTILE.INC($D$2:$D$726,0.8),5,D574&gt;=_xlfn.PERCENTILE.INC($D$2:$D$726,0.6),4,D574&gt;=_xlfn.PERCENTILE.INC($D$2:$D$726,0.4),3,D574&gt;=_xlfn.PERCENTILE.INC($D$2:$D$726,0.2),2,TRUE,1)</f>
        <v>3</v>
      </c>
      <c r="H574">
        <f t="shared" si="8"/>
        <v>10</v>
      </c>
      <c r="I574" t="str" cm="1">
        <f t="array" ref="I574">_xlfn.IFS(H574&gt;=13,"Best Customers",H574&gt;=10,"Loyal Customers",H574&gt;=7,"Potential Loyal Customers",H574&gt;=4,"Need Attention",TRUE,"At Risk")</f>
        <v>Loyal Customers</v>
      </c>
    </row>
    <row r="575" spans="1:9" x14ac:dyDescent="0.25">
      <c r="A575" t="s">
        <v>1464</v>
      </c>
      <c r="B575" s="4">
        <v>1361</v>
      </c>
      <c r="C575">
        <v>3</v>
      </c>
      <c r="D575">
        <v>111.9</v>
      </c>
      <c r="E575" cm="1">
        <f t="array" ref="E575">_xlfn.IFS(B575&lt;=_xlfn.PERCENTILE.INC($B$2:$B$726,0.2),5, B575&lt;=_xlfn.PERCENTILE.INC($B$2:$B$726,0.4),4,B575&lt;=_xlfn.PERCENTILE.INC($B$2:$B$726,0.6),3,B575&lt;=_xlfn.PERCENTILE.INC($B$2:$B$726,0.8),4,TRUE,1)</f>
        <v>1</v>
      </c>
      <c r="F575" cm="1">
        <f t="array" ref="F575">_xlfn.IFS(C575&gt;=_xlfn.PERCENTILE.INC($C$2:$C$726,0.8),5,C575&gt;=_xlfn.PERCENTILE.INC($C$2:$C$726,0.6),4,C575&gt;=_xlfn.PERCENTILE.INC($C$2:$C$726,0.4),3,C575&gt;=_xlfn.PERCENTILE.INC($C$2:$C$726,0.2),2,TRUE,1)</f>
        <v>1</v>
      </c>
      <c r="G575" cm="1">
        <f t="array" ref="G575">_xlfn.IFS(D575&gt;=_xlfn.PERCENTILE.INC($D$2:$D$726,0.8),5,D575&gt;=_xlfn.PERCENTILE.INC($D$2:$D$726,0.6),4,D575&gt;=_xlfn.PERCENTILE.INC($D$2:$D$726,0.4),3,D575&gt;=_xlfn.PERCENTILE.INC($D$2:$D$726,0.2),2,TRUE,1)</f>
        <v>1</v>
      </c>
      <c r="H575">
        <f t="shared" si="8"/>
        <v>3</v>
      </c>
      <c r="I575" t="str" cm="1">
        <f t="array" ref="I575">_xlfn.IFS(H575&gt;=13,"Best Customers",H575&gt;=10,"Loyal Customers",H575&gt;=7,"Potential Loyal Customers",H575&gt;=4,"Need Attention",TRUE,"At Risk")</f>
        <v>At Risk</v>
      </c>
    </row>
    <row r="576" spans="1:9" x14ac:dyDescent="0.25">
      <c r="A576" t="s">
        <v>1553</v>
      </c>
      <c r="B576" s="4">
        <v>355</v>
      </c>
      <c r="C576">
        <v>8</v>
      </c>
      <c r="D576">
        <v>361.6</v>
      </c>
      <c r="E576" cm="1">
        <f t="array" ref="E576">_xlfn.IFS(B576&lt;=_xlfn.PERCENTILE.INC($B$2:$B$726,0.2),5, B576&lt;=_xlfn.PERCENTILE.INC($B$2:$B$726,0.4),4,B576&lt;=_xlfn.PERCENTILE.INC($B$2:$B$726,0.6),3,B576&lt;=_xlfn.PERCENTILE.INC($B$2:$B$726,0.8),4,TRUE,1)</f>
        <v>5</v>
      </c>
      <c r="F576" cm="1">
        <f t="array" ref="F576">_xlfn.IFS(C576&gt;=_xlfn.PERCENTILE.INC($C$2:$C$726,0.8),5,C576&gt;=_xlfn.PERCENTILE.INC($C$2:$C$726,0.6),4,C576&gt;=_xlfn.PERCENTILE.INC($C$2:$C$726,0.4),3,C576&gt;=_xlfn.PERCENTILE.INC($C$2:$C$726,0.2),2,TRUE,1)</f>
        <v>5</v>
      </c>
      <c r="G576" cm="1">
        <f t="array" ref="G576">_xlfn.IFS(D576&gt;=_xlfn.PERCENTILE.INC($D$2:$D$726,0.8),5,D576&gt;=_xlfn.PERCENTILE.INC($D$2:$D$726,0.6),4,D576&gt;=_xlfn.PERCENTILE.INC($D$2:$D$726,0.4),3,D576&gt;=_xlfn.PERCENTILE.INC($D$2:$D$726,0.2),2,TRUE,1)</f>
        <v>4</v>
      </c>
      <c r="H576">
        <f t="shared" si="8"/>
        <v>14</v>
      </c>
      <c r="I576" t="str" cm="1">
        <f t="array" ref="I576">_xlfn.IFS(H576&gt;=13,"Best Customers",H576&gt;=10,"Loyal Customers",H576&gt;=7,"Potential Loyal Customers",H576&gt;=4,"Need Attention",TRUE,"At Risk")</f>
        <v>Best Customers</v>
      </c>
    </row>
    <row r="577" spans="1:9" x14ac:dyDescent="0.25">
      <c r="A577" t="s">
        <v>2006</v>
      </c>
      <c r="B577" s="4">
        <v>358</v>
      </c>
      <c r="C577">
        <v>6</v>
      </c>
      <c r="D577">
        <v>238.6</v>
      </c>
      <c r="E577" cm="1">
        <f t="array" ref="E577">_xlfn.IFS(B577&lt;=_xlfn.PERCENTILE.INC($B$2:$B$726,0.2),5, B577&lt;=_xlfn.PERCENTILE.INC($B$2:$B$726,0.4),4,B577&lt;=_xlfn.PERCENTILE.INC($B$2:$B$726,0.6),3,B577&lt;=_xlfn.PERCENTILE.INC($B$2:$B$726,0.8),4,TRUE,1)</f>
        <v>5</v>
      </c>
      <c r="F577" cm="1">
        <f t="array" ref="F577">_xlfn.IFS(C577&gt;=_xlfn.PERCENTILE.INC($C$2:$C$726,0.8),5,C577&gt;=_xlfn.PERCENTILE.INC($C$2:$C$726,0.6),4,C577&gt;=_xlfn.PERCENTILE.INC($C$2:$C$726,0.4),3,C577&gt;=_xlfn.PERCENTILE.INC($C$2:$C$726,0.2),2,TRUE,1)</f>
        <v>4</v>
      </c>
      <c r="G577" cm="1">
        <f t="array" ref="G577">_xlfn.IFS(D577&gt;=_xlfn.PERCENTILE.INC($D$2:$D$726,0.8),5,D577&gt;=_xlfn.PERCENTILE.INC($D$2:$D$726,0.6),4,D577&gt;=_xlfn.PERCENTILE.INC($D$2:$D$726,0.4),3,D577&gt;=_xlfn.PERCENTILE.INC($D$2:$D$726,0.2),2,TRUE,1)</f>
        <v>3</v>
      </c>
      <c r="H577">
        <f t="shared" si="8"/>
        <v>12</v>
      </c>
      <c r="I577" t="str" cm="1">
        <f t="array" ref="I577">_xlfn.IFS(H577&gt;=13,"Best Customers",H577&gt;=10,"Loyal Customers",H577&gt;=7,"Potential Loyal Customers",H577&gt;=4,"Need Attention",TRUE,"At Risk")</f>
        <v>Loyal Customers</v>
      </c>
    </row>
    <row r="578" spans="1:9" x14ac:dyDescent="0.25">
      <c r="A578" t="s">
        <v>2177</v>
      </c>
      <c r="B578" s="4">
        <v>814</v>
      </c>
      <c r="C578">
        <v>4</v>
      </c>
      <c r="D578">
        <v>513.5</v>
      </c>
      <c r="E578" cm="1">
        <f t="array" ref="E578">_xlfn.IFS(B578&lt;=_xlfn.PERCENTILE.INC($B$2:$B$726,0.2),5, B578&lt;=_xlfn.PERCENTILE.INC($B$2:$B$726,0.4),4,B578&lt;=_xlfn.PERCENTILE.INC($B$2:$B$726,0.6),3,B578&lt;=_xlfn.PERCENTILE.INC($B$2:$B$726,0.8),4,TRUE,1)</f>
        <v>1</v>
      </c>
      <c r="F578" cm="1">
        <f t="array" ref="F578">_xlfn.IFS(C578&gt;=_xlfn.PERCENTILE.INC($C$2:$C$726,0.8),5,C578&gt;=_xlfn.PERCENTILE.INC($C$2:$C$726,0.6),4,C578&gt;=_xlfn.PERCENTILE.INC($C$2:$C$726,0.4),3,C578&gt;=_xlfn.PERCENTILE.INC($C$2:$C$726,0.2),2,TRUE,1)</f>
        <v>2</v>
      </c>
      <c r="G578" cm="1">
        <f t="array" ref="G578">_xlfn.IFS(D578&gt;=_xlfn.PERCENTILE.INC($D$2:$D$726,0.8),5,D578&gt;=_xlfn.PERCENTILE.INC($D$2:$D$726,0.6),4,D578&gt;=_xlfn.PERCENTILE.INC($D$2:$D$726,0.4),3,D578&gt;=_xlfn.PERCENTILE.INC($D$2:$D$726,0.2),2,TRUE,1)</f>
        <v>5</v>
      </c>
      <c r="H578">
        <f t="shared" si="8"/>
        <v>8</v>
      </c>
      <c r="I578" t="str" cm="1">
        <f t="array" ref="I578">_xlfn.IFS(H578&gt;=13,"Best Customers",H578&gt;=10,"Loyal Customers",H578&gt;=7,"Potential Loyal Customers",H578&gt;=4,"Need Attention",TRUE,"At Risk")</f>
        <v>Potential Loyal Customers</v>
      </c>
    </row>
    <row r="579" spans="1:9" x14ac:dyDescent="0.25">
      <c r="A579" t="s">
        <v>1564</v>
      </c>
      <c r="B579" s="4">
        <v>648</v>
      </c>
      <c r="C579">
        <v>7</v>
      </c>
      <c r="D579">
        <v>485.2</v>
      </c>
      <c r="E579" cm="1">
        <f t="array" ref="E579">_xlfn.IFS(B579&lt;=_xlfn.PERCENTILE.INC($B$2:$B$726,0.2),5, B579&lt;=_xlfn.PERCENTILE.INC($B$2:$B$726,0.4),4,B579&lt;=_xlfn.PERCENTILE.INC($B$2:$B$726,0.6),3,B579&lt;=_xlfn.PERCENTILE.INC($B$2:$B$726,0.8),4,TRUE,1)</f>
        <v>4</v>
      </c>
      <c r="F579" cm="1">
        <f t="array" ref="F579">_xlfn.IFS(C579&gt;=_xlfn.PERCENTILE.INC($C$2:$C$726,0.8),5,C579&gt;=_xlfn.PERCENTILE.INC($C$2:$C$726,0.6),4,C579&gt;=_xlfn.PERCENTILE.INC($C$2:$C$726,0.4),3,C579&gt;=_xlfn.PERCENTILE.INC($C$2:$C$726,0.2),2,TRUE,1)</f>
        <v>4</v>
      </c>
      <c r="G579" cm="1">
        <f t="array" ref="G579">_xlfn.IFS(D579&gt;=_xlfn.PERCENTILE.INC($D$2:$D$726,0.8),5,D579&gt;=_xlfn.PERCENTILE.INC($D$2:$D$726,0.6),4,D579&gt;=_xlfn.PERCENTILE.INC($D$2:$D$726,0.4),3,D579&gt;=_xlfn.PERCENTILE.INC($D$2:$D$726,0.2),2,TRUE,1)</f>
        <v>5</v>
      </c>
      <c r="H579">
        <f t="shared" ref="H579:H642" si="9">SUM(E579,F579,G579)</f>
        <v>13</v>
      </c>
      <c r="I579" t="str" cm="1">
        <f t="array" ref="I579">_xlfn.IFS(H579&gt;=13,"Best Customers",H579&gt;=10,"Loyal Customers",H579&gt;=7,"Potential Loyal Customers",H579&gt;=4,"Need Attention",TRUE,"At Risk")</f>
        <v>Best Customers</v>
      </c>
    </row>
    <row r="580" spans="1:9" x14ac:dyDescent="0.25">
      <c r="A580" t="s">
        <v>2432</v>
      </c>
      <c r="B580" s="4">
        <v>706</v>
      </c>
      <c r="C580">
        <v>4</v>
      </c>
      <c r="D580">
        <v>391.5</v>
      </c>
      <c r="E580" cm="1">
        <f t="array" ref="E580">_xlfn.IFS(B580&lt;=_xlfn.PERCENTILE.INC($B$2:$B$726,0.2),5, B580&lt;=_xlfn.PERCENTILE.INC($B$2:$B$726,0.4),4,B580&lt;=_xlfn.PERCENTILE.INC($B$2:$B$726,0.6),3,B580&lt;=_xlfn.PERCENTILE.INC($B$2:$B$726,0.8),4,TRUE,1)</f>
        <v>4</v>
      </c>
      <c r="F580" cm="1">
        <f t="array" ref="F580">_xlfn.IFS(C580&gt;=_xlfn.PERCENTILE.INC($C$2:$C$726,0.8),5,C580&gt;=_xlfn.PERCENTILE.INC($C$2:$C$726,0.6),4,C580&gt;=_xlfn.PERCENTILE.INC($C$2:$C$726,0.4),3,C580&gt;=_xlfn.PERCENTILE.INC($C$2:$C$726,0.2),2,TRUE,1)</f>
        <v>2</v>
      </c>
      <c r="G580" cm="1">
        <f t="array" ref="G580">_xlfn.IFS(D580&gt;=_xlfn.PERCENTILE.INC($D$2:$D$726,0.8),5,D580&gt;=_xlfn.PERCENTILE.INC($D$2:$D$726,0.6),4,D580&gt;=_xlfn.PERCENTILE.INC($D$2:$D$726,0.4),3,D580&gt;=_xlfn.PERCENTILE.INC($D$2:$D$726,0.2),2,TRUE,1)</f>
        <v>4</v>
      </c>
      <c r="H580">
        <f t="shared" si="9"/>
        <v>10</v>
      </c>
      <c r="I580" t="str" cm="1">
        <f t="array" ref="I580">_xlfn.IFS(H580&gt;=13,"Best Customers",H580&gt;=10,"Loyal Customers",H580&gt;=7,"Potential Loyal Customers",H580&gt;=4,"Need Attention",TRUE,"At Risk")</f>
        <v>Loyal Customers</v>
      </c>
    </row>
    <row r="581" spans="1:9" x14ac:dyDescent="0.25">
      <c r="A581" t="s">
        <v>1354</v>
      </c>
      <c r="B581" s="4">
        <v>392</v>
      </c>
      <c r="C581">
        <v>8</v>
      </c>
      <c r="D581">
        <v>259.89999999999998</v>
      </c>
      <c r="E581" cm="1">
        <f t="array" ref="E581">_xlfn.IFS(B581&lt;=_xlfn.PERCENTILE.INC($B$2:$B$726,0.2),5, B581&lt;=_xlfn.PERCENTILE.INC($B$2:$B$726,0.4),4,B581&lt;=_xlfn.PERCENTILE.INC($B$2:$B$726,0.6),3,B581&lt;=_xlfn.PERCENTILE.INC($B$2:$B$726,0.8),4,TRUE,1)</f>
        <v>4</v>
      </c>
      <c r="F581" cm="1">
        <f t="array" ref="F581">_xlfn.IFS(C581&gt;=_xlfn.PERCENTILE.INC($C$2:$C$726,0.8),5,C581&gt;=_xlfn.PERCENTILE.INC($C$2:$C$726,0.6),4,C581&gt;=_xlfn.PERCENTILE.INC($C$2:$C$726,0.4),3,C581&gt;=_xlfn.PERCENTILE.INC($C$2:$C$726,0.2),2,TRUE,1)</f>
        <v>5</v>
      </c>
      <c r="G581" cm="1">
        <f t="array" ref="G581">_xlfn.IFS(D581&gt;=_xlfn.PERCENTILE.INC($D$2:$D$726,0.8),5,D581&gt;=_xlfn.PERCENTILE.INC($D$2:$D$726,0.6),4,D581&gt;=_xlfn.PERCENTILE.INC($D$2:$D$726,0.4),3,D581&gt;=_xlfn.PERCENTILE.INC($D$2:$D$726,0.2),2,TRUE,1)</f>
        <v>3</v>
      </c>
      <c r="H581">
        <f t="shared" si="9"/>
        <v>12</v>
      </c>
      <c r="I581" t="str" cm="1">
        <f t="array" ref="I581">_xlfn.IFS(H581&gt;=13,"Best Customers",H581&gt;=10,"Loyal Customers",H581&gt;=7,"Potential Loyal Customers",H581&gt;=4,"Need Attention",TRUE,"At Risk")</f>
        <v>Loyal Customers</v>
      </c>
    </row>
    <row r="582" spans="1:9" x14ac:dyDescent="0.25">
      <c r="A582" t="s">
        <v>1068</v>
      </c>
      <c r="B582" s="4">
        <v>467</v>
      </c>
      <c r="C582">
        <v>8</v>
      </c>
      <c r="D582">
        <v>504.5</v>
      </c>
      <c r="E582" cm="1">
        <f t="array" ref="E582">_xlfn.IFS(B582&lt;=_xlfn.PERCENTILE.INC($B$2:$B$726,0.2),5, B582&lt;=_xlfn.PERCENTILE.INC($B$2:$B$726,0.4),4,B582&lt;=_xlfn.PERCENTILE.INC($B$2:$B$726,0.6),3,B582&lt;=_xlfn.PERCENTILE.INC($B$2:$B$726,0.8),4,TRUE,1)</f>
        <v>3</v>
      </c>
      <c r="F582" cm="1">
        <f t="array" ref="F582">_xlfn.IFS(C582&gt;=_xlfn.PERCENTILE.INC($C$2:$C$726,0.8),5,C582&gt;=_xlfn.PERCENTILE.INC($C$2:$C$726,0.6),4,C582&gt;=_xlfn.PERCENTILE.INC($C$2:$C$726,0.4),3,C582&gt;=_xlfn.PERCENTILE.INC($C$2:$C$726,0.2),2,TRUE,1)</f>
        <v>5</v>
      </c>
      <c r="G582" cm="1">
        <f t="array" ref="G582">_xlfn.IFS(D582&gt;=_xlfn.PERCENTILE.INC($D$2:$D$726,0.8),5,D582&gt;=_xlfn.PERCENTILE.INC($D$2:$D$726,0.6),4,D582&gt;=_xlfn.PERCENTILE.INC($D$2:$D$726,0.4),3,D582&gt;=_xlfn.PERCENTILE.INC($D$2:$D$726,0.2),2,TRUE,1)</f>
        <v>5</v>
      </c>
      <c r="H582">
        <f t="shared" si="9"/>
        <v>13</v>
      </c>
      <c r="I582" t="str" cm="1">
        <f t="array" ref="I582">_xlfn.IFS(H582&gt;=13,"Best Customers",H582&gt;=10,"Loyal Customers",H582&gt;=7,"Potential Loyal Customers",H582&gt;=4,"Need Attention",TRUE,"At Risk")</f>
        <v>Best Customers</v>
      </c>
    </row>
    <row r="583" spans="1:9" x14ac:dyDescent="0.25">
      <c r="A583" t="s">
        <v>2663</v>
      </c>
      <c r="B583" s="4">
        <v>441</v>
      </c>
      <c r="C583">
        <v>9</v>
      </c>
      <c r="D583">
        <v>572.09999999999991</v>
      </c>
      <c r="E583" cm="1">
        <f t="array" ref="E583">_xlfn.IFS(B583&lt;=_xlfn.PERCENTILE.INC($B$2:$B$726,0.2),5, B583&lt;=_xlfn.PERCENTILE.INC($B$2:$B$726,0.4),4,B583&lt;=_xlfn.PERCENTILE.INC($B$2:$B$726,0.6),3,B583&lt;=_xlfn.PERCENTILE.INC($B$2:$B$726,0.8),4,TRUE,1)</f>
        <v>4</v>
      </c>
      <c r="F583" cm="1">
        <f t="array" ref="F583">_xlfn.IFS(C583&gt;=_xlfn.PERCENTILE.INC($C$2:$C$726,0.8),5,C583&gt;=_xlfn.PERCENTILE.INC($C$2:$C$726,0.6),4,C583&gt;=_xlfn.PERCENTILE.INC($C$2:$C$726,0.4),3,C583&gt;=_xlfn.PERCENTILE.INC($C$2:$C$726,0.2),2,TRUE,1)</f>
        <v>5</v>
      </c>
      <c r="G583" cm="1">
        <f t="array" ref="G583">_xlfn.IFS(D583&gt;=_xlfn.PERCENTILE.INC($D$2:$D$726,0.8),5,D583&gt;=_xlfn.PERCENTILE.INC($D$2:$D$726,0.6),4,D583&gt;=_xlfn.PERCENTILE.INC($D$2:$D$726,0.4),3,D583&gt;=_xlfn.PERCENTILE.INC($D$2:$D$726,0.2),2,TRUE,1)</f>
        <v>5</v>
      </c>
      <c r="H583">
        <f t="shared" si="9"/>
        <v>14</v>
      </c>
      <c r="I583" t="str" cm="1">
        <f t="array" ref="I583">_xlfn.IFS(H583&gt;=13,"Best Customers",H583&gt;=10,"Loyal Customers",H583&gt;=7,"Potential Loyal Customers",H583&gt;=4,"Need Attention",TRUE,"At Risk")</f>
        <v>Best Customers</v>
      </c>
    </row>
    <row r="584" spans="1:9" x14ac:dyDescent="0.25">
      <c r="A584" t="s">
        <v>2101</v>
      </c>
      <c r="B584" s="4">
        <v>499</v>
      </c>
      <c r="C584">
        <v>3</v>
      </c>
      <c r="D584">
        <v>187.5</v>
      </c>
      <c r="E584" cm="1">
        <f t="array" ref="E584">_xlfn.IFS(B584&lt;=_xlfn.PERCENTILE.INC($B$2:$B$726,0.2),5, B584&lt;=_xlfn.PERCENTILE.INC($B$2:$B$726,0.4),4,B584&lt;=_xlfn.PERCENTILE.INC($B$2:$B$726,0.6),3,B584&lt;=_xlfn.PERCENTILE.INC($B$2:$B$726,0.8),4,TRUE,1)</f>
        <v>3</v>
      </c>
      <c r="F584" cm="1">
        <f t="array" ref="F584">_xlfn.IFS(C584&gt;=_xlfn.PERCENTILE.INC($C$2:$C$726,0.8),5,C584&gt;=_xlfn.PERCENTILE.INC($C$2:$C$726,0.6),4,C584&gt;=_xlfn.PERCENTILE.INC($C$2:$C$726,0.4),3,C584&gt;=_xlfn.PERCENTILE.INC($C$2:$C$726,0.2),2,TRUE,1)</f>
        <v>1</v>
      </c>
      <c r="G584" cm="1">
        <f t="array" ref="G584">_xlfn.IFS(D584&gt;=_xlfn.PERCENTILE.INC($D$2:$D$726,0.8),5,D584&gt;=_xlfn.PERCENTILE.INC($D$2:$D$726,0.6),4,D584&gt;=_xlfn.PERCENTILE.INC($D$2:$D$726,0.4),3,D584&gt;=_xlfn.PERCENTILE.INC($D$2:$D$726,0.2),2,TRUE,1)</f>
        <v>2</v>
      </c>
      <c r="H584">
        <f t="shared" si="9"/>
        <v>6</v>
      </c>
      <c r="I584" t="str" cm="1">
        <f t="array" ref="I584">_xlfn.IFS(H584&gt;=13,"Best Customers",H584&gt;=10,"Loyal Customers",H584&gt;=7,"Potential Loyal Customers",H584&gt;=4,"Need Attention",TRUE,"At Risk")</f>
        <v>Need Attention</v>
      </c>
    </row>
    <row r="585" spans="1:9" x14ac:dyDescent="0.25">
      <c r="A585" t="s">
        <v>2397</v>
      </c>
      <c r="B585" s="4">
        <v>374</v>
      </c>
      <c r="C585">
        <v>8</v>
      </c>
      <c r="D585">
        <v>351.7</v>
      </c>
      <c r="E585" cm="1">
        <f t="array" ref="E585">_xlfn.IFS(B585&lt;=_xlfn.PERCENTILE.INC($B$2:$B$726,0.2),5, B585&lt;=_xlfn.PERCENTILE.INC($B$2:$B$726,0.4),4,B585&lt;=_xlfn.PERCENTILE.INC($B$2:$B$726,0.6),3,B585&lt;=_xlfn.PERCENTILE.INC($B$2:$B$726,0.8),4,TRUE,1)</f>
        <v>5</v>
      </c>
      <c r="F585" cm="1">
        <f t="array" ref="F585">_xlfn.IFS(C585&gt;=_xlfn.PERCENTILE.INC($C$2:$C$726,0.8),5,C585&gt;=_xlfn.PERCENTILE.INC($C$2:$C$726,0.6),4,C585&gt;=_xlfn.PERCENTILE.INC($C$2:$C$726,0.4),3,C585&gt;=_xlfn.PERCENTILE.INC($C$2:$C$726,0.2),2,TRUE,1)</f>
        <v>5</v>
      </c>
      <c r="G585" cm="1">
        <f t="array" ref="G585">_xlfn.IFS(D585&gt;=_xlfn.PERCENTILE.INC($D$2:$D$726,0.8),5,D585&gt;=_xlfn.PERCENTILE.INC($D$2:$D$726,0.6),4,D585&gt;=_xlfn.PERCENTILE.INC($D$2:$D$726,0.4),3,D585&gt;=_xlfn.PERCENTILE.INC($D$2:$D$726,0.2),2,TRUE,1)</f>
        <v>4</v>
      </c>
      <c r="H585">
        <f t="shared" si="9"/>
        <v>14</v>
      </c>
      <c r="I585" t="str" cm="1">
        <f t="array" ref="I585">_xlfn.IFS(H585&gt;=13,"Best Customers",H585&gt;=10,"Loyal Customers",H585&gt;=7,"Potential Loyal Customers",H585&gt;=4,"Need Attention",TRUE,"At Risk")</f>
        <v>Best Customers</v>
      </c>
    </row>
    <row r="586" spans="1:9" x14ac:dyDescent="0.25">
      <c r="A586" t="s">
        <v>3464</v>
      </c>
      <c r="B586" s="4">
        <v>385</v>
      </c>
      <c r="C586">
        <v>8</v>
      </c>
      <c r="D586">
        <v>265.8</v>
      </c>
      <c r="E586" cm="1">
        <f t="array" ref="E586">_xlfn.IFS(B586&lt;=_xlfn.PERCENTILE.INC($B$2:$B$726,0.2),5, B586&lt;=_xlfn.PERCENTILE.INC($B$2:$B$726,0.4),4,B586&lt;=_xlfn.PERCENTILE.INC($B$2:$B$726,0.6),3,B586&lt;=_xlfn.PERCENTILE.INC($B$2:$B$726,0.8),4,TRUE,1)</f>
        <v>5</v>
      </c>
      <c r="F586" cm="1">
        <f t="array" ref="F586">_xlfn.IFS(C586&gt;=_xlfn.PERCENTILE.INC($C$2:$C$726,0.8),5,C586&gt;=_xlfn.PERCENTILE.INC($C$2:$C$726,0.6),4,C586&gt;=_xlfn.PERCENTILE.INC($C$2:$C$726,0.4),3,C586&gt;=_xlfn.PERCENTILE.INC($C$2:$C$726,0.2),2,TRUE,1)</f>
        <v>5</v>
      </c>
      <c r="G586" cm="1">
        <f t="array" ref="G586">_xlfn.IFS(D586&gt;=_xlfn.PERCENTILE.INC($D$2:$D$726,0.8),5,D586&gt;=_xlfn.PERCENTILE.INC($D$2:$D$726,0.6),4,D586&gt;=_xlfn.PERCENTILE.INC($D$2:$D$726,0.4),3,D586&gt;=_xlfn.PERCENTILE.INC($D$2:$D$726,0.2),2,TRUE,1)</f>
        <v>3</v>
      </c>
      <c r="H586">
        <f t="shared" si="9"/>
        <v>13</v>
      </c>
      <c r="I586" t="str" cm="1">
        <f t="array" ref="I586">_xlfn.IFS(H586&gt;=13,"Best Customers",H586&gt;=10,"Loyal Customers",H586&gt;=7,"Potential Loyal Customers",H586&gt;=4,"Need Attention",TRUE,"At Risk")</f>
        <v>Best Customers</v>
      </c>
    </row>
    <row r="587" spans="1:9" x14ac:dyDescent="0.25">
      <c r="A587" t="s">
        <v>2612</v>
      </c>
      <c r="B587" s="4">
        <v>366</v>
      </c>
      <c r="C587">
        <v>10</v>
      </c>
      <c r="D587">
        <v>280.40000000000003</v>
      </c>
      <c r="E587" cm="1">
        <f t="array" ref="E587">_xlfn.IFS(B587&lt;=_xlfn.PERCENTILE.INC($B$2:$B$726,0.2),5, B587&lt;=_xlfn.PERCENTILE.INC($B$2:$B$726,0.4),4,B587&lt;=_xlfn.PERCENTILE.INC($B$2:$B$726,0.6),3,B587&lt;=_xlfn.PERCENTILE.INC($B$2:$B$726,0.8),4,TRUE,1)</f>
        <v>5</v>
      </c>
      <c r="F587" cm="1">
        <f t="array" ref="F587">_xlfn.IFS(C587&gt;=_xlfn.PERCENTILE.INC($C$2:$C$726,0.8),5,C587&gt;=_xlfn.PERCENTILE.INC($C$2:$C$726,0.6),4,C587&gt;=_xlfn.PERCENTILE.INC($C$2:$C$726,0.4),3,C587&gt;=_xlfn.PERCENTILE.INC($C$2:$C$726,0.2),2,TRUE,1)</f>
        <v>5</v>
      </c>
      <c r="G587" cm="1">
        <f t="array" ref="G587">_xlfn.IFS(D587&gt;=_xlfn.PERCENTILE.INC($D$2:$D$726,0.8),5,D587&gt;=_xlfn.PERCENTILE.INC($D$2:$D$726,0.6),4,D587&gt;=_xlfn.PERCENTILE.INC($D$2:$D$726,0.4),3,D587&gt;=_xlfn.PERCENTILE.INC($D$2:$D$726,0.2),2,TRUE,1)</f>
        <v>3</v>
      </c>
      <c r="H587">
        <f t="shared" si="9"/>
        <v>13</v>
      </c>
      <c r="I587" t="str" cm="1">
        <f t="array" ref="I587">_xlfn.IFS(H587&gt;=13,"Best Customers",H587&gt;=10,"Loyal Customers",H587&gt;=7,"Potential Loyal Customers",H587&gt;=4,"Need Attention",TRUE,"At Risk")</f>
        <v>Best Customers</v>
      </c>
    </row>
    <row r="588" spans="1:9" x14ac:dyDescent="0.25">
      <c r="A588" t="s">
        <v>505</v>
      </c>
      <c r="B588" s="4">
        <v>513</v>
      </c>
      <c r="C588">
        <v>8</v>
      </c>
      <c r="D588">
        <v>383.59999999999997</v>
      </c>
      <c r="E588" cm="1">
        <f t="array" ref="E588">_xlfn.IFS(B588&lt;=_xlfn.PERCENTILE.INC($B$2:$B$726,0.2),5, B588&lt;=_xlfn.PERCENTILE.INC($B$2:$B$726,0.4),4,B588&lt;=_xlfn.PERCENTILE.INC($B$2:$B$726,0.6),3,B588&lt;=_xlfn.PERCENTILE.INC($B$2:$B$726,0.8),4,TRUE,1)</f>
        <v>3</v>
      </c>
      <c r="F588" cm="1">
        <f t="array" ref="F588">_xlfn.IFS(C588&gt;=_xlfn.PERCENTILE.INC($C$2:$C$726,0.8),5,C588&gt;=_xlfn.PERCENTILE.INC($C$2:$C$726,0.6),4,C588&gt;=_xlfn.PERCENTILE.INC($C$2:$C$726,0.4),3,C588&gt;=_xlfn.PERCENTILE.INC($C$2:$C$726,0.2),2,TRUE,1)</f>
        <v>5</v>
      </c>
      <c r="G588" cm="1">
        <f t="array" ref="G588">_xlfn.IFS(D588&gt;=_xlfn.PERCENTILE.INC($D$2:$D$726,0.8),5,D588&gt;=_xlfn.PERCENTILE.INC($D$2:$D$726,0.6),4,D588&gt;=_xlfn.PERCENTILE.INC($D$2:$D$726,0.4),3,D588&gt;=_xlfn.PERCENTILE.INC($D$2:$D$726,0.2),2,TRUE,1)</f>
        <v>4</v>
      </c>
      <c r="H588">
        <f t="shared" si="9"/>
        <v>12</v>
      </c>
      <c r="I588" t="str" cm="1">
        <f t="array" ref="I588">_xlfn.IFS(H588&gt;=13,"Best Customers",H588&gt;=10,"Loyal Customers",H588&gt;=7,"Potential Loyal Customers",H588&gt;=4,"Need Attention",TRUE,"At Risk")</f>
        <v>Loyal Customers</v>
      </c>
    </row>
    <row r="589" spans="1:9" x14ac:dyDescent="0.25">
      <c r="A589" t="s">
        <v>670</v>
      </c>
      <c r="B589" s="4">
        <v>436</v>
      </c>
      <c r="C589">
        <v>5</v>
      </c>
      <c r="D589">
        <v>272.8</v>
      </c>
      <c r="E589" cm="1">
        <f t="array" ref="E589">_xlfn.IFS(B589&lt;=_xlfn.PERCENTILE.INC($B$2:$B$726,0.2),5, B589&lt;=_xlfn.PERCENTILE.INC($B$2:$B$726,0.4),4,B589&lt;=_xlfn.PERCENTILE.INC($B$2:$B$726,0.6),3,B589&lt;=_xlfn.PERCENTILE.INC($B$2:$B$726,0.8),4,TRUE,1)</f>
        <v>4</v>
      </c>
      <c r="F589" cm="1">
        <f t="array" ref="F589">_xlfn.IFS(C589&gt;=_xlfn.PERCENTILE.INC($C$2:$C$726,0.8),5,C589&gt;=_xlfn.PERCENTILE.INC($C$2:$C$726,0.6),4,C589&gt;=_xlfn.PERCENTILE.INC($C$2:$C$726,0.4),3,C589&gt;=_xlfn.PERCENTILE.INC($C$2:$C$726,0.2),2,TRUE,1)</f>
        <v>3</v>
      </c>
      <c r="G589" cm="1">
        <f t="array" ref="G589">_xlfn.IFS(D589&gt;=_xlfn.PERCENTILE.INC($D$2:$D$726,0.8),5,D589&gt;=_xlfn.PERCENTILE.INC($D$2:$D$726,0.6),4,D589&gt;=_xlfn.PERCENTILE.INC($D$2:$D$726,0.4),3,D589&gt;=_xlfn.PERCENTILE.INC($D$2:$D$726,0.2),2,TRUE,1)</f>
        <v>3</v>
      </c>
      <c r="H589">
        <f t="shared" si="9"/>
        <v>10</v>
      </c>
      <c r="I589" t="str" cm="1">
        <f t="array" ref="I589">_xlfn.IFS(H589&gt;=13,"Best Customers",H589&gt;=10,"Loyal Customers",H589&gt;=7,"Potential Loyal Customers",H589&gt;=4,"Need Attention",TRUE,"At Risk")</f>
        <v>Loyal Customers</v>
      </c>
    </row>
    <row r="590" spans="1:9" x14ac:dyDescent="0.25">
      <c r="A590" t="s">
        <v>3145</v>
      </c>
      <c r="B590" s="4">
        <v>367</v>
      </c>
      <c r="C590">
        <v>5</v>
      </c>
      <c r="D590">
        <v>285.10000000000002</v>
      </c>
      <c r="E590" cm="1">
        <f t="array" ref="E590">_xlfn.IFS(B590&lt;=_xlfn.PERCENTILE.INC($B$2:$B$726,0.2),5, B590&lt;=_xlfn.PERCENTILE.INC($B$2:$B$726,0.4),4,B590&lt;=_xlfn.PERCENTILE.INC($B$2:$B$726,0.6),3,B590&lt;=_xlfn.PERCENTILE.INC($B$2:$B$726,0.8),4,TRUE,1)</f>
        <v>5</v>
      </c>
      <c r="F590" cm="1">
        <f t="array" ref="F590">_xlfn.IFS(C590&gt;=_xlfn.PERCENTILE.INC($C$2:$C$726,0.8),5,C590&gt;=_xlfn.PERCENTILE.INC($C$2:$C$726,0.6),4,C590&gt;=_xlfn.PERCENTILE.INC($C$2:$C$726,0.4),3,C590&gt;=_xlfn.PERCENTILE.INC($C$2:$C$726,0.2),2,TRUE,1)</f>
        <v>3</v>
      </c>
      <c r="G590" cm="1">
        <f t="array" ref="G590">_xlfn.IFS(D590&gt;=_xlfn.PERCENTILE.INC($D$2:$D$726,0.8),5,D590&gt;=_xlfn.PERCENTILE.INC($D$2:$D$726,0.6),4,D590&gt;=_xlfn.PERCENTILE.INC($D$2:$D$726,0.4),3,D590&gt;=_xlfn.PERCENTILE.INC($D$2:$D$726,0.2),2,TRUE,1)</f>
        <v>3</v>
      </c>
      <c r="H590">
        <f t="shared" si="9"/>
        <v>11</v>
      </c>
      <c r="I590" t="str" cm="1">
        <f t="array" ref="I590">_xlfn.IFS(H590&gt;=13,"Best Customers",H590&gt;=10,"Loyal Customers",H590&gt;=7,"Potential Loyal Customers",H590&gt;=4,"Need Attention",TRUE,"At Risk")</f>
        <v>Loyal Customers</v>
      </c>
    </row>
    <row r="591" spans="1:9" x14ac:dyDescent="0.25">
      <c r="A591" t="s">
        <v>3078</v>
      </c>
      <c r="B591" s="4">
        <v>448</v>
      </c>
      <c r="C591">
        <v>6</v>
      </c>
      <c r="D591">
        <v>291.89999999999998</v>
      </c>
      <c r="E591" cm="1">
        <f t="array" ref="E591">_xlfn.IFS(B591&lt;=_xlfn.PERCENTILE.INC($B$2:$B$726,0.2),5, B591&lt;=_xlfn.PERCENTILE.INC($B$2:$B$726,0.4),4,B591&lt;=_xlfn.PERCENTILE.INC($B$2:$B$726,0.6),3,B591&lt;=_xlfn.PERCENTILE.INC($B$2:$B$726,0.8),4,TRUE,1)</f>
        <v>4</v>
      </c>
      <c r="F591" cm="1">
        <f t="array" ref="F591">_xlfn.IFS(C591&gt;=_xlfn.PERCENTILE.INC($C$2:$C$726,0.8),5,C591&gt;=_xlfn.PERCENTILE.INC($C$2:$C$726,0.6),4,C591&gt;=_xlfn.PERCENTILE.INC($C$2:$C$726,0.4),3,C591&gt;=_xlfn.PERCENTILE.INC($C$2:$C$726,0.2),2,TRUE,1)</f>
        <v>4</v>
      </c>
      <c r="G591" cm="1">
        <f t="array" ref="G591">_xlfn.IFS(D591&gt;=_xlfn.PERCENTILE.INC($D$2:$D$726,0.8),5,D591&gt;=_xlfn.PERCENTILE.INC($D$2:$D$726,0.6),4,D591&gt;=_xlfn.PERCENTILE.INC($D$2:$D$726,0.4),3,D591&gt;=_xlfn.PERCENTILE.INC($D$2:$D$726,0.2),2,TRUE,1)</f>
        <v>3</v>
      </c>
      <c r="H591">
        <f t="shared" si="9"/>
        <v>11</v>
      </c>
      <c r="I591" t="str" cm="1">
        <f t="array" ref="I591">_xlfn.IFS(H591&gt;=13,"Best Customers",H591&gt;=10,"Loyal Customers",H591&gt;=7,"Potential Loyal Customers",H591&gt;=4,"Need Attention",TRUE,"At Risk")</f>
        <v>Loyal Customers</v>
      </c>
    </row>
    <row r="592" spans="1:9" x14ac:dyDescent="0.25">
      <c r="A592" t="s">
        <v>1044</v>
      </c>
      <c r="B592" s="4">
        <v>537</v>
      </c>
      <c r="C592">
        <v>5</v>
      </c>
      <c r="D592">
        <v>182.9</v>
      </c>
      <c r="E592" cm="1">
        <f t="array" ref="E592">_xlfn.IFS(B592&lt;=_xlfn.PERCENTILE.INC($B$2:$B$726,0.2),5, B592&lt;=_xlfn.PERCENTILE.INC($B$2:$B$726,0.4),4,B592&lt;=_xlfn.PERCENTILE.INC($B$2:$B$726,0.6),3,B592&lt;=_xlfn.PERCENTILE.INC($B$2:$B$726,0.8),4,TRUE,1)</f>
        <v>3</v>
      </c>
      <c r="F592" cm="1">
        <f t="array" ref="F592">_xlfn.IFS(C592&gt;=_xlfn.PERCENTILE.INC($C$2:$C$726,0.8),5,C592&gt;=_xlfn.PERCENTILE.INC($C$2:$C$726,0.6),4,C592&gt;=_xlfn.PERCENTILE.INC($C$2:$C$726,0.4),3,C592&gt;=_xlfn.PERCENTILE.INC($C$2:$C$726,0.2),2,TRUE,1)</f>
        <v>3</v>
      </c>
      <c r="G592" cm="1">
        <f t="array" ref="G592">_xlfn.IFS(D592&gt;=_xlfn.PERCENTILE.INC($D$2:$D$726,0.8),5,D592&gt;=_xlfn.PERCENTILE.INC($D$2:$D$726,0.6),4,D592&gt;=_xlfn.PERCENTILE.INC($D$2:$D$726,0.4),3,D592&gt;=_xlfn.PERCENTILE.INC($D$2:$D$726,0.2),2,TRUE,1)</f>
        <v>2</v>
      </c>
      <c r="H592">
        <f t="shared" si="9"/>
        <v>8</v>
      </c>
      <c r="I592" t="str" cm="1">
        <f t="array" ref="I592">_xlfn.IFS(H592&gt;=13,"Best Customers",H592&gt;=10,"Loyal Customers",H592&gt;=7,"Potential Loyal Customers",H592&gt;=4,"Need Attention",TRUE,"At Risk")</f>
        <v>Potential Loyal Customers</v>
      </c>
    </row>
    <row r="593" spans="1:9" x14ac:dyDescent="0.25">
      <c r="A593" t="s">
        <v>3423</v>
      </c>
      <c r="B593" s="4">
        <v>604</v>
      </c>
      <c r="C593">
        <v>6</v>
      </c>
      <c r="D593">
        <v>249</v>
      </c>
      <c r="E593" cm="1">
        <f t="array" ref="E593">_xlfn.IFS(B593&lt;=_xlfn.PERCENTILE.INC($B$2:$B$726,0.2),5, B593&lt;=_xlfn.PERCENTILE.INC($B$2:$B$726,0.4),4,B593&lt;=_xlfn.PERCENTILE.INC($B$2:$B$726,0.6),3,B593&lt;=_xlfn.PERCENTILE.INC($B$2:$B$726,0.8),4,TRUE,1)</f>
        <v>4</v>
      </c>
      <c r="F593" cm="1">
        <f t="array" ref="F593">_xlfn.IFS(C593&gt;=_xlfn.PERCENTILE.INC($C$2:$C$726,0.8),5,C593&gt;=_xlfn.PERCENTILE.INC($C$2:$C$726,0.6),4,C593&gt;=_xlfn.PERCENTILE.INC($C$2:$C$726,0.4),3,C593&gt;=_xlfn.PERCENTILE.INC($C$2:$C$726,0.2),2,TRUE,1)</f>
        <v>4</v>
      </c>
      <c r="G593" cm="1">
        <f t="array" ref="G593">_xlfn.IFS(D593&gt;=_xlfn.PERCENTILE.INC($D$2:$D$726,0.8),5,D593&gt;=_xlfn.PERCENTILE.INC($D$2:$D$726,0.6),4,D593&gt;=_xlfn.PERCENTILE.INC($D$2:$D$726,0.4),3,D593&gt;=_xlfn.PERCENTILE.INC($D$2:$D$726,0.2),2,TRUE,1)</f>
        <v>3</v>
      </c>
      <c r="H593">
        <f t="shared" si="9"/>
        <v>11</v>
      </c>
      <c r="I593" t="str" cm="1">
        <f t="array" ref="I593">_xlfn.IFS(H593&gt;=13,"Best Customers",H593&gt;=10,"Loyal Customers",H593&gt;=7,"Potential Loyal Customers",H593&gt;=4,"Need Attention",TRUE,"At Risk")</f>
        <v>Loyal Customers</v>
      </c>
    </row>
    <row r="594" spans="1:9" x14ac:dyDescent="0.25">
      <c r="A594" t="s">
        <v>2044</v>
      </c>
      <c r="B594" s="4">
        <v>536</v>
      </c>
      <c r="C594">
        <v>6</v>
      </c>
      <c r="D594">
        <v>176.3</v>
      </c>
      <c r="E594" cm="1">
        <f t="array" ref="E594">_xlfn.IFS(B594&lt;=_xlfn.PERCENTILE.INC($B$2:$B$726,0.2),5, B594&lt;=_xlfn.PERCENTILE.INC($B$2:$B$726,0.4),4,B594&lt;=_xlfn.PERCENTILE.INC($B$2:$B$726,0.6),3,B594&lt;=_xlfn.PERCENTILE.INC($B$2:$B$726,0.8),4,TRUE,1)</f>
        <v>3</v>
      </c>
      <c r="F594" cm="1">
        <f t="array" ref="F594">_xlfn.IFS(C594&gt;=_xlfn.PERCENTILE.INC($C$2:$C$726,0.8),5,C594&gt;=_xlfn.PERCENTILE.INC($C$2:$C$726,0.6),4,C594&gt;=_xlfn.PERCENTILE.INC($C$2:$C$726,0.4),3,C594&gt;=_xlfn.PERCENTILE.INC($C$2:$C$726,0.2),2,TRUE,1)</f>
        <v>4</v>
      </c>
      <c r="G594" cm="1">
        <f t="array" ref="G594">_xlfn.IFS(D594&gt;=_xlfn.PERCENTILE.INC($D$2:$D$726,0.8),5,D594&gt;=_xlfn.PERCENTILE.INC($D$2:$D$726,0.6),4,D594&gt;=_xlfn.PERCENTILE.INC($D$2:$D$726,0.4),3,D594&gt;=_xlfn.PERCENTILE.INC($D$2:$D$726,0.2),2,TRUE,1)</f>
        <v>2</v>
      </c>
      <c r="H594">
        <f t="shared" si="9"/>
        <v>9</v>
      </c>
      <c r="I594" t="str" cm="1">
        <f t="array" ref="I594">_xlfn.IFS(H594&gt;=13,"Best Customers",H594&gt;=10,"Loyal Customers",H594&gt;=7,"Potential Loyal Customers",H594&gt;=4,"Need Attention",TRUE,"At Risk")</f>
        <v>Potential Loyal Customers</v>
      </c>
    </row>
    <row r="595" spans="1:9" x14ac:dyDescent="0.25">
      <c r="A595" t="s">
        <v>2269</v>
      </c>
      <c r="B595" s="4">
        <v>639</v>
      </c>
      <c r="C595">
        <v>5</v>
      </c>
      <c r="D595">
        <v>88.2</v>
      </c>
      <c r="E595" cm="1">
        <f t="array" ref="E595">_xlfn.IFS(B595&lt;=_xlfn.PERCENTILE.INC($B$2:$B$726,0.2),5, B595&lt;=_xlfn.PERCENTILE.INC($B$2:$B$726,0.4),4,B595&lt;=_xlfn.PERCENTILE.INC($B$2:$B$726,0.6),3,B595&lt;=_xlfn.PERCENTILE.INC($B$2:$B$726,0.8),4,TRUE,1)</f>
        <v>4</v>
      </c>
      <c r="F595" cm="1">
        <f t="array" ref="F595">_xlfn.IFS(C595&gt;=_xlfn.PERCENTILE.INC($C$2:$C$726,0.8),5,C595&gt;=_xlfn.PERCENTILE.INC($C$2:$C$726,0.6),4,C595&gt;=_xlfn.PERCENTILE.INC($C$2:$C$726,0.4),3,C595&gt;=_xlfn.PERCENTILE.INC($C$2:$C$726,0.2),2,TRUE,1)</f>
        <v>3</v>
      </c>
      <c r="G595" cm="1">
        <f t="array" ref="G595">_xlfn.IFS(D595&gt;=_xlfn.PERCENTILE.INC($D$2:$D$726,0.8),5,D595&gt;=_xlfn.PERCENTILE.INC($D$2:$D$726,0.6),4,D595&gt;=_xlfn.PERCENTILE.INC($D$2:$D$726,0.4),3,D595&gt;=_xlfn.PERCENTILE.INC($D$2:$D$726,0.2),2,TRUE,1)</f>
        <v>1</v>
      </c>
      <c r="H595">
        <f t="shared" si="9"/>
        <v>8</v>
      </c>
      <c r="I595" t="str" cm="1">
        <f t="array" ref="I595">_xlfn.IFS(H595&gt;=13,"Best Customers",H595&gt;=10,"Loyal Customers",H595&gt;=7,"Potential Loyal Customers",H595&gt;=4,"Need Attention",TRUE,"At Risk")</f>
        <v>Potential Loyal Customers</v>
      </c>
    </row>
    <row r="596" spans="1:9" x14ac:dyDescent="0.25">
      <c r="A596" t="s">
        <v>1336</v>
      </c>
      <c r="B596" s="4">
        <v>1066</v>
      </c>
      <c r="C596">
        <v>3</v>
      </c>
      <c r="D596">
        <v>101.3</v>
      </c>
      <c r="E596" cm="1">
        <f t="array" ref="E596">_xlfn.IFS(B596&lt;=_xlfn.PERCENTILE.INC($B$2:$B$726,0.2),5, B596&lt;=_xlfn.PERCENTILE.INC($B$2:$B$726,0.4),4,B596&lt;=_xlfn.PERCENTILE.INC($B$2:$B$726,0.6),3,B596&lt;=_xlfn.PERCENTILE.INC($B$2:$B$726,0.8),4,TRUE,1)</f>
        <v>1</v>
      </c>
      <c r="F596" cm="1">
        <f t="array" ref="F596">_xlfn.IFS(C596&gt;=_xlfn.PERCENTILE.INC($C$2:$C$726,0.8),5,C596&gt;=_xlfn.PERCENTILE.INC($C$2:$C$726,0.6),4,C596&gt;=_xlfn.PERCENTILE.INC($C$2:$C$726,0.4),3,C596&gt;=_xlfn.PERCENTILE.INC($C$2:$C$726,0.2),2,TRUE,1)</f>
        <v>1</v>
      </c>
      <c r="G596" cm="1">
        <f t="array" ref="G596">_xlfn.IFS(D596&gt;=_xlfn.PERCENTILE.INC($D$2:$D$726,0.8),5,D596&gt;=_xlfn.PERCENTILE.INC($D$2:$D$726,0.6),4,D596&gt;=_xlfn.PERCENTILE.INC($D$2:$D$726,0.4),3,D596&gt;=_xlfn.PERCENTILE.INC($D$2:$D$726,0.2),2,TRUE,1)</f>
        <v>1</v>
      </c>
      <c r="H596">
        <f t="shared" si="9"/>
        <v>3</v>
      </c>
      <c r="I596" t="str" cm="1">
        <f t="array" ref="I596">_xlfn.IFS(H596&gt;=13,"Best Customers",H596&gt;=10,"Loyal Customers",H596&gt;=7,"Potential Loyal Customers",H596&gt;=4,"Need Attention",TRUE,"At Risk")</f>
        <v>At Risk</v>
      </c>
    </row>
    <row r="597" spans="1:9" x14ac:dyDescent="0.25">
      <c r="A597" t="s">
        <v>2003</v>
      </c>
      <c r="B597" s="4">
        <v>338</v>
      </c>
      <c r="C597">
        <v>12</v>
      </c>
      <c r="D597">
        <v>605.6</v>
      </c>
      <c r="E597" cm="1">
        <f t="array" ref="E597">_xlfn.IFS(B597&lt;=_xlfn.PERCENTILE.INC($B$2:$B$726,0.2),5, B597&lt;=_xlfn.PERCENTILE.INC($B$2:$B$726,0.4),4,B597&lt;=_xlfn.PERCENTILE.INC($B$2:$B$726,0.6),3,B597&lt;=_xlfn.PERCENTILE.INC($B$2:$B$726,0.8),4,TRUE,1)</f>
        <v>5</v>
      </c>
      <c r="F597" cm="1">
        <f t="array" ref="F597">_xlfn.IFS(C597&gt;=_xlfn.PERCENTILE.INC($C$2:$C$726,0.8),5,C597&gt;=_xlfn.PERCENTILE.INC($C$2:$C$726,0.6),4,C597&gt;=_xlfn.PERCENTILE.INC($C$2:$C$726,0.4),3,C597&gt;=_xlfn.PERCENTILE.INC($C$2:$C$726,0.2),2,TRUE,1)</f>
        <v>5</v>
      </c>
      <c r="G597" cm="1">
        <f t="array" ref="G597">_xlfn.IFS(D597&gt;=_xlfn.PERCENTILE.INC($D$2:$D$726,0.8),5,D597&gt;=_xlfn.PERCENTILE.INC($D$2:$D$726,0.6),4,D597&gt;=_xlfn.PERCENTILE.INC($D$2:$D$726,0.4),3,D597&gt;=_xlfn.PERCENTILE.INC($D$2:$D$726,0.2),2,TRUE,1)</f>
        <v>5</v>
      </c>
      <c r="H597">
        <f t="shared" si="9"/>
        <v>15</v>
      </c>
      <c r="I597" t="str" cm="1">
        <f t="array" ref="I597">_xlfn.IFS(H597&gt;=13,"Best Customers",H597&gt;=10,"Loyal Customers",H597&gt;=7,"Potential Loyal Customers",H597&gt;=4,"Need Attention",TRUE,"At Risk")</f>
        <v>Best Customers</v>
      </c>
    </row>
    <row r="598" spans="1:9" x14ac:dyDescent="0.25">
      <c r="A598" t="s">
        <v>829</v>
      </c>
      <c r="B598" s="4">
        <v>367</v>
      </c>
      <c r="C598">
        <v>7</v>
      </c>
      <c r="D598">
        <v>91.9</v>
      </c>
      <c r="E598" cm="1">
        <f t="array" ref="E598">_xlfn.IFS(B598&lt;=_xlfn.PERCENTILE.INC($B$2:$B$726,0.2),5, B598&lt;=_xlfn.PERCENTILE.INC($B$2:$B$726,0.4),4,B598&lt;=_xlfn.PERCENTILE.INC($B$2:$B$726,0.6),3,B598&lt;=_xlfn.PERCENTILE.INC($B$2:$B$726,0.8),4,TRUE,1)</f>
        <v>5</v>
      </c>
      <c r="F598" cm="1">
        <f t="array" ref="F598">_xlfn.IFS(C598&gt;=_xlfn.PERCENTILE.INC($C$2:$C$726,0.8),5,C598&gt;=_xlfn.PERCENTILE.INC($C$2:$C$726,0.6),4,C598&gt;=_xlfn.PERCENTILE.INC($C$2:$C$726,0.4),3,C598&gt;=_xlfn.PERCENTILE.INC($C$2:$C$726,0.2),2,TRUE,1)</f>
        <v>4</v>
      </c>
      <c r="G598" cm="1">
        <f t="array" ref="G598">_xlfn.IFS(D598&gt;=_xlfn.PERCENTILE.INC($D$2:$D$726,0.8),5,D598&gt;=_xlfn.PERCENTILE.INC($D$2:$D$726,0.6),4,D598&gt;=_xlfn.PERCENTILE.INC($D$2:$D$726,0.4),3,D598&gt;=_xlfn.PERCENTILE.INC($D$2:$D$726,0.2),2,TRUE,1)</f>
        <v>1</v>
      </c>
      <c r="H598">
        <f t="shared" si="9"/>
        <v>10</v>
      </c>
      <c r="I598" t="str" cm="1">
        <f t="array" ref="I598">_xlfn.IFS(H598&gt;=13,"Best Customers",H598&gt;=10,"Loyal Customers",H598&gt;=7,"Potential Loyal Customers",H598&gt;=4,"Need Attention",TRUE,"At Risk")</f>
        <v>Loyal Customers</v>
      </c>
    </row>
    <row r="599" spans="1:9" x14ac:dyDescent="0.25">
      <c r="A599" t="s">
        <v>2766</v>
      </c>
      <c r="B599" s="4">
        <v>743</v>
      </c>
      <c r="C599">
        <v>6</v>
      </c>
      <c r="D599">
        <v>322.7</v>
      </c>
      <c r="E599" cm="1">
        <f t="array" ref="E599">_xlfn.IFS(B599&lt;=_xlfn.PERCENTILE.INC($B$2:$B$726,0.2),5, B599&lt;=_xlfn.PERCENTILE.INC($B$2:$B$726,0.4),4,B599&lt;=_xlfn.PERCENTILE.INC($B$2:$B$726,0.6),3,B599&lt;=_xlfn.PERCENTILE.INC($B$2:$B$726,0.8),4,TRUE,1)</f>
        <v>4</v>
      </c>
      <c r="F599" cm="1">
        <f t="array" ref="F599">_xlfn.IFS(C599&gt;=_xlfn.PERCENTILE.INC($C$2:$C$726,0.8),5,C599&gt;=_xlfn.PERCENTILE.INC($C$2:$C$726,0.6),4,C599&gt;=_xlfn.PERCENTILE.INC($C$2:$C$726,0.4),3,C599&gt;=_xlfn.PERCENTILE.INC($C$2:$C$726,0.2),2,TRUE,1)</f>
        <v>4</v>
      </c>
      <c r="G599" cm="1">
        <f t="array" ref="G599">_xlfn.IFS(D599&gt;=_xlfn.PERCENTILE.INC($D$2:$D$726,0.8),5,D599&gt;=_xlfn.PERCENTILE.INC($D$2:$D$726,0.6),4,D599&gt;=_xlfn.PERCENTILE.INC($D$2:$D$726,0.4),3,D599&gt;=_xlfn.PERCENTILE.INC($D$2:$D$726,0.2),2,TRUE,1)</f>
        <v>4</v>
      </c>
      <c r="H599">
        <f t="shared" si="9"/>
        <v>12</v>
      </c>
      <c r="I599" t="str" cm="1">
        <f t="array" ref="I599">_xlfn.IFS(H599&gt;=13,"Best Customers",H599&gt;=10,"Loyal Customers",H599&gt;=7,"Potential Loyal Customers",H599&gt;=4,"Need Attention",TRUE,"At Risk")</f>
        <v>Loyal Customers</v>
      </c>
    </row>
    <row r="600" spans="1:9" x14ac:dyDescent="0.25">
      <c r="A600" t="s">
        <v>2590</v>
      </c>
      <c r="B600" s="4">
        <v>453</v>
      </c>
      <c r="C600">
        <v>4</v>
      </c>
      <c r="D600">
        <v>72.900000000000006</v>
      </c>
      <c r="E600" cm="1">
        <f t="array" ref="E600">_xlfn.IFS(B600&lt;=_xlfn.PERCENTILE.INC($B$2:$B$726,0.2),5, B600&lt;=_xlfn.PERCENTILE.INC($B$2:$B$726,0.4),4,B600&lt;=_xlfn.PERCENTILE.INC($B$2:$B$726,0.6),3,B600&lt;=_xlfn.PERCENTILE.INC($B$2:$B$726,0.8),4,TRUE,1)</f>
        <v>4</v>
      </c>
      <c r="F600" cm="1">
        <f t="array" ref="F600">_xlfn.IFS(C600&gt;=_xlfn.PERCENTILE.INC($C$2:$C$726,0.8),5,C600&gt;=_xlfn.PERCENTILE.INC($C$2:$C$726,0.6),4,C600&gt;=_xlfn.PERCENTILE.INC($C$2:$C$726,0.4),3,C600&gt;=_xlfn.PERCENTILE.INC($C$2:$C$726,0.2),2,TRUE,1)</f>
        <v>2</v>
      </c>
      <c r="G600" cm="1">
        <f t="array" ref="G600">_xlfn.IFS(D600&gt;=_xlfn.PERCENTILE.INC($D$2:$D$726,0.8),5,D600&gt;=_xlfn.PERCENTILE.INC($D$2:$D$726,0.6),4,D600&gt;=_xlfn.PERCENTILE.INC($D$2:$D$726,0.4),3,D600&gt;=_xlfn.PERCENTILE.INC($D$2:$D$726,0.2),2,TRUE,1)</f>
        <v>1</v>
      </c>
      <c r="H600">
        <f t="shared" si="9"/>
        <v>7</v>
      </c>
      <c r="I600" t="str" cm="1">
        <f t="array" ref="I600">_xlfn.IFS(H600&gt;=13,"Best Customers",H600&gt;=10,"Loyal Customers",H600&gt;=7,"Potential Loyal Customers",H600&gt;=4,"Need Attention",TRUE,"At Risk")</f>
        <v>Potential Loyal Customers</v>
      </c>
    </row>
    <row r="601" spans="1:9" x14ac:dyDescent="0.25">
      <c r="A601" t="s">
        <v>1082</v>
      </c>
      <c r="B601" s="4">
        <v>374</v>
      </c>
      <c r="C601">
        <v>5</v>
      </c>
      <c r="D601">
        <v>301.89999999999998</v>
      </c>
      <c r="E601" cm="1">
        <f t="array" ref="E601">_xlfn.IFS(B601&lt;=_xlfn.PERCENTILE.INC($B$2:$B$726,0.2),5, B601&lt;=_xlfn.PERCENTILE.INC($B$2:$B$726,0.4),4,B601&lt;=_xlfn.PERCENTILE.INC($B$2:$B$726,0.6),3,B601&lt;=_xlfn.PERCENTILE.INC($B$2:$B$726,0.8),4,TRUE,1)</f>
        <v>5</v>
      </c>
      <c r="F601" cm="1">
        <f t="array" ref="F601">_xlfn.IFS(C601&gt;=_xlfn.PERCENTILE.INC($C$2:$C$726,0.8),5,C601&gt;=_xlfn.PERCENTILE.INC($C$2:$C$726,0.6),4,C601&gt;=_xlfn.PERCENTILE.INC($C$2:$C$726,0.4),3,C601&gt;=_xlfn.PERCENTILE.INC($C$2:$C$726,0.2),2,TRUE,1)</f>
        <v>3</v>
      </c>
      <c r="G601" cm="1">
        <f t="array" ref="G601">_xlfn.IFS(D601&gt;=_xlfn.PERCENTILE.INC($D$2:$D$726,0.8),5,D601&gt;=_xlfn.PERCENTILE.INC($D$2:$D$726,0.6),4,D601&gt;=_xlfn.PERCENTILE.INC($D$2:$D$726,0.4),3,D601&gt;=_xlfn.PERCENTILE.INC($D$2:$D$726,0.2),2,TRUE,1)</f>
        <v>3</v>
      </c>
      <c r="H601">
        <f t="shared" si="9"/>
        <v>11</v>
      </c>
      <c r="I601" t="str" cm="1">
        <f t="array" ref="I601">_xlfn.IFS(H601&gt;=13,"Best Customers",H601&gt;=10,"Loyal Customers",H601&gt;=7,"Potential Loyal Customers",H601&gt;=4,"Need Attention",TRUE,"At Risk")</f>
        <v>Loyal Customers</v>
      </c>
    </row>
    <row r="602" spans="1:9" x14ac:dyDescent="0.25">
      <c r="A602" t="s">
        <v>1024</v>
      </c>
      <c r="B602" s="4">
        <v>394</v>
      </c>
      <c r="C602">
        <v>5</v>
      </c>
      <c r="D602">
        <v>189.9</v>
      </c>
      <c r="E602" cm="1">
        <f t="array" ref="E602">_xlfn.IFS(B602&lt;=_xlfn.PERCENTILE.INC($B$2:$B$726,0.2),5, B602&lt;=_xlfn.PERCENTILE.INC($B$2:$B$726,0.4),4,B602&lt;=_xlfn.PERCENTILE.INC($B$2:$B$726,0.6),3,B602&lt;=_xlfn.PERCENTILE.INC($B$2:$B$726,0.8),4,TRUE,1)</f>
        <v>4</v>
      </c>
      <c r="F602" cm="1">
        <f t="array" ref="F602">_xlfn.IFS(C602&gt;=_xlfn.PERCENTILE.INC($C$2:$C$726,0.8),5,C602&gt;=_xlfn.PERCENTILE.INC($C$2:$C$726,0.6),4,C602&gt;=_xlfn.PERCENTILE.INC($C$2:$C$726,0.4),3,C602&gt;=_xlfn.PERCENTILE.INC($C$2:$C$726,0.2),2,TRUE,1)</f>
        <v>3</v>
      </c>
      <c r="G602" cm="1">
        <f t="array" ref="G602">_xlfn.IFS(D602&gt;=_xlfn.PERCENTILE.INC($D$2:$D$726,0.8),5,D602&gt;=_xlfn.PERCENTILE.INC($D$2:$D$726,0.6),4,D602&gt;=_xlfn.PERCENTILE.INC($D$2:$D$726,0.4),3,D602&gt;=_xlfn.PERCENTILE.INC($D$2:$D$726,0.2),2,TRUE,1)</f>
        <v>2</v>
      </c>
      <c r="H602">
        <f t="shared" si="9"/>
        <v>9</v>
      </c>
      <c r="I602" t="str" cm="1">
        <f t="array" ref="I602">_xlfn.IFS(H602&gt;=13,"Best Customers",H602&gt;=10,"Loyal Customers",H602&gt;=7,"Potential Loyal Customers",H602&gt;=4,"Need Attention",TRUE,"At Risk")</f>
        <v>Potential Loyal Customers</v>
      </c>
    </row>
    <row r="603" spans="1:9" x14ac:dyDescent="0.25">
      <c r="A603" t="s">
        <v>2074</v>
      </c>
      <c r="B603" s="4">
        <v>655</v>
      </c>
      <c r="C603">
        <v>7</v>
      </c>
      <c r="D603">
        <v>333.8</v>
      </c>
      <c r="E603" cm="1">
        <f t="array" ref="E603">_xlfn.IFS(B603&lt;=_xlfn.PERCENTILE.INC($B$2:$B$726,0.2),5, B603&lt;=_xlfn.PERCENTILE.INC($B$2:$B$726,0.4),4,B603&lt;=_xlfn.PERCENTILE.INC($B$2:$B$726,0.6),3,B603&lt;=_xlfn.PERCENTILE.INC($B$2:$B$726,0.8),4,TRUE,1)</f>
        <v>4</v>
      </c>
      <c r="F603" cm="1">
        <f t="array" ref="F603">_xlfn.IFS(C603&gt;=_xlfn.PERCENTILE.INC($C$2:$C$726,0.8),5,C603&gt;=_xlfn.PERCENTILE.INC($C$2:$C$726,0.6),4,C603&gt;=_xlfn.PERCENTILE.INC($C$2:$C$726,0.4),3,C603&gt;=_xlfn.PERCENTILE.INC($C$2:$C$726,0.2),2,TRUE,1)</f>
        <v>4</v>
      </c>
      <c r="G603" cm="1">
        <f t="array" ref="G603">_xlfn.IFS(D603&gt;=_xlfn.PERCENTILE.INC($D$2:$D$726,0.8),5,D603&gt;=_xlfn.PERCENTILE.INC($D$2:$D$726,0.6),4,D603&gt;=_xlfn.PERCENTILE.INC($D$2:$D$726,0.4),3,D603&gt;=_xlfn.PERCENTILE.INC($D$2:$D$726,0.2),2,TRUE,1)</f>
        <v>4</v>
      </c>
      <c r="H603">
        <f t="shared" si="9"/>
        <v>12</v>
      </c>
      <c r="I603" t="str" cm="1">
        <f t="array" ref="I603">_xlfn.IFS(H603&gt;=13,"Best Customers",H603&gt;=10,"Loyal Customers",H603&gt;=7,"Potential Loyal Customers",H603&gt;=4,"Need Attention",TRUE,"At Risk")</f>
        <v>Loyal Customers</v>
      </c>
    </row>
    <row r="604" spans="1:9" x14ac:dyDescent="0.25">
      <c r="A604" t="s">
        <v>1065</v>
      </c>
      <c r="B604" s="4">
        <v>1594</v>
      </c>
      <c r="C604">
        <v>1</v>
      </c>
      <c r="D604">
        <v>36.5</v>
      </c>
      <c r="E604" cm="1">
        <f t="array" ref="E604">_xlfn.IFS(B604&lt;=_xlfn.PERCENTILE.INC($B$2:$B$726,0.2),5, B604&lt;=_xlfn.PERCENTILE.INC($B$2:$B$726,0.4),4,B604&lt;=_xlfn.PERCENTILE.INC($B$2:$B$726,0.6),3,B604&lt;=_xlfn.PERCENTILE.INC($B$2:$B$726,0.8),4,TRUE,1)</f>
        <v>1</v>
      </c>
      <c r="F604" cm="1">
        <f t="array" ref="F604">_xlfn.IFS(C604&gt;=_xlfn.PERCENTILE.INC($C$2:$C$726,0.8),5,C604&gt;=_xlfn.PERCENTILE.INC($C$2:$C$726,0.6),4,C604&gt;=_xlfn.PERCENTILE.INC($C$2:$C$726,0.4),3,C604&gt;=_xlfn.PERCENTILE.INC($C$2:$C$726,0.2),2,TRUE,1)</f>
        <v>1</v>
      </c>
      <c r="G604" cm="1">
        <f t="array" ref="G604">_xlfn.IFS(D604&gt;=_xlfn.PERCENTILE.INC($D$2:$D$726,0.8),5,D604&gt;=_xlfn.PERCENTILE.INC($D$2:$D$726,0.6),4,D604&gt;=_xlfn.PERCENTILE.INC($D$2:$D$726,0.4),3,D604&gt;=_xlfn.PERCENTILE.INC($D$2:$D$726,0.2),2,TRUE,1)</f>
        <v>1</v>
      </c>
      <c r="H604">
        <f t="shared" si="9"/>
        <v>3</v>
      </c>
      <c r="I604" t="str" cm="1">
        <f t="array" ref="I604">_xlfn.IFS(H604&gt;=13,"Best Customers",H604&gt;=10,"Loyal Customers",H604&gt;=7,"Potential Loyal Customers",H604&gt;=4,"Need Attention",TRUE,"At Risk")</f>
        <v>At Risk</v>
      </c>
    </row>
    <row r="605" spans="1:9" x14ac:dyDescent="0.25">
      <c r="A605" t="s">
        <v>1351</v>
      </c>
      <c r="B605" s="4">
        <v>622</v>
      </c>
      <c r="C605">
        <v>4</v>
      </c>
      <c r="D605">
        <v>131</v>
      </c>
      <c r="E605" cm="1">
        <f t="array" ref="E605">_xlfn.IFS(B605&lt;=_xlfn.PERCENTILE.INC($B$2:$B$726,0.2),5, B605&lt;=_xlfn.PERCENTILE.INC($B$2:$B$726,0.4),4,B605&lt;=_xlfn.PERCENTILE.INC($B$2:$B$726,0.6),3,B605&lt;=_xlfn.PERCENTILE.INC($B$2:$B$726,0.8),4,TRUE,1)</f>
        <v>4</v>
      </c>
      <c r="F605" cm="1">
        <f t="array" ref="F605">_xlfn.IFS(C605&gt;=_xlfn.PERCENTILE.INC($C$2:$C$726,0.8),5,C605&gt;=_xlfn.PERCENTILE.INC($C$2:$C$726,0.6),4,C605&gt;=_xlfn.PERCENTILE.INC($C$2:$C$726,0.4),3,C605&gt;=_xlfn.PERCENTILE.INC($C$2:$C$726,0.2),2,TRUE,1)</f>
        <v>2</v>
      </c>
      <c r="G605" cm="1">
        <f t="array" ref="G605">_xlfn.IFS(D605&gt;=_xlfn.PERCENTILE.INC($D$2:$D$726,0.8),5,D605&gt;=_xlfn.PERCENTILE.INC($D$2:$D$726,0.6),4,D605&gt;=_xlfn.PERCENTILE.INC($D$2:$D$726,0.4),3,D605&gt;=_xlfn.PERCENTILE.INC($D$2:$D$726,0.2),2,TRUE,1)</f>
        <v>1</v>
      </c>
      <c r="H605">
        <f t="shared" si="9"/>
        <v>7</v>
      </c>
      <c r="I605" t="str" cm="1">
        <f t="array" ref="I605">_xlfn.IFS(H605&gt;=13,"Best Customers",H605&gt;=10,"Loyal Customers",H605&gt;=7,"Potential Loyal Customers",H605&gt;=4,"Need Attention",TRUE,"At Risk")</f>
        <v>Potential Loyal Customers</v>
      </c>
    </row>
    <row r="606" spans="1:9" x14ac:dyDescent="0.25">
      <c r="A606" t="s">
        <v>1842</v>
      </c>
      <c r="B606" s="4">
        <v>810</v>
      </c>
      <c r="C606">
        <v>5</v>
      </c>
      <c r="D606">
        <v>293.89999999999998</v>
      </c>
      <c r="E606" cm="1">
        <f t="array" ref="E606">_xlfn.IFS(B606&lt;=_xlfn.PERCENTILE.INC($B$2:$B$726,0.2),5, B606&lt;=_xlfn.PERCENTILE.INC($B$2:$B$726,0.4),4,B606&lt;=_xlfn.PERCENTILE.INC($B$2:$B$726,0.6),3,B606&lt;=_xlfn.PERCENTILE.INC($B$2:$B$726,0.8),4,TRUE,1)</f>
        <v>1</v>
      </c>
      <c r="F606" cm="1">
        <f t="array" ref="F606">_xlfn.IFS(C606&gt;=_xlfn.PERCENTILE.INC($C$2:$C$726,0.8),5,C606&gt;=_xlfn.PERCENTILE.INC($C$2:$C$726,0.6),4,C606&gt;=_xlfn.PERCENTILE.INC($C$2:$C$726,0.4),3,C606&gt;=_xlfn.PERCENTILE.INC($C$2:$C$726,0.2),2,TRUE,1)</f>
        <v>3</v>
      </c>
      <c r="G606" cm="1">
        <f t="array" ref="G606">_xlfn.IFS(D606&gt;=_xlfn.PERCENTILE.INC($D$2:$D$726,0.8),5,D606&gt;=_xlfn.PERCENTILE.INC($D$2:$D$726,0.6),4,D606&gt;=_xlfn.PERCENTILE.INC($D$2:$D$726,0.4),3,D606&gt;=_xlfn.PERCENTILE.INC($D$2:$D$726,0.2),2,TRUE,1)</f>
        <v>3</v>
      </c>
      <c r="H606">
        <f t="shared" si="9"/>
        <v>7</v>
      </c>
      <c r="I606" t="str" cm="1">
        <f t="array" ref="I606">_xlfn.IFS(H606&gt;=13,"Best Customers",H606&gt;=10,"Loyal Customers",H606&gt;=7,"Potential Loyal Customers",H606&gt;=4,"Need Attention",TRUE,"At Risk")</f>
        <v>Potential Loyal Customers</v>
      </c>
    </row>
    <row r="607" spans="1:9" x14ac:dyDescent="0.25">
      <c r="A607" t="s">
        <v>2792</v>
      </c>
      <c r="B607" s="4">
        <v>397</v>
      </c>
      <c r="C607">
        <v>10</v>
      </c>
      <c r="D607">
        <v>679.90000000000009</v>
      </c>
      <c r="E607" cm="1">
        <f t="array" ref="E607">_xlfn.IFS(B607&lt;=_xlfn.PERCENTILE.INC($B$2:$B$726,0.2),5, B607&lt;=_xlfn.PERCENTILE.INC($B$2:$B$726,0.4),4,B607&lt;=_xlfn.PERCENTILE.INC($B$2:$B$726,0.6),3,B607&lt;=_xlfn.PERCENTILE.INC($B$2:$B$726,0.8),4,TRUE,1)</f>
        <v>4</v>
      </c>
      <c r="F607" cm="1">
        <f t="array" ref="F607">_xlfn.IFS(C607&gt;=_xlfn.PERCENTILE.INC($C$2:$C$726,0.8),5,C607&gt;=_xlfn.PERCENTILE.INC($C$2:$C$726,0.6),4,C607&gt;=_xlfn.PERCENTILE.INC($C$2:$C$726,0.4),3,C607&gt;=_xlfn.PERCENTILE.INC($C$2:$C$726,0.2),2,TRUE,1)</f>
        <v>5</v>
      </c>
      <c r="G607" cm="1">
        <f t="array" ref="G607">_xlfn.IFS(D607&gt;=_xlfn.PERCENTILE.INC($D$2:$D$726,0.8),5,D607&gt;=_xlfn.PERCENTILE.INC($D$2:$D$726,0.6),4,D607&gt;=_xlfn.PERCENTILE.INC($D$2:$D$726,0.4),3,D607&gt;=_xlfn.PERCENTILE.INC($D$2:$D$726,0.2),2,TRUE,1)</f>
        <v>5</v>
      </c>
      <c r="H607">
        <f t="shared" si="9"/>
        <v>14</v>
      </c>
      <c r="I607" t="str" cm="1">
        <f t="array" ref="I607">_xlfn.IFS(H607&gt;=13,"Best Customers",H607&gt;=10,"Loyal Customers",H607&gt;=7,"Potential Loyal Customers",H607&gt;=4,"Need Attention",TRUE,"At Risk")</f>
        <v>Best Customers</v>
      </c>
    </row>
    <row r="608" spans="1:9" x14ac:dyDescent="0.25">
      <c r="A608" t="s">
        <v>1979</v>
      </c>
      <c r="B608" s="4">
        <v>345</v>
      </c>
      <c r="C608">
        <v>6</v>
      </c>
      <c r="D608">
        <v>244.4</v>
      </c>
      <c r="E608" cm="1">
        <f t="array" ref="E608">_xlfn.IFS(B608&lt;=_xlfn.PERCENTILE.INC($B$2:$B$726,0.2),5, B608&lt;=_xlfn.PERCENTILE.INC($B$2:$B$726,0.4),4,B608&lt;=_xlfn.PERCENTILE.INC($B$2:$B$726,0.6),3,B608&lt;=_xlfn.PERCENTILE.INC($B$2:$B$726,0.8),4,TRUE,1)</f>
        <v>5</v>
      </c>
      <c r="F608" cm="1">
        <f t="array" ref="F608">_xlfn.IFS(C608&gt;=_xlfn.PERCENTILE.INC($C$2:$C$726,0.8),5,C608&gt;=_xlfn.PERCENTILE.INC($C$2:$C$726,0.6),4,C608&gt;=_xlfn.PERCENTILE.INC($C$2:$C$726,0.4),3,C608&gt;=_xlfn.PERCENTILE.INC($C$2:$C$726,0.2),2,TRUE,1)</f>
        <v>4</v>
      </c>
      <c r="G608" cm="1">
        <f t="array" ref="G608">_xlfn.IFS(D608&gt;=_xlfn.PERCENTILE.INC($D$2:$D$726,0.8),5,D608&gt;=_xlfn.PERCENTILE.INC($D$2:$D$726,0.6),4,D608&gt;=_xlfn.PERCENTILE.INC($D$2:$D$726,0.4),3,D608&gt;=_xlfn.PERCENTILE.INC($D$2:$D$726,0.2),2,TRUE,1)</f>
        <v>3</v>
      </c>
      <c r="H608">
        <f t="shared" si="9"/>
        <v>12</v>
      </c>
      <c r="I608" t="str" cm="1">
        <f t="array" ref="I608">_xlfn.IFS(H608&gt;=13,"Best Customers",H608&gt;=10,"Loyal Customers",H608&gt;=7,"Potential Loyal Customers",H608&gt;=4,"Need Attention",TRUE,"At Risk")</f>
        <v>Loyal Customers</v>
      </c>
    </row>
    <row r="609" spans="1:9" x14ac:dyDescent="0.25">
      <c r="A609" t="s">
        <v>1743</v>
      </c>
      <c r="B609" s="4">
        <v>718</v>
      </c>
      <c r="C609">
        <v>5</v>
      </c>
      <c r="D609">
        <v>134.20000000000002</v>
      </c>
      <c r="E609" cm="1">
        <f t="array" ref="E609">_xlfn.IFS(B609&lt;=_xlfn.PERCENTILE.INC($B$2:$B$726,0.2),5, B609&lt;=_xlfn.PERCENTILE.INC($B$2:$B$726,0.4),4,B609&lt;=_xlfn.PERCENTILE.INC($B$2:$B$726,0.6),3,B609&lt;=_xlfn.PERCENTILE.INC($B$2:$B$726,0.8),4,TRUE,1)</f>
        <v>4</v>
      </c>
      <c r="F609" cm="1">
        <f t="array" ref="F609">_xlfn.IFS(C609&gt;=_xlfn.PERCENTILE.INC($C$2:$C$726,0.8),5,C609&gt;=_xlfn.PERCENTILE.INC($C$2:$C$726,0.6),4,C609&gt;=_xlfn.PERCENTILE.INC($C$2:$C$726,0.4),3,C609&gt;=_xlfn.PERCENTILE.INC($C$2:$C$726,0.2),2,TRUE,1)</f>
        <v>3</v>
      </c>
      <c r="G609" cm="1">
        <f t="array" ref="G609">_xlfn.IFS(D609&gt;=_xlfn.PERCENTILE.INC($D$2:$D$726,0.8),5,D609&gt;=_xlfn.PERCENTILE.INC($D$2:$D$726,0.6),4,D609&gt;=_xlfn.PERCENTILE.INC($D$2:$D$726,0.4),3,D609&gt;=_xlfn.PERCENTILE.INC($D$2:$D$726,0.2),2,TRUE,1)</f>
        <v>1</v>
      </c>
      <c r="H609">
        <f t="shared" si="9"/>
        <v>8</v>
      </c>
      <c r="I609" t="str" cm="1">
        <f t="array" ref="I609">_xlfn.IFS(H609&gt;=13,"Best Customers",H609&gt;=10,"Loyal Customers",H609&gt;=7,"Potential Loyal Customers",H609&gt;=4,"Need Attention",TRUE,"At Risk")</f>
        <v>Potential Loyal Customers</v>
      </c>
    </row>
    <row r="610" spans="1:9" x14ac:dyDescent="0.25">
      <c r="A610" t="s">
        <v>2618</v>
      </c>
      <c r="B610" s="4">
        <v>552</v>
      </c>
      <c r="C610">
        <v>6</v>
      </c>
      <c r="D610">
        <v>243.3</v>
      </c>
      <c r="E610" cm="1">
        <f t="array" ref="E610">_xlfn.IFS(B610&lt;=_xlfn.PERCENTILE.INC($B$2:$B$726,0.2),5, B610&lt;=_xlfn.PERCENTILE.INC($B$2:$B$726,0.4),4,B610&lt;=_xlfn.PERCENTILE.INC($B$2:$B$726,0.6),3,B610&lt;=_xlfn.PERCENTILE.INC($B$2:$B$726,0.8),4,TRUE,1)</f>
        <v>3</v>
      </c>
      <c r="F610" cm="1">
        <f t="array" ref="F610">_xlfn.IFS(C610&gt;=_xlfn.PERCENTILE.INC($C$2:$C$726,0.8),5,C610&gt;=_xlfn.PERCENTILE.INC($C$2:$C$726,0.6),4,C610&gt;=_xlfn.PERCENTILE.INC($C$2:$C$726,0.4),3,C610&gt;=_xlfn.PERCENTILE.INC($C$2:$C$726,0.2),2,TRUE,1)</f>
        <v>4</v>
      </c>
      <c r="G610" cm="1">
        <f t="array" ref="G610">_xlfn.IFS(D610&gt;=_xlfn.PERCENTILE.INC($D$2:$D$726,0.8),5,D610&gt;=_xlfn.PERCENTILE.INC($D$2:$D$726,0.6),4,D610&gt;=_xlfn.PERCENTILE.INC($D$2:$D$726,0.4),3,D610&gt;=_xlfn.PERCENTILE.INC($D$2:$D$726,0.2),2,TRUE,1)</f>
        <v>3</v>
      </c>
      <c r="H610">
        <f t="shared" si="9"/>
        <v>10</v>
      </c>
      <c r="I610" t="str" cm="1">
        <f t="array" ref="I610">_xlfn.IFS(H610&gt;=13,"Best Customers",H610&gt;=10,"Loyal Customers",H610&gt;=7,"Potential Loyal Customers",H610&gt;=4,"Need Attention",TRUE,"At Risk")</f>
        <v>Loyal Customers</v>
      </c>
    </row>
    <row r="611" spans="1:9" x14ac:dyDescent="0.25">
      <c r="A611" t="s">
        <v>2086</v>
      </c>
      <c r="B611" s="4">
        <v>564</v>
      </c>
      <c r="C611">
        <v>3</v>
      </c>
      <c r="D611">
        <v>338.8</v>
      </c>
      <c r="E611" cm="1">
        <f t="array" ref="E611">_xlfn.IFS(B611&lt;=_xlfn.PERCENTILE.INC($B$2:$B$726,0.2),5, B611&lt;=_xlfn.PERCENTILE.INC($B$2:$B$726,0.4),4,B611&lt;=_xlfn.PERCENTILE.INC($B$2:$B$726,0.6),3,B611&lt;=_xlfn.PERCENTILE.INC($B$2:$B$726,0.8),4,TRUE,1)</f>
        <v>3</v>
      </c>
      <c r="F611" cm="1">
        <f t="array" ref="F611">_xlfn.IFS(C611&gt;=_xlfn.PERCENTILE.INC($C$2:$C$726,0.8),5,C611&gt;=_xlfn.PERCENTILE.INC($C$2:$C$726,0.6),4,C611&gt;=_xlfn.PERCENTILE.INC($C$2:$C$726,0.4),3,C611&gt;=_xlfn.PERCENTILE.INC($C$2:$C$726,0.2),2,TRUE,1)</f>
        <v>1</v>
      </c>
      <c r="G611" cm="1">
        <f t="array" ref="G611">_xlfn.IFS(D611&gt;=_xlfn.PERCENTILE.INC($D$2:$D$726,0.8),5,D611&gt;=_xlfn.PERCENTILE.INC($D$2:$D$726,0.6),4,D611&gt;=_xlfn.PERCENTILE.INC($D$2:$D$726,0.4),3,D611&gt;=_xlfn.PERCENTILE.INC($D$2:$D$726,0.2),2,TRUE,1)</f>
        <v>4</v>
      </c>
      <c r="H611">
        <f t="shared" si="9"/>
        <v>8</v>
      </c>
      <c r="I611" t="str" cm="1">
        <f t="array" ref="I611">_xlfn.IFS(H611&gt;=13,"Best Customers",H611&gt;=10,"Loyal Customers",H611&gt;=7,"Potential Loyal Customers",H611&gt;=4,"Need Attention",TRUE,"At Risk")</f>
        <v>Potential Loyal Customers</v>
      </c>
    </row>
    <row r="612" spans="1:9" x14ac:dyDescent="0.25">
      <c r="A612" t="s">
        <v>3184</v>
      </c>
      <c r="B612" s="4">
        <v>377</v>
      </c>
      <c r="C612">
        <v>5</v>
      </c>
      <c r="D612">
        <v>223.1</v>
      </c>
      <c r="E612" cm="1">
        <f t="array" ref="E612">_xlfn.IFS(B612&lt;=_xlfn.PERCENTILE.INC($B$2:$B$726,0.2),5, B612&lt;=_xlfn.PERCENTILE.INC($B$2:$B$726,0.4),4,B612&lt;=_xlfn.PERCENTILE.INC($B$2:$B$726,0.6),3,B612&lt;=_xlfn.PERCENTILE.INC($B$2:$B$726,0.8),4,TRUE,1)</f>
        <v>5</v>
      </c>
      <c r="F612" cm="1">
        <f t="array" ref="F612">_xlfn.IFS(C612&gt;=_xlfn.PERCENTILE.INC($C$2:$C$726,0.8),5,C612&gt;=_xlfn.PERCENTILE.INC($C$2:$C$726,0.6),4,C612&gt;=_xlfn.PERCENTILE.INC($C$2:$C$726,0.4),3,C612&gt;=_xlfn.PERCENTILE.INC($C$2:$C$726,0.2),2,TRUE,1)</f>
        <v>3</v>
      </c>
      <c r="G612" cm="1">
        <f t="array" ref="G612">_xlfn.IFS(D612&gt;=_xlfn.PERCENTILE.INC($D$2:$D$726,0.8),5,D612&gt;=_xlfn.PERCENTILE.INC($D$2:$D$726,0.6),4,D612&gt;=_xlfn.PERCENTILE.INC($D$2:$D$726,0.4),3,D612&gt;=_xlfn.PERCENTILE.INC($D$2:$D$726,0.2),2,TRUE,1)</f>
        <v>2</v>
      </c>
      <c r="H612">
        <f t="shared" si="9"/>
        <v>10</v>
      </c>
      <c r="I612" t="str" cm="1">
        <f t="array" ref="I612">_xlfn.IFS(H612&gt;=13,"Best Customers",H612&gt;=10,"Loyal Customers",H612&gt;=7,"Potential Loyal Customers",H612&gt;=4,"Need Attention",TRUE,"At Risk")</f>
        <v>Loyal Customers</v>
      </c>
    </row>
    <row r="613" spans="1:9" x14ac:dyDescent="0.25">
      <c r="A613" t="s">
        <v>3133</v>
      </c>
      <c r="B613" s="4">
        <v>1008</v>
      </c>
      <c r="C613">
        <v>6</v>
      </c>
      <c r="D613">
        <v>247.49999999999997</v>
      </c>
      <c r="E613" cm="1">
        <f t="array" ref="E613">_xlfn.IFS(B613&lt;=_xlfn.PERCENTILE.INC($B$2:$B$726,0.2),5, B613&lt;=_xlfn.PERCENTILE.INC($B$2:$B$726,0.4),4,B613&lt;=_xlfn.PERCENTILE.INC($B$2:$B$726,0.6),3,B613&lt;=_xlfn.PERCENTILE.INC($B$2:$B$726,0.8),4,TRUE,1)</f>
        <v>1</v>
      </c>
      <c r="F613" cm="1">
        <f t="array" ref="F613">_xlfn.IFS(C613&gt;=_xlfn.PERCENTILE.INC($C$2:$C$726,0.8),5,C613&gt;=_xlfn.PERCENTILE.INC($C$2:$C$726,0.6),4,C613&gt;=_xlfn.PERCENTILE.INC($C$2:$C$726,0.4),3,C613&gt;=_xlfn.PERCENTILE.INC($C$2:$C$726,0.2),2,TRUE,1)</f>
        <v>4</v>
      </c>
      <c r="G613" cm="1">
        <f t="array" ref="G613">_xlfn.IFS(D613&gt;=_xlfn.PERCENTILE.INC($D$2:$D$726,0.8),5,D613&gt;=_xlfn.PERCENTILE.INC($D$2:$D$726,0.6),4,D613&gt;=_xlfn.PERCENTILE.INC($D$2:$D$726,0.4),3,D613&gt;=_xlfn.PERCENTILE.INC($D$2:$D$726,0.2),2,TRUE,1)</f>
        <v>3</v>
      </c>
      <c r="H613">
        <f t="shared" si="9"/>
        <v>8</v>
      </c>
      <c r="I613" t="str" cm="1">
        <f t="array" ref="I613">_xlfn.IFS(H613&gt;=13,"Best Customers",H613&gt;=10,"Loyal Customers",H613&gt;=7,"Potential Loyal Customers",H613&gt;=4,"Need Attention",TRUE,"At Risk")</f>
        <v>Potential Loyal Customers</v>
      </c>
    </row>
    <row r="614" spans="1:9" x14ac:dyDescent="0.25">
      <c r="A614" t="s">
        <v>3217</v>
      </c>
      <c r="B614" s="4">
        <v>542</v>
      </c>
      <c r="C614">
        <v>4</v>
      </c>
      <c r="D614">
        <v>223</v>
      </c>
      <c r="E614" cm="1">
        <f t="array" ref="E614">_xlfn.IFS(B614&lt;=_xlfn.PERCENTILE.INC($B$2:$B$726,0.2),5, B614&lt;=_xlfn.PERCENTILE.INC($B$2:$B$726,0.4),4,B614&lt;=_xlfn.PERCENTILE.INC($B$2:$B$726,0.6),3,B614&lt;=_xlfn.PERCENTILE.INC($B$2:$B$726,0.8),4,TRUE,1)</f>
        <v>3</v>
      </c>
      <c r="F614" cm="1">
        <f t="array" ref="F614">_xlfn.IFS(C614&gt;=_xlfn.PERCENTILE.INC($C$2:$C$726,0.8),5,C614&gt;=_xlfn.PERCENTILE.INC($C$2:$C$726,0.6),4,C614&gt;=_xlfn.PERCENTILE.INC($C$2:$C$726,0.4),3,C614&gt;=_xlfn.PERCENTILE.INC($C$2:$C$726,0.2),2,TRUE,1)</f>
        <v>2</v>
      </c>
      <c r="G614" cm="1">
        <f t="array" ref="G614">_xlfn.IFS(D614&gt;=_xlfn.PERCENTILE.INC($D$2:$D$726,0.8),5,D614&gt;=_xlfn.PERCENTILE.INC($D$2:$D$726,0.6),4,D614&gt;=_xlfn.PERCENTILE.INC($D$2:$D$726,0.4),3,D614&gt;=_xlfn.PERCENTILE.INC($D$2:$D$726,0.2),2,TRUE,1)</f>
        <v>2</v>
      </c>
      <c r="H614">
        <f t="shared" si="9"/>
        <v>7</v>
      </c>
      <c r="I614" t="str" cm="1">
        <f t="array" ref="I614">_xlfn.IFS(H614&gt;=13,"Best Customers",H614&gt;=10,"Loyal Customers",H614&gt;=7,"Potential Loyal Customers",H614&gt;=4,"Need Attention",TRUE,"At Risk")</f>
        <v>Potential Loyal Customers</v>
      </c>
    </row>
    <row r="615" spans="1:9" x14ac:dyDescent="0.25">
      <c r="A615" t="s">
        <v>1813</v>
      </c>
      <c r="B615" s="4">
        <v>431</v>
      </c>
      <c r="C615">
        <v>5</v>
      </c>
      <c r="D615">
        <v>231.8</v>
      </c>
      <c r="E615" cm="1">
        <f t="array" ref="E615">_xlfn.IFS(B615&lt;=_xlfn.PERCENTILE.INC($B$2:$B$726,0.2),5, B615&lt;=_xlfn.PERCENTILE.INC($B$2:$B$726,0.4),4,B615&lt;=_xlfn.PERCENTILE.INC($B$2:$B$726,0.6),3,B615&lt;=_xlfn.PERCENTILE.INC($B$2:$B$726,0.8),4,TRUE,1)</f>
        <v>4</v>
      </c>
      <c r="F615" cm="1">
        <f t="array" ref="F615">_xlfn.IFS(C615&gt;=_xlfn.PERCENTILE.INC($C$2:$C$726,0.8),5,C615&gt;=_xlfn.PERCENTILE.INC($C$2:$C$726,0.6),4,C615&gt;=_xlfn.PERCENTILE.INC($C$2:$C$726,0.4),3,C615&gt;=_xlfn.PERCENTILE.INC($C$2:$C$726,0.2),2,TRUE,1)</f>
        <v>3</v>
      </c>
      <c r="G615" cm="1">
        <f t="array" ref="G615">_xlfn.IFS(D615&gt;=_xlfn.PERCENTILE.INC($D$2:$D$726,0.8),5,D615&gt;=_xlfn.PERCENTILE.INC($D$2:$D$726,0.6),4,D615&gt;=_xlfn.PERCENTILE.INC($D$2:$D$726,0.4),3,D615&gt;=_xlfn.PERCENTILE.INC($D$2:$D$726,0.2),2,TRUE,1)</f>
        <v>2</v>
      </c>
      <c r="H615">
        <f t="shared" si="9"/>
        <v>9</v>
      </c>
      <c r="I615" t="str" cm="1">
        <f t="array" ref="I615">_xlfn.IFS(H615&gt;=13,"Best Customers",H615&gt;=10,"Loyal Customers",H615&gt;=7,"Potential Loyal Customers",H615&gt;=4,"Need Attention",TRUE,"At Risk")</f>
        <v>Potential Loyal Customers</v>
      </c>
    </row>
    <row r="616" spans="1:9" x14ac:dyDescent="0.25">
      <c r="A616" t="s">
        <v>893</v>
      </c>
      <c r="B616" s="4">
        <v>1066</v>
      </c>
      <c r="C616">
        <v>5</v>
      </c>
      <c r="D616">
        <v>288.8</v>
      </c>
      <c r="E616" cm="1">
        <f t="array" ref="E616">_xlfn.IFS(B616&lt;=_xlfn.PERCENTILE.INC($B$2:$B$726,0.2),5, B616&lt;=_xlfn.PERCENTILE.INC($B$2:$B$726,0.4),4,B616&lt;=_xlfn.PERCENTILE.INC($B$2:$B$726,0.6),3,B616&lt;=_xlfn.PERCENTILE.INC($B$2:$B$726,0.8),4,TRUE,1)</f>
        <v>1</v>
      </c>
      <c r="F616" cm="1">
        <f t="array" ref="F616">_xlfn.IFS(C616&gt;=_xlfn.PERCENTILE.INC($C$2:$C$726,0.8),5,C616&gt;=_xlfn.PERCENTILE.INC($C$2:$C$726,0.6),4,C616&gt;=_xlfn.PERCENTILE.INC($C$2:$C$726,0.4),3,C616&gt;=_xlfn.PERCENTILE.INC($C$2:$C$726,0.2),2,TRUE,1)</f>
        <v>3</v>
      </c>
      <c r="G616" cm="1">
        <f t="array" ref="G616">_xlfn.IFS(D616&gt;=_xlfn.PERCENTILE.INC($D$2:$D$726,0.8),5,D616&gt;=_xlfn.PERCENTILE.INC($D$2:$D$726,0.6),4,D616&gt;=_xlfn.PERCENTILE.INC($D$2:$D$726,0.4),3,D616&gt;=_xlfn.PERCENTILE.INC($D$2:$D$726,0.2),2,TRUE,1)</f>
        <v>3</v>
      </c>
      <c r="H616">
        <f t="shared" si="9"/>
        <v>7</v>
      </c>
      <c r="I616" t="str" cm="1">
        <f t="array" ref="I616">_xlfn.IFS(H616&gt;=13,"Best Customers",H616&gt;=10,"Loyal Customers",H616&gt;=7,"Potential Loyal Customers",H616&gt;=4,"Need Attention",TRUE,"At Risk")</f>
        <v>Potential Loyal Customers</v>
      </c>
    </row>
    <row r="617" spans="1:9" x14ac:dyDescent="0.25">
      <c r="A617" t="s">
        <v>3019</v>
      </c>
      <c r="B617" s="4">
        <v>659</v>
      </c>
      <c r="C617">
        <v>9</v>
      </c>
      <c r="D617">
        <v>528</v>
      </c>
      <c r="E617" cm="1">
        <f t="array" ref="E617">_xlfn.IFS(B617&lt;=_xlfn.PERCENTILE.INC($B$2:$B$726,0.2),5, B617&lt;=_xlfn.PERCENTILE.INC($B$2:$B$726,0.4),4,B617&lt;=_xlfn.PERCENTILE.INC($B$2:$B$726,0.6),3,B617&lt;=_xlfn.PERCENTILE.INC($B$2:$B$726,0.8),4,TRUE,1)</f>
        <v>4</v>
      </c>
      <c r="F617" cm="1">
        <f t="array" ref="F617">_xlfn.IFS(C617&gt;=_xlfn.PERCENTILE.INC($C$2:$C$726,0.8),5,C617&gt;=_xlfn.PERCENTILE.INC($C$2:$C$726,0.6),4,C617&gt;=_xlfn.PERCENTILE.INC($C$2:$C$726,0.4),3,C617&gt;=_xlfn.PERCENTILE.INC($C$2:$C$726,0.2),2,TRUE,1)</f>
        <v>5</v>
      </c>
      <c r="G617" cm="1">
        <f t="array" ref="G617">_xlfn.IFS(D617&gt;=_xlfn.PERCENTILE.INC($D$2:$D$726,0.8),5,D617&gt;=_xlfn.PERCENTILE.INC($D$2:$D$726,0.6),4,D617&gt;=_xlfn.PERCENTILE.INC($D$2:$D$726,0.4),3,D617&gt;=_xlfn.PERCENTILE.INC($D$2:$D$726,0.2),2,TRUE,1)</f>
        <v>5</v>
      </c>
      <c r="H617">
        <f t="shared" si="9"/>
        <v>14</v>
      </c>
      <c r="I617" t="str" cm="1">
        <f t="array" ref="I617">_xlfn.IFS(H617&gt;=13,"Best Customers",H617&gt;=10,"Loyal Customers",H617&gt;=7,"Potential Loyal Customers",H617&gt;=4,"Need Attention",TRUE,"At Risk")</f>
        <v>Best Customers</v>
      </c>
    </row>
    <row r="618" spans="1:9" x14ac:dyDescent="0.25">
      <c r="A618" t="s">
        <v>906</v>
      </c>
      <c r="B618" s="4">
        <v>513</v>
      </c>
      <c r="C618">
        <v>9</v>
      </c>
      <c r="D618">
        <v>513</v>
      </c>
      <c r="E618" cm="1">
        <f t="array" ref="E618">_xlfn.IFS(B618&lt;=_xlfn.PERCENTILE.INC($B$2:$B$726,0.2),5, B618&lt;=_xlfn.PERCENTILE.INC($B$2:$B$726,0.4),4,B618&lt;=_xlfn.PERCENTILE.INC($B$2:$B$726,0.6),3,B618&lt;=_xlfn.PERCENTILE.INC($B$2:$B$726,0.8),4,TRUE,1)</f>
        <v>3</v>
      </c>
      <c r="F618" cm="1">
        <f t="array" ref="F618">_xlfn.IFS(C618&gt;=_xlfn.PERCENTILE.INC($C$2:$C$726,0.8),5,C618&gt;=_xlfn.PERCENTILE.INC($C$2:$C$726,0.6),4,C618&gt;=_xlfn.PERCENTILE.INC($C$2:$C$726,0.4),3,C618&gt;=_xlfn.PERCENTILE.INC($C$2:$C$726,0.2),2,TRUE,1)</f>
        <v>5</v>
      </c>
      <c r="G618" cm="1">
        <f t="array" ref="G618">_xlfn.IFS(D618&gt;=_xlfn.PERCENTILE.INC($D$2:$D$726,0.8),5,D618&gt;=_xlfn.PERCENTILE.INC($D$2:$D$726,0.6),4,D618&gt;=_xlfn.PERCENTILE.INC($D$2:$D$726,0.4),3,D618&gt;=_xlfn.PERCENTILE.INC($D$2:$D$726,0.2),2,TRUE,1)</f>
        <v>5</v>
      </c>
      <c r="H618">
        <f t="shared" si="9"/>
        <v>13</v>
      </c>
      <c r="I618" t="str" cm="1">
        <f t="array" ref="I618">_xlfn.IFS(H618&gt;=13,"Best Customers",H618&gt;=10,"Loyal Customers",H618&gt;=7,"Potential Loyal Customers",H618&gt;=4,"Need Attention",TRUE,"At Risk")</f>
        <v>Best Customers</v>
      </c>
    </row>
    <row r="619" spans="1:9" x14ac:dyDescent="0.25">
      <c r="A619" t="s">
        <v>1836</v>
      </c>
      <c r="B619" s="4">
        <v>391</v>
      </c>
      <c r="C619">
        <v>7</v>
      </c>
      <c r="D619">
        <v>550.69999999999993</v>
      </c>
      <c r="E619" cm="1">
        <f t="array" ref="E619">_xlfn.IFS(B619&lt;=_xlfn.PERCENTILE.INC($B$2:$B$726,0.2),5, B619&lt;=_xlfn.PERCENTILE.INC($B$2:$B$726,0.4),4,B619&lt;=_xlfn.PERCENTILE.INC($B$2:$B$726,0.6),3,B619&lt;=_xlfn.PERCENTILE.INC($B$2:$B$726,0.8),4,TRUE,1)</f>
        <v>4</v>
      </c>
      <c r="F619" cm="1">
        <f t="array" ref="F619">_xlfn.IFS(C619&gt;=_xlfn.PERCENTILE.INC($C$2:$C$726,0.8),5,C619&gt;=_xlfn.PERCENTILE.INC($C$2:$C$726,0.6),4,C619&gt;=_xlfn.PERCENTILE.INC($C$2:$C$726,0.4),3,C619&gt;=_xlfn.PERCENTILE.INC($C$2:$C$726,0.2),2,TRUE,1)</f>
        <v>4</v>
      </c>
      <c r="G619" cm="1">
        <f t="array" ref="G619">_xlfn.IFS(D619&gt;=_xlfn.PERCENTILE.INC($D$2:$D$726,0.8),5,D619&gt;=_xlfn.PERCENTILE.INC($D$2:$D$726,0.6),4,D619&gt;=_xlfn.PERCENTILE.INC($D$2:$D$726,0.4),3,D619&gt;=_xlfn.PERCENTILE.INC($D$2:$D$726,0.2),2,TRUE,1)</f>
        <v>5</v>
      </c>
      <c r="H619">
        <f t="shared" si="9"/>
        <v>13</v>
      </c>
      <c r="I619" t="str" cm="1">
        <f t="array" ref="I619">_xlfn.IFS(H619&gt;=13,"Best Customers",H619&gt;=10,"Loyal Customers",H619&gt;=7,"Potential Loyal Customers",H619&gt;=4,"Need Attention",TRUE,"At Risk")</f>
        <v>Best Customers</v>
      </c>
    </row>
    <row r="620" spans="1:9" x14ac:dyDescent="0.25">
      <c r="A620" t="s">
        <v>3303</v>
      </c>
      <c r="B620" s="4">
        <v>443</v>
      </c>
      <c r="C620">
        <v>6</v>
      </c>
      <c r="D620">
        <v>291.60000000000002</v>
      </c>
      <c r="E620" cm="1">
        <f t="array" ref="E620">_xlfn.IFS(B620&lt;=_xlfn.PERCENTILE.INC($B$2:$B$726,0.2),5, B620&lt;=_xlfn.PERCENTILE.INC($B$2:$B$726,0.4),4,B620&lt;=_xlfn.PERCENTILE.INC($B$2:$B$726,0.6),3,B620&lt;=_xlfn.PERCENTILE.INC($B$2:$B$726,0.8),4,TRUE,1)</f>
        <v>4</v>
      </c>
      <c r="F620" cm="1">
        <f t="array" ref="F620">_xlfn.IFS(C620&gt;=_xlfn.PERCENTILE.INC($C$2:$C$726,0.8),5,C620&gt;=_xlfn.PERCENTILE.INC($C$2:$C$726,0.6),4,C620&gt;=_xlfn.PERCENTILE.INC($C$2:$C$726,0.4),3,C620&gt;=_xlfn.PERCENTILE.INC($C$2:$C$726,0.2),2,TRUE,1)</f>
        <v>4</v>
      </c>
      <c r="G620" cm="1">
        <f t="array" ref="G620">_xlfn.IFS(D620&gt;=_xlfn.PERCENTILE.INC($D$2:$D$726,0.8),5,D620&gt;=_xlfn.PERCENTILE.INC($D$2:$D$726,0.6),4,D620&gt;=_xlfn.PERCENTILE.INC($D$2:$D$726,0.4),3,D620&gt;=_xlfn.PERCENTILE.INC($D$2:$D$726,0.2),2,TRUE,1)</f>
        <v>3</v>
      </c>
      <c r="H620">
        <f t="shared" si="9"/>
        <v>11</v>
      </c>
      <c r="I620" t="str" cm="1">
        <f t="array" ref="I620">_xlfn.IFS(H620&gt;=13,"Best Customers",H620&gt;=10,"Loyal Customers",H620&gt;=7,"Potential Loyal Customers",H620&gt;=4,"Need Attention",TRUE,"At Risk")</f>
        <v>Loyal Customers</v>
      </c>
    </row>
    <row r="621" spans="1:9" x14ac:dyDescent="0.25">
      <c r="A621" t="s">
        <v>1634</v>
      </c>
      <c r="B621" s="4">
        <v>1070</v>
      </c>
      <c r="C621">
        <v>5</v>
      </c>
      <c r="D621">
        <v>284.7</v>
      </c>
      <c r="E621" cm="1">
        <f t="array" ref="E621">_xlfn.IFS(B621&lt;=_xlfn.PERCENTILE.INC($B$2:$B$726,0.2),5, B621&lt;=_xlfn.PERCENTILE.INC($B$2:$B$726,0.4),4,B621&lt;=_xlfn.PERCENTILE.INC($B$2:$B$726,0.6),3,B621&lt;=_xlfn.PERCENTILE.INC($B$2:$B$726,0.8),4,TRUE,1)</f>
        <v>1</v>
      </c>
      <c r="F621" cm="1">
        <f t="array" ref="F621">_xlfn.IFS(C621&gt;=_xlfn.PERCENTILE.INC($C$2:$C$726,0.8),5,C621&gt;=_xlfn.PERCENTILE.INC($C$2:$C$726,0.6),4,C621&gt;=_xlfn.PERCENTILE.INC($C$2:$C$726,0.4),3,C621&gt;=_xlfn.PERCENTILE.INC($C$2:$C$726,0.2),2,TRUE,1)</f>
        <v>3</v>
      </c>
      <c r="G621" cm="1">
        <f t="array" ref="G621">_xlfn.IFS(D621&gt;=_xlfn.PERCENTILE.INC($D$2:$D$726,0.8),5,D621&gt;=_xlfn.PERCENTILE.INC($D$2:$D$726,0.6),4,D621&gt;=_xlfn.PERCENTILE.INC($D$2:$D$726,0.4),3,D621&gt;=_xlfn.PERCENTILE.INC($D$2:$D$726,0.2),2,TRUE,1)</f>
        <v>3</v>
      </c>
      <c r="H621">
        <f t="shared" si="9"/>
        <v>7</v>
      </c>
      <c r="I621" t="str" cm="1">
        <f t="array" ref="I621">_xlfn.IFS(H621&gt;=13,"Best Customers",H621&gt;=10,"Loyal Customers",H621&gt;=7,"Potential Loyal Customers",H621&gt;=4,"Need Attention",TRUE,"At Risk")</f>
        <v>Potential Loyal Customers</v>
      </c>
    </row>
    <row r="622" spans="1:9" x14ac:dyDescent="0.25">
      <c r="A622" t="s">
        <v>748</v>
      </c>
      <c r="B622" s="4">
        <v>459</v>
      </c>
      <c r="C622">
        <v>3</v>
      </c>
      <c r="D622">
        <v>63.199999999999996</v>
      </c>
      <c r="E622" cm="1">
        <f t="array" ref="E622">_xlfn.IFS(B622&lt;=_xlfn.PERCENTILE.INC($B$2:$B$726,0.2),5, B622&lt;=_xlfn.PERCENTILE.INC($B$2:$B$726,0.4),4,B622&lt;=_xlfn.PERCENTILE.INC($B$2:$B$726,0.6),3,B622&lt;=_xlfn.PERCENTILE.INC($B$2:$B$726,0.8),4,TRUE,1)</f>
        <v>4</v>
      </c>
      <c r="F622" cm="1">
        <f t="array" ref="F622">_xlfn.IFS(C622&gt;=_xlfn.PERCENTILE.INC($C$2:$C$726,0.8),5,C622&gt;=_xlfn.PERCENTILE.INC($C$2:$C$726,0.6),4,C622&gt;=_xlfn.PERCENTILE.INC($C$2:$C$726,0.4),3,C622&gt;=_xlfn.PERCENTILE.INC($C$2:$C$726,0.2),2,TRUE,1)</f>
        <v>1</v>
      </c>
      <c r="G622" cm="1">
        <f t="array" ref="G622">_xlfn.IFS(D622&gt;=_xlfn.PERCENTILE.INC($D$2:$D$726,0.8),5,D622&gt;=_xlfn.PERCENTILE.INC($D$2:$D$726,0.6),4,D622&gt;=_xlfn.PERCENTILE.INC($D$2:$D$726,0.4),3,D622&gt;=_xlfn.PERCENTILE.INC($D$2:$D$726,0.2),2,TRUE,1)</f>
        <v>1</v>
      </c>
      <c r="H622">
        <f t="shared" si="9"/>
        <v>6</v>
      </c>
      <c r="I622" t="str" cm="1">
        <f t="array" ref="I622">_xlfn.IFS(H622&gt;=13,"Best Customers",H622&gt;=10,"Loyal Customers",H622&gt;=7,"Potential Loyal Customers",H622&gt;=4,"Need Attention",TRUE,"At Risk")</f>
        <v>Need Attention</v>
      </c>
    </row>
    <row r="623" spans="1:9" x14ac:dyDescent="0.25">
      <c r="A623" t="s">
        <v>1933</v>
      </c>
      <c r="B623" s="4">
        <v>1203</v>
      </c>
      <c r="C623">
        <v>2</v>
      </c>
      <c r="D623">
        <v>51.5</v>
      </c>
      <c r="E623" cm="1">
        <f t="array" ref="E623">_xlfn.IFS(B623&lt;=_xlfn.PERCENTILE.INC($B$2:$B$726,0.2),5, B623&lt;=_xlfn.PERCENTILE.INC($B$2:$B$726,0.4),4,B623&lt;=_xlfn.PERCENTILE.INC($B$2:$B$726,0.6),3,B623&lt;=_xlfn.PERCENTILE.INC($B$2:$B$726,0.8),4,TRUE,1)</f>
        <v>1</v>
      </c>
      <c r="F623" cm="1">
        <f t="array" ref="F623">_xlfn.IFS(C623&gt;=_xlfn.PERCENTILE.INC($C$2:$C$726,0.8),5,C623&gt;=_xlfn.PERCENTILE.INC($C$2:$C$726,0.6),4,C623&gt;=_xlfn.PERCENTILE.INC($C$2:$C$726,0.4),3,C623&gt;=_xlfn.PERCENTILE.INC($C$2:$C$726,0.2),2,TRUE,1)</f>
        <v>1</v>
      </c>
      <c r="G623" cm="1">
        <f t="array" ref="G623">_xlfn.IFS(D623&gt;=_xlfn.PERCENTILE.INC($D$2:$D$726,0.8),5,D623&gt;=_xlfn.PERCENTILE.INC($D$2:$D$726,0.6),4,D623&gt;=_xlfn.PERCENTILE.INC($D$2:$D$726,0.4),3,D623&gt;=_xlfn.PERCENTILE.INC($D$2:$D$726,0.2),2,TRUE,1)</f>
        <v>1</v>
      </c>
      <c r="H623">
        <f t="shared" si="9"/>
        <v>3</v>
      </c>
      <c r="I623" t="str" cm="1">
        <f t="array" ref="I623">_xlfn.IFS(H623&gt;=13,"Best Customers",H623&gt;=10,"Loyal Customers",H623&gt;=7,"Potential Loyal Customers",H623&gt;=4,"Need Attention",TRUE,"At Risk")</f>
        <v>At Risk</v>
      </c>
    </row>
    <row r="624" spans="1:9" x14ac:dyDescent="0.25">
      <c r="A624" t="s">
        <v>909</v>
      </c>
      <c r="B624" s="4">
        <v>742</v>
      </c>
      <c r="C624">
        <v>5</v>
      </c>
      <c r="D624">
        <v>273.20000000000005</v>
      </c>
      <c r="E624" cm="1">
        <f t="array" ref="E624">_xlfn.IFS(B624&lt;=_xlfn.PERCENTILE.INC($B$2:$B$726,0.2),5, B624&lt;=_xlfn.PERCENTILE.INC($B$2:$B$726,0.4),4,B624&lt;=_xlfn.PERCENTILE.INC($B$2:$B$726,0.6),3,B624&lt;=_xlfn.PERCENTILE.INC($B$2:$B$726,0.8),4,TRUE,1)</f>
        <v>4</v>
      </c>
      <c r="F624" cm="1">
        <f t="array" ref="F624">_xlfn.IFS(C624&gt;=_xlfn.PERCENTILE.INC($C$2:$C$726,0.8),5,C624&gt;=_xlfn.PERCENTILE.INC($C$2:$C$726,0.6),4,C624&gt;=_xlfn.PERCENTILE.INC($C$2:$C$726,0.4),3,C624&gt;=_xlfn.PERCENTILE.INC($C$2:$C$726,0.2),2,TRUE,1)</f>
        <v>3</v>
      </c>
      <c r="G624" cm="1">
        <f t="array" ref="G624">_xlfn.IFS(D624&gt;=_xlfn.PERCENTILE.INC($D$2:$D$726,0.8),5,D624&gt;=_xlfn.PERCENTILE.INC($D$2:$D$726,0.6),4,D624&gt;=_xlfn.PERCENTILE.INC($D$2:$D$726,0.4),3,D624&gt;=_xlfn.PERCENTILE.INC($D$2:$D$726,0.2),2,TRUE,1)</f>
        <v>3</v>
      </c>
      <c r="H624">
        <f t="shared" si="9"/>
        <v>10</v>
      </c>
      <c r="I624" t="str" cm="1">
        <f t="array" ref="I624">_xlfn.IFS(H624&gt;=13,"Best Customers",H624&gt;=10,"Loyal Customers",H624&gt;=7,"Potential Loyal Customers",H624&gt;=4,"Need Attention",TRUE,"At Risk")</f>
        <v>Loyal Customers</v>
      </c>
    </row>
    <row r="625" spans="1:9" x14ac:dyDescent="0.25">
      <c r="A625" t="s">
        <v>3045</v>
      </c>
      <c r="B625" s="4">
        <v>645</v>
      </c>
      <c r="C625">
        <v>3</v>
      </c>
      <c r="D625">
        <v>305.3</v>
      </c>
      <c r="E625" cm="1">
        <f t="array" ref="E625">_xlfn.IFS(B625&lt;=_xlfn.PERCENTILE.INC($B$2:$B$726,0.2),5, B625&lt;=_xlfn.PERCENTILE.INC($B$2:$B$726,0.4),4,B625&lt;=_xlfn.PERCENTILE.INC($B$2:$B$726,0.6),3,B625&lt;=_xlfn.PERCENTILE.INC($B$2:$B$726,0.8),4,TRUE,1)</f>
        <v>4</v>
      </c>
      <c r="F625" cm="1">
        <f t="array" ref="F625">_xlfn.IFS(C625&gt;=_xlfn.PERCENTILE.INC($C$2:$C$726,0.8),5,C625&gt;=_xlfn.PERCENTILE.INC($C$2:$C$726,0.6),4,C625&gt;=_xlfn.PERCENTILE.INC($C$2:$C$726,0.4),3,C625&gt;=_xlfn.PERCENTILE.INC($C$2:$C$726,0.2),2,TRUE,1)</f>
        <v>1</v>
      </c>
      <c r="G625" cm="1">
        <f t="array" ref="G625">_xlfn.IFS(D625&gt;=_xlfn.PERCENTILE.INC($D$2:$D$726,0.8),5,D625&gt;=_xlfn.PERCENTILE.INC($D$2:$D$726,0.6),4,D625&gt;=_xlfn.PERCENTILE.INC($D$2:$D$726,0.4),3,D625&gt;=_xlfn.PERCENTILE.INC($D$2:$D$726,0.2),2,TRUE,1)</f>
        <v>3</v>
      </c>
      <c r="H625">
        <f t="shared" si="9"/>
        <v>8</v>
      </c>
      <c r="I625" t="str" cm="1">
        <f t="array" ref="I625">_xlfn.IFS(H625&gt;=13,"Best Customers",H625&gt;=10,"Loyal Customers",H625&gt;=7,"Potential Loyal Customers",H625&gt;=4,"Need Attention",TRUE,"At Risk")</f>
        <v>Potential Loyal Customers</v>
      </c>
    </row>
    <row r="626" spans="1:9" x14ac:dyDescent="0.25">
      <c r="A626" t="s">
        <v>3220</v>
      </c>
      <c r="B626" s="4">
        <v>533</v>
      </c>
      <c r="C626">
        <v>8</v>
      </c>
      <c r="D626">
        <v>381.7</v>
      </c>
      <c r="E626" cm="1">
        <f t="array" ref="E626">_xlfn.IFS(B626&lt;=_xlfn.PERCENTILE.INC($B$2:$B$726,0.2),5, B626&lt;=_xlfn.PERCENTILE.INC($B$2:$B$726,0.4),4,B626&lt;=_xlfn.PERCENTILE.INC($B$2:$B$726,0.6),3,B626&lt;=_xlfn.PERCENTILE.INC($B$2:$B$726,0.8),4,TRUE,1)</f>
        <v>3</v>
      </c>
      <c r="F626" cm="1">
        <f t="array" ref="F626">_xlfn.IFS(C626&gt;=_xlfn.PERCENTILE.INC($C$2:$C$726,0.8),5,C626&gt;=_xlfn.PERCENTILE.INC($C$2:$C$726,0.6),4,C626&gt;=_xlfn.PERCENTILE.INC($C$2:$C$726,0.4),3,C626&gt;=_xlfn.PERCENTILE.INC($C$2:$C$726,0.2),2,TRUE,1)</f>
        <v>5</v>
      </c>
      <c r="G626" cm="1">
        <f t="array" ref="G626">_xlfn.IFS(D626&gt;=_xlfn.PERCENTILE.INC($D$2:$D$726,0.8),5,D626&gt;=_xlfn.PERCENTILE.INC($D$2:$D$726,0.6),4,D626&gt;=_xlfn.PERCENTILE.INC($D$2:$D$726,0.4),3,D626&gt;=_xlfn.PERCENTILE.INC($D$2:$D$726,0.2),2,TRUE,1)</f>
        <v>4</v>
      </c>
      <c r="H626">
        <f t="shared" si="9"/>
        <v>12</v>
      </c>
      <c r="I626" t="str" cm="1">
        <f t="array" ref="I626">_xlfn.IFS(H626&gt;=13,"Best Customers",H626&gt;=10,"Loyal Customers",H626&gt;=7,"Potential Loyal Customers",H626&gt;=4,"Need Attention",TRUE,"At Risk")</f>
        <v>Loyal Customers</v>
      </c>
    </row>
    <row r="627" spans="1:9" x14ac:dyDescent="0.25">
      <c r="A627" t="s">
        <v>3324</v>
      </c>
      <c r="B627" s="4">
        <v>490</v>
      </c>
      <c r="C627">
        <v>4</v>
      </c>
      <c r="D627">
        <v>169.5</v>
      </c>
      <c r="E627" cm="1">
        <f t="array" ref="E627">_xlfn.IFS(B627&lt;=_xlfn.PERCENTILE.INC($B$2:$B$726,0.2),5, B627&lt;=_xlfn.PERCENTILE.INC($B$2:$B$726,0.4),4,B627&lt;=_xlfn.PERCENTILE.INC($B$2:$B$726,0.6),3,B627&lt;=_xlfn.PERCENTILE.INC($B$2:$B$726,0.8),4,TRUE,1)</f>
        <v>3</v>
      </c>
      <c r="F627" cm="1">
        <f t="array" ref="F627">_xlfn.IFS(C627&gt;=_xlfn.PERCENTILE.INC($C$2:$C$726,0.8),5,C627&gt;=_xlfn.PERCENTILE.INC($C$2:$C$726,0.6),4,C627&gt;=_xlfn.PERCENTILE.INC($C$2:$C$726,0.4),3,C627&gt;=_xlfn.PERCENTILE.INC($C$2:$C$726,0.2),2,TRUE,1)</f>
        <v>2</v>
      </c>
      <c r="G627" cm="1">
        <f t="array" ref="G627">_xlfn.IFS(D627&gt;=_xlfn.PERCENTILE.INC($D$2:$D$726,0.8),5,D627&gt;=_xlfn.PERCENTILE.INC($D$2:$D$726,0.6),4,D627&gt;=_xlfn.PERCENTILE.INC($D$2:$D$726,0.4),3,D627&gt;=_xlfn.PERCENTILE.INC($D$2:$D$726,0.2),2,TRUE,1)</f>
        <v>2</v>
      </c>
      <c r="H627">
        <f t="shared" si="9"/>
        <v>7</v>
      </c>
      <c r="I627" t="str" cm="1">
        <f t="array" ref="I627">_xlfn.IFS(H627&gt;=13,"Best Customers",H627&gt;=10,"Loyal Customers",H627&gt;=7,"Potential Loyal Customers",H627&gt;=4,"Need Attention",TRUE,"At Risk")</f>
        <v>Potential Loyal Customers</v>
      </c>
    </row>
    <row r="628" spans="1:9" x14ac:dyDescent="0.25">
      <c r="A628" t="s">
        <v>3363</v>
      </c>
      <c r="B628" s="4">
        <v>442</v>
      </c>
      <c r="C628">
        <v>7</v>
      </c>
      <c r="D628">
        <v>275</v>
      </c>
      <c r="E628" cm="1">
        <f t="array" ref="E628">_xlfn.IFS(B628&lt;=_xlfn.PERCENTILE.INC($B$2:$B$726,0.2),5, B628&lt;=_xlfn.PERCENTILE.INC($B$2:$B$726,0.4),4,B628&lt;=_xlfn.PERCENTILE.INC($B$2:$B$726,0.6),3,B628&lt;=_xlfn.PERCENTILE.INC($B$2:$B$726,0.8),4,TRUE,1)</f>
        <v>4</v>
      </c>
      <c r="F628" cm="1">
        <f t="array" ref="F628">_xlfn.IFS(C628&gt;=_xlfn.PERCENTILE.INC($C$2:$C$726,0.8),5,C628&gt;=_xlfn.PERCENTILE.INC($C$2:$C$726,0.6),4,C628&gt;=_xlfn.PERCENTILE.INC($C$2:$C$726,0.4),3,C628&gt;=_xlfn.PERCENTILE.INC($C$2:$C$726,0.2),2,TRUE,1)</f>
        <v>4</v>
      </c>
      <c r="G628" cm="1">
        <f t="array" ref="G628">_xlfn.IFS(D628&gt;=_xlfn.PERCENTILE.INC($D$2:$D$726,0.8),5,D628&gt;=_xlfn.PERCENTILE.INC($D$2:$D$726,0.6),4,D628&gt;=_xlfn.PERCENTILE.INC($D$2:$D$726,0.4),3,D628&gt;=_xlfn.PERCENTILE.INC($D$2:$D$726,0.2),2,TRUE,1)</f>
        <v>3</v>
      </c>
      <c r="H628">
        <f t="shared" si="9"/>
        <v>11</v>
      </c>
      <c r="I628" t="str" cm="1">
        <f t="array" ref="I628">_xlfn.IFS(H628&gt;=13,"Best Customers",H628&gt;=10,"Loyal Customers",H628&gt;=7,"Potential Loyal Customers",H628&gt;=4,"Need Attention",TRUE,"At Risk")</f>
        <v>Loyal Customers</v>
      </c>
    </row>
    <row r="629" spans="1:9" x14ac:dyDescent="0.25">
      <c r="A629" t="s">
        <v>2736</v>
      </c>
      <c r="B629" s="4">
        <v>548</v>
      </c>
      <c r="C629">
        <v>6</v>
      </c>
      <c r="D629">
        <v>289.3</v>
      </c>
      <c r="E629" cm="1">
        <f t="array" ref="E629">_xlfn.IFS(B629&lt;=_xlfn.PERCENTILE.INC($B$2:$B$726,0.2),5, B629&lt;=_xlfn.PERCENTILE.INC($B$2:$B$726,0.4),4,B629&lt;=_xlfn.PERCENTILE.INC($B$2:$B$726,0.6),3,B629&lt;=_xlfn.PERCENTILE.INC($B$2:$B$726,0.8),4,TRUE,1)</f>
        <v>3</v>
      </c>
      <c r="F629" cm="1">
        <f t="array" ref="F629">_xlfn.IFS(C629&gt;=_xlfn.PERCENTILE.INC($C$2:$C$726,0.8),5,C629&gt;=_xlfn.PERCENTILE.INC($C$2:$C$726,0.6),4,C629&gt;=_xlfn.PERCENTILE.INC($C$2:$C$726,0.4),3,C629&gt;=_xlfn.PERCENTILE.INC($C$2:$C$726,0.2),2,TRUE,1)</f>
        <v>4</v>
      </c>
      <c r="G629" cm="1">
        <f t="array" ref="G629">_xlfn.IFS(D629&gt;=_xlfn.PERCENTILE.INC($D$2:$D$726,0.8),5,D629&gt;=_xlfn.PERCENTILE.INC($D$2:$D$726,0.6),4,D629&gt;=_xlfn.PERCENTILE.INC($D$2:$D$726,0.4),3,D629&gt;=_xlfn.PERCENTILE.INC($D$2:$D$726,0.2),2,TRUE,1)</f>
        <v>3</v>
      </c>
      <c r="H629">
        <f t="shared" si="9"/>
        <v>10</v>
      </c>
      <c r="I629" t="str" cm="1">
        <f t="array" ref="I629">_xlfn.IFS(H629&gt;=13,"Best Customers",H629&gt;=10,"Loyal Customers",H629&gt;=7,"Potential Loyal Customers",H629&gt;=4,"Need Attention",TRUE,"At Risk")</f>
        <v>Loyal Customers</v>
      </c>
    </row>
    <row r="630" spans="1:9" x14ac:dyDescent="0.25">
      <c r="A630" t="s">
        <v>2621</v>
      </c>
      <c r="B630" s="4">
        <v>973</v>
      </c>
      <c r="C630">
        <v>7</v>
      </c>
      <c r="D630">
        <v>542.09999999999991</v>
      </c>
      <c r="E630" cm="1">
        <f t="array" ref="E630">_xlfn.IFS(B630&lt;=_xlfn.PERCENTILE.INC($B$2:$B$726,0.2),5, B630&lt;=_xlfn.PERCENTILE.INC($B$2:$B$726,0.4),4,B630&lt;=_xlfn.PERCENTILE.INC($B$2:$B$726,0.6),3,B630&lt;=_xlfn.PERCENTILE.INC($B$2:$B$726,0.8),4,TRUE,1)</f>
        <v>1</v>
      </c>
      <c r="F630" cm="1">
        <f t="array" ref="F630">_xlfn.IFS(C630&gt;=_xlfn.PERCENTILE.INC($C$2:$C$726,0.8),5,C630&gt;=_xlfn.PERCENTILE.INC($C$2:$C$726,0.6),4,C630&gt;=_xlfn.PERCENTILE.INC($C$2:$C$726,0.4),3,C630&gt;=_xlfn.PERCENTILE.INC($C$2:$C$726,0.2),2,TRUE,1)</f>
        <v>4</v>
      </c>
      <c r="G630" cm="1">
        <f t="array" ref="G630">_xlfn.IFS(D630&gt;=_xlfn.PERCENTILE.INC($D$2:$D$726,0.8),5,D630&gt;=_xlfn.PERCENTILE.INC($D$2:$D$726,0.6),4,D630&gt;=_xlfn.PERCENTILE.INC($D$2:$D$726,0.4),3,D630&gt;=_xlfn.PERCENTILE.INC($D$2:$D$726,0.2),2,TRUE,1)</f>
        <v>5</v>
      </c>
      <c r="H630">
        <f t="shared" si="9"/>
        <v>10</v>
      </c>
      <c r="I630" t="str" cm="1">
        <f t="array" ref="I630">_xlfn.IFS(H630&gt;=13,"Best Customers",H630&gt;=10,"Loyal Customers",H630&gt;=7,"Potential Loyal Customers",H630&gt;=4,"Need Attention",TRUE,"At Risk")</f>
        <v>Loyal Customers</v>
      </c>
    </row>
    <row r="631" spans="1:9" x14ac:dyDescent="0.25">
      <c r="A631" t="s">
        <v>3296</v>
      </c>
      <c r="B631" s="4">
        <v>612</v>
      </c>
      <c r="C631">
        <v>6</v>
      </c>
      <c r="D631">
        <v>378.2</v>
      </c>
      <c r="E631" cm="1">
        <f t="array" ref="E631">_xlfn.IFS(B631&lt;=_xlfn.PERCENTILE.INC($B$2:$B$726,0.2),5, B631&lt;=_xlfn.PERCENTILE.INC($B$2:$B$726,0.4),4,B631&lt;=_xlfn.PERCENTILE.INC($B$2:$B$726,0.6),3,B631&lt;=_xlfn.PERCENTILE.INC($B$2:$B$726,0.8),4,TRUE,1)</f>
        <v>4</v>
      </c>
      <c r="F631" cm="1">
        <f t="array" ref="F631">_xlfn.IFS(C631&gt;=_xlfn.PERCENTILE.INC($C$2:$C$726,0.8),5,C631&gt;=_xlfn.PERCENTILE.INC($C$2:$C$726,0.6),4,C631&gt;=_xlfn.PERCENTILE.INC($C$2:$C$726,0.4),3,C631&gt;=_xlfn.PERCENTILE.INC($C$2:$C$726,0.2),2,TRUE,1)</f>
        <v>4</v>
      </c>
      <c r="G631" cm="1">
        <f t="array" ref="G631">_xlfn.IFS(D631&gt;=_xlfn.PERCENTILE.INC($D$2:$D$726,0.8),5,D631&gt;=_xlfn.PERCENTILE.INC($D$2:$D$726,0.6),4,D631&gt;=_xlfn.PERCENTILE.INC($D$2:$D$726,0.4),3,D631&gt;=_xlfn.PERCENTILE.INC($D$2:$D$726,0.2),2,TRUE,1)</f>
        <v>4</v>
      </c>
      <c r="H631">
        <f t="shared" si="9"/>
        <v>12</v>
      </c>
      <c r="I631" t="str" cm="1">
        <f t="array" ref="I631">_xlfn.IFS(H631&gt;=13,"Best Customers",H631&gt;=10,"Loyal Customers",H631&gt;=7,"Potential Loyal Customers",H631&gt;=4,"Need Attention",TRUE,"At Risk")</f>
        <v>Loyal Customers</v>
      </c>
    </row>
    <row r="632" spans="1:9" x14ac:dyDescent="0.25">
      <c r="A632" t="s">
        <v>1631</v>
      </c>
      <c r="B632" s="4">
        <v>418</v>
      </c>
      <c r="C632">
        <v>8</v>
      </c>
      <c r="D632">
        <v>379.7</v>
      </c>
      <c r="E632" cm="1">
        <f t="array" ref="E632">_xlfn.IFS(B632&lt;=_xlfn.PERCENTILE.INC($B$2:$B$726,0.2),5, B632&lt;=_xlfn.PERCENTILE.INC($B$2:$B$726,0.4),4,B632&lt;=_xlfn.PERCENTILE.INC($B$2:$B$726,0.6),3,B632&lt;=_xlfn.PERCENTILE.INC($B$2:$B$726,0.8),4,TRUE,1)</f>
        <v>4</v>
      </c>
      <c r="F632" cm="1">
        <f t="array" ref="F632">_xlfn.IFS(C632&gt;=_xlfn.PERCENTILE.INC($C$2:$C$726,0.8),5,C632&gt;=_xlfn.PERCENTILE.INC($C$2:$C$726,0.6),4,C632&gt;=_xlfn.PERCENTILE.INC($C$2:$C$726,0.4),3,C632&gt;=_xlfn.PERCENTILE.INC($C$2:$C$726,0.2),2,TRUE,1)</f>
        <v>5</v>
      </c>
      <c r="G632" cm="1">
        <f t="array" ref="G632">_xlfn.IFS(D632&gt;=_xlfn.PERCENTILE.INC($D$2:$D$726,0.8),5,D632&gt;=_xlfn.PERCENTILE.INC($D$2:$D$726,0.6),4,D632&gt;=_xlfn.PERCENTILE.INC($D$2:$D$726,0.4),3,D632&gt;=_xlfn.PERCENTILE.INC($D$2:$D$726,0.2),2,TRUE,1)</f>
        <v>4</v>
      </c>
      <c r="H632">
        <f t="shared" si="9"/>
        <v>13</v>
      </c>
      <c r="I632" t="str" cm="1">
        <f t="array" ref="I632">_xlfn.IFS(H632&gt;=13,"Best Customers",H632&gt;=10,"Loyal Customers",H632&gt;=7,"Potential Loyal Customers",H632&gt;=4,"Need Attention",TRUE,"At Risk")</f>
        <v>Best Customers</v>
      </c>
    </row>
    <row r="633" spans="1:9" x14ac:dyDescent="0.25">
      <c r="A633" t="s">
        <v>1473</v>
      </c>
      <c r="B633" s="4">
        <v>540</v>
      </c>
      <c r="C633">
        <v>10</v>
      </c>
      <c r="D633">
        <v>394.50000000000006</v>
      </c>
      <c r="E633" cm="1">
        <f t="array" ref="E633">_xlfn.IFS(B633&lt;=_xlfn.PERCENTILE.INC($B$2:$B$726,0.2),5, B633&lt;=_xlfn.PERCENTILE.INC($B$2:$B$726,0.4),4,B633&lt;=_xlfn.PERCENTILE.INC($B$2:$B$726,0.6),3,B633&lt;=_xlfn.PERCENTILE.INC($B$2:$B$726,0.8),4,TRUE,1)</f>
        <v>3</v>
      </c>
      <c r="F633" cm="1">
        <f t="array" ref="F633">_xlfn.IFS(C633&gt;=_xlfn.PERCENTILE.INC($C$2:$C$726,0.8),5,C633&gt;=_xlfn.PERCENTILE.INC($C$2:$C$726,0.6),4,C633&gt;=_xlfn.PERCENTILE.INC($C$2:$C$726,0.4),3,C633&gt;=_xlfn.PERCENTILE.INC($C$2:$C$726,0.2),2,TRUE,1)</f>
        <v>5</v>
      </c>
      <c r="G633" cm="1">
        <f t="array" ref="G633">_xlfn.IFS(D633&gt;=_xlfn.PERCENTILE.INC($D$2:$D$726,0.8),5,D633&gt;=_xlfn.PERCENTILE.INC($D$2:$D$726,0.6),4,D633&gt;=_xlfn.PERCENTILE.INC($D$2:$D$726,0.4),3,D633&gt;=_xlfn.PERCENTILE.INC($D$2:$D$726,0.2),2,TRUE,1)</f>
        <v>4</v>
      </c>
      <c r="H633">
        <f t="shared" si="9"/>
        <v>12</v>
      </c>
      <c r="I633" t="str" cm="1">
        <f t="array" ref="I633">_xlfn.IFS(H633&gt;=13,"Best Customers",H633&gt;=10,"Loyal Customers",H633&gt;=7,"Potential Loyal Customers",H633&gt;=4,"Need Attention",TRUE,"At Risk")</f>
        <v>Loyal Customers</v>
      </c>
    </row>
    <row r="634" spans="1:9" x14ac:dyDescent="0.25">
      <c r="A634" t="s">
        <v>698</v>
      </c>
      <c r="B634" s="4">
        <v>1280</v>
      </c>
      <c r="C634">
        <v>3</v>
      </c>
      <c r="D634">
        <v>95.9</v>
      </c>
      <c r="E634" cm="1">
        <f t="array" ref="E634">_xlfn.IFS(B634&lt;=_xlfn.PERCENTILE.INC($B$2:$B$726,0.2),5, B634&lt;=_xlfn.PERCENTILE.INC($B$2:$B$726,0.4),4,B634&lt;=_xlfn.PERCENTILE.INC($B$2:$B$726,0.6),3,B634&lt;=_xlfn.PERCENTILE.INC($B$2:$B$726,0.8),4,TRUE,1)</f>
        <v>1</v>
      </c>
      <c r="F634" cm="1">
        <f t="array" ref="F634">_xlfn.IFS(C634&gt;=_xlfn.PERCENTILE.INC($C$2:$C$726,0.8),5,C634&gt;=_xlfn.PERCENTILE.INC($C$2:$C$726,0.6),4,C634&gt;=_xlfn.PERCENTILE.INC($C$2:$C$726,0.4),3,C634&gt;=_xlfn.PERCENTILE.INC($C$2:$C$726,0.2),2,TRUE,1)</f>
        <v>1</v>
      </c>
      <c r="G634" cm="1">
        <f t="array" ref="G634">_xlfn.IFS(D634&gt;=_xlfn.PERCENTILE.INC($D$2:$D$726,0.8),5,D634&gt;=_xlfn.PERCENTILE.INC($D$2:$D$726,0.6),4,D634&gt;=_xlfn.PERCENTILE.INC($D$2:$D$726,0.4),3,D634&gt;=_xlfn.PERCENTILE.INC($D$2:$D$726,0.2),2,TRUE,1)</f>
        <v>1</v>
      </c>
      <c r="H634">
        <f t="shared" si="9"/>
        <v>3</v>
      </c>
      <c r="I634" t="str" cm="1">
        <f t="array" ref="I634">_xlfn.IFS(H634&gt;=13,"Best Customers",H634&gt;=10,"Loyal Customers",H634&gt;=7,"Potential Loyal Customers",H634&gt;=4,"Need Attention",TRUE,"At Risk")</f>
        <v>At Risk</v>
      </c>
    </row>
    <row r="635" spans="1:9" x14ac:dyDescent="0.25">
      <c r="A635" t="s">
        <v>2302</v>
      </c>
      <c r="B635" s="4">
        <v>482</v>
      </c>
      <c r="C635">
        <v>7</v>
      </c>
      <c r="D635">
        <v>205.29999999999998</v>
      </c>
      <c r="E635" cm="1">
        <f t="array" ref="E635">_xlfn.IFS(B635&lt;=_xlfn.PERCENTILE.INC($B$2:$B$726,0.2),5, B635&lt;=_xlfn.PERCENTILE.INC($B$2:$B$726,0.4),4,B635&lt;=_xlfn.PERCENTILE.INC($B$2:$B$726,0.6),3,B635&lt;=_xlfn.PERCENTILE.INC($B$2:$B$726,0.8),4,TRUE,1)</f>
        <v>3</v>
      </c>
      <c r="F635" cm="1">
        <f t="array" ref="F635">_xlfn.IFS(C635&gt;=_xlfn.PERCENTILE.INC($C$2:$C$726,0.8),5,C635&gt;=_xlfn.PERCENTILE.INC($C$2:$C$726,0.6),4,C635&gt;=_xlfn.PERCENTILE.INC($C$2:$C$726,0.4),3,C635&gt;=_xlfn.PERCENTILE.INC($C$2:$C$726,0.2),2,TRUE,1)</f>
        <v>4</v>
      </c>
      <c r="G635" cm="1">
        <f t="array" ref="G635">_xlfn.IFS(D635&gt;=_xlfn.PERCENTILE.INC($D$2:$D$726,0.8),5,D635&gt;=_xlfn.PERCENTILE.INC($D$2:$D$726,0.6),4,D635&gt;=_xlfn.PERCENTILE.INC($D$2:$D$726,0.4),3,D635&gt;=_xlfn.PERCENTILE.INC($D$2:$D$726,0.2),2,TRUE,1)</f>
        <v>2</v>
      </c>
      <c r="H635">
        <f t="shared" si="9"/>
        <v>9</v>
      </c>
      <c r="I635" t="str" cm="1">
        <f t="array" ref="I635">_xlfn.IFS(H635&gt;=13,"Best Customers",H635&gt;=10,"Loyal Customers",H635&gt;=7,"Potential Loyal Customers",H635&gt;=4,"Need Attention",TRUE,"At Risk")</f>
        <v>Potential Loyal Customers</v>
      </c>
    </row>
    <row r="636" spans="1:9" x14ac:dyDescent="0.25">
      <c r="A636" t="s">
        <v>1115</v>
      </c>
      <c r="B636" s="4">
        <v>466</v>
      </c>
      <c r="C636">
        <v>7</v>
      </c>
      <c r="D636">
        <v>230.3</v>
      </c>
      <c r="E636" cm="1">
        <f t="array" ref="E636">_xlfn.IFS(B636&lt;=_xlfn.PERCENTILE.INC($B$2:$B$726,0.2),5, B636&lt;=_xlfn.PERCENTILE.INC($B$2:$B$726,0.4),4,B636&lt;=_xlfn.PERCENTILE.INC($B$2:$B$726,0.6),3,B636&lt;=_xlfn.PERCENTILE.INC($B$2:$B$726,0.8),4,TRUE,1)</f>
        <v>3</v>
      </c>
      <c r="F636" cm="1">
        <f t="array" ref="F636">_xlfn.IFS(C636&gt;=_xlfn.PERCENTILE.INC($C$2:$C$726,0.8),5,C636&gt;=_xlfn.PERCENTILE.INC($C$2:$C$726,0.6),4,C636&gt;=_xlfn.PERCENTILE.INC($C$2:$C$726,0.4),3,C636&gt;=_xlfn.PERCENTILE.INC($C$2:$C$726,0.2),2,TRUE,1)</f>
        <v>4</v>
      </c>
      <c r="G636" cm="1">
        <f t="array" ref="G636">_xlfn.IFS(D636&gt;=_xlfn.PERCENTILE.INC($D$2:$D$726,0.8),5,D636&gt;=_xlfn.PERCENTILE.INC($D$2:$D$726,0.6),4,D636&gt;=_xlfn.PERCENTILE.INC($D$2:$D$726,0.4),3,D636&gt;=_xlfn.PERCENTILE.INC($D$2:$D$726,0.2),2,TRUE,1)</f>
        <v>2</v>
      </c>
      <c r="H636">
        <f t="shared" si="9"/>
        <v>9</v>
      </c>
      <c r="I636" t="str" cm="1">
        <f t="array" ref="I636">_xlfn.IFS(H636&gt;=13,"Best Customers",H636&gt;=10,"Loyal Customers",H636&gt;=7,"Potential Loyal Customers",H636&gt;=4,"Need Attention",TRUE,"At Risk")</f>
        <v>Potential Loyal Customers</v>
      </c>
    </row>
    <row r="637" spans="1:9" x14ac:dyDescent="0.25">
      <c r="A637" t="s">
        <v>673</v>
      </c>
      <c r="B637" s="4">
        <v>340</v>
      </c>
      <c r="C637">
        <v>6</v>
      </c>
      <c r="D637">
        <v>203.7</v>
      </c>
      <c r="E637" cm="1">
        <f t="array" ref="E637">_xlfn.IFS(B637&lt;=_xlfn.PERCENTILE.INC($B$2:$B$726,0.2),5, B637&lt;=_xlfn.PERCENTILE.INC($B$2:$B$726,0.4),4,B637&lt;=_xlfn.PERCENTILE.INC($B$2:$B$726,0.6),3,B637&lt;=_xlfn.PERCENTILE.INC($B$2:$B$726,0.8),4,TRUE,1)</f>
        <v>5</v>
      </c>
      <c r="F637" cm="1">
        <f t="array" ref="F637">_xlfn.IFS(C637&gt;=_xlfn.PERCENTILE.INC($C$2:$C$726,0.8),5,C637&gt;=_xlfn.PERCENTILE.INC($C$2:$C$726,0.6),4,C637&gt;=_xlfn.PERCENTILE.INC($C$2:$C$726,0.4),3,C637&gt;=_xlfn.PERCENTILE.INC($C$2:$C$726,0.2),2,TRUE,1)</f>
        <v>4</v>
      </c>
      <c r="G637" cm="1">
        <f t="array" ref="G637">_xlfn.IFS(D637&gt;=_xlfn.PERCENTILE.INC($D$2:$D$726,0.8),5,D637&gt;=_xlfn.PERCENTILE.INC($D$2:$D$726,0.6),4,D637&gt;=_xlfn.PERCENTILE.INC($D$2:$D$726,0.4),3,D637&gt;=_xlfn.PERCENTILE.INC($D$2:$D$726,0.2),2,TRUE,1)</f>
        <v>2</v>
      </c>
      <c r="H637">
        <f t="shared" si="9"/>
        <v>11</v>
      </c>
      <c r="I637" t="str" cm="1">
        <f t="array" ref="I637">_xlfn.IFS(H637&gt;=13,"Best Customers",H637&gt;=10,"Loyal Customers",H637&gt;=7,"Potential Loyal Customers",H637&gt;=4,"Need Attention",TRUE,"At Risk")</f>
        <v>Loyal Customers</v>
      </c>
    </row>
    <row r="638" spans="1:9" x14ac:dyDescent="0.25">
      <c r="A638" t="s">
        <v>695</v>
      </c>
      <c r="B638" s="4">
        <v>739</v>
      </c>
      <c r="C638">
        <v>5</v>
      </c>
      <c r="D638">
        <v>411.90000000000003</v>
      </c>
      <c r="E638" cm="1">
        <f t="array" ref="E638">_xlfn.IFS(B638&lt;=_xlfn.PERCENTILE.INC($B$2:$B$726,0.2),5, B638&lt;=_xlfn.PERCENTILE.INC($B$2:$B$726,0.4),4,B638&lt;=_xlfn.PERCENTILE.INC($B$2:$B$726,0.6),3,B638&lt;=_xlfn.PERCENTILE.INC($B$2:$B$726,0.8),4,TRUE,1)</f>
        <v>4</v>
      </c>
      <c r="F638" cm="1">
        <f t="array" ref="F638">_xlfn.IFS(C638&gt;=_xlfn.PERCENTILE.INC($C$2:$C$726,0.8),5,C638&gt;=_xlfn.PERCENTILE.INC($C$2:$C$726,0.6),4,C638&gt;=_xlfn.PERCENTILE.INC($C$2:$C$726,0.4),3,C638&gt;=_xlfn.PERCENTILE.INC($C$2:$C$726,0.2),2,TRUE,1)</f>
        <v>3</v>
      </c>
      <c r="G638" cm="1">
        <f t="array" ref="G638">_xlfn.IFS(D638&gt;=_xlfn.PERCENTILE.INC($D$2:$D$726,0.8),5,D638&gt;=_xlfn.PERCENTILE.INC($D$2:$D$726,0.6),4,D638&gt;=_xlfn.PERCENTILE.INC($D$2:$D$726,0.4),3,D638&gt;=_xlfn.PERCENTILE.INC($D$2:$D$726,0.2),2,TRUE,1)</f>
        <v>5</v>
      </c>
      <c r="H638">
        <f t="shared" si="9"/>
        <v>12</v>
      </c>
      <c r="I638" t="str" cm="1">
        <f t="array" ref="I638">_xlfn.IFS(H638&gt;=13,"Best Customers",H638&gt;=10,"Loyal Customers",H638&gt;=7,"Potential Loyal Customers",H638&gt;=4,"Need Attention",TRUE,"At Risk")</f>
        <v>Loyal Customers</v>
      </c>
    </row>
    <row r="639" spans="1:9" x14ac:dyDescent="0.25">
      <c r="A639" t="s">
        <v>2278</v>
      </c>
      <c r="B639" s="4">
        <v>362</v>
      </c>
      <c r="C639">
        <v>6</v>
      </c>
      <c r="D639">
        <v>423.29999999999995</v>
      </c>
      <c r="E639" cm="1">
        <f t="array" ref="E639">_xlfn.IFS(B639&lt;=_xlfn.PERCENTILE.INC($B$2:$B$726,0.2),5, B639&lt;=_xlfn.PERCENTILE.INC($B$2:$B$726,0.4),4,B639&lt;=_xlfn.PERCENTILE.INC($B$2:$B$726,0.6),3,B639&lt;=_xlfn.PERCENTILE.INC($B$2:$B$726,0.8),4,TRUE,1)</f>
        <v>5</v>
      </c>
      <c r="F639" cm="1">
        <f t="array" ref="F639">_xlfn.IFS(C639&gt;=_xlfn.PERCENTILE.INC($C$2:$C$726,0.8),5,C639&gt;=_xlfn.PERCENTILE.INC($C$2:$C$726,0.6),4,C639&gt;=_xlfn.PERCENTILE.INC($C$2:$C$726,0.4),3,C639&gt;=_xlfn.PERCENTILE.INC($C$2:$C$726,0.2),2,TRUE,1)</f>
        <v>4</v>
      </c>
      <c r="G639" cm="1">
        <f t="array" ref="G639">_xlfn.IFS(D639&gt;=_xlfn.PERCENTILE.INC($D$2:$D$726,0.8),5,D639&gt;=_xlfn.PERCENTILE.INC($D$2:$D$726,0.6),4,D639&gt;=_xlfn.PERCENTILE.INC($D$2:$D$726,0.4),3,D639&gt;=_xlfn.PERCENTILE.INC($D$2:$D$726,0.2),2,TRUE,1)</f>
        <v>5</v>
      </c>
      <c r="H639">
        <f t="shared" si="9"/>
        <v>14</v>
      </c>
      <c r="I639" t="str" cm="1">
        <f t="array" ref="I639">_xlfn.IFS(H639&gt;=13,"Best Customers",H639&gt;=10,"Loyal Customers",H639&gt;=7,"Potential Loyal Customers",H639&gt;=4,"Need Attention",TRUE,"At Risk")</f>
        <v>Best Customers</v>
      </c>
    </row>
    <row r="640" spans="1:9" x14ac:dyDescent="0.25">
      <c r="A640" t="s">
        <v>2186</v>
      </c>
      <c r="B640" s="4">
        <v>585</v>
      </c>
      <c r="C640">
        <v>6</v>
      </c>
      <c r="D640">
        <v>288.5</v>
      </c>
      <c r="E640" cm="1">
        <f t="array" ref="E640">_xlfn.IFS(B640&lt;=_xlfn.PERCENTILE.INC($B$2:$B$726,0.2),5, B640&lt;=_xlfn.PERCENTILE.INC($B$2:$B$726,0.4),4,B640&lt;=_xlfn.PERCENTILE.INC($B$2:$B$726,0.6),3,B640&lt;=_xlfn.PERCENTILE.INC($B$2:$B$726,0.8),4,TRUE,1)</f>
        <v>4</v>
      </c>
      <c r="F640" cm="1">
        <f t="array" ref="F640">_xlfn.IFS(C640&gt;=_xlfn.PERCENTILE.INC($C$2:$C$726,0.8),5,C640&gt;=_xlfn.PERCENTILE.INC($C$2:$C$726,0.6),4,C640&gt;=_xlfn.PERCENTILE.INC($C$2:$C$726,0.4),3,C640&gt;=_xlfn.PERCENTILE.INC($C$2:$C$726,0.2),2,TRUE,1)</f>
        <v>4</v>
      </c>
      <c r="G640" cm="1">
        <f t="array" ref="G640">_xlfn.IFS(D640&gt;=_xlfn.PERCENTILE.INC($D$2:$D$726,0.8),5,D640&gt;=_xlfn.PERCENTILE.INC($D$2:$D$726,0.6),4,D640&gt;=_xlfn.PERCENTILE.INC($D$2:$D$726,0.4),3,D640&gt;=_xlfn.PERCENTILE.INC($D$2:$D$726,0.2),2,TRUE,1)</f>
        <v>3</v>
      </c>
      <c r="H640">
        <f t="shared" si="9"/>
        <v>11</v>
      </c>
      <c r="I640" t="str" cm="1">
        <f t="array" ref="I640">_xlfn.IFS(H640&gt;=13,"Best Customers",H640&gt;=10,"Loyal Customers",H640&gt;=7,"Potential Loyal Customers",H640&gt;=4,"Need Attention",TRUE,"At Risk")</f>
        <v>Loyal Customers</v>
      </c>
    </row>
    <row r="641" spans="1:9" x14ac:dyDescent="0.25">
      <c r="A641" t="s">
        <v>1399</v>
      </c>
      <c r="B641" s="4">
        <v>488</v>
      </c>
      <c r="C641">
        <v>6</v>
      </c>
      <c r="D641">
        <v>382.8</v>
      </c>
      <c r="E641" cm="1">
        <f t="array" ref="E641">_xlfn.IFS(B641&lt;=_xlfn.PERCENTILE.INC($B$2:$B$726,0.2),5, B641&lt;=_xlfn.PERCENTILE.INC($B$2:$B$726,0.4),4,B641&lt;=_xlfn.PERCENTILE.INC($B$2:$B$726,0.6),3,B641&lt;=_xlfn.PERCENTILE.INC($B$2:$B$726,0.8),4,TRUE,1)</f>
        <v>3</v>
      </c>
      <c r="F641" cm="1">
        <f t="array" ref="F641">_xlfn.IFS(C641&gt;=_xlfn.PERCENTILE.INC($C$2:$C$726,0.8),5,C641&gt;=_xlfn.PERCENTILE.INC($C$2:$C$726,0.6),4,C641&gt;=_xlfn.PERCENTILE.INC($C$2:$C$726,0.4),3,C641&gt;=_xlfn.PERCENTILE.INC($C$2:$C$726,0.2),2,TRUE,1)</f>
        <v>4</v>
      </c>
      <c r="G641" cm="1">
        <f t="array" ref="G641">_xlfn.IFS(D641&gt;=_xlfn.PERCENTILE.INC($D$2:$D$726,0.8),5,D641&gt;=_xlfn.PERCENTILE.INC($D$2:$D$726,0.6),4,D641&gt;=_xlfn.PERCENTILE.INC($D$2:$D$726,0.4),3,D641&gt;=_xlfn.PERCENTILE.INC($D$2:$D$726,0.2),2,TRUE,1)</f>
        <v>4</v>
      </c>
      <c r="H641">
        <f t="shared" si="9"/>
        <v>11</v>
      </c>
      <c r="I641" t="str" cm="1">
        <f t="array" ref="I641">_xlfn.IFS(H641&gt;=13,"Best Customers",H641&gt;=10,"Loyal Customers",H641&gt;=7,"Potential Loyal Customers",H641&gt;=4,"Need Attention",TRUE,"At Risk")</f>
        <v>Loyal Customers</v>
      </c>
    </row>
    <row r="642" spans="1:9" x14ac:dyDescent="0.25">
      <c r="A642" t="s">
        <v>1508</v>
      </c>
      <c r="B642" s="4">
        <v>874</v>
      </c>
      <c r="C642">
        <v>4</v>
      </c>
      <c r="D642">
        <v>199.3</v>
      </c>
      <c r="E642" cm="1">
        <f t="array" ref="E642">_xlfn.IFS(B642&lt;=_xlfn.PERCENTILE.INC($B$2:$B$726,0.2),5, B642&lt;=_xlfn.PERCENTILE.INC($B$2:$B$726,0.4),4,B642&lt;=_xlfn.PERCENTILE.INC($B$2:$B$726,0.6),3,B642&lt;=_xlfn.PERCENTILE.INC($B$2:$B$726,0.8),4,TRUE,1)</f>
        <v>1</v>
      </c>
      <c r="F642" cm="1">
        <f t="array" ref="F642">_xlfn.IFS(C642&gt;=_xlfn.PERCENTILE.INC($C$2:$C$726,0.8),5,C642&gt;=_xlfn.PERCENTILE.INC($C$2:$C$726,0.6),4,C642&gt;=_xlfn.PERCENTILE.INC($C$2:$C$726,0.4),3,C642&gt;=_xlfn.PERCENTILE.INC($C$2:$C$726,0.2),2,TRUE,1)</f>
        <v>2</v>
      </c>
      <c r="G642" cm="1">
        <f t="array" ref="G642">_xlfn.IFS(D642&gt;=_xlfn.PERCENTILE.INC($D$2:$D$726,0.8),5,D642&gt;=_xlfn.PERCENTILE.INC($D$2:$D$726,0.6),4,D642&gt;=_xlfn.PERCENTILE.INC($D$2:$D$726,0.4),3,D642&gt;=_xlfn.PERCENTILE.INC($D$2:$D$726,0.2),2,TRUE,1)</f>
        <v>2</v>
      </c>
      <c r="H642">
        <f t="shared" si="9"/>
        <v>5</v>
      </c>
      <c r="I642" t="str" cm="1">
        <f t="array" ref="I642">_xlfn.IFS(H642&gt;=13,"Best Customers",H642&gt;=10,"Loyal Customers",H642&gt;=7,"Potential Loyal Customers",H642&gt;=4,"Need Attention",TRUE,"At Risk")</f>
        <v>Need Attention</v>
      </c>
    </row>
    <row r="643" spans="1:9" x14ac:dyDescent="0.25">
      <c r="A643" t="s">
        <v>3446</v>
      </c>
      <c r="B643" s="4">
        <v>1041</v>
      </c>
      <c r="C643">
        <v>5</v>
      </c>
      <c r="D643">
        <v>342.8</v>
      </c>
      <c r="E643" cm="1">
        <f t="array" ref="E643">_xlfn.IFS(B643&lt;=_xlfn.PERCENTILE.INC($B$2:$B$726,0.2),5, B643&lt;=_xlfn.PERCENTILE.INC($B$2:$B$726,0.4),4,B643&lt;=_xlfn.PERCENTILE.INC($B$2:$B$726,0.6),3,B643&lt;=_xlfn.PERCENTILE.INC($B$2:$B$726,0.8),4,TRUE,1)</f>
        <v>1</v>
      </c>
      <c r="F643" cm="1">
        <f t="array" ref="F643">_xlfn.IFS(C643&gt;=_xlfn.PERCENTILE.INC($C$2:$C$726,0.8),5,C643&gt;=_xlfn.PERCENTILE.INC($C$2:$C$726,0.6),4,C643&gt;=_xlfn.PERCENTILE.INC($C$2:$C$726,0.4),3,C643&gt;=_xlfn.PERCENTILE.INC($C$2:$C$726,0.2),2,TRUE,1)</f>
        <v>3</v>
      </c>
      <c r="G643" cm="1">
        <f t="array" ref="G643">_xlfn.IFS(D643&gt;=_xlfn.PERCENTILE.INC($D$2:$D$726,0.8),5,D643&gt;=_xlfn.PERCENTILE.INC($D$2:$D$726,0.6),4,D643&gt;=_xlfn.PERCENTILE.INC($D$2:$D$726,0.4),3,D643&gt;=_xlfn.PERCENTILE.INC($D$2:$D$726,0.2),2,TRUE,1)</f>
        <v>4</v>
      </c>
      <c r="H643">
        <f t="shared" ref="H643:H706" si="10">SUM(E643,F643,G643)</f>
        <v>8</v>
      </c>
      <c r="I643" t="str" cm="1">
        <f t="array" ref="I643">_xlfn.IFS(H643&gt;=13,"Best Customers",H643&gt;=10,"Loyal Customers",H643&gt;=7,"Potential Loyal Customers",H643&gt;=4,"Need Attention",TRUE,"At Risk")</f>
        <v>Potential Loyal Customers</v>
      </c>
    </row>
    <row r="644" spans="1:9" x14ac:dyDescent="0.25">
      <c r="A644" t="s">
        <v>1794</v>
      </c>
      <c r="B644" s="4">
        <v>747</v>
      </c>
      <c r="C644">
        <v>4</v>
      </c>
      <c r="D644">
        <v>175.79999999999998</v>
      </c>
      <c r="E644" cm="1">
        <f t="array" ref="E644">_xlfn.IFS(B644&lt;=_xlfn.PERCENTILE.INC($B$2:$B$726,0.2),5, B644&lt;=_xlfn.PERCENTILE.INC($B$2:$B$726,0.4),4,B644&lt;=_xlfn.PERCENTILE.INC($B$2:$B$726,0.6),3,B644&lt;=_xlfn.PERCENTILE.INC($B$2:$B$726,0.8),4,TRUE,1)</f>
        <v>1</v>
      </c>
      <c r="F644" cm="1">
        <f t="array" ref="F644">_xlfn.IFS(C644&gt;=_xlfn.PERCENTILE.INC($C$2:$C$726,0.8),5,C644&gt;=_xlfn.PERCENTILE.INC($C$2:$C$726,0.6),4,C644&gt;=_xlfn.PERCENTILE.INC($C$2:$C$726,0.4),3,C644&gt;=_xlfn.PERCENTILE.INC($C$2:$C$726,0.2),2,TRUE,1)</f>
        <v>2</v>
      </c>
      <c r="G644" cm="1">
        <f t="array" ref="G644">_xlfn.IFS(D644&gt;=_xlfn.PERCENTILE.INC($D$2:$D$726,0.8),5,D644&gt;=_xlfn.PERCENTILE.INC($D$2:$D$726,0.6),4,D644&gt;=_xlfn.PERCENTILE.INC($D$2:$D$726,0.4),3,D644&gt;=_xlfn.PERCENTILE.INC($D$2:$D$726,0.2),2,TRUE,1)</f>
        <v>2</v>
      </c>
      <c r="H644">
        <f t="shared" si="10"/>
        <v>5</v>
      </c>
      <c r="I644" t="str" cm="1">
        <f t="array" ref="I644">_xlfn.IFS(H644&gt;=13,"Best Customers",H644&gt;=10,"Loyal Customers",H644&gt;=7,"Potential Loyal Customers",H644&gt;=4,"Need Attention",TRUE,"At Risk")</f>
        <v>Need Attention</v>
      </c>
    </row>
    <row r="645" spans="1:9" x14ac:dyDescent="0.25">
      <c r="A645" t="s">
        <v>2948</v>
      </c>
      <c r="B645" s="4">
        <v>692</v>
      </c>
      <c r="C645">
        <v>9</v>
      </c>
      <c r="D645">
        <v>337.4</v>
      </c>
      <c r="E645" cm="1">
        <f t="array" ref="E645">_xlfn.IFS(B645&lt;=_xlfn.PERCENTILE.INC($B$2:$B$726,0.2),5, B645&lt;=_xlfn.PERCENTILE.INC($B$2:$B$726,0.4),4,B645&lt;=_xlfn.PERCENTILE.INC($B$2:$B$726,0.6),3,B645&lt;=_xlfn.PERCENTILE.INC($B$2:$B$726,0.8),4,TRUE,1)</f>
        <v>4</v>
      </c>
      <c r="F645" cm="1">
        <f t="array" ref="F645">_xlfn.IFS(C645&gt;=_xlfn.PERCENTILE.INC($C$2:$C$726,0.8),5,C645&gt;=_xlfn.PERCENTILE.INC($C$2:$C$726,0.6),4,C645&gt;=_xlfn.PERCENTILE.INC($C$2:$C$726,0.4),3,C645&gt;=_xlfn.PERCENTILE.INC($C$2:$C$726,0.2),2,TRUE,1)</f>
        <v>5</v>
      </c>
      <c r="G645" cm="1">
        <f t="array" ref="G645">_xlfn.IFS(D645&gt;=_xlfn.PERCENTILE.INC($D$2:$D$726,0.8),5,D645&gt;=_xlfn.PERCENTILE.INC($D$2:$D$726,0.6),4,D645&gt;=_xlfn.PERCENTILE.INC($D$2:$D$726,0.4),3,D645&gt;=_xlfn.PERCENTILE.INC($D$2:$D$726,0.2),2,TRUE,1)</f>
        <v>4</v>
      </c>
      <c r="H645">
        <f t="shared" si="10"/>
        <v>13</v>
      </c>
      <c r="I645" t="str" cm="1">
        <f t="array" ref="I645">_xlfn.IFS(H645&gt;=13,"Best Customers",H645&gt;=10,"Loyal Customers",H645&gt;=7,"Potential Loyal Customers",H645&gt;=4,"Need Attention",TRUE,"At Risk")</f>
        <v>Best Customers</v>
      </c>
    </row>
    <row r="646" spans="1:9" x14ac:dyDescent="0.25">
      <c r="A646" t="s">
        <v>2021</v>
      </c>
      <c r="B646" s="4">
        <v>387</v>
      </c>
      <c r="C646">
        <v>11</v>
      </c>
      <c r="D646">
        <v>361.09999999999997</v>
      </c>
      <c r="E646" cm="1">
        <f t="array" ref="E646">_xlfn.IFS(B646&lt;=_xlfn.PERCENTILE.INC($B$2:$B$726,0.2),5, B646&lt;=_xlfn.PERCENTILE.INC($B$2:$B$726,0.4),4,B646&lt;=_xlfn.PERCENTILE.INC($B$2:$B$726,0.6),3,B646&lt;=_xlfn.PERCENTILE.INC($B$2:$B$726,0.8),4,TRUE,1)</f>
        <v>5</v>
      </c>
      <c r="F646" cm="1">
        <f t="array" ref="F646">_xlfn.IFS(C646&gt;=_xlfn.PERCENTILE.INC($C$2:$C$726,0.8),5,C646&gt;=_xlfn.PERCENTILE.INC($C$2:$C$726,0.6),4,C646&gt;=_xlfn.PERCENTILE.INC($C$2:$C$726,0.4),3,C646&gt;=_xlfn.PERCENTILE.INC($C$2:$C$726,0.2),2,TRUE,1)</f>
        <v>5</v>
      </c>
      <c r="G646" cm="1">
        <f t="array" ref="G646">_xlfn.IFS(D646&gt;=_xlfn.PERCENTILE.INC($D$2:$D$726,0.8),5,D646&gt;=_xlfn.PERCENTILE.INC($D$2:$D$726,0.6),4,D646&gt;=_xlfn.PERCENTILE.INC($D$2:$D$726,0.4),3,D646&gt;=_xlfn.PERCENTILE.INC($D$2:$D$726,0.2),2,TRUE,1)</f>
        <v>4</v>
      </c>
      <c r="H646">
        <f t="shared" si="10"/>
        <v>14</v>
      </c>
      <c r="I646" t="str" cm="1">
        <f t="array" ref="I646">_xlfn.IFS(H646&gt;=13,"Best Customers",H646&gt;=10,"Loyal Customers",H646&gt;=7,"Potential Loyal Customers",H646&gt;=4,"Need Attention",TRUE,"At Risk")</f>
        <v>Best Customers</v>
      </c>
    </row>
    <row r="647" spans="1:9" x14ac:dyDescent="0.25">
      <c r="A647" t="s">
        <v>2602</v>
      </c>
      <c r="B647" s="4">
        <v>641</v>
      </c>
      <c r="C647">
        <v>6</v>
      </c>
      <c r="D647">
        <v>512.70000000000005</v>
      </c>
      <c r="E647" cm="1">
        <f t="array" ref="E647">_xlfn.IFS(B647&lt;=_xlfn.PERCENTILE.INC($B$2:$B$726,0.2),5, B647&lt;=_xlfn.PERCENTILE.INC($B$2:$B$726,0.4),4,B647&lt;=_xlfn.PERCENTILE.INC($B$2:$B$726,0.6),3,B647&lt;=_xlfn.PERCENTILE.INC($B$2:$B$726,0.8),4,TRUE,1)</f>
        <v>4</v>
      </c>
      <c r="F647" cm="1">
        <f t="array" ref="F647">_xlfn.IFS(C647&gt;=_xlfn.PERCENTILE.INC($C$2:$C$726,0.8),5,C647&gt;=_xlfn.PERCENTILE.INC($C$2:$C$726,0.6),4,C647&gt;=_xlfn.PERCENTILE.INC($C$2:$C$726,0.4),3,C647&gt;=_xlfn.PERCENTILE.INC($C$2:$C$726,0.2),2,TRUE,1)</f>
        <v>4</v>
      </c>
      <c r="G647" cm="1">
        <f t="array" ref="G647">_xlfn.IFS(D647&gt;=_xlfn.PERCENTILE.INC($D$2:$D$726,0.8),5,D647&gt;=_xlfn.PERCENTILE.INC($D$2:$D$726,0.6),4,D647&gt;=_xlfn.PERCENTILE.INC($D$2:$D$726,0.4),3,D647&gt;=_xlfn.PERCENTILE.INC($D$2:$D$726,0.2),2,TRUE,1)</f>
        <v>5</v>
      </c>
      <c r="H647">
        <f t="shared" si="10"/>
        <v>13</v>
      </c>
      <c r="I647" t="str" cm="1">
        <f t="array" ref="I647">_xlfn.IFS(H647&gt;=13,"Best Customers",H647&gt;=10,"Loyal Customers",H647&gt;=7,"Potential Loyal Customers",H647&gt;=4,"Need Attention",TRUE,"At Risk")</f>
        <v>Best Customers</v>
      </c>
    </row>
    <row r="648" spans="1:9" x14ac:dyDescent="0.25">
      <c r="A648" t="s">
        <v>2356</v>
      </c>
      <c r="B648" s="4">
        <v>389</v>
      </c>
      <c r="C648">
        <v>6</v>
      </c>
      <c r="D648">
        <v>263.5</v>
      </c>
      <c r="E648" cm="1">
        <f t="array" ref="E648">_xlfn.IFS(B648&lt;=_xlfn.PERCENTILE.INC($B$2:$B$726,0.2),5, B648&lt;=_xlfn.PERCENTILE.INC($B$2:$B$726,0.4),4,B648&lt;=_xlfn.PERCENTILE.INC($B$2:$B$726,0.6),3,B648&lt;=_xlfn.PERCENTILE.INC($B$2:$B$726,0.8),4,TRUE,1)</f>
        <v>5</v>
      </c>
      <c r="F648" cm="1">
        <f t="array" ref="F648">_xlfn.IFS(C648&gt;=_xlfn.PERCENTILE.INC($C$2:$C$726,0.8),5,C648&gt;=_xlfn.PERCENTILE.INC($C$2:$C$726,0.6),4,C648&gt;=_xlfn.PERCENTILE.INC($C$2:$C$726,0.4),3,C648&gt;=_xlfn.PERCENTILE.INC($C$2:$C$726,0.2),2,TRUE,1)</f>
        <v>4</v>
      </c>
      <c r="G648" cm="1">
        <f t="array" ref="G648">_xlfn.IFS(D648&gt;=_xlfn.PERCENTILE.INC($D$2:$D$726,0.8),5,D648&gt;=_xlfn.PERCENTILE.INC($D$2:$D$726,0.6),4,D648&gt;=_xlfn.PERCENTILE.INC($D$2:$D$726,0.4),3,D648&gt;=_xlfn.PERCENTILE.INC($D$2:$D$726,0.2),2,TRUE,1)</f>
        <v>3</v>
      </c>
      <c r="H648">
        <f t="shared" si="10"/>
        <v>12</v>
      </c>
      <c r="I648" t="str" cm="1">
        <f t="array" ref="I648">_xlfn.IFS(H648&gt;=13,"Best Customers",H648&gt;=10,"Loyal Customers",H648&gt;=7,"Potential Loyal Customers",H648&gt;=4,"Need Attention",TRUE,"At Risk")</f>
        <v>Loyal Customers</v>
      </c>
    </row>
    <row r="649" spans="1:9" x14ac:dyDescent="0.25">
      <c r="A649" t="s">
        <v>1816</v>
      </c>
      <c r="B649" s="4">
        <v>483</v>
      </c>
      <c r="C649">
        <v>8</v>
      </c>
      <c r="D649">
        <v>311.39999999999998</v>
      </c>
      <c r="E649" cm="1">
        <f t="array" ref="E649">_xlfn.IFS(B649&lt;=_xlfn.PERCENTILE.INC($B$2:$B$726,0.2),5, B649&lt;=_xlfn.PERCENTILE.INC($B$2:$B$726,0.4),4,B649&lt;=_xlfn.PERCENTILE.INC($B$2:$B$726,0.6),3,B649&lt;=_xlfn.PERCENTILE.INC($B$2:$B$726,0.8),4,TRUE,1)</f>
        <v>3</v>
      </c>
      <c r="F649" cm="1">
        <f t="array" ref="F649">_xlfn.IFS(C649&gt;=_xlfn.PERCENTILE.INC($C$2:$C$726,0.8),5,C649&gt;=_xlfn.PERCENTILE.INC($C$2:$C$726,0.6),4,C649&gt;=_xlfn.PERCENTILE.INC($C$2:$C$726,0.4),3,C649&gt;=_xlfn.PERCENTILE.INC($C$2:$C$726,0.2),2,TRUE,1)</f>
        <v>5</v>
      </c>
      <c r="G649" cm="1">
        <f t="array" ref="G649">_xlfn.IFS(D649&gt;=_xlfn.PERCENTILE.INC($D$2:$D$726,0.8),5,D649&gt;=_xlfn.PERCENTILE.INC($D$2:$D$726,0.6),4,D649&gt;=_xlfn.PERCENTILE.INC($D$2:$D$726,0.4),3,D649&gt;=_xlfn.PERCENTILE.INC($D$2:$D$726,0.2),2,TRUE,1)</f>
        <v>3</v>
      </c>
      <c r="H649">
        <f t="shared" si="10"/>
        <v>11</v>
      </c>
      <c r="I649" t="str" cm="1">
        <f t="array" ref="I649">_xlfn.IFS(H649&gt;=13,"Best Customers",H649&gt;=10,"Loyal Customers",H649&gt;=7,"Potential Loyal Customers",H649&gt;=4,"Need Attention",TRUE,"At Risk")</f>
        <v>Loyal Customers</v>
      </c>
    </row>
    <row r="650" spans="1:9" x14ac:dyDescent="0.25">
      <c r="A650" t="s">
        <v>2429</v>
      </c>
      <c r="B650" s="4">
        <v>426</v>
      </c>
      <c r="C650">
        <v>3</v>
      </c>
      <c r="D650">
        <v>287.3</v>
      </c>
      <c r="E650" cm="1">
        <f t="array" ref="E650">_xlfn.IFS(B650&lt;=_xlfn.PERCENTILE.INC($B$2:$B$726,0.2),5, B650&lt;=_xlfn.PERCENTILE.INC($B$2:$B$726,0.4),4,B650&lt;=_xlfn.PERCENTILE.INC($B$2:$B$726,0.6),3,B650&lt;=_xlfn.PERCENTILE.INC($B$2:$B$726,0.8),4,TRUE,1)</f>
        <v>4</v>
      </c>
      <c r="F650" cm="1">
        <f t="array" ref="F650">_xlfn.IFS(C650&gt;=_xlfn.PERCENTILE.INC($C$2:$C$726,0.8),5,C650&gt;=_xlfn.PERCENTILE.INC($C$2:$C$726,0.6),4,C650&gt;=_xlfn.PERCENTILE.INC($C$2:$C$726,0.4),3,C650&gt;=_xlfn.PERCENTILE.INC($C$2:$C$726,0.2),2,TRUE,1)</f>
        <v>1</v>
      </c>
      <c r="G650" cm="1">
        <f t="array" ref="G650">_xlfn.IFS(D650&gt;=_xlfn.PERCENTILE.INC($D$2:$D$726,0.8),5,D650&gt;=_xlfn.PERCENTILE.INC($D$2:$D$726,0.6),4,D650&gt;=_xlfn.PERCENTILE.INC($D$2:$D$726,0.4),3,D650&gt;=_xlfn.PERCENTILE.INC($D$2:$D$726,0.2),2,TRUE,1)</f>
        <v>3</v>
      </c>
      <c r="H650">
        <f t="shared" si="10"/>
        <v>8</v>
      </c>
      <c r="I650" t="str" cm="1">
        <f t="array" ref="I650">_xlfn.IFS(H650&gt;=13,"Best Customers",H650&gt;=10,"Loyal Customers",H650&gt;=7,"Potential Loyal Customers",H650&gt;=4,"Need Attention",TRUE,"At Risk")</f>
        <v>Potential Loyal Customers</v>
      </c>
    </row>
    <row r="651" spans="1:9" x14ac:dyDescent="0.25">
      <c r="A651" t="s">
        <v>1878</v>
      </c>
      <c r="B651" s="4">
        <v>614</v>
      </c>
      <c r="C651">
        <v>3</v>
      </c>
      <c r="D651">
        <v>58.7</v>
      </c>
      <c r="E651" cm="1">
        <f t="array" ref="E651">_xlfn.IFS(B651&lt;=_xlfn.PERCENTILE.INC($B$2:$B$726,0.2),5, B651&lt;=_xlfn.PERCENTILE.INC($B$2:$B$726,0.4),4,B651&lt;=_xlfn.PERCENTILE.INC($B$2:$B$726,0.6),3,B651&lt;=_xlfn.PERCENTILE.INC($B$2:$B$726,0.8),4,TRUE,1)</f>
        <v>4</v>
      </c>
      <c r="F651" cm="1">
        <f t="array" ref="F651">_xlfn.IFS(C651&gt;=_xlfn.PERCENTILE.INC($C$2:$C$726,0.8),5,C651&gt;=_xlfn.PERCENTILE.INC($C$2:$C$726,0.6),4,C651&gt;=_xlfn.PERCENTILE.INC($C$2:$C$726,0.4),3,C651&gt;=_xlfn.PERCENTILE.INC($C$2:$C$726,0.2),2,TRUE,1)</f>
        <v>1</v>
      </c>
      <c r="G651" cm="1">
        <f t="array" ref="G651">_xlfn.IFS(D651&gt;=_xlfn.PERCENTILE.INC($D$2:$D$726,0.8),5,D651&gt;=_xlfn.PERCENTILE.INC($D$2:$D$726,0.6),4,D651&gt;=_xlfn.PERCENTILE.INC($D$2:$D$726,0.4),3,D651&gt;=_xlfn.PERCENTILE.INC($D$2:$D$726,0.2),2,TRUE,1)</f>
        <v>1</v>
      </c>
      <c r="H651">
        <f t="shared" si="10"/>
        <v>6</v>
      </c>
      <c r="I651" t="str" cm="1">
        <f t="array" ref="I651">_xlfn.IFS(H651&gt;=13,"Best Customers",H651&gt;=10,"Loyal Customers",H651&gt;=7,"Potential Loyal Customers",H651&gt;=4,"Need Attention",TRUE,"At Risk")</f>
        <v>Need Attention</v>
      </c>
    </row>
    <row r="652" spans="1:9" x14ac:dyDescent="0.25">
      <c r="A652" t="s">
        <v>2426</v>
      </c>
      <c r="B652" s="4">
        <v>824</v>
      </c>
      <c r="C652">
        <v>4</v>
      </c>
      <c r="D652">
        <v>329.40000000000003</v>
      </c>
      <c r="E652" cm="1">
        <f t="array" ref="E652">_xlfn.IFS(B652&lt;=_xlfn.PERCENTILE.INC($B$2:$B$726,0.2),5, B652&lt;=_xlfn.PERCENTILE.INC($B$2:$B$726,0.4),4,B652&lt;=_xlfn.PERCENTILE.INC($B$2:$B$726,0.6),3,B652&lt;=_xlfn.PERCENTILE.INC($B$2:$B$726,0.8),4,TRUE,1)</f>
        <v>1</v>
      </c>
      <c r="F652" cm="1">
        <f t="array" ref="F652">_xlfn.IFS(C652&gt;=_xlfn.PERCENTILE.INC($C$2:$C$726,0.8),5,C652&gt;=_xlfn.PERCENTILE.INC($C$2:$C$726,0.6),4,C652&gt;=_xlfn.PERCENTILE.INC($C$2:$C$726,0.4),3,C652&gt;=_xlfn.PERCENTILE.INC($C$2:$C$726,0.2),2,TRUE,1)</f>
        <v>2</v>
      </c>
      <c r="G652" cm="1">
        <f t="array" ref="G652">_xlfn.IFS(D652&gt;=_xlfn.PERCENTILE.INC($D$2:$D$726,0.8),5,D652&gt;=_xlfn.PERCENTILE.INC($D$2:$D$726,0.6),4,D652&gt;=_xlfn.PERCENTILE.INC($D$2:$D$726,0.4),3,D652&gt;=_xlfn.PERCENTILE.INC($D$2:$D$726,0.2),2,TRUE,1)</f>
        <v>4</v>
      </c>
      <c r="H652">
        <f t="shared" si="10"/>
        <v>7</v>
      </c>
      <c r="I652" t="str" cm="1">
        <f t="array" ref="I652">_xlfn.IFS(H652&gt;=13,"Best Customers",H652&gt;=10,"Loyal Customers",H652&gt;=7,"Potential Loyal Customers",H652&gt;=4,"Need Attention",TRUE,"At Risk")</f>
        <v>Potential Loyal Customers</v>
      </c>
    </row>
    <row r="653" spans="1:9" x14ac:dyDescent="0.25">
      <c r="A653" t="s">
        <v>1872</v>
      </c>
      <c r="B653" s="4">
        <v>344</v>
      </c>
      <c r="C653">
        <v>5</v>
      </c>
      <c r="D653">
        <v>283.39999999999998</v>
      </c>
      <c r="E653" cm="1">
        <f t="array" ref="E653">_xlfn.IFS(B653&lt;=_xlfn.PERCENTILE.INC($B$2:$B$726,0.2),5, B653&lt;=_xlfn.PERCENTILE.INC($B$2:$B$726,0.4),4,B653&lt;=_xlfn.PERCENTILE.INC($B$2:$B$726,0.6),3,B653&lt;=_xlfn.PERCENTILE.INC($B$2:$B$726,0.8),4,TRUE,1)</f>
        <v>5</v>
      </c>
      <c r="F653" cm="1">
        <f t="array" ref="F653">_xlfn.IFS(C653&gt;=_xlfn.PERCENTILE.INC($C$2:$C$726,0.8),5,C653&gt;=_xlfn.PERCENTILE.INC($C$2:$C$726,0.6),4,C653&gt;=_xlfn.PERCENTILE.INC($C$2:$C$726,0.4),3,C653&gt;=_xlfn.PERCENTILE.INC($C$2:$C$726,0.2),2,TRUE,1)</f>
        <v>3</v>
      </c>
      <c r="G653" cm="1">
        <f t="array" ref="G653">_xlfn.IFS(D653&gt;=_xlfn.PERCENTILE.INC($D$2:$D$726,0.8),5,D653&gt;=_xlfn.PERCENTILE.INC($D$2:$D$726,0.6),4,D653&gt;=_xlfn.PERCENTILE.INC($D$2:$D$726,0.4),3,D653&gt;=_xlfn.PERCENTILE.INC($D$2:$D$726,0.2),2,TRUE,1)</f>
        <v>3</v>
      </c>
      <c r="H653">
        <f t="shared" si="10"/>
        <v>11</v>
      </c>
      <c r="I653" t="str" cm="1">
        <f t="array" ref="I653">_xlfn.IFS(H653&gt;=13,"Best Customers",H653&gt;=10,"Loyal Customers",H653&gt;=7,"Potential Loyal Customers",H653&gt;=4,"Need Attention",TRUE,"At Risk")</f>
        <v>Loyal Customers</v>
      </c>
    </row>
    <row r="654" spans="1:9" x14ac:dyDescent="0.25">
      <c r="A654" t="s">
        <v>2168</v>
      </c>
      <c r="B654" s="4">
        <v>636</v>
      </c>
      <c r="C654">
        <v>4</v>
      </c>
      <c r="D654">
        <v>91.999999999999986</v>
      </c>
      <c r="E654" cm="1">
        <f t="array" ref="E654">_xlfn.IFS(B654&lt;=_xlfn.PERCENTILE.INC($B$2:$B$726,0.2),5, B654&lt;=_xlfn.PERCENTILE.INC($B$2:$B$726,0.4),4,B654&lt;=_xlfn.PERCENTILE.INC($B$2:$B$726,0.6),3,B654&lt;=_xlfn.PERCENTILE.INC($B$2:$B$726,0.8),4,TRUE,1)</f>
        <v>4</v>
      </c>
      <c r="F654" cm="1">
        <f t="array" ref="F654">_xlfn.IFS(C654&gt;=_xlfn.PERCENTILE.INC($C$2:$C$726,0.8),5,C654&gt;=_xlfn.PERCENTILE.INC($C$2:$C$726,0.6),4,C654&gt;=_xlfn.PERCENTILE.INC($C$2:$C$726,0.4),3,C654&gt;=_xlfn.PERCENTILE.INC($C$2:$C$726,0.2),2,TRUE,1)</f>
        <v>2</v>
      </c>
      <c r="G654" cm="1">
        <f t="array" ref="G654">_xlfn.IFS(D654&gt;=_xlfn.PERCENTILE.INC($D$2:$D$726,0.8),5,D654&gt;=_xlfn.PERCENTILE.INC($D$2:$D$726,0.6),4,D654&gt;=_xlfn.PERCENTILE.INC($D$2:$D$726,0.4),3,D654&gt;=_xlfn.PERCENTILE.INC($D$2:$D$726,0.2),2,TRUE,1)</f>
        <v>1</v>
      </c>
      <c r="H654">
        <f t="shared" si="10"/>
        <v>7</v>
      </c>
      <c r="I654" t="str" cm="1">
        <f t="array" ref="I654">_xlfn.IFS(H654&gt;=13,"Best Customers",H654&gt;=10,"Loyal Customers",H654&gt;=7,"Potential Loyal Customers",H654&gt;=4,"Need Attention",TRUE,"At Risk")</f>
        <v>Potential Loyal Customers</v>
      </c>
    </row>
    <row r="655" spans="1:9" x14ac:dyDescent="0.25">
      <c r="A655" t="s">
        <v>1839</v>
      </c>
      <c r="B655" s="4">
        <v>542</v>
      </c>
      <c r="C655">
        <v>5</v>
      </c>
      <c r="D655">
        <v>238</v>
      </c>
      <c r="E655" cm="1">
        <f t="array" ref="E655">_xlfn.IFS(B655&lt;=_xlfn.PERCENTILE.INC($B$2:$B$726,0.2),5, B655&lt;=_xlfn.PERCENTILE.INC($B$2:$B$726,0.4),4,B655&lt;=_xlfn.PERCENTILE.INC($B$2:$B$726,0.6),3,B655&lt;=_xlfn.PERCENTILE.INC($B$2:$B$726,0.8),4,TRUE,1)</f>
        <v>3</v>
      </c>
      <c r="F655" cm="1">
        <f t="array" ref="F655">_xlfn.IFS(C655&gt;=_xlfn.PERCENTILE.INC($C$2:$C$726,0.8),5,C655&gt;=_xlfn.PERCENTILE.INC($C$2:$C$726,0.6),4,C655&gt;=_xlfn.PERCENTILE.INC($C$2:$C$726,0.4),3,C655&gt;=_xlfn.PERCENTILE.INC($C$2:$C$726,0.2),2,TRUE,1)</f>
        <v>3</v>
      </c>
      <c r="G655" cm="1">
        <f t="array" ref="G655">_xlfn.IFS(D655&gt;=_xlfn.PERCENTILE.INC($D$2:$D$726,0.8),5,D655&gt;=_xlfn.PERCENTILE.INC($D$2:$D$726,0.6),4,D655&gt;=_xlfn.PERCENTILE.INC($D$2:$D$726,0.4),3,D655&gt;=_xlfn.PERCENTILE.INC($D$2:$D$726,0.2),2,TRUE,1)</f>
        <v>3</v>
      </c>
      <c r="H655">
        <f t="shared" si="10"/>
        <v>9</v>
      </c>
      <c r="I655" t="str" cm="1">
        <f t="array" ref="I655">_xlfn.IFS(H655&gt;=13,"Best Customers",H655&gt;=10,"Loyal Customers",H655&gt;=7,"Potential Loyal Customers",H655&gt;=4,"Need Attention",TRUE,"At Risk")</f>
        <v>Potential Loyal Customers</v>
      </c>
    </row>
    <row r="656" spans="1:9" x14ac:dyDescent="0.25">
      <c r="A656" t="s">
        <v>1720</v>
      </c>
      <c r="B656" s="4">
        <v>457</v>
      </c>
      <c r="C656">
        <v>5</v>
      </c>
      <c r="D656">
        <v>165.89999999999998</v>
      </c>
      <c r="E656" cm="1">
        <f t="array" ref="E656">_xlfn.IFS(B656&lt;=_xlfn.PERCENTILE.INC($B$2:$B$726,0.2),5, B656&lt;=_xlfn.PERCENTILE.INC($B$2:$B$726,0.4),4,B656&lt;=_xlfn.PERCENTILE.INC($B$2:$B$726,0.6),3,B656&lt;=_xlfn.PERCENTILE.INC($B$2:$B$726,0.8),4,TRUE,1)</f>
        <v>4</v>
      </c>
      <c r="F656" cm="1">
        <f t="array" ref="F656">_xlfn.IFS(C656&gt;=_xlfn.PERCENTILE.INC($C$2:$C$726,0.8),5,C656&gt;=_xlfn.PERCENTILE.INC($C$2:$C$726,0.6),4,C656&gt;=_xlfn.PERCENTILE.INC($C$2:$C$726,0.4),3,C656&gt;=_xlfn.PERCENTILE.INC($C$2:$C$726,0.2),2,TRUE,1)</f>
        <v>3</v>
      </c>
      <c r="G656" cm="1">
        <f t="array" ref="G656">_xlfn.IFS(D656&gt;=_xlfn.PERCENTILE.INC($D$2:$D$726,0.8),5,D656&gt;=_xlfn.PERCENTILE.INC($D$2:$D$726,0.6),4,D656&gt;=_xlfn.PERCENTILE.INC($D$2:$D$726,0.4),3,D656&gt;=_xlfn.PERCENTILE.INC($D$2:$D$726,0.2),2,TRUE,1)</f>
        <v>2</v>
      </c>
      <c r="H656">
        <f t="shared" si="10"/>
        <v>9</v>
      </c>
      <c r="I656" t="str" cm="1">
        <f t="array" ref="I656">_xlfn.IFS(H656&gt;=13,"Best Customers",H656&gt;=10,"Loyal Customers",H656&gt;=7,"Potential Loyal Customers",H656&gt;=4,"Need Attention",TRUE,"At Risk")</f>
        <v>Potential Loyal Customers</v>
      </c>
    </row>
    <row r="657" spans="1:9" x14ac:dyDescent="0.25">
      <c r="A657" t="s">
        <v>959</v>
      </c>
      <c r="B657" s="4">
        <v>374</v>
      </c>
      <c r="C657">
        <v>9</v>
      </c>
      <c r="D657">
        <v>640.5</v>
      </c>
      <c r="E657" cm="1">
        <f t="array" ref="E657">_xlfn.IFS(B657&lt;=_xlfn.PERCENTILE.INC($B$2:$B$726,0.2),5, B657&lt;=_xlfn.PERCENTILE.INC($B$2:$B$726,0.4),4,B657&lt;=_xlfn.PERCENTILE.INC($B$2:$B$726,0.6),3,B657&lt;=_xlfn.PERCENTILE.INC($B$2:$B$726,0.8),4,TRUE,1)</f>
        <v>5</v>
      </c>
      <c r="F657" cm="1">
        <f t="array" ref="F657">_xlfn.IFS(C657&gt;=_xlfn.PERCENTILE.INC($C$2:$C$726,0.8),5,C657&gt;=_xlfn.PERCENTILE.INC($C$2:$C$726,0.6),4,C657&gt;=_xlfn.PERCENTILE.INC($C$2:$C$726,0.4),3,C657&gt;=_xlfn.PERCENTILE.INC($C$2:$C$726,0.2),2,TRUE,1)</f>
        <v>5</v>
      </c>
      <c r="G657" cm="1">
        <f t="array" ref="G657">_xlfn.IFS(D657&gt;=_xlfn.PERCENTILE.INC($D$2:$D$726,0.8),5,D657&gt;=_xlfn.PERCENTILE.INC($D$2:$D$726,0.6),4,D657&gt;=_xlfn.PERCENTILE.INC($D$2:$D$726,0.4),3,D657&gt;=_xlfn.PERCENTILE.INC($D$2:$D$726,0.2),2,TRUE,1)</f>
        <v>5</v>
      </c>
      <c r="H657">
        <f t="shared" si="10"/>
        <v>15</v>
      </c>
      <c r="I657" t="str" cm="1">
        <f t="array" ref="I657">_xlfn.IFS(H657&gt;=13,"Best Customers",H657&gt;=10,"Loyal Customers",H657&gt;=7,"Potential Loyal Customers",H657&gt;=4,"Need Attention",TRUE,"At Risk")</f>
        <v>Best Customers</v>
      </c>
    </row>
    <row r="658" spans="1:9" x14ac:dyDescent="0.25">
      <c r="A658" t="s">
        <v>2512</v>
      </c>
      <c r="B658" s="4">
        <v>379</v>
      </c>
      <c r="C658">
        <v>9</v>
      </c>
      <c r="D658">
        <v>227.5</v>
      </c>
      <c r="E658" cm="1">
        <f t="array" ref="E658">_xlfn.IFS(B658&lt;=_xlfn.PERCENTILE.INC($B$2:$B$726,0.2),5, B658&lt;=_xlfn.PERCENTILE.INC($B$2:$B$726,0.4),4,B658&lt;=_xlfn.PERCENTILE.INC($B$2:$B$726,0.6),3,B658&lt;=_xlfn.PERCENTILE.INC($B$2:$B$726,0.8),4,TRUE,1)</f>
        <v>5</v>
      </c>
      <c r="F658" cm="1">
        <f t="array" ref="F658">_xlfn.IFS(C658&gt;=_xlfn.PERCENTILE.INC($C$2:$C$726,0.8),5,C658&gt;=_xlfn.PERCENTILE.INC($C$2:$C$726,0.6),4,C658&gt;=_xlfn.PERCENTILE.INC($C$2:$C$726,0.4),3,C658&gt;=_xlfn.PERCENTILE.INC($C$2:$C$726,0.2),2,TRUE,1)</f>
        <v>5</v>
      </c>
      <c r="G658" cm="1">
        <f t="array" ref="G658">_xlfn.IFS(D658&gt;=_xlfn.PERCENTILE.INC($D$2:$D$726,0.8),5,D658&gt;=_xlfn.PERCENTILE.INC($D$2:$D$726,0.6),4,D658&gt;=_xlfn.PERCENTILE.INC($D$2:$D$726,0.4),3,D658&gt;=_xlfn.PERCENTILE.INC($D$2:$D$726,0.2),2,TRUE,1)</f>
        <v>2</v>
      </c>
      <c r="H658">
        <f t="shared" si="10"/>
        <v>12</v>
      </c>
      <c r="I658" t="str" cm="1">
        <f t="array" ref="I658">_xlfn.IFS(H658&gt;=13,"Best Customers",H658&gt;=10,"Loyal Customers",H658&gt;=7,"Potential Loyal Customers",H658&gt;=4,"Need Attention",TRUE,"At Risk")</f>
        <v>Loyal Customers</v>
      </c>
    </row>
    <row r="659" spans="1:9" x14ac:dyDescent="0.25">
      <c r="A659" t="s">
        <v>1137</v>
      </c>
      <c r="B659" s="4">
        <v>616</v>
      </c>
      <c r="C659">
        <v>9</v>
      </c>
      <c r="D659">
        <v>472.6</v>
      </c>
      <c r="E659" cm="1">
        <f t="array" ref="E659">_xlfn.IFS(B659&lt;=_xlfn.PERCENTILE.INC($B$2:$B$726,0.2),5, B659&lt;=_xlfn.PERCENTILE.INC($B$2:$B$726,0.4),4,B659&lt;=_xlfn.PERCENTILE.INC($B$2:$B$726,0.6),3,B659&lt;=_xlfn.PERCENTILE.INC($B$2:$B$726,0.8),4,TRUE,1)</f>
        <v>4</v>
      </c>
      <c r="F659" cm="1">
        <f t="array" ref="F659">_xlfn.IFS(C659&gt;=_xlfn.PERCENTILE.INC($C$2:$C$726,0.8),5,C659&gt;=_xlfn.PERCENTILE.INC($C$2:$C$726,0.6),4,C659&gt;=_xlfn.PERCENTILE.INC($C$2:$C$726,0.4),3,C659&gt;=_xlfn.PERCENTILE.INC($C$2:$C$726,0.2),2,TRUE,1)</f>
        <v>5</v>
      </c>
      <c r="G659" cm="1">
        <f t="array" ref="G659">_xlfn.IFS(D659&gt;=_xlfn.PERCENTILE.INC($D$2:$D$726,0.8),5,D659&gt;=_xlfn.PERCENTILE.INC($D$2:$D$726,0.6),4,D659&gt;=_xlfn.PERCENTILE.INC($D$2:$D$726,0.4),3,D659&gt;=_xlfn.PERCENTILE.INC($D$2:$D$726,0.2),2,TRUE,1)</f>
        <v>5</v>
      </c>
      <c r="H659">
        <f t="shared" si="10"/>
        <v>14</v>
      </c>
      <c r="I659" t="str" cm="1">
        <f t="array" ref="I659">_xlfn.IFS(H659&gt;=13,"Best Customers",H659&gt;=10,"Loyal Customers",H659&gt;=7,"Potential Loyal Customers",H659&gt;=4,"Need Attention",TRUE,"At Risk")</f>
        <v>Best Customers</v>
      </c>
    </row>
    <row r="660" spans="1:9" x14ac:dyDescent="0.25">
      <c r="A660" t="s">
        <v>2831</v>
      </c>
      <c r="B660" s="4">
        <v>363</v>
      </c>
      <c r="C660">
        <v>5</v>
      </c>
      <c r="D660">
        <v>307.8</v>
      </c>
      <c r="E660" cm="1">
        <f t="array" ref="E660">_xlfn.IFS(B660&lt;=_xlfn.PERCENTILE.INC($B$2:$B$726,0.2),5, B660&lt;=_xlfn.PERCENTILE.INC($B$2:$B$726,0.4),4,B660&lt;=_xlfn.PERCENTILE.INC($B$2:$B$726,0.6),3,B660&lt;=_xlfn.PERCENTILE.INC($B$2:$B$726,0.8),4,TRUE,1)</f>
        <v>5</v>
      </c>
      <c r="F660" cm="1">
        <f t="array" ref="F660">_xlfn.IFS(C660&gt;=_xlfn.PERCENTILE.INC($C$2:$C$726,0.8),5,C660&gt;=_xlfn.PERCENTILE.INC($C$2:$C$726,0.6),4,C660&gt;=_xlfn.PERCENTILE.INC($C$2:$C$726,0.4),3,C660&gt;=_xlfn.PERCENTILE.INC($C$2:$C$726,0.2),2,TRUE,1)</f>
        <v>3</v>
      </c>
      <c r="G660" cm="1">
        <f t="array" ref="G660">_xlfn.IFS(D660&gt;=_xlfn.PERCENTILE.INC($D$2:$D$726,0.8),5,D660&gt;=_xlfn.PERCENTILE.INC($D$2:$D$726,0.6),4,D660&gt;=_xlfn.PERCENTILE.INC($D$2:$D$726,0.4),3,D660&gt;=_xlfn.PERCENTILE.INC($D$2:$D$726,0.2),2,TRUE,1)</f>
        <v>3</v>
      </c>
      <c r="H660">
        <f t="shared" si="10"/>
        <v>11</v>
      </c>
      <c r="I660" t="str" cm="1">
        <f t="array" ref="I660">_xlfn.IFS(H660&gt;=13,"Best Customers",H660&gt;=10,"Loyal Customers",H660&gt;=7,"Potential Loyal Customers",H660&gt;=4,"Need Attention",TRUE,"At Risk")</f>
        <v>Loyal Customers</v>
      </c>
    </row>
    <row r="661" spans="1:9" x14ac:dyDescent="0.25">
      <c r="A661" t="s">
        <v>2971</v>
      </c>
      <c r="B661" s="4">
        <v>373</v>
      </c>
      <c r="C661">
        <v>5</v>
      </c>
      <c r="D661">
        <v>236.50000000000003</v>
      </c>
      <c r="E661" cm="1">
        <f t="array" ref="E661">_xlfn.IFS(B661&lt;=_xlfn.PERCENTILE.INC($B$2:$B$726,0.2),5, B661&lt;=_xlfn.PERCENTILE.INC($B$2:$B$726,0.4),4,B661&lt;=_xlfn.PERCENTILE.INC($B$2:$B$726,0.6),3,B661&lt;=_xlfn.PERCENTILE.INC($B$2:$B$726,0.8),4,TRUE,1)</f>
        <v>5</v>
      </c>
      <c r="F661" cm="1">
        <f t="array" ref="F661">_xlfn.IFS(C661&gt;=_xlfn.PERCENTILE.INC($C$2:$C$726,0.8),5,C661&gt;=_xlfn.PERCENTILE.INC($C$2:$C$726,0.6),4,C661&gt;=_xlfn.PERCENTILE.INC($C$2:$C$726,0.4),3,C661&gt;=_xlfn.PERCENTILE.INC($C$2:$C$726,0.2),2,TRUE,1)</f>
        <v>3</v>
      </c>
      <c r="G661" cm="1">
        <f t="array" ref="G661">_xlfn.IFS(D661&gt;=_xlfn.PERCENTILE.INC($D$2:$D$726,0.8),5,D661&gt;=_xlfn.PERCENTILE.INC($D$2:$D$726,0.6),4,D661&gt;=_xlfn.PERCENTILE.INC($D$2:$D$726,0.4),3,D661&gt;=_xlfn.PERCENTILE.INC($D$2:$D$726,0.2),2,TRUE,1)</f>
        <v>3</v>
      </c>
      <c r="H661">
        <f t="shared" si="10"/>
        <v>11</v>
      </c>
      <c r="I661" t="str" cm="1">
        <f t="array" ref="I661">_xlfn.IFS(H661&gt;=13,"Best Customers",H661&gt;=10,"Loyal Customers",H661&gt;=7,"Potential Loyal Customers",H661&gt;=4,"Need Attention",TRUE,"At Risk")</f>
        <v>Loyal Customers</v>
      </c>
    </row>
    <row r="662" spans="1:9" x14ac:dyDescent="0.25">
      <c r="A662" t="s">
        <v>2080</v>
      </c>
      <c r="B662" s="4">
        <v>391</v>
      </c>
      <c r="C662">
        <v>8</v>
      </c>
      <c r="D662">
        <v>242.2</v>
      </c>
      <c r="E662" cm="1">
        <f t="array" ref="E662">_xlfn.IFS(B662&lt;=_xlfn.PERCENTILE.INC($B$2:$B$726,0.2),5, B662&lt;=_xlfn.PERCENTILE.INC($B$2:$B$726,0.4),4,B662&lt;=_xlfn.PERCENTILE.INC($B$2:$B$726,0.6),3,B662&lt;=_xlfn.PERCENTILE.INC($B$2:$B$726,0.8),4,TRUE,1)</f>
        <v>4</v>
      </c>
      <c r="F662" cm="1">
        <f t="array" ref="F662">_xlfn.IFS(C662&gt;=_xlfn.PERCENTILE.INC($C$2:$C$726,0.8),5,C662&gt;=_xlfn.PERCENTILE.INC($C$2:$C$726,0.6),4,C662&gt;=_xlfn.PERCENTILE.INC($C$2:$C$726,0.4),3,C662&gt;=_xlfn.PERCENTILE.INC($C$2:$C$726,0.2),2,TRUE,1)</f>
        <v>5</v>
      </c>
      <c r="G662" cm="1">
        <f t="array" ref="G662">_xlfn.IFS(D662&gt;=_xlfn.PERCENTILE.INC($D$2:$D$726,0.8),5,D662&gt;=_xlfn.PERCENTILE.INC($D$2:$D$726,0.6),4,D662&gt;=_xlfn.PERCENTILE.INC($D$2:$D$726,0.4),3,D662&gt;=_xlfn.PERCENTILE.INC($D$2:$D$726,0.2),2,TRUE,1)</f>
        <v>3</v>
      </c>
      <c r="H662">
        <f t="shared" si="10"/>
        <v>12</v>
      </c>
      <c r="I662" t="str" cm="1">
        <f t="array" ref="I662">_xlfn.IFS(H662&gt;=13,"Best Customers",H662&gt;=10,"Loyal Customers",H662&gt;=7,"Potential Loyal Customers",H662&gt;=4,"Need Attention",TRUE,"At Risk")</f>
        <v>Loyal Customers</v>
      </c>
    </row>
    <row r="663" spans="1:9" x14ac:dyDescent="0.25">
      <c r="A663" t="s">
        <v>610</v>
      </c>
      <c r="B663" s="4">
        <v>769</v>
      </c>
      <c r="C663">
        <v>8</v>
      </c>
      <c r="D663">
        <v>288.89999999999998</v>
      </c>
      <c r="E663" cm="1">
        <f t="array" ref="E663">_xlfn.IFS(B663&lt;=_xlfn.PERCENTILE.INC($B$2:$B$726,0.2),5, B663&lt;=_xlfn.PERCENTILE.INC($B$2:$B$726,0.4),4,B663&lt;=_xlfn.PERCENTILE.INC($B$2:$B$726,0.6),3,B663&lt;=_xlfn.PERCENTILE.INC($B$2:$B$726,0.8),4,TRUE,1)</f>
        <v>1</v>
      </c>
      <c r="F663" cm="1">
        <f t="array" ref="F663">_xlfn.IFS(C663&gt;=_xlfn.PERCENTILE.INC($C$2:$C$726,0.8),5,C663&gt;=_xlfn.PERCENTILE.INC($C$2:$C$726,0.6),4,C663&gt;=_xlfn.PERCENTILE.INC($C$2:$C$726,0.4),3,C663&gt;=_xlfn.PERCENTILE.INC($C$2:$C$726,0.2),2,TRUE,1)</f>
        <v>5</v>
      </c>
      <c r="G663" cm="1">
        <f t="array" ref="G663">_xlfn.IFS(D663&gt;=_xlfn.PERCENTILE.INC($D$2:$D$726,0.8),5,D663&gt;=_xlfn.PERCENTILE.INC($D$2:$D$726,0.6),4,D663&gt;=_xlfn.PERCENTILE.INC($D$2:$D$726,0.4),3,D663&gt;=_xlfn.PERCENTILE.INC($D$2:$D$726,0.2),2,TRUE,1)</f>
        <v>3</v>
      </c>
      <c r="H663">
        <f t="shared" si="10"/>
        <v>9</v>
      </c>
      <c r="I663" t="str" cm="1">
        <f t="array" ref="I663">_xlfn.IFS(H663&gt;=13,"Best Customers",H663&gt;=10,"Loyal Customers",H663&gt;=7,"Potential Loyal Customers",H663&gt;=4,"Need Attention",TRUE,"At Risk")</f>
        <v>Potential Loyal Customers</v>
      </c>
    </row>
    <row r="664" spans="1:9" x14ac:dyDescent="0.25">
      <c r="A664" t="s">
        <v>2104</v>
      </c>
      <c r="B664" s="4">
        <v>1031</v>
      </c>
      <c r="C664">
        <v>5</v>
      </c>
      <c r="D664">
        <v>468.6</v>
      </c>
      <c r="E664" cm="1">
        <f t="array" ref="E664">_xlfn.IFS(B664&lt;=_xlfn.PERCENTILE.INC($B$2:$B$726,0.2),5, B664&lt;=_xlfn.PERCENTILE.INC($B$2:$B$726,0.4),4,B664&lt;=_xlfn.PERCENTILE.INC($B$2:$B$726,0.6),3,B664&lt;=_xlfn.PERCENTILE.INC($B$2:$B$726,0.8),4,TRUE,1)</f>
        <v>1</v>
      </c>
      <c r="F664" cm="1">
        <f t="array" ref="F664">_xlfn.IFS(C664&gt;=_xlfn.PERCENTILE.INC($C$2:$C$726,0.8),5,C664&gt;=_xlfn.PERCENTILE.INC($C$2:$C$726,0.6),4,C664&gt;=_xlfn.PERCENTILE.INC($C$2:$C$726,0.4),3,C664&gt;=_xlfn.PERCENTILE.INC($C$2:$C$726,0.2),2,TRUE,1)</f>
        <v>3</v>
      </c>
      <c r="G664" cm="1">
        <f t="array" ref="G664">_xlfn.IFS(D664&gt;=_xlfn.PERCENTILE.INC($D$2:$D$726,0.8),5,D664&gt;=_xlfn.PERCENTILE.INC($D$2:$D$726,0.6),4,D664&gt;=_xlfn.PERCENTILE.INC($D$2:$D$726,0.4),3,D664&gt;=_xlfn.PERCENTILE.INC($D$2:$D$726,0.2),2,TRUE,1)</f>
        <v>5</v>
      </c>
      <c r="H664">
        <f t="shared" si="10"/>
        <v>9</v>
      </c>
      <c r="I664" t="str" cm="1">
        <f t="array" ref="I664">_xlfn.IFS(H664&gt;=13,"Best Customers",H664&gt;=10,"Loyal Customers",H664&gt;=7,"Potential Loyal Customers",H664&gt;=4,"Need Attention",TRUE,"At Risk")</f>
        <v>Potential Loyal Customers</v>
      </c>
    </row>
    <row r="665" spans="1:9" x14ac:dyDescent="0.25">
      <c r="A665" t="s">
        <v>1951</v>
      </c>
      <c r="B665" s="4">
        <v>431</v>
      </c>
      <c r="C665">
        <v>8</v>
      </c>
      <c r="D665">
        <v>173.89999999999998</v>
      </c>
      <c r="E665" cm="1">
        <f t="array" ref="E665">_xlfn.IFS(B665&lt;=_xlfn.PERCENTILE.INC($B$2:$B$726,0.2),5, B665&lt;=_xlfn.PERCENTILE.INC($B$2:$B$726,0.4),4,B665&lt;=_xlfn.PERCENTILE.INC($B$2:$B$726,0.6),3,B665&lt;=_xlfn.PERCENTILE.INC($B$2:$B$726,0.8),4,TRUE,1)</f>
        <v>4</v>
      </c>
      <c r="F665" cm="1">
        <f t="array" ref="F665">_xlfn.IFS(C665&gt;=_xlfn.PERCENTILE.INC($C$2:$C$726,0.8),5,C665&gt;=_xlfn.PERCENTILE.INC($C$2:$C$726,0.6),4,C665&gt;=_xlfn.PERCENTILE.INC($C$2:$C$726,0.4),3,C665&gt;=_xlfn.PERCENTILE.INC($C$2:$C$726,0.2),2,TRUE,1)</f>
        <v>5</v>
      </c>
      <c r="G665" cm="1">
        <f t="array" ref="G665">_xlfn.IFS(D665&gt;=_xlfn.PERCENTILE.INC($D$2:$D$726,0.8),5,D665&gt;=_xlfn.PERCENTILE.INC($D$2:$D$726,0.6),4,D665&gt;=_xlfn.PERCENTILE.INC($D$2:$D$726,0.4),3,D665&gt;=_xlfn.PERCENTILE.INC($D$2:$D$726,0.2),2,TRUE,1)</f>
        <v>2</v>
      </c>
      <c r="H665">
        <f t="shared" si="10"/>
        <v>11</v>
      </c>
      <c r="I665" t="str" cm="1">
        <f t="array" ref="I665">_xlfn.IFS(H665&gt;=13,"Best Customers",H665&gt;=10,"Loyal Customers",H665&gt;=7,"Potential Loyal Customers",H665&gt;=4,"Need Attention",TRUE,"At Risk")</f>
        <v>Loyal Customers</v>
      </c>
    </row>
    <row r="666" spans="1:9" x14ac:dyDescent="0.25">
      <c r="A666" t="s">
        <v>956</v>
      </c>
      <c r="B666" s="4">
        <v>338</v>
      </c>
      <c r="C666">
        <v>6</v>
      </c>
      <c r="D666">
        <v>280.3</v>
      </c>
      <c r="E666" cm="1">
        <f t="array" ref="E666">_xlfn.IFS(B666&lt;=_xlfn.PERCENTILE.INC($B$2:$B$726,0.2),5, B666&lt;=_xlfn.PERCENTILE.INC($B$2:$B$726,0.4),4,B666&lt;=_xlfn.PERCENTILE.INC($B$2:$B$726,0.6),3,B666&lt;=_xlfn.PERCENTILE.INC($B$2:$B$726,0.8),4,TRUE,1)</f>
        <v>5</v>
      </c>
      <c r="F666" cm="1">
        <f t="array" ref="F666">_xlfn.IFS(C666&gt;=_xlfn.PERCENTILE.INC($C$2:$C$726,0.8),5,C666&gt;=_xlfn.PERCENTILE.INC($C$2:$C$726,0.6),4,C666&gt;=_xlfn.PERCENTILE.INC($C$2:$C$726,0.4),3,C666&gt;=_xlfn.PERCENTILE.INC($C$2:$C$726,0.2),2,TRUE,1)</f>
        <v>4</v>
      </c>
      <c r="G666" cm="1">
        <f t="array" ref="G666">_xlfn.IFS(D666&gt;=_xlfn.PERCENTILE.INC($D$2:$D$726,0.8),5,D666&gt;=_xlfn.PERCENTILE.INC($D$2:$D$726,0.6),4,D666&gt;=_xlfn.PERCENTILE.INC($D$2:$D$726,0.4),3,D666&gt;=_xlfn.PERCENTILE.INC($D$2:$D$726,0.2),2,TRUE,1)</f>
        <v>3</v>
      </c>
      <c r="H666">
        <f t="shared" si="10"/>
        <v>12</v>
      </c>
      <c r="I666" t="str" cm="1">
        <f t="array" ref="I666">_xlfn.IFS(H666&gt;=13,"Best Customers",H666&gt;=10,"Loyal Customers",H666&gt;=7,"Potential Loyal Customers",H666&gt;=4,"Need Attention",TRUE,"At Risk")</f>
        <v>Loyal Customers</v>
      </c>
    </row>
    <row r="667" spans="1:9" x14ac:dyDescent="0.25">
      <c r="A667" t="s">
        <v>2119</v>
      </c>
      <c r="B667" s="4">
        <v>748</v>
      </c>
      <c r="C667">
        <v>7</v>
      </c>
      <c r="D667">
        <v>514.90000000000009</v>
      </c>
      <c r="E667" cm="1">
        <f t="array" ref="E667">_xlfn.IFS(B667&lt;=_xlfn.PERCENTILE.INC($B$2:$B$726,0.2),5, B667&lt;=_xlfn.PERCENTILE.INC($B$2:$B$726,0.4),4,B667&lt;=_xlfn.PERCENTILE.INC($B$2:$B$726,0.6),3,B667&lt;=_xlfn.PERCENTILE.INC($B$2:$B$726,0.8),4,TRUE,1)</f>
        <v>1</v>
      </c>
      <c r="F667" cm="1">
        <f t="array" ref="F667">_xlfn.IFS(C667&gt;=_xlfn.PERCENTILE.INC($C$2:$C$726,0.8),5,C667&gt;=_xlfn.PERCENTILE.INC($C$2:$C$726,0.6),4,C667&gt;=_xlfn.PERCENTILE.INC($C$2:$C$726,0.4),3,C667&gt;=_xlfn.PERCENTILE.INC($C$2:$C$726,0.2),2,TRUE,1)</f>
        <v>4</v>
      </c>
      <c r="G667" cm="1">
        <f t="array" ref="G667">_xlfn.IFS(D667&gt;=_xlfn.PERCENTILE.INC($D$2:$D$726,0.8),5,D667&gt;=_xlfn.PERCENTILE.INC($D$2:$D$726,0.6),4,D667&gt;=_xlfn.PERCENTILE.INC($D$2:$D$726,0.4),3,D667&gt;=_xlfn.PERCENTILE.INC($D$2:$D$726,0.2),2,TRUE,1)</f>
        <v>5</v>
      </c>
      <c r="H667">
        <f t="shared" si="10"/>
        <v>10</v>
      </c>
      <c r="I667" t="str" cm="1">
        <f t="array" ref="I667">_xlfn.IFS(H667&gt;=13,"Best Customers",H667&gt;=10,"Loyal Customers",H667&gt;=7,"Potential Loyal Customers",H667&gt;=4,"Need Attention",TRUE,"At Risk")</f>
        <v>Loyal Customers</v>
      </c>
    </row>
    <row r="668" spans="1:9" x14ac:dyDescent="0.25">
      <c r="A668" t="s">
        <v>1702</v>
      </c>
      <c r="B668" s="4">
        <v>379</v>
      </c>
      <c r="C668">
        <v>4</v>
      </c>
      <c r="D668">
        <v>130.6</v>
      </c>
      <c r="E668" cm="1">
        <f t="array" ref="E668">_xlfn.IFS(B668&lt;=_xlfn.PERCENTILE.INC($B$2:$B$726,0.2),5, B668&lt;=_xlfn.PERCENTILE.INC($B$2:$B$726,0.4),4,B668&lt;=_xlfn.PERCENTILE.INC($B$2:$B$726,0.6),3,B668&lt;=_xlfn.PERCENTILE.INC($B$2:$B$726,0.8),4,TRUE,1)</f>
        <v>5</v>
      </c>
      <c r="F668" cm="1">
        <f t="array" ref="F668">_xlfn.IFS(C668&gt;=_xlfn.PERCENTILE.INC($C$2:$C$726,0.8),5,C668&gt;=_xlfn.PERCENTILE.INC($C$2:$C$726,0.6),4,C668&gt;=_xlfn.PERCENTILE.INC($C$2:$C$726,0.4),3,C668&gt;=_xlfn.PERCENTILE.INC($C$2:$C$726,0.2),2,TRUE,1)</f>
        <v>2</v>
      </c>
      <c r="G668" cm="1">
        <f t="array" ref="G668">_xlfn.IFS(D668&gt;=_xlfn.PERCENTILE.INC($D$2:$D$726,0.8),5,D668&gt;=_xlfn.PERCENTILE.INC($D$2:$D$726,0.6),4,D668&gt;=_xlfn.PERCENTILE.INC($D$2:$D$726,0.4),3,D668&gt;=_xlfn.PERCENTILE.INC($D$2:$D$726,0.2),2,TRUE,1)</f>
        <v>1</v>
      </c>
      <c r="H668">
        <f t="shared" si="10"/>
        <v>8</v>
      </c>
      <c r="I668" t="str" cm="1">
        <f t="array" ref="I668">_xlfn.IFS(H668&gt;=13,"Best Customers",H668&gt;=10,"Loyal Customers",H668&gt;=7,"Potential Loyal Customers",H668&gt;=4,"Need Attention",TRUE,"At Risk")</f>
        <v>Potential Loyal Customers</v>
      </c>
    </row>
    <row r="669" spans="1:9" x14ac:dyDescent="0.25">
      <c r="A669" t="s">
        <v>2098</v>
      </c>
      <c r="B669" s="4">
        <v>704</v>
      </c>
      <c r="C669">
        <v>4</v>
      </c>
      <c r="D669">
        <v>114.1</v>
      </c>
      <c r="E669" cm="1">
        <f t="array" ref="E669">_xlfn.IFS(B669&lt;=_xlfn.PERCENTILE.INC($B$2:$B$726,0.2),5, B669&lt;=_xlfn.PERCENTILE.INC($B$2:$B$726,0.4),4,B669&lt;=_xlfn.PERCENTILE.INC($B$2:$B$726,0.6),3,B669&lt;=_xlfn.PERCENTILE.INC($B$2:$B$726,0.8),4,TRUE,1)</f>
        <v>4</v>
      </c>
      <c r="F669" cm="1">
        <f t="array" ref="F669">_xlfn.IFS(C669&gt;=_xlfn.PERCENTILE.INC($C$2:$C$726,0.8),5,C669&gt;=_xlfn.PERCENTILE.INC($C$2:$C$726,0.6),4,C669&gt;=_xlfn.PERCENTILE.INC($C$2:$C$726,0.4),3,C669&gt;=_xlfn.PERCENTILE.INC($C$2:$C$726,0.2),2,TRUE,1)</f>
        <v>2</v>
      </c>
      <c r="G669" cm="1">
        <f t="array" ref="G669">_xlfn.IFS(D669&gt;=_xlfn.PERCENTILE.INC($D$2:$D$726,0.8),5,D669&gt;=_xlfn.PERCENTILE.INC($D$2:$D$726,0.6),4,D669&gt;=_xlfn.PERCENTILE.INC($D$2:$D$726,0.4),3,D669&gt;=_xlfn.PERCENTILE.INC($D$2:$D$726,0.2),2,TRUE,1)</f>
        <v>1</v>
      </c>
      <c r="H669">
        <f t="shared" si="10"/>
        <v>7</v>
      </c>
      <c r="I669" t="str" cm="1">
        <f t="array" ref="I669">_xlfn.IFS(H669&gt;=13,"Best Customers",H669&gt;=10,"Loyal Customers",H669&gt;=7,"Potential Loyal Customers",H669&gt;=4,"Need Attention",TRUE,"At Risk")</f>
        <v>Potential Loyal Customers</v>
      </c>
    </row>
    <row r="670" spans="1:9" x14ac:dyDescent="0.25">
      <c r="A670" t="s">
        <v>2341</v>
      </c>
      <c r="B670" s="4">
        <v>524</v>
      </c>
      <c r="C670">
        <v>8</v>
      </c>
      <c r="D670">
        <v>589.70000000000005</v>
      </c>
      <c r="E670" cm="1">
        <f t="array" ref="E670">_xlfn.IFS(B670&lt;=_xlfn.PERCENTILE.INC($B$2:$B$726,0.2),5, B670&lt;=_xlfn.PERCENTILE.INC($B$2:$B$726,0.4),4,B670&lt;=_xlfn.PERCENTILE.INC($B$2:$B$726,0.6),3,B670&lt;=_xlfn.PERCENTILE.INC($B$2:$B$726,0.8),4,TRUE,1)</f>
        <v>3</v>
      </c>
      <c r="F670" cm="1">
        <f t="array" ref="F670">_xlfn.IFS(C670&gt;=_xlfn.PERCENTILE.INC($C$2:$C$726,0.8),5,C670&gt;=_xlfn.PERCENTILE.INC($C$2:$C$726,0.6),4,C670&gt;=_xlfn.PERCENTILE.INC($C$2:$C$726,0.4),3,C670&gt;=_xlfn.PERCENTILE.INC($C$2:$C$726,0.2),2,TRUE,1)</f>
        <v>5</v>
      </c>
      <c r="G670" cm="1">
        <f t="array" ref="G670">_xlfn.IFS(D670&gt;=_xlfn.PERCENTILE.INC($D$2:$D$726,0.8),5,D670&gt;=_xlfn.PERCENTILE.INC($D$2:$D$726,0.6),4,D670&gt;=_xlfn.PERCENTILE.INC($D$2:$D$726,0.4),3,D670&gt;=_xlfn.PERCENTILE.INC($D$2:$D$726,0.2),2,TRUE,1)</f>
        <v>5</v>
      </c>
      <c r="H670">
        <f t="shared" si="10"/>
        <v>13</v>
      </c>
      <c r="I670" t="str" cm="1">
        <f t="array" ref="I670">_xlfn.IFS(H670&gt;=13,"Best Customers",H670&gt;=10,"Loyal Customers",H670&gt;=7,"Potential Loyal Customers",H670&gt;=4,"Need Attention",TRUE,"At Risk")</f>
        <v>Best Customers</v>
      </c>
    </row>
    <row r="671" spans="1:9" x14ac:dyDescent="0.25">
      <c r="A671" t="s">
        <v>857</v>
      </c>
      <c r="B671" s="4">
        <v>533</v>
      </c>
      <c r="C671">
        <v>6</v>
      </c>
      <c r="D671">
        <v>286.89999999999998</v>
      </c>
      <c r="E671" cm="1">
        <f t="array" ref="E671">_xlfn.IFS(B671&lt;=_xlfn.PERCENTILE.INC($B$2:$B$726,0.2),5, B671&lt;=_xlfn.PERCENTILE.INC($B$2:$B$726,0.4),4,B671&lt;=_xlfn.PERCENTILE.INC($B$2:$B$726,0.6),3,B671&lt;=_xlfn.PERCENTILE.INC($B$2:$B$726,0.8),4,TRUE,1)</f>
        <v>3</v>
      </c>
      <c r="F671" cm="1">
        <f t="array" ref="F671">_xlfn.IFS(C671&gt;=_xlfn.PERCENTILE.INC($C$2:$C$726,0.8),5,C671&gt;=_xlfn.PERCENTILE.INC($C$2:$C$726,0.6),4,C671&gt;=_xlfn.PERCENTILE.INC($C$2:$C$726,0.4),3,C671&gt;=_xlfn.PERCENTILE.INC($C$2:$C$726,0.2),2,TRUE,1)</f>
        <v>4</v>
      </c>
      <c r="G671" cm="1">
        <f t="array" ref="G671">_xlfn.IFS(D671&gt;=_xlfn.PERCENTILE.INC($D$2:$D$726,0.8),5,D671&gt;=_xlfn.PERCENTILE.INC($D$2:$D$726,0.6),4,D671&gt;=_xlfn.PERCENTILE.INC($D$2:$D$726,0.4),3,D671&gt;=_xlfn.PERCENTILE.INC($D$2:$D$726,0.2),2,TRUE,1)</f>
        <v>3</v>
      </c>
      <c r="H671">
        <f t="shared" si="10"/>
        <v>10</v>
      </c>
      <c r="I671" t="str" cm="1">
        <f t="array" ref="I671">_xlfn.IFS(H671&gt;=13,"Best Customers",H671&gt;=10,"Loyal Customers",H671&gt;=7,"Potential Loyal Customers",H671&gt;=4,"Need Attention",TRUE,"At Risk")</f>
        <v>Loyal Customers</v>
      </c>
    </row>
    <row r="672" spans="1:9" x14ac:dyDescent="0.25">
      <c r="A672" t="s">
        <v>1414</v>
      </c>
      <c r="B672" s="4">
        <v>982</v>
      </c>
      <c r="C672">
        <v>4</v>
      </c>
      <c r="D672">
        <v>335.20000000000005</v>
      </c>
      <c r="E672" cm="1">
        <f t="array" ref="E672">_xlfn.IFS(B672&lt;=_xlfn.PERCENTILE.INC($B$2:$B$726,0.2),5, B672&lt;=_xlfn.PERCENTILE.INC($B$2:$B$726,0.4),4,B672&lt;=_xlfn.PERCENTILE.INC($B$2:$B$726,0.6),3,B672&lt;=_xlfn.PERCENTILE.INC($B$2:$B$726,0.8),4,TRUE,1)</f>
        <v>1</v>
      </c>
      <c r="F672" cm="1">
        <f t="array" ref="F672">_xlfn.IFS(C672&gt;=_xlfn.PERCENTILE.INC($C$2:$C$726,0.8),5,C672&gt;=_xlfn.PERCENTILE.INC($C$2:$C$726,0.6),4,C672&gt;=_xlfn.PERCENTILE.INC($C$2:$C$726,0.4),3,C672&gt;=_xlfn.PERCENTILE.INC($C$2:$C$726,0.2),2,TRUE,1)</f>
        <v>2</v>
      </c>
      <c r="G672" cm="1">
        <f t="array" ref="G672">_xlfn.IFS(D672&gt;=_xlfn.PERCENTILE.INC($D$2:$D$726,0.8),5,D672&gt;=_xlfn.PERCENTILE.INC($D$2:$D$726,0.6),4,D672&gt;=_xlfn.PERCENTILE.INC($D$2:$D$726,0.4),3,D672&gt;=_xlfn.PERCENTILE.INC($D$2:$D$726,0.2),2,TRUE,1)</f>
        <v>4</v>
      </c>
      <c r="H672">
        <f t="shared" si="10"/>
        <v>7</v>
      </c>
      <c r="I672" t="str" cm="1">
        <f t="array" ref="I672">_xlfn.IFS(H672&gt;=13,"Best Customers",H672&gt;=10,"Loyal Customers",H672&gt;=7,"Potential Loyal Customers",H672&gt;=4,"Need Attention",TRUE,"At Risk")</f>
        <v>Potential Loyal Customers</v>
      </c>
    </row>
    <row r="673" spans="1:9" x14ac:dyDescent="0.25">
      <c r="A673" t="s">
        <v>1597</v>
      </c>
      <c r="B673" s="4">
        <v>526</v>
      </c>
      <c r="C673">
        <v>6</v>
      </c>
      <c r="D673">
        <v>243.9</v>
      </c>
      <c r="E673" cm="1">
        <f t="array" ref="E673">_xlfn.IFS(B673&lt;=_xlfn.PERCENTILE.INC($B$2:$B$726,0.2),5, B673&lt;=_xlfn.PERCENTILE.INC($B$2:$B$726,0.4),4,B673&lt;=_xlfn.PERCENTILE.INC($B$2:$B$726,0.6),3,B673&lt;=_xlfn.PERCENTILE.INC($B$2:$B$726,0.8),4,TRUE,1)</f>
        <v>3</v>
      </c>
      <c r="F673" cm="1">
        <f t="array" ref="F673">_xlfn.IFS(C673&gt;=_xlfn.PERCENTILE.INC($C$2:$C$726,0.8),5,C673&gt;=_xlfn.PERCENTILE.INC($C$2:$C$726,0.6),4,C673&gt;=_xlfn.PERCENTILE.INC($C$2:$C$726,0.4),3,C673&gt;=_xlfn.PERCENTILE.INC($C$2:$C$726,0.2),2,TRUE,1)</f>
        <v>4</v>
      </c>
      <c r="G673" cm="1">
        <f t="array" ref="G673">_xlfn.IFS(D673&gt;=_xlfn.PERCENTILE.INC($D$2:$D$726,0.8),5,D673&gt;=_xlfn.PERCENTILE.INC($D$2:$D$726,0.6),4,D673&gt;=_xlfn.PERCENTILE.INC($D$2:$D$726,0.4),3,D673&gt;=_xlfn.PERCENTILE.INC($D$2:$D$726,0.2),2,TRUE,1)</f>
        <v>3</v>
      </c>
      <c r="H673">
        <f t="shared" si="10"/>
        <v>10</v>
      </c>
      <c r="I673" t="str" cm="1">
        <f t="array" ref="I673">_xlfn.IFS(H673&gt;=13,"Best Customers",H673&gt;=10,"Loyal Customers",H673&gt;=7,"Potential Loyal Customers",H673&gt;=4,"Need Attention",TRUE,"At Risk")</f>
        <v>Loyal Customers</v>
      </c>
    </row>
    <row r="674" spans="1:9" x14ac:dyDescent="0.25">
      <c r="A674" t="s">
        <v>2375</v>
      </c>
      <c r="B674" s="4">
        <v>406</v>
      </c>
      <c r="C674">
        <v>5</v>
      </c>
      <c r="D674">
        <v>221.3</v>
      </c>
      <c r="E674" cm="1">
        <f t="array" ref="E674">_xlfn.IFS(B674&lt;=_xlfn.PERCENTILE.INC($B$2:$B$726,0.2),5, B674&lt;=_xlfn.PERCENTILE.INC($B$2:$B$726,0.4),4,B674&lt;=_xlfn.PERCENTILE.INC($B$2:$B$726,0.6),3,B674&lt;=_xlfn.PERCENTILE.INC($B$2:$B$726,0.8),4,TRUE,1)</f>
        <v>4</v>
      </c>
      <c r="F674" cm="1">
        <f t="array" ref="F674">_xlfn.IFS(C674&gt;=_xlfn.PERCENTILE.INC($C$2:$C$726,0.8),5,C674&gt;=_xlfn.PERCENTILE.INC($C$2:$C$726,0.6),4,C674&gt;=_xlfn.PERCENTILE.INC($C$2:$C$726,0.4),3,C674&gt;=_xlfn.PERCENTILE.INC($C$2:$C$726,0.2),2,TRUE,1)</f>
        <v>3</v>
      </c>
      <c r="G674" cm="1">
        <f t="array" ref="G674">_xlfn.IFS(D674&gt;=_xlfn.PERCENTILE.INC($D$2:$D$726,0.8),5,D674&gt;=_xlfn.PERCENTILE.INC($D$2:$D$726,0.6),4,D674&gt;=_xlfn.PERCENTILE.INC($D$2:$D$726,0.4),3,D674&gt;=_xlfn.PERCENTILE.INC($D$2:$D$726,0.2),2,TRUE,1)</f>
        <v>2</v>
      </c>
      <c r="H674">
        <f t="shared" si="10"/>
        <v>9</v>
      </c>
      <c r="I674" t="str" cm="1">
        <f t="array" ref="I674">_xlfn.IFS(H674&gt;=13,"Best Customers",H674&gt;=10,"Loyal Customers",H674&gt;=7,"Potential Loyal Customers",H674&gt;=4,"Need Attention",TRUE,"At Risk")</f>
        <v>Potential Loyal Customers</v>
      </c>
    </row>
    <row r="675" spans="1:9" x14ac:dyDescent="0.25">
      <c r="A675" t="s">
        <v>3199</v>
      </c>
      <c r="B675" s="4">
        <v>435</v>
      </c>
      <c r="C675">
        <v>8</v>
      </c>
      <c r="D675">
        <v>302.10000000000002</v>
      </c>
      <c r="E675" cm="1">
        <f t="array" ref="E675">_xlfn.IFS(B675&lt;=_xlfn.PERCENTILE.INC($B$2:$B$726,0.2),5, B675&lt;=_xlfn.PERCENTILE.INC($B$2:$B$726,0.4),4,B675&lt;=_xlfn.PERCENTILE.INC($B$2:$B$726,0.6),3,B675&lt;=_xlfn.PERCENTILE.INC($B$2:$B$726,0.8),4,TRUE,1)</f>
        <v>4</v>
      </c>
      <c r="F675" cm="1">
        <f t="array" ref="F675">_xlfn.IFS(C675&gt;=_xlfn.PERCENTILE.INC($C$2:$C$726,0.8),5,C675&gt;=_xlfn.PERCENTILE.INC($C$2:$C$726,0.6),4,C675&gt;=_xlfn.PERCENTILE.INC($C$2:$C$726,0.4),3,C675&gt;=_xlfn.PERCENTILE.INC($C$2:$C$726,0.2),2,TRUE,1)</f>
        <v>5</v>
      </c>
      <c r="G675" cm="1">
        <f t="array" ref="G675">_xlfn.IFS(D675&gt;=_xlfn.PERCENTILE.INC($D$2:$D$726,0.8),5,D675&gt;=_xlfn.PERCENTILE.INC($D$2:$D$726,0.6),4,D675&gt;=_xlfn.PERCENTILE.INC($D$2:$D$726,0.4),3,D675&gt;=_xlfn.PERCENTILE.INC($D$2:$D$726,0.2),2,TRUE,1)</f>
        <v>3</v>
      </c>
      <c r="H675">
        <f t="shared" si="10"/>
        <v>12</v>
      </c>
      <c r="I675" t="str" cm="1">
        <f t="array" ref="I675">_xlfn.IFS(H675&gt;=13,"Best Customers",H675&gt;=10,"Loyal Customers",H675&gt;=7,"Potential Loyal Customers",H675&gt;=4,"Need Attention",TRUE,"At Risk")</f>
        <v>Loyal Customers</v>
      </c>
    </row>
    <row r="676" spans="1:9" x14ac:dyDescent="0.25">
      <c r="A676" t="s">
        <v>3010</v>
      </c>
      <c r="B676" s="4">
        <v>355</v>
      </c>
      <c r="C676">
        <v>5</v>
      </c>
      <c r="D676">
        <v>438.20000000000005</v>
      </c>
      <c r="E676" cm="1">
        <f t="array" ref="E676">_xlfn.IFS(B676&lt;=_xlfn.PERCENTILE.INC($B$2:$B$726,0.2),5, B676&lt;=_xlfn.PERCENTILE.INC($B$2:$B$726,0.4),4,B676&lt;=_xlfn.PERCENTILE.INC($B$2:$B$726,0.6),3,B676&lt;=_xlfn.PERCENTILE.INC($B$2:$B$726,0.8),4,TRUE,1)</f>
        <v>5</v>
      </c>
      <c r="F676" cm="1">
        <f t="array" ref="F676">_xlfn.IFS(C676&gt;=_xlfn.PERCENTILE.INC($C$2:$C$726,0.8),5,C676&gt;=_xlfn.PERCENTILE.INC($C$2:$C$726,0.6),4,C676&gt;=_xlfn.PERCENTILE.INC($C$2:$C$726,0.4),3,C676&gt;=_xlfn.PERCENTILE.INC($C$2:$C$726,0.2),2,TRUE,1)</f>
        <v>3</v>
      </c>
      <c r="G676" cm="1">
        <f t="array" ref="G676">_xlfn.IFS(D676&gt;=_xlfn.PERCENTILE.INC($D$2:$D$726,0.8),5,D676&gt;=_xlfn.PERCENTILE.INC($D$2:$D$726,0.6),4,D676&gt;=_xlfn.PERCENTILE.INC($D$2:$D$726,0.4),3,D676&gt;=_xlfn.PERCENTILE.INC($D$2:$D$726,0.2),2,TRUE,1)</f>
        <v>5</v>
      </c>
      <c r="H676">
        <f t="shared" si="10"/>
        <v>13</v>
      </c>
      <c r="I676" t="str" cm="1">
        <f t="array" ref="I676">_xlfn.IFS(H676&gt;=13,"Best Customers",H676&gt;=10,"Loyal Customers",H676&gt;=7,"Potential Loyal Customers",H676&gt;=4,"Need Attention",TRUE,"At Risk")</f>
        <v>Best Customers</v>
      </c>
    </row>
    <row r="677" spans="1:9" x14ac:dyDescent="0.25">
      <c r="A677" t="s">
        <v>2239</v>
      </c>
      <c r="B677" s="4">
        <v>414</v>
      </c>
      <c r="C677">
        <v>3</v>
      </c>
      <c r="D677">
        <v>143.9</v>
      </c>
      <c r="E677" cm="1">
        <f t="array" ref="E677">_xlfn.IFS(B677&lt;=_xlfn.PERCENTILE.INC($B$2:$B$726,0.2),5, B677&lt;=_xlfn.PERCENTILE.INC($B$2:$B$726,0.4),4,B677&lt;=_xlfn.PERCENTILE.INC($B$2:$B$726,0.6),3,B677&lt;=_xlfn.PERCENTILE.INC($B$2:$B$726,0.8),4,TRUE,1)</f>
        <v>4</v>
      </c>
      <c r="F677" cm="1">
        <f t="array" ref="F677">_xlfn.IFS(C677&gt;=_xlfn.PERCENTILE.INC($C$2:$C$726,0.8),5,C677&gt;=_xlfn.PERCENTILE.INC($C$2:$C$726,0.6),4,C677&gt;=_xlfn.PERCENTILE.INC($C$2:$C$726,0.4),3,C677&gt;=_xlfn.PERCENTILE.INC($C$2:$C$726,0.2),2,TRUE,1)</f>
        <v>1</v>
      </c>
      <c r="G677" cm="1">
        <f t="array" ref="G677">_xlfn.IFS(D677&gt;=_xlfn.PERCENTILE.INC($D$2:$D$726,0.8),5,D677&gt;=_xlfn.PERCENTILE.INC($D$2:$D$726,0.6),4,D677&gt;=_xlfn.PERCENTILE.INC($D$2:$D$726,0.4),3,D677&gt;=_xlfn.PERCENTILE.INC($D$2:$D$726,0.2),2,TRUE,1)</f>
        <v>1</v>
      </c>
      <c r="H677">
        <f t="shared" si="10"/>
        <v>6</v>
      </c>
      <c r="I677" t="str" cm="1">
        <f t="array" ref="I677">_xlfn.IFS(H677&gt;=13,"Best Customers",H677&gt;=10,"Loyal Customers",H677&gt;=7,"Potential Loyal Customers",H677&gt;=4,"Need Attention",TRUE,"At Risk")</f>
        <v>Need Attention</v>
      </c>
    </row>
    <row r="678" spans="1:9" x14ac:dyDescent="0.25">
      <c r="A678" t="s">
        <v>2915</v>
      </c>
      <c r="B678" s="4">
        <v>353</v>
      </c>
      <c r="C678">
        <v>6</v>
      </c>
      <c r="D678">
        <v>397.2</v>
      </c>
      <c r="E678" cm="1">
        <f t="array" ref="E678">_xlfn.IFS(B678&lt;=_xlfn.PERCENTILE.INC($B$2:$B$726,0.2),5, B678&lt;=_xlfn.PERCENTILE.INC($B$2:$B$726,0.4),4,B678&lt;=_xlfn.PERCENTILE.INC($B$2:$B$726,0.6),3,B678&lt;=_xlfn.PERCENTILE.INC($B$2:$B$726,0.8),4,TRUE,1)</f>
        <v>5</v>
      </c>
      <c r="F678" cm="1">
        <f t="array" ref="F678">_xlfn.IFS(C678&gt;=_xlfn.PERCENTILE.INC($C$2:$C$726,0.8),5,C678&gt;=_xlfn.PERCENTILE.INC($C$2:$C$726,0.6),4,C678&gt;=_xlfn.PERCENTILE.INC($C$2:$C$726,0.4),3,C678&gt;=_xlfn.PERCENTILE.INC($C$2:$C$726,0.2),2,TRUE,1)</f>
        <v>4</v>
      </c>
      <c r="G678" cm="1">
        <f t="array" ref="G678">_xlfn.IFS(D678&gt;=_xlfn.PERCENTILE.INC($D$2:$D$726,0.8),5,D678&gt;=_xlfn.PERCENTILE.INC($D$2:$D$726,0.6),4,D678&gt;=_xlfn.PERCENTILE.INC($D$2:$D$726,0.4),3,D678&gt;=_xlfn.PERCENTILE.INC($D$2:$D$726,0.2),2,TRUE,1)</f>
        <v>5</v>
      </c>
      <c r="H678">
        <f t="shared" si="10"/>
        <v>14</v>
      </c>
      <c r="I678" t="str" cm="1">
        <f t="array" ref="I678">_xlfn.IFS(H678&gt;=13,"Best Customers",H678&gt;=10,"Loyal Customers",H678&gt;=7,"Potential Loyal Customers",H678&gt;=4,"Need Attention",TRUE,"At Risk")</f>
        <v>Best Customers</v>
      </c>
    </row>
    <row r="679" spans="1:9" x14ac:dyDescent="0.25">
      <c r="A679" t="s">
        <v>2575</v>
      </c>
      <c r="B679" s="4">
        <v>491</v>
      </c>
      <c r="C679">
        <v>7</v>
      </c>
      <c r="D679">
        <v>523.29999999999995</v>
      </c>
      <c r="E679" cm="1">
        <f t="array" ref="E679">_xlfn.IFS(B679&lt;=_xlfn.PERCENTILE.INC($B$2:$B$726,0.2),5, B679&lt;=_xlfn.PERCENTILE.INC($B$2:$B$726,0.4),4,B679&lt;=_xlfn.PERCENTILE.INC($B$2:$B$726,0.6),3,B679&lt;=_xlfn.PERCENTILE.INC($B$2:$B$726,0.8),4,TRUE,1)</f>
        <v>3</v>
      </c>
      <c r="F679" cm="1">
        <f t="array" ref="F679">_xlfn.IFS(C679&gt;=_xlfn.PERCENTILE.INC($C$2:$C$726,0.8),5,C679&gt;=_xlfn.PERCENTILE.INC($C$2:$C$726,0.6),4,C679&gt;=_xlfn.PERCENTILE.INC($C$2:$C$726,0.4),3,C679&gt;=_xlfn.PERCENTILE.INC($C$2:$C$726,0.2),2,TRUE,1)</f>
        <v>4</v>
      </c>
      <c r="G679" cm="1">
        <f t="array" ref="G679">_xlfn.IFS(D679&gt;=_xlfn.PERCENTILE.INC($D$2:$D$726,0.8),5,D679&gt;=_xlfn.PERCENTILE.INC($D$2:$D$726,0.6),4,D679&gt;=_xlfn.PERCENTILE.INC($D$2:$D$726,0.4),3,D679&gt;=_xlfn.PERCENTILE.INC($D$2:$D$726,0.2),2,TRUE,1)</f>
        <v>5</v>
      </c>
      <c r="H679">
        <f t="shared" si="10"/>
        <v>12</v>
      </c>
      <c r="I679" t="str" cm="1">
        <f t="array" ref="I679">_xlfn.IFS(H679&gt;=13,"Best Customers",H679&gt;=10,"Loyal Customers",H679&gt;=7,"Potential Loyal Customers",H679&gt;=4,"Need Attention",TRUE,"At Risk")</f>
        <v>Loyal Customers</v>
      </c>
    </row>
    <row r="680" spans="1:9" x14ac:dyDescent="0.25">
      <c r="A680" t="s">
        <v>1684</v>
      </c>
      <c r="B680" s="4">
        <v>764</v>
      </c>
      <c r="C680">
        <v>3</v>
      </c>
      <c r="D680">
        <v>82.9</v>
      </c>
      <c r="E680" cm="1">
        <f t="array" ref="E680">_xlfn.IFS(B680&lt;=_xlfn.PERCENTILE.INC($B$2:$B$726,0.2),5, B680&lt;=_xlfn.PERCENTILE.INC($B$2:$B$726,0.4),4,B680&lt;=_xlfn.PERCENTILE.INC($B$2:$B$726,0.6),3,B680&lt;=_xlfn.PERCENTILE.INC($B$2:$B$726,0.8),4,TRUE,1)</f>
        <v>1</v>
      </c>
      <c r="F680" cm="1">
        <f t="array" ref="F680">_xlfn.IFS(C680&gt;=_xlfn.PERCENTILE.INC($C$2:$C$726,0.8),5,C680&gt;=_xlfn.PERCENTILE.INC($C$2:$C$726,0.6),4,C680&gt;=_xlfn.PERCENTILE.INC($C$2:$C$726,0.4),3,C680&gt;=_xlfn.PERCENTILE.INC($C$2:$C$726,0.2),2,TRUE,1)</f>
        <v>1</v>
      </c>
      <c r="G680" cm="1">
        <f t="array" ref="G680">_xlfn.IFS(D680&gt;=_xlfn.PERCENTILE.INC($D$2:$D$726,0.8),5,D680&gt;=_xlfn.PERCENTILE.INC($D$2:$D$726,0.6),4,D680&gt;=_xlfn.PERCENTILE.INC($D$2:$D$726,0.4),3,D680&gt;=_xlfn.PERCENTILE.INC($D$2:$D$726,0.2),2,TRUE,1)</f>
        <v>1</v>
      </c>
      <c r="H680">
        <f t="shared" si="10"/>
        <v>3</v>
      </c>
      <c r="I680" t="str" cm="1">
        <f t="array" ref="I680">_xlfn.IFS(H680&gt;=13,"Best Customers",H680&gt;=10,"Loyal Customers",H680&gt;=7,"Potential Loyal Customers",H680&gt;=4,"Need Attention",TRUE,"At Risk")</f>
        <v>At Risk</v>
      </c>
    </row>
    <row r="681" spans="1:9" x14ac:dyDescent="0.25">
      <c r="A681" t="s">
        <v>2828</v>
      </c>
      <c r="B681" s="4">
        <v>584</v>
      </c>
      <c r="C681">
        <v>3</v>
      </c>
      <c r="D681">
        <v>85.100000000000009</v>
      </c>
      <c r="E681" cm="1">
        <f t="array" ref="E681">_xlfn.IFS(B681&lt;=_xlfn.PERCENTILE.INC($B$2:$B$726,0.2),5, B681&lt;=_xlfn.PERCENTILE.INC($B$2:$B$726,0.4),4,B681&lt;=_xlfn.PERCENTILE.INC($B$2:$B$726,0.6),3,B681&lt;=_xlfn.PERCENTILE.INC($B$2:$B$726,0.8),4,TRUE,1)</f>
        <v>4</v>
      </c>
      <c r="F681" cm="1">
        <f t="array" ref="F681">_xlfn.IFS(C681&gt;=_xlfn.PERCENTILE.INC($C$2:$C$726,0.8),5,C681&gt;=_xlfn.PERCENTILE.INC($C$2:$C$726,0.6),4,C681&gt;=_xlfn.PERCENTILE.INC($C$2:$C$726,0.4),3,C681&gt;=_xlfn.PERCENTILE.INC($C$2:$C$726,0.2),2,TRUE,1)</f>
        <v>1</v>
      </c>
      <c r="G681" cm="1">
        <f t="array" ref="G681">_xlfn.IFS(D681&gt;=_xlfn.PERCENTILE.INC($D$2:$D$726,0.8),5,D681&gt;=_xlfn.PERCENTILE.INC($D$2:$D$726,0.6),4,D681&gt;=_xlfn.PERCENTILE.INC($D$2:$D$726,0.4),3,D681&gt;=_xlfn.PERCENTILE.INC($D$2:$D$726,0.2),2,TRUE,1)</f>
        <v>1</v>
      </c>
      <c r="H681">
        <f t="shared" si="10"/>
        <v>6</v>
      </c>
      <c r="I681" t="str" cm="1">
        <f t="array" ref="I681">_xlfn.IFS(H681&gt;=13,"Best Customers",H681&gt;=10,"Loyal Customers",H681&gt;=7,"Potential Loyal Customers",H681&gt;=4,"Need Attention",TRUE,"At Risk")</f>
        <v>Need Attention</v>
      </c>
    </row>
    <row r="682" spans="1:9" x14ac:dyDescent="0.25">
      <c r="A682" t="s">
        <v>944</v>
      </c>
      <c r="B682" s="4">
        <v>382</v>
      </c>
      <c r="C682">
        <v>5</v>
      </c>
      <c r="D682">
        <v>275.3</v>
      </c>
      <c r="E682" cm="1">
        <f t="array" ref="E682">_xlfn.IFS(B682&lt;=_xlfn.PERCENTILE.INC($B$2:$B$726,0.2),5, B682&lt;=_xlfn.PERCENTILE.INC($B$2:$B$726,0.4),4,B682&lt;=_xlfn.PERCENTILE.INC($B$2:$B$726,0.6),3,B682&lt;=_xlfn.PERCENTILE.INC($B$2:$B$726,0.8),4,TRUE,1)</f>
        <v>5</v>
      </c>
      <c r="F682" cm="1">
        <f t="array" ref="F682">_xlfn.IFS(C682&gt;=_xlfn.PERCENTILE.INC($C$2:$C$726,0.8),5,C682&gt;=_xlfn.PERCENTILE.INC($C$2:$C$726,0.6),4,C682&gt;=_xlfn.PERCENTILE.INC($C$2:$C$726,0.4),3,C682&gt;=_xlfn.PERCENTILE.INC($C$2:$C$726,0.2),2,TRUE,1)</f>
        <v>3</v>
      </c>
      <c r="G682" cm="1">
        <f t="array" ref="G682">_xlfn.IFS(D682&gt;=_xlfn.PERCENTILE.INC($D$2:$D$726,0.8),5,D682&gt;=_xlfn.PERCENTILE.INC($D$2:$D$726,0.6),4,D682&gt;=_xlfn.PERCENTILE.INC($D$2:$D$726,0.4),3,D682&gt;=_xlfn.PERCENTILE.INC($D$2:$D$726,0.2),2,TRUE,1)</f>
        <v>3</v>
      </c>
      <c r="H682">
        <f t="shared" si="10"/>
        <v>11</v>
      </c>
      <c r="I682" t="str" cm="1">
        <f t="array" ref="I682">_xlfn.IFS(H682&gt;=13,"Best Customers",H682&gt;=10,"Loyal Customers",H682&gt;=7,"Potential Loyal Customers",H682&gt;=4,"Need Attention",TRUE,"At Risk")</f>
        <v>Loyal Customers</v>
      </c>
    </row>
    <row r="683" spans="1:9" x14ac:dyDescent="0.25">
      <c r="A683" t="s">
        <v>1021</v>
      </c>
      <c r="B683" s="4">
        <v>382</v>
      </c>
      <c r="C683">
        <v>5</v>
      </c>
      <c r="D683">
        <v>460.70000000000005</v>
      </c>
      <c r="E683" cm="1">
        <f t="array" ref="E683">_xlfn.IFS(B683&lt;=_xlfn.PERCENTILE.INC($B$2:$B$726,0.2),5, B683&lt;=_xlfn.PERCENTILE.INC($B$2:$B$726,0.4),4,B683&lt;=_xlfn.PERCENTILE.INC($B$2:$B$726,0.6),3,B683&lt;=_xlfn.PERCENTILE.INC($B$2:$B$726,0.8),4,TRUE,1)</f>
        <v>5</v>
      </c>
      <c r="F683" cm="1">
        <f t="array" ref="F683">_xlfn.IFS(C683&gt;=_xlfn.PERCENTILE.INC($C$2:$C$726,0.8),5,C683&gt;=_xlfn.PERCENTILE.INC($C$2:$C$726,0.6),4,C683&gt;=_xlfn.PERCENTILE.INC($C$2:$C$726,0.4),3,C683&gt;=_xlfn.PERCENTILE.INC($C$2:$C$726,0.2),2,TRUE,1)</f>
        <v>3</v>
      </c>
      <c r="G683" cm="1">
        <f t="array" ref="G683">_xlfn.IFS(D683&gt;=_xlfn.PERCENTILE.INC($D$2:$D$726,0.8),5,D683&gt;=_xlfn.PERCENTILE.INC($D$2:$D$726,0.6),4,D683&gt;=_xlfn.PERCENTILE.INC($D$2:$D$726,0.4),3,D683&gt;=_xlfn.PERCENTILE.INC($D$2:$D$726,0.2),2,TRUE,1)</f>
        <v>5</v>
      </c>
      <c r="H683">
        <f t="shared" si="10"/>
        <v>13</v>
      </c>
      <c r="I683" t="str" cm="1">
        <f t="array" ref="I683">_xlfn.IFS(H683&gt;=13,"Best Customers",H683&gt;=10,"Loyal Customers",H683&gt;=7,"Potential Loyal Customers",H683&gt;=4,"Need Attention",TRUE,"At Risk")</f>
        <v>Best Customers</v>
      </c>
    </row>
    <row r="684" spans="1:9" x14ac:dyDescent="0.25">
      <c r="A684" t="s">
        <v>701</v>
      </c>
      <c r="B684" s="4">
        <v>484</v>
      </c>
      <c r="C684">
        <v>4</v>
      </c>
      <c r="D684">
        <v>148.9</v>
      </c>
      <c r="E684" cm="1">
        <f t="array" ref="E684">_xlfn.IFS(B684&lt;=_xlfn.PERCENTILE.INC($B$2:$B$726,0.2),5, B684&lt;=_xlfn.PERCENTILE.INC($B$2:$B$726,0.4),4,B684&lt;=_xlfn.PERCENTILE.INC($B$2:$B$726,0.6),3,B684&lt;=_xlfn.PERCENTILE.INC($B$2:$B$726,0.8),4,TRUE,1)</f>
        <v>3</v>
      </c>
      <c r="F684" cm="1">
        <f t="array" ref="F684">_xlfn.IFS(C684&gt;=_xlfn.PERCENTILE.INC($C$2:$C$726,0.8),5,C684&gt;=_xlfn.PERCENTILE.INC($C$2:$C$726,0.6),4,C684&gt;=_xlfn.PERCENTILE.INC($C$2:$C$726,0.4),3,C684&gt;=_xlfn.PERCENTILE.INC($C$2:$C$726,0.2),2,TRUE,1)</f>
        <v>2</v>
      </c>
      <c r="G684" cm="1">
        <f t="array" ref="G684">_xlfn.IFS(D684&gt;=_xlfn.PERCENTILE.INC($D$2:$D$726,0.8),5,D684&gt;=_xlfn.PERCENTILE.INC($D$2:$D$726,0.6),4,D684&gt;=_xlfn.PERCENTILE.INC($D$2:$D$726,0.4),3,D684&gt;=_xlfn.PERCENTILE.INC($D$2:$D$726,0.2),2,TRUE,1)</f>
        <v>1</v>
      </c>
      <c r="H684">
        <f t="shared" si="10"/>
        <v>6</v>
      </c>
      <c r="I684" t="str" cm="1">
        <f t="array" ref="I684">_xlfn.IFS(H684&gt;=13,"Best Customers",H684&gt;=10,"Loyal Customers",H684&gt;=7,"Potential Loyal Customers",H684&gt;=4,"Need Attention",TRUE,"At Risk")</f>
        <v>Need Attention</v>
      </c>
    </row>
    <row r="685" spans="1:9" x14ac:dyDescent="0.25">
      <c r="A685" t="s">
        <v>3163</v>
      </c>
      <c r="B685" s="4">
        <v>502</v>
      </c>
      <c r="C685">
        <v>8</v>
      </c>
      <c r="D685">
        <v>323.49999999999994</v>
      </c>
      <c r="E685" cm="1">
        <f t="array" ref="E685">_xlfn.IFS(B685&lt;=_xlfn.PERCENTILE.INC($B$2:$B$726,0.2),5, B685&lt;=_xlfn.PERCENTILE.INC($B$2:$B$726,0.4),4,B685&lt;=_xlfn.PERCENTILE.INC($B$2:$B$726,0.6),3,B685&lt;=_xlfn.PERCENTILE.INC($B$2:$B$726,0.8),4,TRUE,1)</f>
        <v>3</v>
      </c>
      <c r="F685" cm="1">
        <f t="array" ref="F685">_xlfn.IFS(C685&gt;=_xlfn.PERCENTILE.INC($C$2:$C$726,0.8),5,C685&gt;=_xlfn.PERCENTILE.INC($C$2:$C$726,0.6),4,C685&gt;=_xlfn.PERCENTILE.INC($C$2:$C$726,0.4),3,C685&gt;=_xlfn.PERCENTILE.INC($C$2:$C$726,0.2),2,TRUE,1)</f>
        <v>5</v>
      </c>
      <c r="G685" cm="1">
        <f t="array" ref="G685">_xlfn.IFS(D685&gt;=_xlfn.PERCENTILE.INC($D$2:$D$726,0.8),5,D685&gt;=_xlfn.PERCENTILE.INC($D$2:$D$726,0.6),4,D685&gt;=_xlfn.PERCENTILE.INC($D$2:$D$726,0.4),3,D685&gt;=_xlfn.PERCENTILE.INC($D$2:$D$726,0.2),2,TRUE,1)</f>
        <v>4</v>
      </c>
      <c r="H685">
        <f t="shared" si="10"/>
        <v>12</v>
      </c>
      <c r="I685" t="str" cm="1">
        <f t="array" ref="I685">_xlfn.IFS(H685&gt;=13,"Best Customers",H685&gt;=10,"Loyal Customers",H685&gt;=7,"Potential Loyal Customers",H685&gt;=4,"Need Attention",TRUE,"At Risk")</f>
        <v>Loyal Customers</v>
      </c>
    </row>
    <row r="686" spans="1:9" x14ac:dyDescent="0.25">
      <c r="A686" t="s">
        <v>2131</v>
      </c>
      <c r="B686" s="4">
        <v>604</v>
      </c>
      <c r="C686">
        <v>3</v>
      </c>
      <c r="D686">
        <v>57.4</v>
      </c>
      <c r="E686" cm="1">
        <f t="array" ref="E686">_xlfn.IFS(B686&lt;=_xlfn.PERCENTILE.INC($B$2:$B$726,0.2),5, B686&lt;=_xlfn.PERCENTILE.INC($B$2:$B$726,0.4),4,B686&lt;=_xlfn.PERCENTILE.INC($B$2:$B$726,0.6),3,B686&lt;=_xlfn.PERCENTILE.INC($B$2:$B$726,0.8),4,TRUE,1)</f>
        <v>4</v>
      </c>
      <c r="F686" cm="1">
        <f t="array" ref="F686">_xlfn.IFS(C686&gt;=_xlfn.PERCENTILE.INC($C$2:$C$726,0.8),5,C686&gt;=_xlfn.PERCENTILE.INC($C$2:$C$726,0.6),4,C686&gt;=_xlfn.PERCENTILE.INC($C$2:$C$726,0.4),3,C686&gt;=_xlfn.PERCENTILE.INC($C$2:$C$726,0.2),2,TRUE,1)</f>
        <v>1</v>
      </c>
      <c r="G686" cm="1">
        <f t="array" ref="G686">_xlfn.IFS(D686&gt;=_xlfn.PERCENTILE.INC($D$2:$D$726,0.8),5,D686&gt;=_xlfn.PERCENTILE.INC($D$2:$D$726,0.6),4,D686&gt;=_xlfn.PERCENTILE.INC($D$2:$D$726,0.4),3,D686&gt;=_xlfn.PERCENTILE.INC($D$2:$D$726,0.2),2,TRUE,1)</f>
        <v>1</v>
      </c>
      <c r="H686">
        <f t="shared" si="10"/>
        <v>6</v>
      </c>
      <c r="I686" t="str" cm="1">
        <f t="array" ref="I686">_xlfn.IFS(H686&gt;=13,"Best Customers",H686&gt;=10,"Loyal Customers",H686&gt;=7,"Potential Loyal Customers",H686&gt;=4,"Need Attention",TRUE,"At Risk")</f>
        <v>Need Attention</v>
      </c>
    </row>
    <row r="687" spans="1:9" x14ac:dyDescent="0.25">
      <c r="A687" t="s">
        <v>3318</v>
      </c>
      <c r="B687" s="4">
        <v>350</v>
      </c>
      <c r="C687">
        <v>10</v>
      </c>
      <c r="D687">
        <v>317.2</v>
      </c>
      <c r="E687" cm="1">
        <f t="array" ref="E687">_xlfn.IFS(B687&lt;=_xlfn.PERCENTILE.INC($B$2:$B$726,0.2),5, B687&lt;=_xlfn.PERCENTILE.INC($B$2:$B$726,0.4),4,B687&lt;=_xlfn.PERCENTILE.INC($B$2:$B$726,0.6),3,B687&lt;=_xlfn.PERCENTILE.INC($B$2:$B$726,0.8),4,TRUE,1)</f>
        <v>5</v>
      </c>
      <c r="F687" cm="1">
        <f t="array" ref="F687">_xlfn.IFS(C687&gt;=_xlfn.PERCENTILE.INC($C$2:$C$726,0.8),5,C687&gt;=_xlfn.PERCENTILE.INC($C$2:$C$726,0.6),4,C687&gt;=_xlfn.PERCENTILE.INC($C$2:$C$726,0.4),3,C687&gt;=_xlfn.PERCENTILE.INC($C$2:$C$726,0.2),2,TRUE,1)</f>
        <v>5</v>
      </c>
      <c r="G687" cm="1">
        <f t="array" ref="G687">_xlfn.IFS(D687&gt;=_xlfn.PERCENTILE.INC($D$2:$D$726,0.8),5,D687&gt;=_xlfn.PERCENTILE.INC($D$2:$D$726,0.6),4,D687&gt;=_xlfn.PERCENTILE.INC($D$2:$D$726,0.4),3,D687&gt;=_xlfn.PERCENTILE.INC($D$2:$D$726,0.2),2,TRUE,1)</f>
        <v>4</v>
      </c>
      <c r="H687">
        <f t="shared" si="10"/>
        <v>14</v>
      </c>
      <c r="I687" t="str" cm="1">
        <f t="array" ref="I687">_xlfn.IFS(H687&gt;=13,"Best Customers",H687&gt;=10,"Loyal Customers",H687&gt;=7,"Potential Loyal Customers",H687&gt;=4,"Need Attention",TRUE,"At Risk")</f>
        <v>Best Customers</v>
      </c>
    </row>
    <row r="688" spans="1:9" x14ac:dyDescent="0.25">
      <c r="A688" t="s">
        <v>517</v>
      </c>
      <c r="B688" s="4">
        <v>400</v>
      </c>
      <c r="C688">
        <v>6</v>
      </c>
      <c r="D688">
        <v>154.4</v>
      </c>
      <c r="E688" cm="1">
        <f t="array" ref="E688">_xlfn.IFS(B688&lt;=_xlfn.PERCENTILE.INC($B$2:$B$726,0.2),5, B688&lt;=_xlfn.PERCENTILE.INC($B$2:$B$726,0.4),4,B688&lt;=_xlfn.PERCENTILE.INC($B$2:$B$726,0.6),3,B688&lt;=_xlfn.PERCENTILE.INC($B$2:$B$726,0.8),4,TRUE,1)</f>
        <v>4</v>
      </c>
      <c r="F688" cm="1">
        <f t="array" ref="F688">_xlfn.IFS(C688&gt;=_xlfn.PERCENTILE.INC($C$2:$C$726,0.8),5,C688&gt;=_xlfn.PERCENTILE.INC($C$2:$C$726,0.6),4,C688&gt;=_xlfn.PERCENTILE.INC($C$2:$C$726,0.4),3,C688&gt;=_xlfn.PERCENTILE.INC($C$2:$C$726,0.2),2,TRUE,1)</f>
        <v>4</v>
      </c>
      <c r="G688" cm="1">
        <f t="array" ref="G688">_xlfn.IFS(D688&gt;=_xlfn.PERCENTILE.INC($D$2:$D$726,0.8),5,D688&gt;=_xlfn.PERCENTILE.INC($D$2:$D$726,0.6),4,D688&gt;=_xlfn.PERCENTILE.INC($D$2:$D$726,0.4),3,D688&gt;=_xlfn.PERCENTILE.INC($D$2:$D$726,0.2),2,TRUE,1)</f>
        <v>2</v>
      </c>
      <c r="H688">
        <f t="shared" si="10"/>
        <v>10</v>
      </c>
      <c r="I688" t="str" cm="1">
        <f t="array" ref="I688">_xlfn.IFS(H688&gt;=13,"Best Customers",H688&gt;=10,"Loyal Customers",H688&gt;=7,"Potential Loyal Customers",H688&gt;=4,"Need Attention",TRUE,"At Risk")</f>
        <v>Loyal Customers</v>
      </c>
    </row>
    <row r="689" spans="1:9" x14ac:dyDescent="0.25">
      <c r="A689" t="s">
        <v>1788</v>
      </c>
      <c r="B689" s="4">
        <v>543</v>
      </c>
      <c r="C689">
        <v>3</v>
      </c>
      <c r="D689">
        <v>77.900000000000006</v>
      </c>
      <c r="E689" cm="1">
        <f t="array" ref="E689">_xlfn.IFS(B689&lt;=_xlfn.PERCENTILE.INC($B$2:$B$726,0.2),5, B689&lt;=_xlfn.PERCENTILE.INC($B$2:$B$726,0.4),4,B689&lt;=_xlfn.PERCENTILE.INC($B$2:$B$726,0.6),3,B689&lt;=_xlfn.PERCENTILE.INC($B$2:$B$726,0.8),4,TRUE,1)</f>
        <v>3</v>
      </c>
      <c r="F689" cm="1">
        <f t="array" ref="F689">_xlfn.IFS(C689&gt;=_xlfn.PERCENTILE.INC($C$2:$C$726,0.8),5,C689&gt;=_xlfn.PERCENTILE.INC($C$2:$C$726,0.6),4,C689&gt;=_xlfn.PERCENTILE.INC($C$2:$C$726,0.4),3,C689&gt;=_xlfn.PERCENTILE.INC($C$2:$C$726,0.2),2,TRUE,1)</f>
        <v>1</v>
      </c>
      <c r="G689" cm="1">
        <f t="array" ref="G689">_xlfn.IFS(D689&gt;=_xlfn.PERCENTILE.INC($D$2:$D$726,0.8),5,D689&gt;=_xlfn.PERCENTILE.INC($D$2:$D$726,0.6),4,D689&gt;=_xlfn.PERCENTILE.INC($D$2:$D$726,0.4),3,D689&gt;=_xlfn.PERCENTILE.INC($D$2:$D$726,0.2),2,TRUE,1)</f>
        <v>1</v>
      </c>
      <c r="H689">
        <f t="shared" si="10"/>
        <v>5</v>
      </c>
      <c r="I689" t="str" cm="1">
        <f t="array" ref="I689">_xlfn.IFS(H689&gt;=13,"Best Customers",H689&gt;=10,"Loyal Customers",H689&gt;=7,"Potential Loyal Customers",H689&gt;=4,"Need Attention",TRUE,"At Risk")</f>
        <v>Need Attention</v>
      </c>
    </row>
    <row r="690" spans="1:9" x14ac:dyDescent="0.25">
      <c r="A690" t="s">
        <v>1059</v>
      </c>
      <c r="B690" s="4">
        <v>1040</v>
      </c>
      <c r="C690">
        <v>4</v>
      </c>
      <c r="D690">
        <v>286.60000000000002</v>
      </c>
      <c r="E690" cm="1">
        <f t="array" ref="E690">_xlfn.IFS(B690&lt;=_xlfn.PERCENTILE.INC($B$2:$B$726,0.2),5, B690&lt;=_xlfn.PERCENTILE.INC($B$2:$B$726,0.4),4,B690&lt;=_xlfn.PERCENTILE.INC($B$2:$B$726,0.6),3,B690&lt;=_xlfn.PERCENTILE.INC($B$2:$B$726,0.8),4,TRUE,1)</f>
        <v>1</v>
      </c>
      <c r="F690" cm="1">
        <f t="array" ref="F690">_xlfn.IFS(C690&gt;=_xlfn.PERCENTILE.INC($C$2:$C$726,0.8),5,C690&gt;=_xlfn.PERCENTILE.INC($C$2:$C$726,0.6),4,C690&gt;=_xlfn.PERCENTILE.INC($C$2:$C$726,0.4),3,C690&gt;=_xlfn.PERCENTILE.INC($C$2:$C$726,0.2),2,TRUE,1)</f>
        <v>2</v>
      </c>
      <c r="G690" cm="1">
        <f t="array" ref="G690">_xlfn.IFS(D690&gt;=_xlfn.PERCENTILE.INC($D$2:$D$726,0.8),5,D690&gt;=_xlfn.PERCENTILE.INC($D$2:$D$726,0.6),4,D690&gt;=_xlfn.PERCENTILE.INC($D$2:$D$726,0.4),3,D690&gt;=_xlfn.PERCENTILE.INC($D$2:$D$726,0.2),2,TRUE,1)</f>
        <v>3</v>
      </c>
      <c r="H690">
        <f t="shared" si="10"/>
        <v>6</v>
      </c>
      <c r="I690" t="str" cm="1">
        <f t="array" ref="I690">_xlfn.IFS(H690&gt;=13,"Best Customers",H690&gt;=10,"Loyal Customers",H690&gt;=7,"Potential Loyal Customers",H690&gt;=4,"Need Attention",TRUE,"At Risk")</f>
        <v>Need Attention</v>
      </c>
    </row>
    <row r="691" spans="1:9" x14ac:dyDescent="0.25">
      <c r="A691" t="s">
        <v>2754</v>
      </c>
      <c r="B691" s="4">
        <v>405</v>
      </c>
      <c r="C691">
        <v>4</v>
      </c>
      <c r="D691">
        <v>229.9</v>
      </c>
      <c r="E691" cm="1">
        <f t="array" ref="E691">_xlfn.IFS(B691&lt;=_xlfn.PERCENTILE.INC($B$2:$B$726,0.2),5, B691&lt;=_xlfn.PERCENTILE.INC($B$2:$B$726,0.4),4,B691&lt;=_xlfn.PERCENTILE.INC($B$2:$B$726,0.6),3,B691&lt;=_xlfn.PERCENTILE.INC($B$2:$B$726,0.8),4,TRUE,1)</f>
        <v>4</v>
      </c>
      <c r="F691" cm="1">
        <f t="array" ref="F691">_xlfn.IFS(C691&gt;=_xlfn.PERCENTILE.INC($C$2:$C$726,0.8),5,C691&gt;=_xlfn.PERCENTILE.INC($C$2:$C$726,0.6),4,C691&gt;=_xlfn.PERCENTILE.INC($C$2:$C$726,0.4),3,C691&gt;=_xlfn.PERCENTILE.INC($C$2:$C$726,0.2),2,TRUE,1)</f>
        <v>2</v>
      </c>
      <c r="G691" cm="1">
        <f t="array" ref="G691">_xlfn.IFS(D691&gt;=_xlfn.PERCENTILE.INC($D$2:$D$726,0.8),5,D691&gt;=_xlfn.PERCENTILE.INC($D$2:$D$726,0.6),4,D691&gt;=_xlfn.PERCENTILE.INC($D$2:$D$726,0.4),3,D691&gt;=_xlfn.PERCENTILE.INC($D$2:$D$726,0.2),2,TRUE,1)</f>
        <v>2</v>
      </c>
      <c r="H691">
        <f t="shared" si="10"/>
        <v>8</v>
      </c>
      <c r="I691" t="str" cm="1">
        <f t="array" ref="I691">_xlfn.IFS(H691&gt;=13,"Best Customers",H691&gt;=10,"Loyal Customers",H691&gt;=7,"Potential Loyal Customers",H691&gt;=4,"Need Attention",TRUE,"At Risk")</f>
        <v>Potential Loyal Customers</v>
      </c>
    </row>
    <row r="692" spans="1:9" x14ac:dyDescent="0.25">
      <c r="A692" t="s">
        <v>638</v>
      </c>
      <c r="B692" s="4">
        <v>336</v>
      </c>
      <c r="C692">
        <v>9</v>
      </c>
      <c r="D692">
        <v>549</v>
      </c>
      <c r="E692" cm="1">
        <f t="array" ref="E692">_xlfn.IFS(B692&lt;=_xlfn.PERCENTILE.INC($B$2:$B$726,0.2),5, B692&lt;=_xlfn.PERCENTILE.INC($B$2:$B$726,0.4),4,B692&lt;=_xlfn.PERCENTILE.INC($B$2:$B$726,0.6),3,B692&lt;=_xlfn.PERCENTILE.INC($B$2:$B$726,0.8),4,TRUE,1)</f>
        <v>5</v>
      </c>
      <c r="F692" cm="1">
        <f t="array" ref="F692">_xlfn.IFS(C692&gt;=_xlfn.PERCENTILE.INC($C$2:$C$726,0.8),5,C692&gt;=_xlfn.PERCENTILE.INC($C$2:$C$726,0.6),4,C692&gt;=_xlfn.PERCENTILE.INC($C$2:$C$726,0.4),3,C692&gt;=_xlfn.PERCENTILE.INC($C$2:$C$726,0.2),2,TRUE,1)</f>
        <v>5</v>
      </c>
      <c r="G692" cm="1">
        <f t="array" ref="G692">_xlfn.IFS(D692&gt;=_xlfn.PERCENTILE.INC($D$2:$D$726,0.8),5,D692&gt;=_xlfn.PERCENTILE.INC($D$2:$D$726,0.6),4,D692&gt;=_xlfn.PERCENTILE.INC($D$2:$D$726,0.4),3,D692&gt;=_xlfn.PERCENTILE.INC($D$2:$D$726,0.2),2,TRUE,1)</f>
        <v>5</v>
      </c>
      <c r="H692">
        <f t="shared" si="10"/>
        <v>15</v>
      </c>
      <c r="I692" t="str" cm="1">
        <f t="array" ref="I692">_xlfn.IFS(H692&gt;=13,"Best Customers",H692&gt;=10,"Loyal Customers",H692&gt;=7,"Potential Loyal Customers",H692&gt;=4,"Need Attention",TRUE,"At Risk")</f>
        <v>Best Customers</v>
      </c>
    </row>
    <row r="693" spans="1:9" x14ac:dyDescent="0.25">
      <c r="A693" t="s">
        <v>2036</v>
      </c>
      <c r="B693" s="4">
        <v>610</v>
      </c>
      <c r="C693">
        <v>7</v>
      </c>
      <c r="D693">
        <v>237.6</v>
      </c>
      <c r="E693" cm="1">
        <f t="array" ref="E693">_xlfn.IFS(B693&lt;=_xlfn.PERCENTILE.INC($B$2:$B$726,0.2),5, B693&lt;=_xlfn.PERCENTILE.INC($B$2:$B$726,0.4),4,B693&lt;=_xlfn.PERCENTILE.INC($B$2:$B$726,0.6),3,B693&lt;=_xlfn.PERCENTILE.INC($B$2:$B$726,0.8),4,TRUE,1)</f>
        <v>4</v>
      </c>
      <c r="F693" cm="1">
        <f t="array" ref="F693">_xlfn.IFS(C693&gt;=_xlfn.PERCENTILE.INC($C$2:$C$726,0.8),5,C693&gt;=_xlfn.PERCENTILE.INC($C$2:$C$726,0.6),4,C693&gt;=_xlfn.PERCENTILE.INC($C$2:$C$726,0.4),3,C693&gt;=_xlfn.PERCENTILE.INC($C$2:$C$726,0.2),2,TRUE,1)</f>
        <v>4</v>
      </c>
      <c r="G693" cm="1">
        <f t="array" ref="G693">_xlfn.IFS(D693&gt;=_xlfn.PERCENTILE.INC($D$2:$D$726,0.8),5,D693&gt;=_xlfn.PERCENTILE.INC($D$2:$D$726,0.6),4,D693&gt;=_xlfn.PERCENTILE.INC($D$2:$D$726,0.4),3,D693&gt;=_xlfn.PERCENTILE.INC($D$2:$D$726,0.2),2,TRUE,1)</f>
        <v>3</v>
      </c>
      <c r="H693">
        <f t="shared" si="10"/>
        <v>11</v>
      </c>
      <c r="I693" t="str" cm="1">
        <f t="array" ref="I693">_xlfn.IFS(H693&gt;=13,"Best Customers",H693&gt;=10,"Loyal Customers",H693&gt;=7,"Potential Loyal Customers",H693&gt;=4,"Need Attention",TRUE,"At Risk")</f>
        <v>Loyal Customers</v>
      </c>
    </row>
    <row r="694" spans="1:9" x14ac:dyDescent="0.25">
      <c r="A694" t="s">
        <v>728</v>
      </c>
      <c r="B694" s="4">
        <v>438</v>
      </c>
      <c r="C694">
        <v>6</v>
      </c>
      <c r="D694">
        <v>458.79999999999995</v>
      </c>
      <c r="E694" cm="1">
        <f t="array" ref="E694">_xlfn.IFS(B694&lt;=_xlfn.PERCENTILE.INC($B$2:$B$726,0.2),5, B694&lt;=_xlfn.PERCENTILE.INC($B$2:$B$726,0.4),4,B694&lt;=_xlfn.PERCENTILE.INC($B$2:$B$726,0.6),3,B694&lt;=_xlfn.PERCENTILE.INC($B$2:$B$726,0.8),4,TRUE,1)</f>
        <v>4</v>
      </c>
      <c r="F694" cm="1">
        <f t="array" ref="F694">_xlfn.IFS(C694&gt;=_xlfn.PERCENTILE.INC($C$2:$C$726,0.8),5,C694&gt;=_xlfn.PERCENTILE.INC($C$2:$C$726,0.6),4,C694&gt;=_xlfn.PERCENTILE.INC($C$2:$C$726,0.4),3,C694&gt;=_xlfn.PERCENTILE.INC($C$2:$C$726,0.2),2,TRUE,1)</f>
        <v>4</v>
      </c>
      <c r="G694" cm="1">
        <f t="array" ref="G694">_xlfn.IFS(D694&gt;=_xlfn.PERCENTILE.INC($D$2:$D$726,0.8),5,D694&gt;=_xlfn.PERCENTILE.INC($D$2:$D$726,0.6),4,D694&gt;=_xlfn.PERCENTILE.INC($D$2:$D$726,0.4),3,D694&gt;=_xlfn.PERCENTILE.INC($D$2:$D$726,0.2),2,TRUE,1)</f>
        <v>5</v>
      </c>
      <c r="H694">
        <f t="shared" si="10"/>
        <v>13</v>
      </c>
      <c r="I694" t="str" cm="1">
        <f t="array" ref="I694">_xlfn.IFS(H694&gt;=13,"Best Customers",H694&gt;=10,"Loyal Customers",H694&gt;=7,"Potential Loyal Customers",H694&gt;=4,"Need Attention",TRUE,"At Risk")</f>
        <v>Best Customers</v>
      </c>
    </row>
    <row r="695" spans="1:9" x14ac:dyDescent="0.25">
      <c r="A695" t="s">
        <v>1293</v>
      </c>
      <c r="B695" s="4">
        <v>1177</v>
      </c>
      <c r="C695">
        <v>7</v>
      </c>
      <c r="D695">
        <v>181.5</v>
      </c>
      <c r="E695" cm="1">
        <f t="array" ref="E695">_xlfn.IFS(B695&lt;=_xlfn.PERCENTILE.INC($B$2:$B$726,0.2),5, B695&lt;=_xlfn.PERCENTILE.INC($B$2:$B$726,0.4),4,B695&lt;=_xlfn.PERCENTILE.INC($B$2:$B$726,0.6),3,B695&lt;=_xlfn.PERCENTILE.INC($B$2:$B$726,0.8),4,TRUE,1)</f>
        <v>1</v>
      </c>
      <c r="F695" cm="1">
        <f t="array" ref="F695">_xlfn.IFS(C695&gt;=_xlfn.PERCENTILE.INC($C$2:$C$726,0.8),5,C695&gt;=_xlfn.PERCENTILE.INC($C$2:$C$726,0.6),4,C695&gt;=_xlfn.PERCENTILE.INC($C$2:$C$726,0.4),3,C695&gt;=_xlfn.PERCENTILE.INC($C$2:$C$726,0.2),2,TRUE,1)</f>
        <v>4</v>
      </c>
      <c r="G695" cm="1">
        <f t="array" ref="G695">_xlfn.IFS(D695&gt;=_xlfn.PERCENTILE.INC($D$2:$D$726,0.8),5,D695&gt;=_xlfn.PERCENTILE.INC($D$2:$D$726,0.6),4,D695&gt;=_xlfn.PERCENTILE.INC($D$2:$D$726,0.4),3,D695&gt;=_xlfn.PERCENTILE.INC($D$2:$D$726,0.2),2,TRUE,1)</f>
        <v>2</v>
      </c>
      <c r="H695">
        <f t="shared" si="10"/>
        <v>7</v>
      </c>
      <c r="I695" t="str" cm="1">
        <f t="array" ref="I695">_xlfn.IFS(H695&gt;=13,"Best Customers",H695&gt;=10,"Loyal Customers",H695&gt;=7,"Potential Loyal Customers",H695&gt;=4,"Need Attention",TRUE,"At Risk")</f>
        <v>Potential Loyal Customers</v>
      </c>
    </row>
    <row r="696" spans="1:9" x14ac:dyDescent="0.25">
      <c r="A696" t="s">
        <v>544</v>
      </c>
      <c r="B696" s="4">
        <v>351</v>
      </c>
      <c r="C696">
        <v>11</v>
      </c>
      <c r="D696">
        <v>604.20000000000005</v>
      </c>
      <c r="E696" cm="1">
        <f t="array" ref="E696">_xlfn.IFS(B696&lt;=_xlfn.PERCENTILE.INC($B$2:$B$726,0.2),5, B696&lt;=_xlfn.PERCENTILE.INC($B$2:$B$726,0.4),4,B696&lt;=_xlfn.PERCENTILE.INC($B$2:$B$726,0.6),3,B696&lt;=_xlfn.PERCENTILE.INC($B$2:$B$726,0.8),4,TRUE,1)</f>
        <v>5</v>
      </c>
      <c r="F696" cm="1">
        <f t="array" ref="F696">_xlfn.IFS(C696&gt;=_xlfn.PERCENTILE.INC($C$2:$C$726,0.8),5,C696&gt;=_xlfn.PERCENTILE.INC($C$2:$C$726,0.6),4,C696&gt;=_xlfn.PERCENTILE.INC($C$2:$C$726,0.4),3,C696&gt;=_xlfn.PERCENTILE.INC($C$2:$C$726,0.2),2,TRUE,1)</f>
        <v>5</v>
      </c>
      <c r="G696" cm="1">
        <f t="array" ref="G696">_xlfn.IFS(D696&gt;=_xlfn.PERCENTILE.INC($D$2:$D$726,0.8),5,D696&gt;=_xlfn.PERCENTILE.INC($D$2:$D$726,0.6),4,D696&gt;=_xlfn.PERCENTILE.INC($D$2:$D$726,0.4),3,D696&gt;=_xlfn.PERCENTILE.INC($D$2:$D$726,0.2),2,TRUE,1)</f>
        <v>5</v>
      </c>
      <c r="H696">
        <f t="shared" si="10"/>
        <v>15</v>
      </c>
      <c r="I696" t="str" cm="1">
        <f t="array" ref="I696">_xlfn.IFS(H696&gt;=13,"Best Customers",H696&gt;=10,"Loyal Customers",H696&gt;=7,"Potential Loyal Customers",H696&gt;=4,"Need Attention",TRUE,"At Risk")</f>
        <v>Best Customers</v>
      </c>
    </row>
    <row r="697" spans="1:9" x14ac:dyDescent="0.25">
      <c r="A697" t="s">
        <v>3166</v>
      </c>
      <c r="B697" s="4">
        <v>817</v>
      </c>
      <c r="C697">
        <v>7</v>
      </c>
      <c r="D697">
        <v>334.8</v>
      </c>
      <c r="E697" cm="1">
        <f t="array" ref="E697">_xlfn.IFS(B697&lt;=_xlfn.PERCENTILE.INC($B$2:$B$726,0.2),5, B697&lt;=_xlfn.PERCENTILE.INC($B$2:$B$726,0.4),4,B697&lt;=_xlfn.PERCENTILE.INC($B$2:$B$726,0.6),3,B697&lt;=_xlfn.PERCENTILE.INC($B$2:$B$726,0.8),4,TRUE,1)</f>
        <v>1</v>
      </c>
      <c r="F697" cm="1">
        <f t="array" ref="F697">_xlfn.IFS(C697&gt;=_xlfn.PERCENTILE.INC($C$2:$C$726,0.8),5,C697&gt;=_xlfn.PERCENTILE.INC($C$2:$C$726,0.6),4,C697&gt;=_xlfn.PERCENTILE.INC($C$2:$C$726,0.4),3,C697&gt;=_xlfn.PERCENTILE.INC($C$2:$C$726,0.2),2,TRUE,1)</f>
        <v>4</v>
      </c>
      <c r="G697" cm="1">
        <f t="array" ref="G697">_xlfn.IFS(D697&gt;=_xlfn.PERCENTILE.INC($D$2:$D$726,0.8),5,D697&gt;=_xlfn.PERCENTILE.INC($D$2:$D$726,0.6),4,D697&gt;=_xlfn.PERCENTILE.INC($D$2:$D$726,0.4),3,D697&gt;=_xlfn.PERCENTILE.INC($D$2:$D$726,0.2),2,TRUE,1)</f>
        <v>4</v>
      </c>
      <c r="H697">
        <f t="shared" si="10"/>
        <v>9</v>
      </c>
      <c r="I697" t="str" cm="1">
        <f t="array" ref="I697">_xlfn.IFS(H697&gt;=13,"Best Customers",H697&gt;=10,"Loyal Customers",H697&gt;=7,"Potential Loyal Customers",H697&gt;=4,"Need Attention",TRUE,"At Risk")</f>
        <v>Potential Loyal Customers</v>
      </c>
    </row>
    <row r="698" spans="1:9" x14ac:dyDescent="0.25">
      <c r="A698" t="s">
        <v>1482</v>
      </c>
      <c r="B698" s="4">
        <v>459</v>
      </c>
      <c r="C698">
        <v>5</v>
      </c>
      <c r="D698">
        <v>315.39999999999998</v>
      </c>
      <c r="E698" cm="1">
        <f t="array" ref="E698">_xlfn.IFS(B698&lt;=_xlfn.PERCENTILE.INC($B$2:$B$726,0.2),5, B698&lt;=_xlfn.PERCENTILE.INC($B$2:$B$726,0.4),4,B698&lt;=_xlfn.PERCENTILE.INC($B$2:$B$726,0.6),3,B698&lt;=_xlfn.PERCENTILE.INC($B$2:$B$726,0.8),4,TRUE,1)</f>
        <v>4</v>
      </c>
      <c r="F698" cm="1">
        <f t="array" ref="F698">_xlfn.IFS(C698&gt;=_xlfn.PERCENTILE.INC($C$2:$C$726,0.8),5,C698&gt;=_xlfn.PERCENTILE.INC($C$2:$C$726,0.6),4,C698&gt;=_xlfn.PERCENTILE.INC($C$2:$C$726,0.4),3,C698&gt;=_xlfn.PERCENTILE.INC($C$2:$C$726,0.2),2,TRUE,1)</f>
        <v>3</v>
      </c>
      <c r="G698" cm="1">
        <f t="array" ref="G698">_xlfn.IFS(D698&gt;=_xlfn.PERCENTILE.INC($D$2:$D$726,0.8),5,D698&gt;=_xlfn.PERCENTILE.INC($D$2:$D$726,0.6),4,D698&gt;=_xlfn.PERCENTILE.INC($D$2:$D$726,0.4),3,D698&gt;=_xlfn.PERCENTILE.INC($D$2:$D$726,0.2),2,TRUE,1)</f>
        <v>4</v>
      </c>
      <c r="H698">
        <f t="shared" si="10"/>
        <v>11</v>
      </c>
      <c r="I698" t="str" cm="1">
        <f t="array" ref="I698">_xlfn.IFS(H698&gt;=13,"Best Customers",H698&gt;=10,"Loyal Customers",H698&gt;=7,"Potential Loyal Customers",H698&gt;=4,"Need Attention",TRUE,"At Risk")</f>
        <v>Loyal Customers</v>
      </c>
    </row>
    <row r="699" spans="1:9" x14ac:dyDescent="0.25">
      <c r="A699" t="s">
        <v>2711</v>
      </c>
      <c r="B699" s="4">
        <v>974</v>
      </c>
      <c r="C699">
        <v>5</v>
      </c>
      <c r="D699">
        <v>154</v>
      </c>
      <c r="E699" cm="1">
        <f t="array" ref="E699">_xlfn.IFS(B699&lt;=_xlfn.PERCENTILE.INC($B$2:$B$726,0.2),5, B699&lt;=_xlfn.PERCENTILE.INC($B$2:$B$726,0.4),4,B699&lt;=_xlfn.PERCENTILE.INC($B$2:$B$726,0.6),3,B699&lt;=_xlfn.PERCENTILE.INC($B$2:$B$726,0.8),4,TRUE,1)</f>
        <v>1</v>
      </c>
      <c r="F699" cm="1">
        <f t="array" ref="F699">_xlfn.IFS(C699&gt;=_xlfn.PERCENTILE.INC($C$2:$C$726,0.8),5,C699&gt;=_xlfn.PERCENTILE.INC($C$2:$C$726,0.6),4,C699&gt;=_xlfn.PERCENTILE.INC($C$2:$C$726,0.4),3,C699&gt;=_xlfn.PERCENTILE.INC($C$2:$C$726,0.2),2,TRUE,1)</f>
        <v>3</v>
      </c>
      <c r="G699" cm="1">
        <f t="array" ref="G699">_xlfn.IFS(D699&gt;=_xlfn.PERCENTILE.INC($D$2:$D$726,0.8),5,D699&gt;=_xlfn.PERCENTILE.INC($D$2:$D$726,0.6),4,D699&gt;=_xlfn.PERCENTILE.INC($D$2:$D$726,0.4),3,D699&gt;=_xlfn.PERCENTILE.INC($D$2:$D$726,0.2),2,TRUE,1)</f>
        <v>1</v>
      </c>
      <c r="H699">
        <f t="shared" si="10"/>
        <v>5</v>
      </c>
      <c r="I699" t="str" cm="1">
        <f t="array" ref="I699">_xlfn.IFS(H699&gt;=13,"Best Customers",H699&gt;=10,"Loyal Customers",H699&gt;=7,"Potential Loyal Customers",H699&gt;=4,"Need Attention",TRUE,"At Risk")</f>
        <v>Need Attention</v>
      </c>
    </row>
    <row r="700" spans="1:9" x14ac:dyDescent="0.25">
      <c r="A700" t="s">
        <v>1520</v>
      </c>
      <c r="B700" s="4">
        <v>437</v>
      </c>
      <c r="C700">
        <v>9</v>
      </c>
      <c r="D700">
        <v>624</v>
      </c>
      <c r="E700" cm="1">
        <f t="array" ref="E700">_xlfn.IFS(B700&lt;=_xlfn.PERCENTILE.INC($B$2:$B$726,0.2),5, B700&lt;=_xlfn.PERCENTILE.INC($B$2:$B$726,0.4),4,B700&lt;=_xlfn.PERCENTILE.INC($B$2:$B$726,0.6),3,B700&lt;=_xlfn.PERCENTILE.INC($B$2:$B$726,0.8),4,TRUE,1)</f>
        <v>4</v>
      </c>
      <c r="F700" cm="1">
        <f t="array" ref="F700">_xlfn.IFS(C700&gt;=_xlfn.PERCENTILE.INC($C$2:$C$726,0.8),5,C700&gt;=_xlfn.PERCENTILE.INC($C$2:$C$726,0.6),4,C700&gt;=_xlfn.PERCENTILE.INC($C$2:$C$726,0.4),3,C700&gt;=_xlfn.PERCENTILE.INC($C$2:$C$726,0.2),2,TRUE,1)</f>
        <v>5</v>
      </c>
      <c r="G700" cm="1">
        <f t="array" ref="G700">_xlfn.IFS(D700&gt;=_xlfn.PERCENTILE.INC($D$2:$D$726,0.8),5,D700&gt;=_xlfn.PERCENTILE.INC($D$2:$D$726,0.6),4,D700&gt;=_xlfn.PERCENTILE.INC($D$2:$D$726,0.4),3,D700&gt;=_xlfn.PERCENTILE.INC($D$2:$D$726,0.2),2,TRUE,1)</f>
        <v>5</v>
      </c>
      <c r="H700">
        <f t="shared" si="10"/>
        <v>14</v>
      </c>
      <c r="I700" t="str" cm="1">
        <f t="array" ref="I700">_xlfn.IFS(H700&gt;=13,"Best Customers",H700&gt;=10,"Loyal Customers",H700&gt;=7,"Potential Loyal Customers",H700&gt;=4,"Need Attention",TRUE,"At Risk")</f>
        <v>Best Customers</v>
      </c>
    </row>
    <row r="701" spans="1:9" x14ac:dyDescent="0.25">
      <c r="A701" t="s">
        <v>3467</v>
      </c>
      <c r="B701" s="4">
        <v>668</v>
      </c>
      <c r="C701">
        <v>5</v>
      </c>
      <c r="D701">
        <v>224.39999999999998</v>
      </c>
      <c r="E701" cm="1">
        <f t="array" ref="E701">_xlfn.IFS(B701&lt;=_xlfn.PERCENTILE.INC($B$2:$B$726,0.2),5, B701&lt;=_xlfn.PERCENTILE.INC($B$2:$B$726,0.4),4,B701&lt;=_xlfn.PERCENTILE.INC($B$2:$B$726,0.6),3,B701&lt;=_xlfn.PERCENTILE.INC($B$2:$B$726,0.8),4,TRUE,1)</f>
        <v>4</v>
      </c>
      <c r="F701" cm="1">
        <f t="array" ref="F701">_xlfn.IFS(C701&gt;=_xlfn.PERCENTILE.INC($C$2:$C$726,0.8),5,C701&gt;=_xlfn.PERCENTILE.INC($C$2:$C$726,0.6),4,C701&gt;=_xlfn.PERCENTILE.INC($C$2:$C$726,0.4),3,C701&gt;=_xlfn.PERCENTILE.INC($C$2:$C$726,0.2),2,TRUE,1)</f>
        <v>3</v>
      </c>
      <c r="G701" cm="1">
        <f t="array" ref="G701">_xlfn.IFS(D701&gt;=_xlfn.PERCENTILE.INC($D$2:$D$726,0.8),5,D701&gt;=_xlfn.PERCENTILE.INC($D$2:$D$726,0.6),4,D701&gt;=_xlfn.PERCENTILE.INC($D$2:$D$726,0.4),3,D701&gt;=_xlfn.PERCENTILE.INC($D$2:$D$726,0.2),2,TRUE,1)</f>
        <v>2</v>
      </c>
      <c r="H701">
        <f t="shared" si="10"/>
        <v>9</v>
      </c>
      <c r="I701" t="str" cm="1">
        <f t="array" ref="I701">_xlfn.IFS(H701&gt;=13,"Best Customers",H701&gt;=10,"Loyal Customers",H701&gt;=7,"Potential Loyal Customers",H701&gt;=4,"Need Attention",TRUE,"At Risk")</f>
        <v>Potential Loyal Customers</v>
      </c>
    </row>
    <row r="702" spans="1:9" x14ac:dyDescent="0.25">
      <c r="A702" t="s">
        <v>2769</v>
      </c>
      <c r="B702" s="4">
        <v>488</v>
      </c>
      <c r="C702">
        <v>9</v>
      </c>
      <c r="D702">
        <v>562.6</v>
      </c>
      <c r="E702" cm="1">
        <f t="array" ref="E702">_xlfn.IFS(B702&lt;=_xlfn.PERCENTILE.INC($B$2:$B$726,0.2),5, B702&lt;=_xlfn.PERCENTILE.INC($B$2:$B$726,0.4),4,B702&lt;=_xlfn.PERCENTILE.INC($B$2:$B$726,0.6),3,B702&lt;=_xlfn.PERCENTILE.INC($B$2:$B$726,0.8),4,TRUE,1)</f>
        <v>3</v>
      </c>
      <c r="F702" cm="1">
        <f t="array" ref="F702">_xlfn.IFS(C702&gt;=_xlfn.PERCENTILE.INC($C$2:$C$726,0.8),5,C702&gt;=_xlfn.PERCENTILE.INC($C$2:$C$726,0.6),4,C702&gt;=_xlfn.PERCENTILE.INC($C$2:$C$726,0.4),3,C702&gt;=_xlfn.PERCENTILE.INC($C$2:$C$726,0.2),2,TRUE,1)</f>
        <v>5</v>
      </c>
      <c r="G702" cm="1">
        <f t="array" ref="G702">_xlfn.IFS(D702&gt;=_xlfn.PERCENTILE.INC($D$2:$D$726,0.8),5,D702&gt;=_xlfn.PERCENTILE.INC($D$2:$D$726,0.6),4,D702&gt;=_xlfn.PERCENTILE.INC($D$2:$D$726,0.4),3,D702&gt;=_xlfn.PERCENTILE.INC($D$2:$D$726,0.2),2,TRUE,1)</f>
        <v>5</v>
      </c>
      <c r="H702">
        <f t="shared" si="10"/>
        <v>13</v>
      </c>
      <c r="I702" t="str" cm="1">
        <f t="array" ref="I702">_xlfn.IFS(H702&gt;=13,"Best Customers",H702&gt;=10,"Loyal Customers",H702&gt;=7,"Potential Loyal Customers",H702&gt;=4,"Need Attention",TRUE,"At Risk")</f>
        <v>Best Customers</v>
      </c>
    </row>
    <row r="703" spans="1:9" x14ac:dyDescent="0.25">
      <c r="A703" t="s">
        <v>3124</v>
      </c>
      <c r="B703" s="4">
        <v>624</v>
      </c>
      <c r="C703">
        <v>5</v>
      </c>
      <c r="D703">
        <v>220</v>
      </c>
      <c r="E703" cm="1">
        <f t="array" ref="E703">_xlfn.IFS(B703&lt;=_xlfn.PERCENTILE.INC($B$2:$B$726,0.2),5, B703&lt;=_xlfn.PERCENTILE.INC($B$2:$B$726,0.4),4,B703&lt;=_xlfn.PERCENTILE.INC($B$2:$B$726,0.6),3,B703&lt;=_xlfn.PERCENTILE.INC($B$2:$B$726,0.8),4,TRUE,1)</f>
        <v>4</v>
      </c>
      <c r="F703" cm="1">
        <f t="array" ref="F703">_xlfn.IFS(C703&gt;=_xlfn.PERCENTILE.INC($C$2:$C$726,0.8),5,C703&gt;=_xlfn.PERCENTILE.INC($C$2:$C$726,0.6),4,C703&gt;=_xlfn.PERCENTILE.INC($C$2:$C$726,0.4),3,C703&gt;=_xlfn.PERCENTILE.INC($C$2:$C$726,0.2),2,TRUE,1)</f>
        <v>3</v>
      </c>
      <c r="G703" cm="1">
        <f t="array" ref="G703">_xlfn.IFS(D703&gt;=_xlfn.PERCENTILE.INC($D$2:$D$726,0.8),5,D703&gt;=_xlfn.PERCENTILE.INC($D$2:$D$726,0.6),4,D703&gt;=_xlfn.PERCENTILE.INC($D$2:$D$726,0.4),3,D703&gt;=_xlfn.PERCENTILE.INC($D$2:$D$726,0.2),2,TRUE,1)</f>
        <v>2</v>
      </c>
      <c r="H703">
        <f t="shared" si="10"/>
        <v>9</v>
      </c>
      <c r="I703" t="str" cm="1">
        <f t="array" ref="I703">_xlfn.IFS(H703&gt;=13,"Best Customers",H703&gt;=10,"Loyal Customers",H703&gt;=7,"Potential Loyal Customers",H703&gt;=4,"Need Attention",TRUE,"At Risk")</f>
        <v>Potential Loyal Customers</v>
      </c>
    </row>
    <row r="704" spans="1:9" x14ac:dyDescent="0.25">
      <c r="A704" t="s">
        <v>3063</v>
      </c>
      <c r="B704" s="4">
        <v>1280</v>
      </c>
      <c r="C704">
        <v>4</v>
      </c>
      <c r="D704">
        <v>74.900000000000006</v>
      </c>
      <c r="E704" cm="1">
        <f t="array" ref="E704">_xlfn.IFS(B704&lt;=_xlfn.PERCENTILE.INC($B$2:$B$726,0.2),5, B704&lt;=_xlfn.PERCENTILE.INC($B$2:$B$726,0.4),4,B704&lt;=_xlfn.PERCENTILE.INC($B$2:$B$726,0.6),3,B704&lt;=_xlfn.PERCENTILE.INC($B$2:$B$726,0.8),4,TRUE,1)</f>
        <v>1</v>
      </c>
      <c r="F704" cm="1">
        <f t="array" ref="F704">_xlfn.IFS(C704&gt;=_xlfn.PERCENTILE.INC($C$2:$C$726,0.8),5,C704&gt;=_xlfn.PERCENTILE.INC($C$2:$C$726,0.6),4,C704&gt;=_xlfn.PERCENTILE.INC($C$2:$C$726,0.4),3,C704&gt;=_xlfn.PERCENTILE.INC($C$2:$C$726,0.2),2,TRUE,1)</f>
        <v>2</v>
      </c>
      <c r="G704" cm="1">
        <f t="array" ref="G704">_xlfn.IFS(D704&gt;=_xlfn.PERCENTILE.INC($D$2:$D$726,0.8),5,D704&gt;=_xlfn.PERCENTILE.INC($D$2:$D$726,0.6),4,D704&gt;=_xlfn.PERCENTILE.INC($D$2:$D$726,0.4),3,D704&gt;=_xlfn.PERCENTILE.INC($D$2:$D$726,0.2),2,TRUE,1)</f>
        <v>1</v>
      </c>
      <c r="H704">
        <f t="shared" si="10"/>
        <v>4</v>
      </c>
      <c r="I704" t="str" cm="1">
        <f t="array" ref="I704">_xlfn.IFS(H704&gt;=13,"Best Customers",H704&gt;=10,"Loyal Customers",H704&gt;=7,"Potential Loyal Customers",H704&gt;=4,"Need Attention",TRUE,"At Risk")</f>
        <v>Need Attention</v>
      </c>
    </row>
    <row r="705" spans="1:9" x14ac:dyDescent="0.25">
      <c r="A705" t="s">
        <v>1803</v>
      </c>
      <c r="B705" s="4">
        <v>644</v>
      </c>
      <c r="C705">
        <v>8</v>
      </c>
      <c r="D705">
        <v>346.00000000000006</v>
      </c>
      <c r="E705" cm="1">
        <f t="array" ref="E705">_xlfn.IFS(B705&lt;=_xlfn.PERCENTILE.INC($B$2:$B$726,0.2),5, B705&lt;=_xlfn.PERCENTILE.INC($B$2:$B$726,0.4),4,B705&lt;=_xlfn.PERCENTILE.INC($B$2:$B$726,0.6),3,B705&lt;=_xlfn.PERCENTILE.INC($B$2:$B$726,0.8),4,TRUE,1)</f>
        <v>4</v>
      </c>
      <c r="F705" cm="1">
        <f t="array" ref="F705">_xlfn.IFS(C705&gt;=_xlfn.PERCENTILE.INC($C$2:$C$726,0.8),5,C705&gt;=_xlfn.PERCENTILE.INC($C$2:$C$726,0.6),4,C705&gt;=_xlfn.PERCENTILE.INC($C$2:$C$726,0.4),3,C705&gt;=_xlfn.PERCENTILE.INC($C$2:$C$726,0.2),2,TRUE,1)</f>
        <v>5</v>
      </c>
      <c r="G705" cm="1">
        <f t="array" ref="G705">_xlfn.IFS(D705&gt;=_xlfn.PERCENTILE.INC($D$2:$D$726,0.8),5,D705&gt;=_xlfn.PERCENTILE.INC($D$2:$D$726,0.6),4,D705&gt;=_xlfn.PERCENTILE.INC($D$2:$D$726,0.4),3,D705&gt;=_xlfn.PERCENTILE.INC($D$2:$D$726,0.2),2,TRUE,1)</f>
        <v>4</v>
      </c>
      <c r="H705">
        <f t="shared" si="10"/>
        <v>13</v>
      </c>
      <c r="I705" t="str" cm="1">
        <f t="array" ref="I705">_xlfn.IFS(H705&gt;=13,"Best Customers",H705&gt;=10,"Loyal Customers",H705&gt;=7,"Potential Loyal Customers",H705&gt;=4,"Need Attention",TRUE,"At Risk")</f>
        <v>Best Customers</v>
      </c>
    </row>
    <row r="706" spans="1:9" x14ac:dyDescent="0.25">
      <c r="A706" t="s">
        <v>685</v>
      </c>
      <c r="B706" s="4">
        <v>527</v>
      </c>
      <c r="C706">
        <v>4</v>
      </c>
      <c r="D706">
        <v>140.30000000000001</v>
      </c>
      <c r="E706" cm="1">
        <f t="array" ref="E706">_xlfn.IFS(B706&lt;=_xlfn.PERCENTILE.INC($B$2:$B$726,0.2),5, B706&lt;=_xlfn.PERCENTILE.INC($B$2:$B$726,0.4),4,B706&lt;=_xlfn.PERCENTILE.INC($B$2:$B$726,0.6),3,B706&lt;=_xlfn.PERCENTILE.INC($B$2:$B$726,0.8),4,TRUE,1)</f>
        <v>3</v>
      </c>
      <c r="F706" cm="1">
        <f t="array" ref="F706">_xlfn.IFS(C706&gt;=_xlfn.PERCENTILE.INC($C$2:$C$726,0.8),5,C706&gt;=_xlfn.PERCENTILE.INC($C$2:$C$726,0.6),4,C706&gt;=_xlfn.PERCENTILE.INC($C$2:$C$726,0.4),3,C706&gt;=_xlfn.PERCENTILE.INC($C$2:$C$726,0.2),2,TRUE,1)</f>
        <v>2</v>
      </c>
      <c r="G706" cm="1">
        <f t="array" ref="G706">_xlfn.IFS(D706&gt;=_xlfn.PERCENTILE.INC($D$2:$D$726,0.8),5,D706&gt;=_xlfn.PERCENTILE.INC($D$2:$D$726,0.6),4,D706&gt;=_xlfn.PERCENTILE.INC($D$2:$D$726,0.4),3,D706&gt;=_xlfn.PERCENTILE.INC($D$2:$D$726,0.2),2,TRUE,1)</f>
        <v>1</v>
      </c>
      <c r="H706">
        <f t="shared" si="10"/>
        <v>6</v>
      </c>
      <c r="I706" t="str" cm="1">
        <f t="array" ref="I706">_xlfn.IFS(H706&gt;=13,"Best Customers",H706&gt;=10,"Loyal Customers",H706&gt;=7,"Potential Loyal Customers",H706&gt;=4,"Need Attention",TRUE,"At Risk")</f>
        <v>Need Attention</v>
      </c>
    </row>
    <row r="707" spans="1:9" x14ac:dyDescent="0.25">
      <c r="A707" t="s">
        <v>2158</v>
      </c>
      <c r="B707" s="4">
        <v>529</v>
      </c>
      <c r="C707">
        <v>6</v>
      </c>
      <c r="D707">
        <v>180.9</v>
      </c>
      <c r="E707" cm="1">
        <f t="array" ref="E707">_xlfn.IFS(B707&lt;=_xlfn.PERCENTILE.INC($B$2:$B$726,0.2),5, B707&lt;=_xlfn.PERCENTILE.INC($B$2:$B$726,0.4),4,B707&lt;=_xlfn.PERCENTILE.INC($B$2:$B$726,0.6),3,B707&lt;=_xlfn.PERCENTILE.INC($B$2:$B$726,0.8),4,TRUE,1)</f>
        <v>3</v>
      </c>
      <c r="F707" cm="1">
        <f t="array" ref="F707">_xlfn.IFS(C707&gt;=_xlfn.PERCENTILE.INC($C$2:$C$726,0.8),5,C707&gt;=_xlfn.PERCENTILE.INC($C$2:$C$726,0.6),4,C707&gt;=_xlfn.PERCENTILE.INC($C$2:$C$726,0.4),3,C707&gt;=_xlfn.PERCENTILE.INC($C$2:$C$726,0.2),2,TRUE,1)</f>
        <v>4</v>
      </c>
      <c r="G707" cm="1">
        <f t="array" ref="G707">_xlfn.IFS(D707&gt;=_xlfn.PERCENTILE.INC($D$2:$D$726,0.8),5,D707&gt;=_xlfn.PERCENTILE.INC($D$2:$D$726,0.6),4,D707&gt;=_xlfn.PERCENTILE.INC($D$2:$D$726,0.4),3,D707&gt;=_xlfn.PERCENTILE.INC($D$2:$D$726,0.2),2,TRUE,1)</f>
        <v>2</v>
      </c>
      <c r="H707">
        <f t="shared" ref="H707:H770" si="11">SUM(E707,F707,G707)</f>
        <v>9</v>
      </c>
      <c r="I707" t="str" cm="1">
        <f t="array" ref="I707">_xlfn.IFS(H707&gt;=13,"Best Customers",H707&gt;=10,"Loyal Customers",H707&gt;=7,"Potential Loyal Customers",H707&gt;=4,"Need Attention",TRUE,"At Risk")</f>
        <v>Potential Loyal Customers</v>
      </c>
    </row>
    <row r="708" spans="1:9" x14ac:dyDescent="0.25">
      <c r="A708" t="s">
        <v>1866</v>
      </c>
      <c r="B708" s="4">
        <v>766</v>
      </c>
      <c r="C708">
        <v>3</v>
      </c>
      <c r="D708">
        <v>153.6</v>
      </c>
      <c r="E708" cm="1">
        <f t="array" ref="E708">_xlfn.IFS(B708&lt;=_xlfn.PERCENTILE.INC($B$2:$B$726,0.2),5, B708&lt;=_xlfn.PERCENTILE.INC($B$2:$B$726,0.4),4,B708&lt;=_xlfn.PERCENTILE.INC($B$2:$B$726,0.6),3,B708&lt;=_xlfn.PERCENTILE.INC($B$2:$B$726,0.8),4,TRUE,1)</f>
        <v>1</v>
      </c>
      <c r="F708" cm="1">
        <f t="array" ref="F708">_xlfn.IFS(C708&gt;=_xlfn.PERCENTILE.INC($C$2:$C$726,0.8),5,C708&gt;=_xlfn.PERCENTILE.INC($C$2:$C$726,0.6),4,C708&gt;=_xlfn.PERCENTILE.INC($C$2:$C$726,0.4),3,C708&gt;=_xlfn.PERCENTILE.INC($C$2:$C$726,0.2),2,TRUE,1)</f>
        <v>1</v>
      </c>
      <c r="G708" cm="1">
        <f t="array" ref="G708">_xlfn.IFS(D708&gt;=_xlfn.PERCENTILE.INC($D$2:$D$726,0.8),5,D708&gt;=_xlfn.PERCENTILE.INC($D$2:$D$726,0.6),4,D708&gt;=_xlfn.PERCENTILE.INC($D$2:$D$726,0.4),3,D708&gt;=_xlfn.PERCENTILE.INC($D$2:$D$726,0.2),2,TRUE,1)</f>
        <v>1</v>
      </c>
      <c r="H708">
        <f t="shared" si="11"/>
        <v>3</v>
      </c>
      <c r="I708" t="str" cm="1">
        <f t="array" ref="I708">_xlfn.IFS(H708&gt;=13,"Best Customers",H708&gt;=10,"Loyal Customers",H708&gt;=7,"Potential Loyal Customers",H708&gt;=4,"Need Attention",TRUE,"At Risk")</f>
        <v>At Risk</v>
      </c>
    </row>
    <row r="709" spans="1:9" x14ac:dyDescent="0.25">
      <c r="A709" t="s">
        <v>592</v>
      </c>
      <c r="B709" s="4">
        <v>464</v>
      </c>
      <c r="C709">
        <v>7</v>
      </c>
      <c r="D709">
        <v>187.3</v>
      </c>
      <c r="E709" cm="1">
        <f t="array" ref="E709">_xlfn.IFS(B709&lt;=_xlfn.PERCENTILE.INC($B$2:$B$726,0.2),5, B709&lt;=_xlfn.PERCENTILE.INC($B$2:$B$726,0.4),4,B709&lt;=_xlfn.PERCENTILE.INC($B$2:$B$726,0.6),3,B709&lt;=_xlfn.PERCENTILE.INC($B$2:$B$726,0.8),4,TRUE,1)</f>
        <v>3</v>
      </c>
      <c r="F709" cm="1">
        <f t="array" ref="F709">_xlfn.IFS(C709&gt;=_xlfn.PERCENTILE.INC($C$2:$C$726,0.8),5,C709&gt;=_xlfn.PERCENTILE.INC($C$2:$C$726,0.6),4,C709&gt;=_xlfn.PERCENTILE.INC($C$2:$C$726,0.4),3,C709&gt;=_xlfn.PERCENTILE.INC($C$2:$C$726,0.2),2,TRUE,1)</f>
        <v>4</v>
      </c>
      <c r="G709" cm="1">
        <f t="array" ref="G709">_xlfn.IFS(D709&gt;=_xlfn.PERCENTILE.INC($D$2:$D$726,0.8),5,D709&gt;=_xlfn.PERCENTILE.INC($D$2:$D$726,0.6),4,D709&gt;=_xlfn.PERCENTILE.INC($D$2:$D$726,0.4),3,D709&gt;=_xlfn.PERCENTILE.INC($D$2:$D$726,0.2),2,TRUE,1)</f>
        <v>2</v>
      </c>
      <c r="H709">
        <f t="shared" si="11"/>
        <v>9</v>
      </c>
      <c r="I709" t="str" cm="1">
        <f t="array" ref="I709">_xlfn.IFS(H709&gt;=13,"Best Customers",H709&gt;=10,"Loyal Customers",H709&gt;=7,"Potential Loyal Customers",H709&gt;=4,"Need Attention",TRUE,"At Risk")</f>
        <v>Potential Loyal Customers</v>
      </c>
    </row>
    <row r="710" spans="1:9" x14ac:dyDescent="0.25">
      <c r="A710" t="s">
        <v>2654</v>
      </c>
      <c r="B710" s="4">
        <v>747</v>
      </c>
      <c r="C710">
        <v>8</v>
      </c>
      <c r="D710">
        <v>414.40000000000003</v>
      </c>
      <c r="E710" cm="1">
        <f t="array" ref="E710">_xlfn.IFS(B710&lt;=_xlfn.PERCENTILE.INC($B$2:$B$726,0.2),5, B710&lt;=_xlfn.PERCENTILE.INC($B$2:$B$726,0.4),4,B710&lt;=_xlfn.PERCENTILE.INC($B$2:$B$726,0.6),3,B710&lt;=_xlfn.PERCENTILE.INC($B$2:$B$726,0.8),4,TRUE,1)</f>
        <v>1</v>
      </c>
      <c r="F710" cm="1">
        <f t="array" ref="F710">_xlfn.IFS(C710&gt;=_xlfn.PERCENTILE.INC($C$2:$C$726,0.8),5,C710&gt;=_xlfn.PERCENTILE.INC($C$2:$C$726,0.6),4,C710&gt;=_xlfn.PERCENTILE.INC($C$2:$C$726,0.4),3,C710&gt;=_xlfn.PERCENTILE.INC($C$2:$C$726,0.2),2,TRUE,1)</f>
        <v>5</v>
      </c>
      <c r="G710" cm="1">
        <f t="array" ref="G710">_xlfn.IFS(D710&gt;=_xlfn.PERCENTILE.INC($D$2:$D$726,0.8),5,D710&gt;=_xlfn.PERCENTILE.INC($D$2:$D$726,0.6),4,D710&gt;=_xlfn.PERCENTILE.INC($D$2:$D$726,0.4),3,D710&gt;=_xlfn.PERCENTILE.INC($D$2:$D$726,0.2),2,TRUE,1)</f>
        <v>5</v>
      </c>
      <c r="H710">
        <f t="shared" si="11"/>
        <v>11</v>
      </c>
      <c r="I710" t="str" cm="1">
        <f t="array" ref="I710">_xlfn.IFS(H710&gt;=13,"Best Customers",H710&gt;=10,"Loyal Customers",H710&gt;=7,"Potential Loyal Customers",H710&gt;=4,"Need Attention",TRUE,"At Risk")</f>
        <v>Loyal Customers</v>
      </c>
    </row>
    <row r="711" spans="1:9" x14ac:dyDescent="0.25">
      <c r="A711" t="s">
        <v>3351</v>
      </c>
      <c r="B711" s="4">
        <v>352</v>
      </c>
      <c r="C711">
        <v>11</v>
      </c>
      <c r="D711">
        <v>683.1</v>
      </c>
      <c r="E711" cm="1">
        <f t="array" ref="E711">_xlfn.IFS(B711&lt;=_xlfn.PERCENTILE.INC($B$2:$B$726,0.2),5, B711&lt;=_xlfn.PERCENTILE.INC($B$2:$B$726,0.4),4,B711&lt;=_xlfn.PERCENTILE.INC($B$2:$B$726,0.6),3,B711&lt;=_xlfn.PERCENTILE.INC($B$2:$B$726,0.8),4,TRUE,1)</f>
        <v>5</v>
      </c>
      <c r="F711" cm="1">
        <f t="array" ref="F711">_xlfn.IFS(C711&gt;=_xlfn.PERCENTILE.INC($C$2:$C$726,0.8),5,C711&gt;=_xlfn.PERCENTILE.INC($C$2:$C$726,0.6),4,C711&gt;=_xlfn.PERCENTILE.INC($C$2:$C$726,0.4),3,C711&gt;=_xlfn.PERCENTILE.INC($C$2:$C$726,0.2),2,TRUE,1)</f>
        <v>5</v>
      </c>
      <c r="G711" cm="1">
        <f t="array" ref="G711">_xlfn.IFS(D711&gt;=_xlfn.PERCENTILE.INC($D$2:$D$726,0.8),5,D711&gt;=_xlfn.PERCENTILE.INC($D$2:$D$726,0.6),4,D711&gt;=_xlfn.PERCENTILE.INC($D$2:$D$726,0.4),3,D711&gt;=_xlfn.PERCENTILE.INC($D$2:$D$726,0.2),2,TRUE,1)</f>
        <v>5</v>
      </c>
      <c r="H711">
        <f t="shared" si="11"/>
        <v>15</v>
      </c>
      <c r="I711" t="str" cm="1">
        <f t="array" ref="I711">_xlfn.IFS(H711&gt;=13,"Best Customers",H711&gt;=10,"Loyal Customers",H711&gt;=7,"Potential Loyal Customers",H711&gt;=4,"Need Attention",TRUE,"At Risk")</f>
        <v>Best Customers</v>
      </c>
    </row>
    <row r="712" spans="1:9" x14ac:dyDescent="0.25">
      <c r="A712" t="s">
        <v>2727</v>
      </c>
      <c r="B712" s="4">
        <v>375</v>
      </c>
      <c r="C712">
        <v>7</v>
      </c>
      <c r="D712">
        <v>230.4</v>
      </c>
      <c r="E712" cm="1">
        <f t="array" ref="E712">_xlfn.IFS(B712&lt;=_xlfn.PERCENTILE.INC($B$2:$B$726,0.2),5, B712&lt;=_xlfn.PERCENTILE.INC($B$2:$B$726,0.4),4,B712&lt;=_xlfn.PERCENTILE.INC($B$2:$B$726,0.6),3,B712&lt;=_xlfn.PERCENTILE.INC($B$2:$B$726,0.8),4,TRUE,1)</f>
        <v>5</v>
      </c>
      <c r="F712" cm="1">
        <f t="array" ref="F712">_xlfn.IFS(C712&gt;=_xlfn.PERCENTILE.INC($C$2:$C$726,0.8),5,C712&gt;=_xlfn.PERCENTILE.INC($C$2:$C$726,0.6),4,C712&gt;=_xlfn.PERCENTILE.INC($C$2:$C$726,0.4),3,C712&gt;=_xlfn.PERCENTILE.INC($C$2:$C$726,0.2),2,TRUE,1)</f>
        <v>4</v>
      </c>
      <c r="G712" cm="1">
        <f t="array" ref="G712">_xlfn.IFS(D712&gt;=_xlfn.PERCENTILE.INC($D$2:$D$726,0.8),5,D712&gt;=_xlfn.PERCENTILE.INC($D$2:$D$726,0.6),4,D712&gt;=_xlfn.PERCENTILE.INC($D$2:$D$726,0.4),3,D712&gt;=_xlfn.PERCENTILE.INC($D$2:$D$726,0.2),2,TRUE,1)</f>
        <v>2</v>
      </c>
      <c r="H712">
        <f t="shared" si="11"/>
        <v>11</v>
      </c>
      <c r="I712" t="str" cm="1">
        <f t="array" ref="I712">_xlfn.IFS(H712&gt;=13,"Best Customers",H712&gt;=10,"Loyal Customers",H712&gt;=7,"Potential Loyal Customers",H712&gt;=4,"Need Attention",TRUE,"At Risk")</f>
        <v>Loyal Customers</v>
      </c>
    </row>
    <row r="713" spans="1:9" x14ac:dyDescent="0.25">
      <c r="A713" t="s">
        <v>3449</v>
      </c>
      <c r="B713" s="4">
        <v>360</v>
      </c>
      <c r="C713">
        <v>8</v>
      </c>
      <c r="D713">
        <v>582.59999999999991</v>
      </c>
      <c r="E713" cm="1">
        <f t="array" ref="E713">_xlfn.IFS(B713&lt;=_xlfn.PERCENTILE.INC($B$2:$B$726,0.2),5, B713&lt;=_xlfn.PERCENTILE.INC($B$2:$B$726,0.4),4,B713&lt;=_xlfn.PERCENTILE.INC($B$2:$B$726,0.6),3,B713&lt;=_xlfn.PERCENTILE.INC($B$2:$B$726,0.8),4,TRUE,1)</f>
        <v>5</v>
      </c>
      <c r="F713" cm="1">
        <f t="array" ref="F713">_xlfn.IFS(C713&gt;=_xlfn.PERCENTILE.INC($C$2:$C$726,0.8),5,C713&gt;=_xlfn.PERCENTILE.INC($C$2:$C$726,0.6),4,C713&gt;=_xlfn.PERCENTILE.INC($C$2:$C$726,0.4),3,C713&gt;=_xlfn.PERCENTILE.INC($C$2:$C$726,0.2),2,TRUE,1)</f>
        <v>5</v>
      </c>
      <c r="G713" cm="1">
        <f t="array" ref="G713">_xlfn.IFS(D713&gt;=_xlfn.PERCENTILE.INC($D$2:$D$726,0.8),5,D713&gt;=_xlfn.PERCENTILE.INC($D$2:$D$726,0.6),4,D713&gt;=_xlfn.PERCENTILE.INC($D$2:$D$726,0.4),3,D713&gt;=_xlfn.PERCENTILE.INC($D$2:$D$726,0.2),2,TRUE,1)</f>
        <v>5</v>
      </c>
      <c r="H713">
        <f t="shared" si="11"/>
        <v>15</v>
      </c>
      <c r="I713" t="str" cm="1">
        <f t="array" ref="I713">_xlfn.IFS(H713&gt;=13,"Best Customers",H713&gt;=10,"Loyal Customers",H713&gt;=7,"Potential Loyal Customers",H713&gt;=4,"Need Attention",TRUE,"At Risk")</f>
        <v>Best Customers</v>
      </c>
    </row>
    <row r="714" spans="1:9" x14ac:dyDescent="0.25">
      <c r="A714" t="s">
        <v>1666</v>
      </c>
      <c r="B714" s="4">
        <v>371</v>
      </c>
      <c r="C714">
        <v>8</v>
      </c>
      <c r="D714">
        <v>330.20000000000005</v>
      </c>
      <c r="E714" cm="1">
        <f t="array" ref="E714">_xlfn.IFS(B714&lt;=_xlfn.PERCENTILE.INC($B$2:$B$726,0.2),5, B714&lt;=_xlfn.PERCENTILE.INC($B$2:$B$726,0.4),4,B714&lt;=_xlfn.PERCENTILE.INC($B$2:$B$726,0.6),3,B714&lt;=_xlfn.PERCENTILE.INC($B$2:$B$726,0.8),4,TRUE,1)</f>
        <v>5</v>
      </c>
      <c r="F714" cm="1">
        <f t="array" ref="F714">_xlfn.IFS(C714&gt;=_xlfn.PERCENTILE.INC($C$2:$C$726,0.8),5,C714&gt;=_xlfn.PERCENTILE.INC($C$2:$C$726,0.6),4,C714&gt;=_xlfn.PERCENTILE.INC($C$2:$C$726,0.4),3,C714&gt;=_xlfn.PERCENTILE.INC($C$2:$C$726,0.2),2,TRUE,1)</f>
        <v>5</v>
      </c>
      <c r="G714" cm="1">
        <f t="array" ref="G714">_xlfn.IFS(D714&gt;=_xlfn.PERCENTILE.INC($D$2:$D$726,0.8),5,D714&gt;=_xlfn.PERCENTILE.INC($D$2:$D$726,0.6),4,D714&gt;=_xlfn.PERCENTILE.INC($D$2:$D$726,0.4),3,D714&gt;=_xlfn.PERCENTILE.INC($D$2:$D$726,0.2),2,TRUE,1)</f>
        <v>4</v>
      </c>
      <c r="H714">
        <f t="shared" si="11"/>
        <v>14</v>
      </c>
      <c r="I714" t="str" cm="1">
        <f t="array" ref="I714">_xlfn.IFS(H714&gt;=13,"Best Customers",H714&gt;=10,"Loyal Customers",H714&gt;=7,"Potential Loyal Customers",H714&gt;=4,"Need Attention",TRUE,"At Risk")</f>
        <v>Best Customers</v>
      </c>
    </row>
    <row r="715" spans="1:9" x14ac:dyDescent="0.25">
      <c r="A715" t="s">
        <v>1262</v>
      </c>
      <c r="B715" s="4">
        <v>685</v>
      </c>
      <c r="C715">
        <v>6</v>
      </c>
      <c r="D715">
        <v>410.09999999999997</v>
      </c>
      <c r="E715" cm="1">
        <f t="array" ref="E715">_xlfn.IFS(B715&lt;=_xlfn.PERCENTILE.INC($B$2:$B$726,0.2),5, B715&lt;=_xlfn.PERCENTILE.INC($B$2:$B$726,0.4),4,B715&lt;=_xlfn.PERCENTILE.INC($B$2:$B$726,0.6),3,B715&lt;=_xlfn.PERCENTILE.INC($B$2:$B$726,0.8),4,TRUE,1)</f>
        <v>4</v>
      </c>
      <c r="F715" cm="1">
        <f t="array" ref="F715">_xlfn.IFS(C715&gt;=_xlfn.PERCENTILE.INC($C$2:$C$726,0.8),5,C715&gt;=_xlfn.PERCENTILE.INC($C$2:$C$726,0.6),4,C715&gt;=_xlfn.PERCENTILE.INC($C$2:$C$726,0.4),3,C715&gt;=_xlfn.PERCENTILE.INC($C$2:$C$726,0.2),2,TRUE,1)</f>
        <v>4</v>
      </c>
      <c r="G715" cm="1">
        <f t="array" ref="G715">_xlfn.IFS(D715&gt;=_xlfn.PERCENTILE.INC($D$2:$D$726,0.8),5,D715&gt;=_xlfn.PERCENTILE.INC($D$2:$D$726,0.6),4,D715&gt;=_xlfn.PERCENTILE.INC($D$2:$D$726,0.4),3,D715&gt;=_xlfn.PERCENTILE.INC($D$2:$D$726,0.2),2,TRUE,1)</f>
        <v>5</v>
      </c>
      <c r="H715">
        <f t="shared" si="11"/>
        <v>13</v>
      </c>
      <c r="I715" t="str" cm="1">
        <f t="array" ref="I715">_xlfn.IFS(H715&gt;=13,"Best Customers",H715&gt;=10,"Loyal Customers",H715&gt;=7,"Potential Loyal Customers",H715&gt;=4,"Need Attention",TRUE,"At Risk")</f>
        <v>Best Customers</v>
      </c>
    </row>
    <row r="716" spans="1:9" x14ac:dyDescent="0.25">
      <c r="A716" t="s">
        <v>3060</v>
      </c>
      <c r="B716" s="4">
        <v>395</v>
      </c>
      <c r="C716">
        <v>4</v>
      </c>
      <c r="D716">
        <v>128.4</v>
      </c>
      <c r="E716" cm="1">
        <f t="array" ref="E716">_xlfn.IFS(B716&lt;=_xlfn.PERCENTILE.INC($B$2:$B$726,0.2),5, B716&lt;=_xlfn.PERCENTILE.INC($B$2:$B$726,0.4),4,B716&lt;=_xlfn.PERCENTILE.INC($B$2:$B$726,0.6),3,B716&lt;=_xlfn.PERCENTILE.INC($B$2:$B$726,0.8),4,TRUE,1)</f>
        <v>4</v>
      </c>
      <c r="F716" cm="1">
        <f t="array" ref="F716">_xlfn.IFS(C716&gt;=_xlfn.PERCENTILE.INC($C$2:$C$726,0.8),5,C716&gt;=_xlfn.PERCENTILE.INC($C$2:$C$726,0.6),4,C716&gt;=_xlfn.PERCENTILE.INC($C$2:$C$726,0.4),3,C716&gt;=_xlfn.PERCENTILE.INC($C$2:$C$726,0.2),2,TRUE,1)</f>
        <v>2</v>
      </c>
      <c r="G716" cm="1">
        <f t="array" ref="G716">_xlfn.IFS(D716&gt;=_xlfn.PERCENTILE.INC($D$2:$D$726,0.8),5,D716&gt;=_xlfn.PERCENTILE.INC($D$2:$D$726,0.6),4,D716&gt;=_xlfn.PERCENTILE.INC($D$2:$D$726,0.4),3,D716&gt;=_xlfn.PERCENTILE.INC($D$2:$D$726,0.2),2,TRUE,1)</f>
        <v>1</v>
      </c>
      <c r="H716">
        <f t="shared" si="11"/>
        <v>7</v>
      </c>
      <c r="I716" t="str" cm="1">
        <f t="array" ref="I716">_xlfn.IFS(H716&gt;=13,"Best Customers",H716&gt;=10,"Loyal Customers",H716&gt;=7,"Potential Loyal Customers",H716&gt;=4,"Need Attention",TRUE,"At Risk")</f>
        <v>Potential Loyal Customers</v>
      </c>
    </row>
    <row r="717" spans="1:9" x14ac:dyDescent="0.25">
      <c r="A717" t="s">
        <v>1902</v>
      </c>
      <c r="B717" s="4">
        <v>530</v>
      </c>
      <c r="C717">
        <v>9</v>
      </c>
      <c r="D717">
        <v>482.40000000000003</v>
      </c>
      <c r="E717" cm="1">
        <f t="array" ref="E717">_xlfn.IFS(B717&lt;=_xlfn.PERCENTILE.INC($B$2:$B$726,0.2),5, B717&lt;=_xlfn.PERCENTILE.INC($B$2:$B$726,0.4),4,B717&lt;=_xlfn.PERCENTILE.INC($B$2:$B$726,0.6),3,B717&lt;=_xlfn.PERCENTILE.INC($B$2:$B$726,0.8),4,TRUE,1)</f>
        <v>3</v>
      </c>
      <c r="F717" cm="1">
        <f t="array" ref="F717">_xlfn.IFS(C717&gt;=_xlfn.PERCENTILE.INC($C$2:$C$726,0.8),5,C717&gt;=_xlfn.PERCENTILE.INC($C$2:$C$726,0.6),4,C717&gt;=_xlfn.PERCENTILE.INC($C$2:$C$726,0.4),3,C717&gt;=_xlfn.PERCENTILE.INC($C$2:$C$726,0.2),2,TRUE,1)</f>
        <v>5</v>
      </c>
      <c r="G717" cm="1">
        <f t="array" ref="G717">_xlfn.IFS(D717&gt;=_xlfn.PERCENTILE.INC($D$2:$D$726,0.8),5,D717&gt;=_xlfn.PERCENTILE.INC($D$2:$D$726,0.6),4,D717&gt;=_xlfn.PERCENTILE.INC($D$2:$D$726,0.4),3,D717&gt;=_xlfn.PERCENTILE.INC($D$2:$D$726,0.2),2,TRUE,1)</f>
        <v>5</v>
      </c>
      <c r="H717">
        <f t="shared" si="11"/>
        <v>13</v>
      </c>
      <c r="I717" t="str" cm="1">
        <f t="array" ref="I717">_xlfn.IFS(H717&gt;=13,"Best Customers",H717&gt;=10,"Loyal Customers",H717&gt;=7,"Potential Loyal Customers",H717&gt;=4,"Need Attention",TRUE,"At Risk")</f>
        <v>Best Customers</v>
      </c>
    </row>
    <row r="718" spans="1:9" x14ac:dyDescent="0.25">
      <c r="A718" t="s">
        <v>1523</v>
      </c>
      <c r="B718" s="4">
        <v>343</v>
      </c>
      <c r="C718">
        <v>11</v>
      </c>
      <c r="D718">
        <v>734.19999999999993</v>
      </c>
      <c r="E718" cm="1">
        <f t="array" ref="E718">_xlfn.IFS(B718&lt;=_xlfn.PERCENTILE.INC($B$2:$B$726,0.2),5, B718&lt;=_xlfn.PERCENTILE.INC($B$2:$B$726,0.4),4,B718&lt;=_xlfn.PERCENTILE.INC($B$2:$B$726,0.6),3,B718&lt;=_xlfn.PERCENTILE.INC($B$2:$B$726,0.8),4,TRUE,1)</f>
        <v>5</v>
      </c>
      <c r="F718" cm="1">
        <f t="array" ref="F718">_xlfn.IFS(C718&gt;=_xlfn.PERCENTILE.INC($C$2:$C$726,0.8),5,C718&gt;=_xlfn.PERCENTILE.INC($C$2:$C$726,0.6),4,C718&gt;=_xlfn.PERCENTILE.INC($C$2:$C$726,0.4),3,C718&gt;=_xlfn.PERCENTILE.INC($C$2:$C$726,0.2),2,TRUE,1)</f>
        <v>5</v>
      </c>
      <c r="G718" cm="1">
        <f t="array" ref="G718">_xlfn.IFS(D718&gt;=_xlfn.PERCENTILE.INC($D$2:$D$726,0.8),5,D718&gt;=_xlfn.PERCENTILE.INC($D$2:$D$726,0.6),4,D718&gt;=_xlfn.PERCENTILE.INC($D$2:$D$726,0.4),3,D718&gt;=_xlfn.PERCENTILE.INC($D$2:$D$726,0.2),2,TRUE,1)</f>
        <v>5</v>
      </c>
      <c r="H718">
        <f t="shared" si="11"/>
        <v>15</v>
      </c>
      <c r="I718" t="str" cm="1">
        <f t="array" ref="I718">_xlfn.IFS(H718&gt;=13,"Best Customers",H718&gt;=10,"Loyal Customers",H718&gt;=7,"Potential Loyal Customers",H718&gt;=4,"Need Attention",TRUE,"At Risk")</f>
        <v>Best Customers</v>
      </c>
    </row>
    <row r="719" spans="1:9" x14ac:dyDescent="0.25">
      <c r="A719" t="s">
        <v>2898</v>
      </c>
      <c r="B719" s="4">
        <v>884</v>
      </c>
      <c r="C719">
        <v>6</v>
      </c>
      <c r="D719">
        <v>181.8</v>
      </c>
      <c r="E719" cm="1">
        <f t="array" ref="E719">_xlfn.IFS(B719&lt;=_xlfn.PERCENTILE.INC($B$2:$B$726,0.2),5, B719&lt;=_xlfn.PERCENTILE.INC($B$2:$B$726,0.4),4,B719&lt;=_xlfn.PERCENTILE.INC($B$2:$B$726,0.6),3,B719&lt;=_xlfn.PERCENTILE.INC($B$2:$B$726,0.8),4,TRUE,1)</f>
        <v>1</v>
      </c>
      <c r="F719" cm="1">
        <f t="array" ref="F719">_xlfn.IFS(C719&gt;=_xlfn.PERCENTILE.INC($C$2:$C$726,0.8),5,C719&gt;=_xlfn.PERCENTILE.INC($C$2:$C$726,0.6),4,C719&gt;=_xlfn.PERCENTILE.INC($C$2:$C$726,0.4),3,C719&gt;=_xlfn.PERCENTILE.INC($C$2:$C$726,0.2),2,TRUE,1)</f>
        <v>4</v>
      </c>
      <c r="G719" cm="1">
        <f t="array" ref="G719">_xlfn.IFS(D719&gt;=_xlfn.PERCENTILE.INC($D$2:$D$726,0.8),5,D719&gt;=_xlfn.PERCENTILE.INC($D$2:$D$726,0.6),4,D719&gt;=_xlfn.PERCENTILE.INC($D$2:$D$726,0.4),3,D719&gt;=_xlfn.PERCENTILE.INC($D$2:$D$726,0.2),2,TRUE,1)</f>
        <v>2</v>
      </c>
      <c r="H719">
        <f t="shared" si="11"/>
        <v>7</v>
      </c>
      <c r="I719" t="str" cm="1">
        <f t="array" ref="I719">_xlfn.IFS(H719&gt;=13,"Best Customers",H719&gt;=10,"Loyal Customers",H719&gt;=7,"Potential Loyal Customers",H719&gt;=4,"Need Attention",TRUE,"At Risk")</f>
        <v>Potential Loyal Customers</v>
      </c>
    </row>
    <row r="720" spans="1:9" x14ac:dyDescent="0.25">
      <c r="A720" t="s">
        <v>2009</v>
      </c>
      <c r="B720" s="4">
        <v>669</v>
      </c>
      <c r="C720">
        <v>7</v>
      </c>
      <c r="D720">
        <v>391.79999999999995</v>
      </c>
      <c r="E720" cm="1">
        <f t="array" ref="E720">_xlfn.IFS(B720&lt;=_xlfn.PERCENTILE.INC($B$2:$B$726,0.2),5, B720&lt;=_xlfn.PERCENTILE.INC($B$2:$B$726,0.4),4,B720&lt;=_xlfn.PERCENTILE.INC($B$2:$B$726,0.6),3,B720&lt;=_xlfn.PERCENTILE.INC($B$2:$B$726,0.8),4,TRUE,1)</f>
        <v>4</v>
      </c>
      <c r="F720" cm="1">
        <f t="array" ref="F720">_xlfn.IFS(C720&gt;=_xlfn.PERCENTILE.INC($C$2:$C$726,0.8),5,C720&gt;=_xlfn.PERCENTILE.INC($C$2:$C$726,0.6),4,C720&gt;=_xlfn.PERCENTILE.INC($C$2:$C$726,0.4),3,C720&gt;=_xlfn.PERCENTILE.INC($C$2:$C$726,0.2),2,TRUE,1)</f>
        <v>4</v>
      </c>
      <c r="G720" cm="1">
        <f t="array" ref="G720">_xlfn.IFS(D720&gt;=_xlfn.PERCENTILE.INC($D$2:$D$726,0.8),5,D720&gt;=_xlfn.PERCENTILE.INC($D$2:$D$726,0.6),4,D720&gt;=_xlfn.PERCENTILE.INC($D$2:$D$726,0.4),3,D720&gt;=_xlfn.PERCENTILE.INC($D$2:$D$726,0.2),2,TRUE,1)</f>
        <v>4</v>
      </c>
      <c r="H720">
        <f t="shared" si="11"/>
        <v>12</v>
      </c>
      <c r="I720" t="str" cm="1">
        <f t="array" ref="I720">_xlfn.IFS(H720&gt;=13,"Best Customers",H720&gt;=10,"Loyal Customers",H720&gt;=7,"Potential Loyal Customers",H720&gt;=4,"Need Attention",TRUE,"At Risk")</f>
        <v>Loyal Customers</v>
      </c>
    </row>
    <row r="721" spans="1:9" x14ac:dyDescent="0.25">
      <c r="A721" t="s">
        <v>2473</v>
      </c>
      <c r="B721" s="4">
        <v>653</v>
      </c>
      <c r="C721">
        <v>9</v>
      </c>
      <c r="D721">
        <v>543</v>
      </c>
      <c r="E721" cm="1">
        <f t="array" ref="E721">_xlfn.IFS(B721&lt;=_xlfn.PERCENTILE.INC($B$2:$B$726,0.2),5, B721&lt;=_xlfn.PERCENTILE.INC($B$2:$B$726,0.4),4,B721&lt;=_xlfn.PERCENTILE.INC($B$2:$B$726,0.6),3,B721&lt;=_xlfn.PERCENTILE.INC($B$2:$B$726,0.8),4,TRUE,1)</f>
        <v>4</v>
      </c>
      <c r="F721" cm="1">
        <f t="array" ref="F721">_xlfn.IFS(C721&gt;=_xlfn.PERCENTILE.INC($C$2:$C$726,0.8),5,C721&gt;=_xlfn.PERCENTILE.INC($C$2:$C$726,0.6),4,C721&gt;=_xlfn.PERCENTILE.INC($C$2:$C$726,0.4),3,C721&gt;=_xlfn.PERCENTILE.INC($C$2:$C$726,0.2),2,TRUE,1)</f>
        <v>5</v>
      </c>
      <c r="G721" cm="1">
        <f t="array" ref="G721">_xlfn.IFS(D721&gt;=_xlfn.PERCENTILE.INC($D$2:$D$726,0.8),5,D721&gt;=_xlfn.PERCENTILE.INC($D$2:$D$726,0.6),4,D721&gt;=_xlfn.PERCENTILE.INC($D$2:$D$726,0.4),3,D721&gt;=_xlfn.PERCENTILE.INC($D$2:$D$726,0.2),2,TRUE,1)</f>
        <v>5</v>
      </c>
      <c r="H721">
        <f t="shared" si="11"/>
        <v>14</v>
      </c>
      <c r="I721" t="str" cm="1">
        <f t="array" ref="I721">_xlfn.IFS(H721&gt;=13,"Best Customers",H721&gt;=10,"Loyal Customers",H721&gt;=7,"Potential Loyal Customers",H721&gt;=4,"Need Attention",TRUE,"At Risk")</f>
        <v>Best Customers</v>
      </c>
    </row>
    <row r="722" spans="1:9" x14ac:dyDescent="0.25">
      <c r="A722" t="s">
        <v>1175</v>
      </c>
      <c r="B722" s="4">
        <v>444</v>
      </c>
      <c r="C722">
        <v>11</v>
      </c>
      <c r="D722">
        <v>385.50000000000006</v>
      </c>
      <c r="E722" cm="1">
        <f t="array" ref="E722">_xlfn.IFS(B722&lt;=_xlfn.PERCENTILE.INC($B$2:$B$726,0.2),5, B722&lt;=_xlfn.PERCENTILE.INC($B$2:$B$726,0.4),4,B722&lt;=_xlfn.PERCENTILE.INC($B$2:$B$726,0.6),3,B722&lt;=_xlfn.PERCENTILE.INC($B$2:$B$726,0.8),4,TRUE,1)</f>
        <v>4</v>
      </c>
      <c r="F722" cm="1">
        <f t="array" ref="F722">_xlfn.IFS(C722&gt;=_xlfn.PERCENTILE.INC($C$2:$C$726,0.8),5,C722&gt;=_xlfn.PERCENTILE.INC($C$2:$C$726,0.6),4,C722&gt;=_xlfn.PERCENTILE.INC($C$2:$C$726,0.4),3,C722&gt;=_xlfn.PERCENTILE.INC($C$2:$C$726,0.2),2,TRUE,1)</f>
        <v>5</v>
      </c>
      <c r="G722" cm="1">
        <f t="array" ref="G722">_xlfn.IFS(D722&gt;=_xlfn.PERCENTILE.INC($D$2:$D$726,0.8),5,D722&gt;=_xlfn.PERCENTILE.INC($D$2:$D$726,0.6),4,D722&gt;=_xlfn.PERCENTILE.INC($D$2:$D$726,0.4),3,D722&gt;=_xlfn.PERCENTILE.INC($D$2:$D$726,0.2),2,TRUE,1)</f>
        <v>4</v>
      </c>
      <c r="H722">
        <f t="shared" si="11"/>
        <v>13</v>
      </c>
      <c r="I722" t="str" cm="1">
        <f t="array" ref="I722">_xlfn.IFS(H722&gt;=13,"Best Customers",H722&gt;=10,"Loyal Customers",H722&gt;=7,"Potential Loyal Customers",H722&gt;=4,"Need Attention",TRUE,"At Risk")</f>
        <v>Best Customers</v>
      </c>
    </row>
    <row r="723" spans="1:9" x14ac:dyDescent="0.25">
      <c r="A723" t="s">
        <v>1220</v>
      </c>
      <c r="B723" s="4">
        <v>364</v>
      </c>
      <c r="C723">
        <v>5</v>
      </c>
      <c r="D723">
        <v>173.3</v>
      </c>
      <c r="E723" cm="1">
        <f t="array" ref="E723">_xlfn.IFS(B723&lt;=_xlfn.PERCENTILE.INC($B$2:$B$726,0.2),5, B723&lt;=_xlfn.PERCENTILE.INC($B$2:$B$726,0.4),4,B723&lt;=_xlfn.PERCENTILE.INC($B$2:$B$726,0.6),3,B723&lt;=_xlfn.PERCENTILE.INC($B$2:$B$726,0.8),4,TRUE,1)</f>
        <v>5</v>
      </c>
      <c r="F723" cm="1">
        <f t="array" ref="F723">_xlfn.IFS(C723&gt;=_xlfn.PERCENTILE.INC($C$2:$C$726,0.8),5,C723&gt;=_xlfn.PERCENTILE.INC($C$2:$C$726,0.6),4,C723&gt;=_xlfn.PERCENTILE.INC($C$2:$C$726,0.4),3,C723&gt;=_xlfn.PERCENTILE.INC($C$2:$C$726,0.2),2,TRUE,1)</f>
        <v>3</v>
      </c>
      <c r="G723" cm="1">
        <f t="array" ref="G723">_xlfn.IFS(D723&gt;=_xlfn.PERCENTILE.INC($D$2:$D$726,0.8),5,D723&gt;=_xlfn.PERCENTILE.INC($D$2:$D$726,0.6),4,D723&gt;=_xlfn.PERCENTILE.INC($D$2:$D$726,0.4),3,D723&gt;=_xlfn.PERCENTILE.INC($D$2:$D$726,0.2),2,TRUE,1)</f>
        <v>2</v>
      </c>
      <c r="H723">
        <f t="shared" si="11"/>
        <v>10</v>
      </c>
      <c r="I723" t="str" cm="1">
        <f t="array" ref="I723">_xlfn.IFS(H723&gt;=13,"Best Customers",H723&gt;=10,"Loyal Customers",H723&gt;=7,"Potential Loyal Customers",H723&gt;=4,"Need Attention",TRUE,"At Risk")</f>
        <v>Loyal Customers</v>
      </c>
    </row>
    <row r="724" spans="1:9" x14ac:dyDescent="0.25">
      <c r="A724" t="s">
        <v>1315</v>
      </c>
      <c r="B724" s="4">
        <v>881</v>
      </c>
      <c r="C724">
        <v>4</v>
      </c>
      <c r="D724">
        <v>138.30000000000001</v>
      </c>
      <c r="E724" cm="1">
        <f t="array" ref="E724">_xlfn.IFS(B724&lt;=_xlfn.PERCENTILE.INC($B$2:$B$726,0.2),5, B724&lt;=_xlfn.PERCENTILE.INC($B$2:$B$726,0.4),4,B724&lt;=_xlfn.PERCENTILE.INC($B$2:$B$726,0.6),3,B724&lt;=_xlfn.PERCENTILE.INC($B$2:$B$726,0.8),4,TRUE,1)</f>
        <v>1</v>
      </c>
      <c r="F724" cm="1">
        <f t="array" ref="F724">_xlfn.IFS(C724&gt;=_xlfn.PERCENTILE.INC($C$2:$C$726,0.8),5,C724&gt;=_xlfn.PERCENTILE.INC($C$2:$C$726,0.6),4,C724&gt;=_xlfn.PERCENTILE.INC($C$2:$C$726,0.4),3,C724&gt;=_xlfn.PERCENTILE.INC($C$2:$C$726,0.2),2,TRUE,1)</f>
        <v>2</v>
      </c>
      <c r="G724" cm="1">
        <f t="array" ref="G724">_xlfn.IFS(D724&gt;=_xlfn.PERCENTILE.INC($D$2:$D$726,0.8),5,D724&gt;=_xlfn.PERCENTILE.INC($D$2:$D$726,0.6),4,D724&gt;=_xlfn.PERCENTILE.INC($D$2:$D$726,0.4),3,D724&gt;=_xlfn.PERCENTILE.INC($D$2:$D$726,0.2),2,TRUE,1)</f>
        <v>1</v>
      </c>
      <c r="H724">
        <f t="shared" si="11"/>
        <v>4</v>
      </c>
      <c r="I724" t="str" cm="1">
        <f t="array" ref="I724">_xlfn.IFS(H724&gt;=13,"Best Customers",H724&gt;=10,"Loyal Customers",H724&gt;=7,"Potential Loyal Customers",H724&gt;=4,"Need Attention",TRUE,"At Risk")</f>
        <v>Need Attention</v>
      </c>
    </row>
    <row r="725" spans="1:9" x14ac:dyDescent="0.25">
      <c r="A725" t="s">
        <v>667</v>
      </c>
      <c r="B725" s="4">
        <v>590</v>
      </c>
      <c r="C725">
        <v>6</v>
      </c>
      <c r="D725">
        <v>386.7</v>
      </c>
      <c r="E725" cm="1">
        <f t="array" ref="E725">_xlfn.IFS(B725&lt;=_xlfn.PERCENTILE.INC($B$2:$B$726,0.2),5, B725&lt;=_xlfn.PERCENTILE.INC($B$2:$B$726,0.4),4,B725&lt;=_xlfn.PERCENTILE.INC($B$2:$B$726,0.6),3,B725&lt;=_xlfn.PERCENTILE.INC($B$2:$B$726,0.8),4,TRUE,1)</f>
        <v>4</v>
      </c>
      <c r="F725" cm="1">
        <f t="array" ref="F725">_xlfn.IFS(C725&gt;=_xlfn.PERCENTILE.INC($C$2:$C$726,0.8),5,C725&gt;=_xlfn.PERCENTILE.INC($C$2:$C$726,0.6),4,C725&gt;=_xlfn.PERCENTILE.INC($C$2:$C$726,0.4),3,C725&gt;=_xlfn.PERCENTILE.INC($C$2:$C$726,0.2),2,TRUE,1)</f>
        <v>4</v>
      </c>
      <c r="G725" cm="1">
        <f t="array" ref="G725">_xlfn.IFS(D725&gt;=_xlfn.PERCENTILE.INC($D$2:$D$726,0.8),5,D725&gt;=_xlfn.PERCENTILE.INC($D$2:$D$726,0.6),4,D725&gt;=_xlfn.PERCENTILE.INC($D$2:$D$726,0.4),3,D725&gt;=_xlfn.PERCENTILE.INC($D$2:$D$726,0.2),2,TRUE,1)</f>
        <v>4</v>
      </c>
      <c r="H725">
        <f t="shared" si="11"/>
        <v>12</v>
      </c>
      <c r="I725" t="str" cm="1">
        <f t="array" ref="I725">_xlfn.IFS(H725&gt;=13,"Best Customers",H725&gt;=10,"Loyal Customers",H725&gt;=7,"Potential Loyal Customers",H725&gt;=4,"Need Attention",TRUE,"At Risk")</f>
        <v>Loyal Customers</v>
      </c>
    </row>
    <row r="726" spans="1:9" x14ac:dyDescent="0.25">
      <c r="A726" t="s">
        <v>3381</v>
      </c>
      <c r="B726" s="4">
        <v>691</v>
      </c>
      <c r="C726">
        <v>3</v>
      </c>
      <c r="D726">
        <v>136.5</v>
      </c>
      <c r="E726" cm="1">
        <f t="array" ref="E726">_xlfn.IFS(B726&lt;=_xlfn.PERCENTILE.INC($B$2:$B$726,0.2),5, B726&lt;=_xlfn.PERCENTILE.INC($B$2:$B$726,0.4),4,B726&lt;=_xlfn.PERCENTILE.INC($B$2:$B$726,0.6),3,B726&lt;=_xlfn.PERCENTILE.INC($B$2:$B$726,0.8),4,TRUE,1)</f>
        <v>4</v>
      </c>
      <c r="F726" cm="1">
        <f t="array" ref="F726">_xlfn.IFS(C726&gt;=_xlfn.PERCENTILE.INC($C$2:$C$726,0.8),5,C726&gt;=_xlfn.PERCENTILE.INC($C$2:$C$726,0.6),4,C726&gt;=_xlfn.PERCENTILE.INC($C$2:$C$726,0.4),3,C726&gt;=_xlfn.PERCENTILE.INC($C$2:$C$726,0.2),2,TRUE,1)</f>
        <v>1</v>
      </c>
      <c r="G726" cm="1">
        <f t="array" ref="G726">_xlfn.IFS(D726&gt;=_xlfn.PERCENTILE.INC($D$2:$D$726,0.8),5,D726&gt;=_xlfn.PERCENTILE.INC($D$2:$D$726,0.6),4,D726&gt;=_xlfn.PERCENTILE.INC($D$2:$D$726,0.4),3,D726&gt;=_xlfn.PERCENTILE.INC($D$2:$D$726,0.2),2,TRUE,1)</f>
        <v>1</v>
      </c>
      <c r="H726">
        <f t="shared" si="11"/>
        <v>6</v>
      </c>
      <c r="I726" t="str" cm="1">
        <f t="array" ref="I726">_xlfn.IFS(H726&gt;=13,"Best Customers",H726&gt;=10,"Loyal Customers",H726&gt;=7,"Potential Loyal Customers",H726&gt;=4,"Need Attention",TRUE,"At Risk")</f>
        <v>Need Attention</v>
      </c>
    </row>
    <row r="727" spans="1:9" x14ac:dyDescent="0.25">
      <c r="A727" t="s">
        <v>1455</v>
      </c>
      <c r="B727" s="4">
        <v>461</v>
      </c>
      <c r="C727">
        <v>3</v>
      </c>
      <c r="D727">
        <v>65.199999999999989</v>
      </c>
      <c r="E727" cm="1">
        <f t="array" ref="E727">_xlfn.IFS(B727&lt;=_xlfn.PERCENTILE.INC($B$2:$B$726,0.2),5, B727&lt;=_xlfn.PERCENTILE.INC($B$2:$B$726,0.4),4,B727&lt;=_xlfn.PERCENTILE.INC($B$2:$B$726,0.6),3,B727&lt;=_xlfn.PERCENTILE.INC($B$2:$B$726,0.8),4,TRUE,1)</f>
        <v>3</v>
      </c>
      <c r="F727" cm="1">
        <f t="array" ref="F727">_xlfn.IFS(C727&gt;=_xlfn.PERCENTILE.INC($C$2:$C$726,0.8),5,C727&gt;=_xlfn.PERCENTILE.INC($C$2:$C$726,0.6),4,C727&gt;=_xlfn.PERCENTILE.INC($C$2:$C$726,0.4),3,C727&gt;=_xlfn.PERCENTILE.INC($C$2:$C$726,0.2),2,TRUE,1)</f>
        <v>1</v>
      </c>
      <c r="G727" cm="1">
        <f t="array" ref="G727">_xlfn.IFS(D727&gt;=_xlfn.PERCENTILE.INC($D$2:$D$726,0.8),5,D727&gt;=_xlfn.PERCENTILE.INC($D$2:$D$726,0.6),4,D727&gt;=_xlfn.PERCENTILE.INC($D$2:$D$726,0.4),3,D727&gt;=_xlfn.PERCENTILE.INC($D$2:$D$726,0.2),2,TRUE,1)</f>
        <v>1</v>
      </c>
      <c r="H727">
        <f t="shared" si="11"/>
        <v>5</v>
      </c>
      <c r="I727" t="str" cm="1">
        <f t="array" ref="I727">_xlfn.IFS(H727&gt;=13,"Best Customers",H727&gt;=10,"Loyal Customers",H727&gt;=7,"Potential Loyal Customers",H727&gt;=4,"Need Attention",TRUE,"At Risk")</f>
        <v>Need Attention</v>
      </c>
    </row>
    <row r="728" spans="1:9" x14ac:dyDescent="0.25">
      <c r="A728" t="s">
        <v>1905</v>
      </c>
      <c r="B728" s="4">
        <v>619</v>
      </c>
      <c r="C728">
        <v>5</v>
      </c>
      <c r="D728">
        <v>276</v>
      </c>
      <c r="E728" cm="1">
        <f t="array" ref="E728">_xlfn.IFS(B728&lt;=_xlfn.PERCENTILE.INC($B$2:$B$726,0.2),5, B728&lt;=_xlfn.PERCENTILE.INC($B$2:$B$726,0.4),4,B728&lt;=_xlfn.PERCENTILE.INC($B$2:$B$726,0.6),3,B728&lt;=_xlfn.PERCENTILE.INC($B$2:$B$726,0.8),4,TRUE,1)</f>
        <v>4</v>
      </c>
      <c r="F728" cm="1">
        <f t="array" ref="F728">_xlfn.IFS(C728&gt;=_xlfn.PERCENTILE.INC($C$2:$C$726,0.8),5,C728&gt;=_xlfn.PERCENTILE.INC($C$2:$C$726,0.6),4,C728&gt;=_xlfn.PERCENTILE.INC($C$2:$C$726,0.4),3,C728&gt;=_xlfn.PERCENTILE.INC($C$2:$C$726,0.2),2,TRUE,1)</f>
        <v>3</v>
      </c>
      <c r="G728" cm="1">
        <f t="array" ref="G728">_xlfn.IFS(D728&gt;=_xlfn.PERCENTILE.INC($D$2:$D$726,0.8),5,D728&gt;=_xlfn.PERCENTILE.INC($D$2:$D$726,0.6),4,D728&gt;=_xlfn.PERCENTILE.INC($D$2:$D$726,0.4),3,D728&gt;=_xlfn.PERCENTILE.INC($D$2:$D$726,0.2),2,TRUE,1)</f>
        <v>3</v>
      </c>
      <c r="H728">
        <f t="shared" si="11"/>
        <v>10</v>
      </c>
      <c r="I728" t="str" cm="1">
        <f t="array" ref="I728">_xlfn.IFS(H728&gt;=13,"Best Customers",H728&gt;=10,"Loyal Customers",H728&gt;=7,"Potential Loyal Customers",H728&gt;=4,"Need Attention",TRUE,"At Risk")</f>
        <v>Loyal Customers</v>
      </c>
    </row>
    <row r="729" spans="1:9" x14ac:dyDescent="0.25">
      <c r="A729" t="s">
        <v>2630</v>
      </c>
      <c r="B729" s="4">
        <v>384</v>
      </c>
      <c r="C729">
        <v>6</v>
      </c>
      <c r="D729">
        <v>402.59999999999997</v>
      </c>
      <c r="E729" cm="1">
        <f t="array" ref="E729">_xlfn.IFS(B729&lt;=_xlfn.PERCENTILE.INC($B$2:$B$726,0.2),5, B729&lt;=_xlfn.PERCENTILE.INC($B$2:$B$726,0.4),4,B729&lt;=_xlfn.PERCENTILE.INC($B$2:$B$726,0.6),3,B729&lt;=_xlfn.PERCENTILE.INC($B$2:$B$726,0.8),4,TRUE,1)</f>
        <v>5</v>
      </c>
      <c r="F729" cm="1">
        <f t="array" ref="F729">_xlfn.IFS(C729&gt;=_xlfn.PERCENTILE.INC($C$2:$C$726,0.8),5,C729&gt;=_xlfn.PERCENTILE.INC($C$2:$C$726,0.6),4,C729&gt;=_xlfn.PERCENTILE.INC($C$2:$C$726,0.4),3,C729&gt;=_xlfn.PERCENTILE.INC($C$2:$C$726,0.2),2,TRUE,1)</f>
        <v>4</v>
      </c>
      <c r="G729" cm="1">
        <f t="array" ref="G729">_xlfn.IFS(D729&gt;=_xlfn.PERCENTILE.INC($D$2:$D$726,0.8),5,D729&gt;=_xlfn.PERCENTILE.INC($D$2:$D$726,0.6),4,D729&gt;=_xlfn.PERCENTILE.INC($D$2:$D$726,0.4),3,D729&gt;=_xlfn.PERCENTILE.INC($D$2:$D$726,0.2),2,TRUE,1)</f>
        <v>5</v>
      </c>
      <c r="H729">
        <f t="shared" si="11"/>
        <v>14</v>
      </c>
      <c r="I729" t="str" cm="1">
        <f t="array" ref="I729">_xlfn.IFS(H729&gt;=13,"Best Customers",H729&gt;=10,"Loyal Customers",H729&gt;=7,"Potential Loyal Customers",H729&gt;=4,"Need Attention",TRUE,"At Risk")</f>
        <v>Best Customers</v>
      </c>
    </row>
    <row r="730" spans="1:9" x14ac:dyDescent="0.25">
      <c r="A730" t="s">
        <v>1244</v>
      </c>
      <c r="B730" s="4">
        <v>1553</v>
      </c>
      <c r="C730">
        <v>2</v>
      </c>
      <c r="D730">
        <v>30.5</v>
      </c>
      <c r="E730" cm="1">
        <f t="array" ref="E730">_xlfn.IFS(B730&lt;=_xlfn.PERCENTILE.INC($B$2:$B$726,0.2),5, B730&lt;=_xlfn.PERCENTILE.INC($B$2:$B$726,0.4),4,B730&lt;=_xlfn.PERCENTILE.INC($B$2:$B$726,0.6),3,B730&lt;=_xlfn.PERCENTILE.INC($B$2:$B$726,0.8),4,TRUE,1)</f>
        <v>1</v>
      </c>
      <c r="F730" cm="1">
        <f t="array" ref="F730">_xlfn.IFS(C730&gt;=_xlfn.PERCENTILE.INC($C$2:$C$726,0.8),5,C730&gt;=_xlfn.PERCENTILE.INC($C$2:$C$726,0.6),4,C730&gt;=_xlfn.PERCENTILE.INC($C$2:$C$726,0.4),3,C730&gt;=_xlfn.PERCENTILE.INC($C$2:$C$726,0.2),2,TRUE,1)</f>
        <v>1</v>
      </c>
      <c r="G730" cm="1">
        <f t="array" ref="G730">_xlfn.IFS(D730&gt;=_xlfn.PERCENTILE.INC($D$2:$D$726,0.8),5,D730&gt;=_xlfn.PERCENTILE.INC($D$2:$D$726,0.6),4,D730&gt;=_xlfn.PERCENTILE.INC($D$2:$D$726,0.4),3,D730&gt;=_xlfn.PERCENTILE.INC($D$2:$D$726,0.2),2,TRUE,1)</f>
        <v>1</v>
      </c>
      <c r="H730">
        <f t="shared" si="11"/>
        <v>3</v>
      </c>
      <c r="I730" t="str" cm="1">
        <f t="array" ref="I730">_xlfn.IFS(H730&gt;=13,"Best Customers",H730&gt;=10,"Loyal Customers",H730&gt;=7,"Potential Loyal Customers",H730&gt;=4,"Need Attention",TRUE,"At Risk")</f>
        <v>At Risk</v>
      </c>
    </row>
    <row r="731" spans="1:9" x14ac:dyDescent="0.25">
      <c r="A731" t="s">
        <v>1118</v>
      </c>
      <c r="B731" s="4">
        <v>451</v>
      </c>
      <c r="C731">
        <v>9</v>
      </c>
      <c r="D731">
        <v>293.59999999999997</v>
      </c>
      <c r="E731" cm="1">
        <f t="array" ref="E731">_xlfn.IFS(B731&lt;=_xlfn.PERCENTILE.INC($B$2:$B$726,0.2),5, B731&lt;=_xlfn.PERCENTILE.INC($B$2:$B$726,0.4),4,B731&lt;=_xlfn.PERCENTILE.INC($B$2:$B$726,0.6),3,B731&lt;=_xlfn.PERCENTILE.INC($B$2:$B$726,0.8),4,TRUE,1)</f>
        <v>4</v>
      </c>
      <c r="F731" cm="1">
        <f t="array" ref="F731">_xlfn.IFS(C731&gt;=_xlfn.PERCENTILE.INC($C$2:$C$726,0.8),5,C731&gt;=_xlfn.PERCENTILE.INC($C$2:$C$726,0.6),4,C731&gt;=_xlfn.PERCENTILE.INC($C$2:$C$726,0.4),3,C731&gt;=_xlfn.PERCENTILE.INC($C$2:$C$726,0.2),2,TRUE,1)</f>
        <v>5</v>
      </c>
      <c r="G731" cm="1">
        <f t="array" ref="G731">_xlfn.IFS(D731&gt;=_xlfn.PERCENTILE.INC($D$2:$D$726,0.8),5,D731&gt;=_xlfn.PERCENTILE.INC($D$2:$D$726,0.6),4,D731&gt;=_xlfn.PERCENTILE.INC($D$2:$D$726,0.4),3,D731&gt;=_xlfn.PERCENTILE.INC($D$2:$D$726,0.2),2,TRUE,1)</f>
        <v>3</v>
      </c>
      <c r="H731">
        <f t="shared" si="11"/>
        <v>12</v>
      </c>
      <c r="I731" t="str" cm="1">
        <f t="array" ref="I731">_xlfn.IFS(H731&gt;=13,"Best Customers",H731&gt;=10,"Loyal Customers",H731&gt;=7,"Potential Loyal Customers",H731&gt;=4,"Need Attention",TRUE,"At Risk")</f>
        <v>Loyal Customers</v>
      </c>
    </row>
    <row r="732" spans="1:9" x14ac:dyDescent="0.25">
      <c r="A732" t="s">
        <v>1035</v>
      </c>
      <c r="B732" s="4">
        <v>467</v>
      </c>
      <c r="C732">
        <v>4</v>
      </c>
      <c r="D732">
        <v>82</v>
      </c>
      <c r="E732" cm="1">
        <f t="array" ref="E732">_xlfn.IFS(B732&lt;=_xlfn.PERCENTILE.INC($B$2:$B$726,0.2),5, B732&lt;=_xlfn.PERCENTILE.INC($B$2:$B$726,0.4),4,B732&lt;=_xlfn.PERCENTILE.INC($B$2:$B$726,0.6),3,B732&lt;=_xlfn.PERCENTILE.INC($B$2:$B$726,0.8),4,TRUE,1)</f>
        <v>3</v>
      </c>
      <c r="F732" cm="1">
        <f t="array" ref="F732">_xlfn.IFS(C732&gt;=_xlfn.PERCENTILE.INC($C$2:$C$726,0.8),5,C732&gt;=_xlfn.PERCENTILE.INC($C$2:$C$726,0.6),4,C732&gt;=_xlfn.PERCENTILE.INC($C$2:$C$726,0.4),3,C732&gt;=_xlfn.PERCENTILE.INC($C$2:$C$726,0.2),2,TRUE,1)</f>
        <v>2</v>
      </c>
      <c r="G732" cm="1">
        <f t="array" ref="G732">_xlfn.IFS(D732&gt;=_xlfn.PERCENTILE.INC($D$2:$D$726,0.8),5,D732&gt;=_xlfn.PERCENTILE.INC($D$2:$D$726,0.6),4,D732&gt;=_xlfn.PERCENTILE.INC($D$2:$D$726,0.4),3,D732&gt;=_xlfn.PERCENTILE.INC($D$2:$D$726,0.2),2,TRUE,1)</f>
        <v>1</v>
      </c>
      <c r="H732">
        <f t="shared" si="11"/>
        <v>6</v>
      </c>
      <c r="I732" t="str" cm="1">
        <f t="array" ref="I732">_xlfn.IFS(H732&gt;=13,"Best Customers",H732&gt;=10,"Loyal Customers",H732&gt;=7,"Potential Loyal Customers",H732&gt;=4,"Need Attention",TRUE,"At Risk")</f>
        <v>Need Attention</v>
      </c>
    </row>
    <row r="733" spans="1:9" x14ac:dyDescent="0.25">
      <c r="A733" t="s">
        <v>1148</v>
      </c>
      <c r="B733" s="4">
        <v>592</v>
      </c>
      <c r="C733">
        <v>3</v>
      </c>
      <c r="D733">
        <v>136.79999999999998</v>
      </c>
      <c r="E733" cm="1">
        <f t="array" ref="E733">_xlfn.IFS(B733&lt;=_xlfn.PERCENTILE.INC($B$2:$B$726,0.2),5, B733&lt;=_xlfn.PERCENTILE.INC($B$2:$B$726,0.4),4,B733&lt;=_xlfn.PERCENTILE.INC($B$2:$B$726,0.6),3,B733&lt;=_xlfn.PERCENTILE.INC($B$2:$B$726,0.8),4,TRUE,1)</f>
        <v>4</v>
      </c>
      <c r="F733" cm="1">
        <f t="array" ref="F733">_xlfn.IFS(C733&gt;=_xlfn.PERCENTILE.INC($C$2:$C$726,0.8),5,C733&gt;=_xlfn.PERCENTILE.INC($C$2:$C$726,0.6),4,C733&gt;=_xlfn.PERCENTILE.INC($C$2:$C$726,0.4),3,C733&gt;=_xlfn.PERCENTILE.INC($C$2:$C$726,0.2),2,TRUE,1)</f>
        <v>1</v>
      </c>
      <c r="G733" cm="1">
        <f t="array" ref="G733">_xlfn.IFS(D733&gt;=_xlfn.PERCENTILE.INC($D$2:$D$726,0.8),5,D733&gt;=_xlfn.PERCENTILE.INC($D$2:$D$726,0.6),4,D733&gt;=_xlfn.PERCENTILE.INC($D$2:$D$726,0.4),3,D733&gt;=_xlfn.PERCENTILE.INC($D$2:$D$726,0.2),2,TRUE,1)</f>
        <v>1</v>
      </c>
      <c r="H733">
        <f t="shared" si="11"/>
        <v>6</v>
      </c>
      <c r="I733" t="str" cm="1">
        <f t="array" ref="I733">_xlfn.IFS(H733&gt;=13,"Best Customers",H733&gt;=10,"Loyal Customers",H733&gt;=7,"Potential Loyal Customers",H733&gt;=4,"Need Attention",TRUE,"At Risk")</f>
        <v>Need Attention</v>
      </c>
    </row>
    <row r="734" spans="1:9" x14ac:dyDescent="0.25">
      <c r="A734" t="s">
        <v>2867</v>
      </c>
      <c r="B734" s="4">
        <v>825</v>
      </c>
      <c r="C734">
        <v>9</v>
      </c>
      <c r="D734">
        <v>378.6</v>
      </c>
      <c r="E734" cm="1">
        <f t="array" ref="E734">_xlfn.IFS(B734&lt;=_xlfn.PERCENTILE.INC($B$2:$B$726,0.2),5, B734&lt;=_xlfn.PERCENTILE.INC($B$2:$B$726,0.4),4,B734&lt;=_xlfn.PERCENTILE.INC($B$2:$B$726,0.6),3,B734&lt;=_xlfn.PERCENTILE.INC($B$2:$B$726,0.8),4,TRUE,1)</f>
        <v>1</v>
      </c>
      <c r="F734" cm="1">
        <f t="array" ref="F734">_xlfn.IFS(C734&gt;=_xlfn.PERCENTILE.INC($C$2:$C$726,0.8),5,C734&gt;=_xlfn.PERCENTILE.INC($C$2:$C$726,0.6),4,C734&gt;=_xlfn.PERCENTILE.INC($C$2:$C$726,0.4),3,C734&gt;=_xlfn.PERCENTILE.INC($C$2:$C$726,0.2),2,TRUE,1)</f>
        <v>5</v>
      </c>
      <c r="G734" cm="1">
        <f t="array" ref="G734">_xlfn.IFS(D734&gt;=_xlfn.PERCENTILE.INC($D$2:$D$726,0.8),5,D734&gt;=_xlfn.PERCENTILE.INC($D$2:$D$726,0.6),4,D734&gt;=_xlfn.PERCENTILE.INC($D$2:$D$726,0.4),3,D734&gt;=_xlfn.PERCENTILE.INC($D$2:$D$726,0.2),2,TRUE,1)</f>
        <v>4</v>
      </c>
      <c r="H734">
        <f t="shared" si="11"/>
        <v>10</v>
      </c>
      <c r="I734" t="str" cm="1">
        <f t="array" ref="I734">_xlfn.IFS(H734&gt;=13,"Best Customers",H734&gt;=10,"Loyal Customers",H734&gt;=7,"Potential Loyal Customers",H734&gt;=4,"Need Attention",TRUE,"At Risk")</f>
        <v>Loyal Customers</v>
      </c>
    </row>
    <row r="735" spans="1:9" x14ac:dyDescent="0.25">
      <c r="A735" t="s">
        <v>1976</v>
      </c>
      <c r="B735" s="4">
        <v>530</v>
      </c>
      <c r="C735">
        <v>9</v>
      </c>
      <c r="D735">
        <v>333.8</v>
      </c>
      <c r="E735" cm="1">
        <f t="array" ref="E735">_xlfn.IFS(B735&lt;=_xlfn.PERCENTILE.INC($B$2:$B$726,0.2),5, B735&lt;=_xlfn.PERCENTILE.INC($B$2:$B$726,0.4),4,B735&lt;=_xlfn.PERCENTILE.INC($B$2:$B$726,0.6),3,B735&lt;=_xlfn.PERCENTILE.INC($B$2:$B$726,0.8),4,TRUE,1)</f>
        <v>3</v>
      </c>
      <c r="F735" cm="1">
        <f t="array" ref="F735">_xlfn.IFS(C735&gt;=_xlfn.PERCENTILE.INC($C$2:$C$726,0.8),5,C735&gt;=_xlfn.PERCENTILE.INC($C$2:$C$726,0.6),4,C735&gt;=_xlfn.PERCENTILE.INC($C$2:$C$726,0.4),3,C735&gt;=_xlfn.PERCENTILE.INC($C$2:$C$726,0.2),2,TRUE,1)</f>
        <v>5</v>
      </c>
      <c r="G735" cm="1">
        <f t="array" ref="G735">_xlfn.IFS(D735&gt;=_xlfn.PERCENTILE.INC($D$2:$D$726,0.8),5,D735&gt;=_xlfn.PERCENTILE.INC($D$2:$D$726,0.6),4,D735&gt;=_xlfn.PERCENTILE.INC($D$2:$D$726,0.4),3,D735&gt;=_xlfn.PERCENTILE.INC($D$2:$D$726,0.2),2,TRUE,1)</f>
        <v>4</v>
      </c>
      <c r="H735">
        <f t="shared" si="11"/>
        <v>12</v>
      </c>
      <c r="I735" t="str" cm="1">
        <f t="array" ref="I735">_xlfn.IFS(H735&gt;=13,"Best Customers",H735&gt;=10,"Loyal Customers",H735&gt;=7,"Potential Loyal Customers",H735&gt;=4,"Need Attention",TRUE,"At Risk")</f>
        <v>Loyal Customers</v>
      </c>
    </row>
    <row r="736" spans="1:9" x14ac:dyDescent="0.25">
      <c r="A736" t="s">
        <v>2347</v>
      </c>
      <c r="B736" s="4">
        <v>603</v>
      </c>
      <c r="C736">
        <v>7</v>
      </c>
      <c r="D736">
        <v>295.89999999999998</v>
      </c>
      <c r="E736" cm="1">
        <f t="array" ref="E736">_xlfn.IFS(B736&lt;=_xlfn.PERCENTILE.INC($B$2:$B$726,0.2),5, B736&lt;=_xlfn.PERCENTILE.INC($B$2:$B$726,0.4),4,B736&lt;=_xlfn.PERCENTILE.INC($B$2:$B$726,0.6),3,B736&lt;=_xlfn.PERCENTILE.INC($B$2:$B$726,0.8),4,TRUE,1)</f>
        <v>4</v>
      </c>
      <c r="F736" cm="1">
        <f t="array" ref="F736">_xlfn.IFS(C736&gt;=_xlfn.PERCENTILE.INC($C$2:$C$726,0.8),5,C736&gt;=_xlfn.PERCENTILE.INC($C$2:$C$726,0.6),4,C736&gt;=_xlfn.PERCENTILE.INC($C$2:$C$726,0.4),3,C736&gt;=_xlfn.PERCENTILE.INC($C$2:$C$726,0.2),2,TRUE,1)</f>
        <v>4</v>
      </c>
      <c r="G736" cm="1">
        <f t="array" ref="G736">_xlfn.IFS(D736&gt;=_xlfn.PERCENTILE.INC($D$2:$D$726,0.8),5,D736&gt;=_xlfn.PERCENTILE.INC($D$2:$D$726,0.6),4,D736&gt;=_xlfn.PERCENTILE.INC($D$2:$D$726,0.4),3,D736&gt;=_xlfn.PERCENTILE.INC($D$2:$D$726,0.2),2,TRUE,1)</f>
        <v>3</v>
      </c>
      <c r="H736">
        <f t="shared" si="11"/>
        <v>11</v>
      </c>
      <c r="I736" t="str" cm="1">
        <f t="array" ref="I736">_xlfn.IFS(H736&gt;=13,"Best Customers",H736&gt;=10,"Loyal Customers",H736&gt;=7,"Potential Loyal Customers",H736&gt;=4,"Need Attention",TRUE,"At Risk")</f>
        <v>Loyal Customers</v>
      </c>
    </row>
    <row r="737" spans="1:9" x14ac:dyDescent="0.25">
      <c r="A737" t="s">
        <v>2966</v>
      </c>
      <c r="B737" s="4">
        <v>717</v>
      </c>
      <c r="C737">
        <v>4</v>
      </c>
      <c r="D737">
        <v>190.8</v>
      </c>
      <c r="E737" cm="1">
        <f t="array" ref="E737">_xlfn.IFS(B737&lt;=_xlfn.PERCENTILE.INC($B$2:$B$726,0.2),5, B737&lt;=_xlfn.PERCENTILE.INC($B$2:$B$726,0.4),4,B737&lt;=_xlfn.PERCENTILE.INC($B$2:$B$726,0.6),3,B737&lt;=_xlfn.PERCENTILE.INC($B$2:$B$726,0.8),4,TRUE,1)</f>
        <v>4</v>
      </c>
      <c r="F737" cm="1">
        <f t="array" ref="F737">_xlfn.IFS(C737&gt;=_xlfn.PERCENTILE.INC($C$2:$C$726,0.8),5,C737&gt;=_xlfn.PERCENTILE.INC($C$2:$C$726,0.6),4,C737&gt;=_xlfn.PERCENTILE.INC($C$2:$C$726,0.4),3,C737&gt;=_xlfn.PERCENTILE.INC($C$2:$C$726,0.2),2,TRUE,1)</f>
        <v>2</v>
      </c>
      <c r="G737" cm="1">
        <f t="array" ref="G737">_xlfn.IFS(D737&gt;=_xlfn.PERCENTILE.INC($D$2:$D$726,0.8),5,D737&gt;=_xlfn.PERCENTILE.INC($D$2:$D$726,0.6),4,D737&gt;=_xlfn.PERCENTILE.INC($D$2:$D$726,0.4),3,D737&gt;=_xlfn.PERCENTILE.INC($D$2:$D$726,0.2),2,TRUE,1)</f>
        <v>2</v>
      </c>
      <c r="H737">
        <f t="shared" si="11"/>
        <v>8</v>
      </c>
      <c r="I737" t="str" cm="1">
        <f t="array" ref="I737">_xlfn.IFS(H737&gt;=13,"Best Customers",H737&gt;=10,"Loyal Customers",H737&gt;=7,"Potential Loyal Customers",H737&gt;=4,"Need Attention",TRUE,"At Risk")</f>
        <v>Potential Loyal Customers</v>
      </c>
    </row>
    <row r="738" spans="1:9" x14ac:dyDescent="0.25">
      <c r="A738" t="s">
        <v>707</v>
      </c>
      <c r="B738" s="4">
        <v>421</v>
      </c>
      <c r="C738">
        <v>8</v>
      </c>
      <c r="D738">
        <v>285.80000000000007</v>
      </c>
      <c r="E738" cm="1">
        <f t="array" ref="E738">_xlfn.IFS(B738&lt;=_xlfn.PERCENTILE.INC($B$2:$B$726,0.2),5, B738&lt;=_xlfn.PERCENTILE.INC($B$2:$B$726,0.4),4,B738&lt;=_xlfn.PERCENTILE.INC($B$2:$B$726,0.6),3,B738&lt;=_xlfn.PERCENTILE.INC($B$2:$B$726,0.8),4,TRUE,1)</f>
        <v>4</v>
      </c>
      <c r="F738" cm="1">
        <f t="array" ref="F738">_xlfn.IFS(C738&gt;=_xlfn.PERCENTILE.INC($C$2:$C$726,0.8),5,C738&gt;=_xlfn.PERCENTILE.INC($C$2:$C$726,0.6),4,C738&gt;=_xlfn.PERCENTILE.INC($C$2:$C$726,0.4),3,C738&gt;=_xlfn.PERCENTILE.INC($C$2:$C$726,0.2),2,TRUE,1)</f>
        <v>5</v>
      </c>
      <c r="G738" cm="1">
        <f t="array" ref="G738">_xlfn.IFS(D738&gt;=_xlfn.PERCENTILE.INC($D$2:$D$726,0.8),5,D738&gt;=_xlfn.PERCENTILE.INC($D$2:$D$726,0.6),4,D738&gt;=_xlfn.PERCENTILE.INC($D$2:$D$726,0.4),3,D738&gt;=_xlfn.PERCENTILE.INC($D$2:$D$726,0.2),2,TRUE,1)</f>
        <v>3</v>
      </c>
      <c r="H738">
        <f t="shared" si="11"/>
        <v>12</v>
      </c>
      <c r="I738" t="str" cm="1">
        <f t="array" ref="I738">_xlfn.IFS(H738&gt;=13,"Best Customers",H738&gt;=10,"Loyal Customers",H738&gt;=7,"Potential Loyal Customers",H738&gt;=4,"Need Attention",TRUE,"At Risk")</f>
        <v>Loyal Customers</v>
      </c>
    </row>
    <row r="739" spans="1:9" x14ac:dyDescent="0.25">
      <c r="A739" t="s">
        <v>1613</v>
      </c>
      <c r="B739" s="4">
        <v>595</v>
      </c>
      <c r="C739">
        <v>3</v>
      </c>
      <c r="D739">
        <v>62.500000000000007</v>
      </c>
      <c r="E739" cm="1">
        <f t="array" ref="E739">_xlfn.IFS(B739&lt;=_xlfn.PERCENTILE.INC($B$2:$B$726,0.2),5, B739&lt;=_xlfn.PERCENTILE.INC($B$2:$B$726,0.4),4,B739&lt;=_xlfn.PERCENTILE.INC($B$2:$B$726,0.6),3,B739&lt;=_xlfn.PERCENTILE.INC($B$2:$B$726,0.8),4,TRUE,1)</f>
        <v>4</v>
      </c>
      <c r="F739" cm="1">
        <f t="array" ref="F739">_xlfn.IFS(C739&gt;=_xlfn.PERCENTILE.INC($C$2:$C$726,0.8),5,C739&gt;=_xlfn.PERCENTILE.INC($C$2:$C$726,0.6),4,C739&gt;=_xlfn.PERCENTILE.INC($C$2:$C$726,0.4),3,C739&gt;=_xlfn.PERCENTILE.INC($C$2:$C$726,0.2),2,TRUE,1)</f>
        <v>1</v>
      </c>
      <c r="G739" cm="1">
        <f t="array" ref="G739">_xlfn.IFS(D739&gt;=_xlfn.PERCENTILE.INC($D$2:$D$726,0.8),5,D739&gt;=_xlfn.PERCENTILE.INC($D$2:$D$726,0.6),4,D739&gt;=_xlfn.PERCENTILE.INC($D$2:$D$726,0.4),3,D739&gt;=_xlfn.PERCENTILE.INC($D$2:$D$726,0.2),2,TRUE,1)</f>
        <v>1</v>
      </c>
      <c r="H739">
        <f t="shared" si="11"/>
        <v>6</v>
      </c>
      <c r="I739" t="str" cm="1">
        <f t="array" ref="I739">_xlfn.IFS(H739&gt;=13,"Best Customers",H739&gt;=10,"Loyal Customers",H739&gt;=7,"Potential Loyal Customers",H739&gt;=4,"Need Attention",TRUE,"At Risk")</f>
        <v>Need Attention</v>
      </c>
    </row>
    <row r="740" spans="1:9" x14ac:dyDescent="0.25">
      <c r="A740" t="s">
        <v>1479</v>
      </c>
      <c r="B740" s="4">
        <v>513</v>
      </c>
      <c r="C740">
        <v>6</v>
      </c>
      <c r="D740">
        <v>262.3</v>
      </c>
      <c r="E740" cm="1">
        <f t="array" ref="E740">_xlfn.IFS(B740&lt;=_xlfn.PERCENTILE.INC($B$2:$B$726,0.2),5, B740&lt;=_xlfn.PERCENTILE.INC($B$2:$B$726,0.4),4,B740&lt;=_xlfn.PERCENTILE.INC($B$2:$B$726,0.6),3,B740&lt;=_xlfn.PERCENTILE.INC($B$2:$B$726,0.8),4,TRUE,1)</f>
        <v>3</v>
      </c>
      <c r="F740" cm="1">
        <f t="array" ref="F740">_xlfn.IFS(C740&gt;=_xlfn.PERCENTILE.INC($C$2:$C$726,0.8),5,C740&gt;=_xlfn.PERCENTILE.INC($C$2:$C$726,0.6),4,C740&gt;=_xlfn.PERCENTILE.INC($C$2:$C$726,0.4),3,C740&gt;=_xlfn.PERCENTILE.INC($C$2:$C$726,0.2),2,TRUE,1)</f>
        <v>4</v>
      </c>
      <c r="G740" cm="1">
        <f t="array" ref="G740">_xlfn.IFS(D740&gt;=_xlfn.PERCENTILE.INC($D$2:$D$726,0.8),5,D740&gt;=_xlfn.PERCENTILE.INC($D$2:$D$726,0.6),4,D740&gt;=_xlfn.PERCENTILE.INC($D$2:$D$726,0.4),3,D740&gt;=_xlfn.PERCENTILE.INC($D$2:$D$726,0.2),2,TRUE,1)</f>
        <v>3</v>
      </c>
      <c r="H740">
        <f t="shared" si="11"/>
        <v>10</v>
      </c>
      <c r="I740" t="str" cm="1">
        <f t="array" ref="I740">_xlfn.IFS(H740&gt;=13,"Best Customers",H740&gt;=10,"Loyal Customers",H740&gt;=7,"Potential Loyal Customers",H740&gt;=4,"Need Attention",TRUE,"At Risk")</f>
        <v>Loyal Customers</v>
      </c>
    </row>
    <row r="741" spans="1:9" x14ac:dyDescent="0.25">
      <c r="A741" t="s">
        <v>745</v>
      </c>
      <c r="B741" s="4">
        <v>778</v>
      </c>
      <c r="C741">
        <v>6</v>
      </c>
      <c r="D741">
        <v>322.59999999999997</v>
      </c>
      <c r="E741" cm="1">
        <f t="array" ref="E741">_xlfn.IFS(B741&lt;=_xlfn.PERCENTILE.INC($B$2:$B$726,0.2),5, B741&lt;=_xlfn.PERCENTILE.INC($B$2:$B$726,0.4),4,B741&lt;=_xlfn.PERCENTILE.INC($B$2:$B$726,0.6),3,B741&lt;=_xlfn.PERCENTILE.INC($B$2:$B$726,0.8),4,TRUE,1)</f>
        <v>1</v>
      </c>
      <c r="F741" cm="1">
        <f t="array" ref="F741">_xlfn.IFS(C741&gt;=_xlfn.PERCENTILE.INC($C$2:$C$726,0.8),5,C741&gt;=_xlfn.PERCENTILE.INC($C$2:$C$726,0.6),4,C741&gt;=_xlfn.PERCENTILE.INC($C$2:$C$726,0.4),3,C741&gt;=_xlfn.PERCENTILE.INC($C$2:$C$726,0.2),2,TRUE,1)</f>
        <v>4</v>
      </c>
      <c r="G741" cm="1">
        <f t="array" ref="G741">_xlfn.IFS(D741&gt;=_xlfn.PERCENTILE.INC($D$2:$D$726,0.8),5,D741&gt;=_xlfn.PERCENTILE.INC($D$2:$D$726,0.6),4,D741&gt;=_xlfn.PERCENTILE.INC($D$2:$D$726,0.4),3,D741&gt;=_xlfn.PERCENTILE.INC($D$2:$D$726,0.2),2,TRUE,1)</f>
        <v>4</v>
      </c>
      <c r="H741">
        <f t="shared" si="11"/>
        <v>9</v>
      </c>
      <c r="I741" t="str" cm="1">
        <f t="array" ref="I741">_xlfn.IFS(H741&gt;=13,"Best Customers",H741&gt;=10,"Loyal Customers",H741&gt;=7,"Potential Loyal Customers",H741&gt;=4,"Need Attention",TRUE,"At Risk")</f>
        <v>Potential Loyal Customers</v>
      </c>
    </row>
    <row r="742" spans="1:9" x14ac:dyDescent="0.25">
      <c r="A742" t="s">
        <v>731</v>
      </c>
      <c r="B742" s="4">
        <v>750</v>
      </c>
      <c r="C742">
        <v>2</v>
      </c>
      <c r="D742">
        <v>130.4</v>
      </c>
      <c r="E742" cm="1">
        <f t="array" ref="E742">_xlfn.IFS(B742&lt;=_xlfn.PERCENTILE.INC($B$2:$B$726,0.2),5, B742&lt;=_xlfn.PERCENTILE.INC($B$2:$B$726,0.4),4,B742&lt;=_xlfn.PERCENTILE.INC($B$2:$B$726,0.6),3,B742&lt;=_xlfn.PERCENTILE.INC($B$2:$B$726,0.8),4,TRUE,1)</f>
        <v>1</v>
      </c>
      <c r="F742" cm="1">
        <f t="array" ref="F742">_xlfn.IFS(C742&gt;=_xlfn.PERCENTILE.INC($C$2:$C$726,0.8),5,C742&gt;=_xlfn.PERCENTILE.INC($C$2:$C$726,0.6),4,C742&gt;=_xlfn.PERCENTILE.INC($C$2:$C$726,0.4),3,C742&gt;=_xlfn.PERCENTILE.INC($C$2:$C$726,0.2),2,TRUE,1)</f>
        <v>1</v>
      </c>
      <c r="G742" cm="1">
        <f t="array" ref="G742">_xlfn.IFS(D742&gt;=_xlfn.PERCENTILE.INC($D$2:$D$726,0.8),5,D742&gt;=_xlfn.PERCENTILE.INC($D$2:$D$726,0.6),4,D742&gt;=_xlfn.PERCENTILE.INC($D$2:$D$726,0.4),3,D742&gt;=_xlfn.PERCENTILE.INC($D$2:$D$726,0.2),2,TRUE,1)</f>
        <v>1</v>
      </c>
      <c r="H742">
        <f t="shared" si="11"/>
        <v>3</v>
      </c>
      <c r="I742" t="str" cm="1">
        <f t="array" ref="I742">_xlfn.IFS(H742&gt;=13,"Best Customers",H742&gt;=10,"Loyal Customers",H742&gt;=7,"Potential Loyal Customers",H742&gt;=4,"Need Attention",TRUE,"At Risk")</f>
        <v>At Risk</v>
      </c>
    </row>
    <row r="743" spans="1:9" x14ac:dyDescent="0.25">
      <c r="A743" t="s">
        <v>778</v>
      </c>
      <c r="B743" s="4">
        <v>485</v>
      </c>
      <c r="C743">
        <v>10</v>
      </c>
      <c r="D743">
        <v>664.30000000000007</v>
      </c>
      <c r="E743" cm="1">
        <f t="array" ref="E743">_xlfn.IFS(B743&lt;=_xlfn.PERCENTILE.INC($B$2:$B$726,0.2),5, B743&lt;=_xlfn.PERCENTILE.INC($B$2:$B$726,0.4),4,B743&lt;=_xlfn.PERCENTILE.INC($B$2:$B$726,0.6),3,B743&lt;=_xlfn.PERCENTILE.INC($B$2:$B$726,0.8),4,TRUE,1)</f>
        <v>3</v>
      </c>
      <c r="F743" cm="1">
        <f t="array" ref="F743">_xlfn.IFS(C743&gt;=_xlfn.PERCENTILE.INC($C$2:$C$726,0.8),5,C743&gt;=_xlfn.PERCENTILE.INC($C$2:$C$726,0.6),4,C743&gt;=_xlfn.PERCENTILE.INC($C$2:$C$726,0.4),3,C743&gt;=_xlfn.PERCENTILE.INC($C$2:$C$726,0.2),2,TRUE,1)</f>
        <v>5</v>
      </c>
      <c r="G743" cm="1">
        <f t="array" ref="G743">_xlfn.IFS(D743&gt;=_xlfn.PERCENTILE.INC($D$2:$D$726,0.8),5,D743&gt;=_xlfn.PERCENTILE.INC($D$2:$D$726,0.6),4,D743&gt;=_xlfn.PERCENTILE.INC($D$2:$D$726,0.4),3,D743&gt;=_xlfn.PERCENTILE.INC($D$2:$D$726,0.2),2,TRUE,1)</f>
        <v>5</v>
      </c>
      <c r="H743">
        <f t="shared" si="11"/>
        <v>13</v>
      </c>
      <c r="I743" t="str" cm="1">
        <f t="array" ref="I743">_xlfn.IFS(H743&gt;=13,"Best Customers",H743&gt;=10,"Loyal Customers",H743&gt;=7,"Potential Loyal Customers",H743&gt;=4,"Need Attention",TRUE,"At Risk")</f>
        <v>Best Customers</v>
      </c>
    </row>
    <row r="744" spans="1:9" x14ac:dyDescent="0.25">
      <c r="A744" t="s">
        <v>875</v>
      </c>
      <c r="B744" s="4">
        <v>544</v>
      </c>
      <c r="C744">
        <v>4</v>
      </c>
      <c r="D744">
        <v>345.6</v>
      </c>
      <c r="E744" cm="1">
        <f t="array" ref="E744">_xlfn.IFS(B744&lt;=_xlfn.PERCENTILE.INC($B$2:$B$726,0.2),5, B744&lt;=_xlfn.PERCENTILE.INC($B$2:$B$726,0.4),4,B744&lt;=_xlfn.PERCENTILE.INC($B$2:$B$726,0.6),3,B744&lt;=_xlfn.PERCENTILE.INC($B$2:$B$726,0.8),4,TRUE,1)</f>
        <v>3</v>
      </c>
      <c r="F744" cm="1">
        <f t="array" ref="F744">_xlfn.IFS(C744&gt;=_xlfn.PERCENTILE.INC($C$2:$C$726,0.8),5,C744&gt;=_xlfn.PERCENTILE.INC($C$2:$C$726,0.6),4,C744&gt;=_xlfn.PERCENTILE.INC($C$2:$C$726,0.4),3,C744&gt;=_xlfn.PERCENTILE.INC($C$2:$C$726,0.2),2,TRUE,1)</f>
        <v>2</v>
      </c>
      <c r="G744" cm="1">
        <f t="array" ref="G744">_xlfn.IFS(D744&gt;=_xlfn.PERCENTILE.INC($D$2:$D$726,0.8),5,D744&gt;=_xlfn.PERCENTILE.INC($D$2:$D$726,0.6),4,D744&gt;=_xlfn.PERCENTILE.INC($D$2:$D$726,0.4),3,D744&gt;=_xlfn.PERCENTILE.INC($D$2:$D$726,0.2),2,TRUE,1)</f>
        <v>4</v>
      </c>
      <c r="H744">
        <f t="shared" si="11"/>
        <v>9</v>
      </c>
      <c r="I744" t="str" cm="1">
        <f t="array" ref="I744">_xlfn.IFS(H744&gt;=13,"Best Customers",H744&gt;=10,"Loyal Customers",H744&gt;=7,"Potential Loyal Customers",H744&gt;=4,"Need Attention",TRUE,"At Risk")</f>
        <v>Potential Loyal Customers</v>
      </c>
    </row>
    <row r="745" spans="1:9" x14ac:dyDescent="0.25">
      <c r="A745" t="s">
        <v>3118</v>
      </c>
      <c r="B745" s="4">
        <v>423</v>
      </c>
      <c r="C745">
        <v>10</v>
      </c>
      <c r="D745">
        <v>454.29999999999995</v>
      </c>
      <c r="E745" cm="1">
        <f t="array" ref="E745">_xlfn.IFS(B745&lt;=_xlfn.PERCENTILE.INC($B$2:$B$726,0.2),5, B745&lt;=_xlfn.PERCENTILE.INC($B$2:$B$726,0.4),4,B745&lt;=_xlfn.PERCENTILE.INC($B$2:$B$726,0.6),3,B745&lt;=_xlfn.PERCENTILE.INC($B$2:$B$726,0.8),4,TRUE,1)</f>
        <v>4</v>
      </c>
      <c r="F745" cm="1">
        <f t="array" ref="F745">_xlfn.IFS(C745&gt;=_xlfn.PERCENTILE.INC($C$2:$C$726,0.8),5,C745&gt;=_xlfn.PERCENTILE.INC($C$2:$C$726,0.6),4,C745&gt;=_xlfn.PERCENTILE.INC($C$2:$C$726,0.4),3,C745&gt;=_xlfn.PERCENTILE.INC($C$2:$C$726,0.2),2,TRUE,1)</f>
        <v>5</v>
      </c>
      <c r="G745" cm="1">
        <f t="array" ref="G745">_xlfn.IFS(D745&gt;=_xlfn.PERCENTILE.INC($D$2:$D$726,0.8),5,D745&gt;=_xlfn.PERCENTILE.INC($D$2:$D$726,0.6),4,D745&gt;=_xlfn.PERCENTILE.INC($D$2:$D$726,0.4),3,D745&gt;=_xlfn.PERCENTILE.INC($D$2:$D$726,0.2),2,TRUE,1)</f>
        <v>5</v>
      </c>
      <c r="H745">
        <f t="shared" si="11"/>
        <v>14</v>
      </c>
      <c r="I745" t="str" cm="1">
        <f t="array" ref="I745">_xlfn.IFS(H745&gt;=13,"Best Customers",H745&gt;=10,"Loyal Customers",H745&gt;=7,"Potential Loyal Customers",H745&gt;=4,"Need Attention",TRUE,"At Risk")</f>
        <v>Best Customers</v>
      </c>
    </row>
    <row r="746" spans="1:9" x14ac:dyDescent="0.25">
      <c r="A746" t="s">
        <v>2272</v>
      </c>
      <c r="B746" s="4">
        <v>370</v>
      </c>
      <c r="C746">
        <v>6</v>
      </c>
      <c r="D746">
        <v>281.39999999999998</v>
      </c>
      <c r="E746" cm="1">
        <f t="array" ref="E746">_xlfn.IFS(B746&lt;=_xlfn.PERCENTILE.INC($B$2:$B$726,0.2),5, B746&lt;=_xlfn.PERCENTILE.INC($B$2:$B$726,0.4),4,B746&lt;=_xlfn.PERCENTILE.INC($B$2:$B$726,0.6),3,B746&lt;=_xlfn.PERCENTILE.INC($B$2:$B$726,0.8),4,TRUE,1)</f>
        <v>5</v>
      </c>
      <c r="F746" cm="1">
        <f t="array" ref="F746">_xlfn.IFS(C746&gt;=_xlfn.PERCENTILE.INC($C$2:$C$726,0.8),5,C746&gt;=_xlfn.PERCENTILE.INC($C$2:$C$726,0.6),4,C746&gt;=_xlfn.PERCENTILE.INC($C$2:$C$726,0.4),3,C746&gt;=_xlfn.PERCENTILE.INC($C$2:$C$726,0.2),2,TRUE,1)</f>
        <v>4</v>
      </c>
      <c r="G746" cm="1">
        <f t="array" ref="G746">_xlfn.IFS(D746&gt;=_xlfn.PERCENTILE.INC($D$2:$D$726,0.8),5,D746&gt;=_xlfn.PERCENTILE.INC($D$2:$D$726,0.6),4,D746&gt;=_xlfn.PERCENTILE.INC($D$2:$D$726,0.4),3,D746&gt;=_xlfn.PERCENTILE.INC($D$2:$D$726,0.2),2,TRUE,1)</f>
        <v>3</v>
      </c>
      <c r="H746">
        <f t="shared" si="11"/>
        <v>12</v>
      </c>
      <c r="I746" t="str" cm="1">
        <f t="array" ref="I746">_xlfn.IFS(H746&gt;=13,"Best Customers",H746&gt;=10,"Loyal Customers",H746&gt;=7,"Potential Loyal Customers",H746&gt;=4,"Need Attention",TRUE,"At Risk")</f>
        <v>Loyal Customers</v>
      </c>
    </row>
    <row r="747" spans="1:9" x14ac:dyDescent="0.25">
      <c r="A747" t="s">
        <v>1538</v>
      </c>
      <c r="B747" s="4">
        <v>357</v>
      </c>
      <c r="C747">
        <v>11</v>
      </c>
      <c r="D747">
        <v>410.2</v>
      </c>
      <c r="E747" cm="1">
        <f t="array" ref="E747">_xlfn.IFS(B747&lt;=_xlfn.PERCENTILE.INC($B$2:$B$726,0.2),5, B747&lt;=_xlfn.PERCENTILE.INC($B$2:$B$726,0.4),4,B747&lt;=_xlfn.PERCENTILE.INC($B$2:$B$726,0.6),3,B747&lt;=_xlfn.PERCENTILE.INC($B$2:$B$726,0.8),4,TRUE,1)</f>
        <v>5</v>
      </c>
      <c r="F747" cm="1">
        <f t="array" ref="F747">_xlfn.IFS(C747&gt;=_xlfn.PERCENTILE.INC($C$2:$C$726,0.8),5,C747&gt;=_xlfn.PERCENTILE.INC($C$2:$C$726,0.6),4,C747&gt;=_xlfn.PERCENTILE.INC($C$2:$C$726,0.4),3,C747&gt;=_xlfn.PERCENTILE.INC($C$2:$C$726,0.2),2,TRUE,1)</f>
        <v>5</v>
      </c>
      <c r="G747" cm="1">
        <f t="array" ref="G747">_xlfn.IFS(D747&gt;=_xlfn.PERCENTILE.INC($D$2:$D$726,0.8),5,D747&gt;=_xlfn.PERCENTILE.INC($D$2:$D$726,0.6),4,D747&gt;=_xlfn.PERCENTILE.INC($D$2:$D$726,0.4),3,D747&gt;=_xlfn.PERCENTILE.INC($D$2:$D$726,0.2),2,TRUE,1)</f>
        <v>5</v>
      </c>
      <c r="H747">
        <f t="shared" si="11"/>
        <v>15</v>
      </c>
      <c r="I747" t="str" cm="1">
        <f t="array" ref="I747">_xlfn.IFS(H747&gt;=13,"Best Customers",H747&gt;=10,"Loyal Customers",H747&gt;=7,"Potential Loyal Customers",H747&gt;=4,"Need Attention",TRUE,"At Risk")</f>
        <v>Best Customers</v>
      </c>
    </row>
    <row r="748" spans="1:9" x14ac:dyDescent="0.25">
      <c r="A748" t="s">
        <v>2137</v>
      </c>
      <c r="B748" s="4">
        <v>365</v>
      </c>
      <c r="C748">
        <v>10</v>
      </c>
      <c r="D748">
        <v>714.1</v>
      </c>
      <c r="E748" cm="1">
        <f t="array" ref="E748">_xlfn.IFS(B748&lt;=_xlfn.PERCENTILE.INC($B$2:$B$726,0.2),5, B748&lt;=_xlfn.PERCENTILE.INC($B$2:$B$726,0.4),4,B748&lt;=_xlfn.PERCENTILE.INC($B$2:$B$726,0.6),3,B748&lt;=_xlfn.PERCENTILE.INC($B$2:$B$726,0.8),4,TRUE,1)</f>
        <v>5</v>
      </c>
      <c r="F748" cm="1">
        <f t="array" ref="F748">_xlfn.IFS(C748&gt;=_xlfn.PERCENTILE.INC($C$2:$C$726,0.8),5,C748&gt;=_xlfn.PERCENTILE.INC($C$2:$C$726,0.6),4,C748&gt;=_xlfn.PERCENTILE.INC($C$2:$C$726,0.4),3,C748&gt;=_xlfn.PERCENTILE.INC($C$2:$C$726,0.2),2,TRUE,1)</f>
        <v>5</v>
      </c>
      <c r="G748" cm="1">
        <f t="array" ref="G748">_xlfn.IFS(D748&gt;=_xlfn.PERCENTILE.INC($D$2:$D$726,0.8),5,D748&gt;=_xlfn.PERCENTILE.INC($D$2:$D$726,0.6),4,D748&gt;=_xlfn.PERCENTILE.INC($D$2:$D$726,0.4),3,D748&gt;=_xlfn.PERCENTILE.INC($D$2:$D$726,0.2),2,TRUE,1)</f>
        <v>5</v>
      </c>
      <c r="H748">
        <f t="shared" si="11"/>
        <v>15</v>
      </c>
      <c r="I748" t="str" cm="1">
        <f t="array" ref="I748">_xlfn.IFS(H748&gt;=13,"Best Customers",H748&gt;=10,"Loyal Customers",H748&gt;=7,"Potential Loyal Customers",H748&gt;=4,"Need Attention",TRUE,"At Risk")</f>
        <v>Best Customers</v>
      </c>
    </row>
    <row r="749" spans="1:9" x14ac:dyDescent="0.25">
      <c r="A749" t="s">
        <v>2015</v>
      </c>
      <c r="B749" s="4">
        <v>779</v>
      </c>
      <c r="C749">
        <v>3</v>
      </c>
      <c r="D749">
        <v>125.5</v>
      </c>
      <c r="E749" cm="1">
        <f t="array" ref="E749">_xlfn.IFS(B749&lt;=_xlfn.PERCENTILE.INC($B$2:$B$726,0.2),5, B749&lt;=_xlfn.PERCENTILE.INC($B$2:$B$726,0.4),4,B749&lt;=_xlfn.PERCENTILE.INC($B$2:$B$726,0.6),3,B749&lt;=_xlfn.PERCENTILE.INC($B$2:$B$726,0.8),4,TRUE,1)</f>
        <v>1</v>
      </c>
      <c r="F749" cm="1">
        <f t="array" ref="F749">_xlfn.IFS(C749&gt;=_xlfn.PERCENTILE.INC($C$2:$C$726,0.8),5,C749&gt;=_xlfn.PERCENTILE.INC($C$2:$C$726,0.6),4,C749&gt;=_xlfn.PERCENTILE.INC($C$2:$C$726,0.4),3,C749&gt;=_xlfn.PERCENTILE.INC($C$2:$C$726,0.2),2,TRUE,1)</f>
        <v>1</v>
      </c>
      <c r="G749" cm="1">
        <f t="array" ref="G749">_xlfn.IFS(D749&gt;=_xlfn.PERCENTILE.INC($D$2:$D$726,0.8),5,D749&gt;=_xlfn.PERCENTILE.INC($D$2:$D$726,0.6),4,D749&gt;=_xlfn.PERCENTILE.INC($D$2:$D$726,0.4),3,D749&gt;=_xlfn.PERCENTILE.INC($D$2:$D$726,0.2),2,TRUE,1)</f>
        <v>1</v>
      </c>
      <c r="H749">
        <f t="shared" si="11"/>
        <v>3</v>
      </c>
      <c r="I749" t="str" cm="1">
        <f t="array" ref="I749">_xlfn.IFS(H749&gt;=13,"Best Customers",H749&gt;=10,"Loyal Customers",H749&gt;=7,"Potential Loyal Customers",H749&gt;=4,"Need Attention",TRUE,"At Risk")</f>
        <v>At Risk</v>
      </c>
    </row>
    <row r="750" spans="1:9" x14ac:dyDescent="0.25">
      <c r="A750" t="s">
        <v>1526</v>
      </c>
      <c r="B750" s="4">
        <v>370</v>
      </c>
      <c r="C750">
        <v>6</v>
      </c>
      <c r="D750">
        <v>476.6</v>
      </c>
      <c r="E750" cm="1">
        <f t="array" ref="E750">_xlfn.IFS(B750&lt;=_xlfn.PERCENTILE.INC($B$2:$B$726,0.2),5, B750&lt;=_xlfn.PERCENTILE.INC($B$2:$B$726,0.4),4,B750&lt;=_xlfn.PERCENTILE.INC($B$2:$B$726,0.6),3,B750&lt;=_xlfn.PERCENTILE.INC($B$2:$B$726,0.8),4,TRUE,1)</f>
        <v>5</v>
      </c>
      <c r="F750" cm="1">
        <f t="array" ref="F750">_xlfn.IFS(C750&gt;=_xlfn.PERCENTILE.INC($C$2:$C$726,0.8),5,C750&gt;=_xlfn.PERCENTILE.INC($C$2:$C$726,0.6),4,C750&gt;=_xlfn.PERCENTILE.INC($C$2:$C$726,0.4),3,C750&gt;=_xlfn.PERCENTILE.INC($C$2:$C$726,0.2),2,TRUE,1)</f>
        <v>4</v>
      </c>
      <c r="G750" cm="1">
        <f t="array" ref="G750">_xlfn.IFS(D750&gt;=_xlfn.PERCENTILE.INC($D$2:$D$726,0.8),5,D750&gt;=_xlfn.PERCENTILE.INC($D$2:$D$726,0.6),4,D750&gt;=_xlfn.PERCENTILE.INC($D$2:$D$726,0.4),3,D750&gt;=_xlfn.PERCENTILE.INC($D$2:$D$726,0.2),2,TRUE,1)</f>
        <v>5</v>
      </c>
      <c r="H750">
        <f t="shared" si="11"/>
        <v>14</v>
      </c>
      <c r="I750" t="str" cm="1">
        <f t="array" ref="I750">_xlfn.IFS(H750&gt;=13,"Best Customers",H750&gt;=10,"Loyal Customers",H750&gt;=7,"Potential Loyal Customers",H750&gt;=4,"Need Attention",TRUE,"At Risk")</f>
        <v>Best Customers</v>
      </c>
    </row>
    <row r="751" spans="1:9" x14ac:dyDescent="0.25">
      <c r="A751" t="s">
        <v>1053</v>
      </c>
      <c r="B751" s="4">
        <v>929</v>
      </c>
      <c r="C751">
        <v>4</v>
      </c>
      <c r="D751">
        <v>146.80000000000001</v>
      </c>
      <c r="E751" cm="1">
        <f t="array" ref="E751">_xlfn.IFS(B751&lt;=_xlfn.PERCENTILE.INC($B$2:$B$726,0.2),5, B751&lt;=_xlfn.PERCENTILE.INC($B$2:$B$726,0.4),4,B751&lt;=_xlfn.PERCENTILE.INC($B$2:$B$726,0.6),3,B751&lt;=_xlfn.PERCENTILE.INC($B$2:$B$726,0.8),4,TRUE,1)</f>
        <v>1</v>
      </c>
      <c r="F751" cm="1">
        <f t="array" ref="F751">_xlfn.IFS(C751&gt;=_xlfn.PERCENTILE.INC($C$2:$C$726,0.8),5,C751&gt;=_xlfn.PERCENTILE.INC($C$2:$C$726,0.6),4,C751&gt;=_xlfn.PERCENTILE.INC($C$2:$C$726,0.4),3,C751&gt;=_xlfn.PERCENTILE.INC($C$2:$C$726,0.2),2,TRUE,1)</f>
        <v>2</v>
      </c>
      <c r="G751" cm="1">
        <f t="array" ref="G751">_xlfn.IFS(D751&gt;=_xlfn.PERCENTILE.INC($D$2:$D$726,0.8),5,D751&gt;=_xlfn.PERCENTILE.INC($D$2:$D$726,0.6),4,D751&gt;=_xlfn.PERCENTILE.INC($D$2:$D$726,0.4),3,D751&gt;=_xlfn.PERCENTILE.INC($D$2:$D$726,0.2),2,TRUE,1)</f>
        <v>1</v>
      </c>
      <c r="H751">
        <f t="shared" si="11"/>
        <v>4</v>
      </c>
      <c r="I751" t="str" cm="1">
        <f t="array" ref="I751">_xlfn.IFS(H751&gt;=13,"Best Customers",H751&gt;=10,"Loyal Customers",H751&gt;=7,"Potential Loyal Customers",H751&gt;=4,"Need Attention",TRUE,"At Risk")</f>
        <v>Need Attention</v>
      </c>
    </row>
    <row r="752" spans="1:9" x14ac:dyDescent="0.25">
      <c r="A752" t="s">
        <v>1429</v>
      </c>
      <c r="B752" s="4">
        <v>358</v>
      </c>
      <c r="C752">
        <v>5</v>
      </c>
      <c r="D752">
        <v>427.1</v>
      </c>
      <c r="E752" cm="1">
        <f t="array" ref="E752">_xlfn.IFS(B752&lt;=_xlfn.PERCENTILE.INC($B$2:$B$726,0.2),5, B752&lt;=_xlfn.PERCENTILE.INC($B$2:$B$726,0.4),4,B752&lt;=_xlfn.PERCENTILE.INC($B$2:$B$726,0.6),3,B752&lt;=_xlfn.PERCENTILE.INC($B$2:$B$726,0.8),4,TRUE,1)</f>
        <v>5</v>
      </c>
      <c r="F752" cm="1">
        <f t="array" ref="F752">_xlfn.IFS(C752&gt;=_xlfn.PERCENTILE.INC($C$2:$C$726,0.8),5,C752&gt;=_xlfn.PERCENTILE.INC($C$2:$C$726,0.6),4,C752&gt;=_xlfn.PERCENTILE.INC($C$2:$C$726,0.4),3,C752&gt;=_xlfn.PERCENTILE.INC($C$2:$C$726,0.2),2,TRUE,1)</f>
        <v>3</v>
      </c>
      <c r="G752" cm="1">
        <f t="array" ref="G752">_xlfn.IFS(D752&gt;=_xlfn.PERCENTILE.INC($D$2:$D$726,0.8),5,D752&gt;=_xlfn.PERCENTILE.INC($D$2:$D$726,0.6),4,D752&gt;=_xlfn.PERCENTILE.INC($D$2:$D$726,0.4),3,D752&gt;=_xlfn.PERCENTILE.INC($D$2:$D$726,0.2),2,TRUE,1)</f>
        <v>5</v>
      </c>
      <c r="H752">
        <f t="shared" si="11"/>
        <v>13</v>
      </c>
      <c r="I752" t="str" cm="1">
        <f t="array" ref="I752">_xlfn.IFS(H752&gt;=13,"Best Customers",H752&gt;=10,"Loyal Customers",H752&gt;=7,"Potential Loyal Customers",H752&gt;=4,"Need Attention",TRUE,"At Risk")</f>
        <v>Best Customers</v>
      </c>
    </row>
    <row r="753" spans="1:9" x14ac:dyDescent="0.25">
      <c r="A753" t="s">
        <v>2936</v>
      </c>
      <c r="B753" s="4">
        <v>581</v>
      </c>
      <c r="C753">
        <v>7</v>
      </c>
      <c r="D753">
        <v>576.6</v>
      </c>
      <c r="E753" cm="1">
        <f t="array" ref="E753">_xlfn.IFS(B753&lt;=_xlfn.PERCENTILE.INC($B$2:$B$726,0.2),5, B753&lt;=_xlfn.PERCENTILE.INC($B$2:$B$726,0.4),4,B753&lt;=_xlfn.PERCENTILE.INC($B$2:$B$726,0.6),3,B753&lt;=_xlfn.PERCENTILE.INC($B$2:$B$726,0.8),4,TRUE,1)</f>
        <v>4</v>
      </c>
      <c r="F753" cm="1">
        <f t="array" ref="F753">_xlfn.IFS(C753&gt;=_xlfn.PERCENTILE.INC($C$2:$C$726,0.8),5,C753&gt;=_xlfn.PERCENTILE.INC($C$2:$C$726,0.6),4,C753&gt;=_xlfn.PERCENTILE.INC($C$2:$C$726,0.4),3,C753&gt;=_xlfn.PERCENTILE.INC($C$2:$C$726,0.2),2,TRUE,1)</f>
        <v>4</v>
      </c>
      <c r="G753" cm="1">
        <f t="array" ref="G753">_xlfn.IFS(D753&gt;=_xlfn.PERCENTILE.INC($D$2:$D$726,0.8),5,D753&gt;=_xlfn.PERCENTILE.INC($D$2:$D$726,0.6),4,D753&gt;=_xlfn.PERCENTILE.INC($D$2:$D$726,0.4),3,D753&gt;=_xlfn.PERCENTILE.INC($D$2:$D$726,0.2),2,TRUE,1)</f>
        <v>5</v>
      </c>
      <c r="H753">
        <f t="shared" si="11"/>
        <v>13</v>
      </c>
      <c r="I753" t="str" cm="1">
        <f t="array" ref="I753">_xlfn.IFS(H753&gt;=13,"Best Customers",H753&gt;=10,"Loyal Customers",H753&gt;=7,"Potential Loyal Customers",H753&gt;=4,"Need Attention",TRUE,"At Risk")</f>
        <v>Best Customers</v>
      </c>
    </row>
    <row r="754" spans="1:9" x14ac:dyDescent="0.25">
      <c r="A754" t="s">
        <v>2071</v>
      </c>
      <c r="B754" s="4">
        <v>335</v>
      </c>
      <c r="C754">
        <v>6</v>
      </c>
      <c r="D754">
        <v>355.8</v>
      </c>
      <c r="E754" cm="1">
        <f t="array" ref="E754">_xlfn.IFS(B754&lt;=_xlfn.PERCENTILE.INC($B$2:$B$726,0.2),5, B754&lt;=_xlfn.PERCENTILE.INC($B$2:$B$726,0.4),4,B754&lt;=_xlfn.PERCENTILE.INC($B$2:$B$726,0.6),3,B754&lt;=_xlfn.PERCENTILE.INC($B$2:$B$726,0.8),4,TRUE,1)</f>
        <v>5</v>
      </c>
      <c r="F754" cm="1">
        <f t="array" ref="F754">_xlfn.IFS(C754&gt;=_xlfn.PERCENTILE.INC($C$2:$C$726,0.8),5,C754&gt;=_xlfn.PERCENTILE.INC($C$2:$C$726,0.6),4,C754&gt;=_xlfn.PERCENTILE.INC($C$2:$C$726,0.4),3,C754&gt;=_xlfn.PERCENTILE.INC($C$2:$C$726,0.2),2,TRUE,1)</f>
        <v>4</v>
      </c>
      <c r="G754" cm="1">
        <f t="array" ref="G754">_xlfn.IFS(D754&gt;=_xlfn.PERCENTILE.INC($D$2:$D$726,0.8),5,D754&gt;=_xlfn.PERCENTILE.INC($D$2:$D$726,0.6),4,D754&gt;=_xlfn.PERCENTILE.INC($D$2:$D$726,0.4),3,D754&gt;=_xlfn.PERCENTILE.INC($D$2:$D$726,0.2),2,TRUE,1)</f>
        <v>4</v>
      </c>
      <c r="H754">
        <f t="shared" si="11"/>
        <v>13</v>
      </c>
      <c r="I754" t="str" cm="1">
        <f t="array" ref="I754">_xlfn.IFS(H754&gt;=13,"Best Customers",H754&gt;=10,"Loyal Customers",H754&gt;=7,"Potential Loyal Customers",H754&gt;=4,"Need Attention",TRUE,"At Risk")</f>
        <v>Best Customers</v>
      </c>
    </row>
    <row r="755" spans="1:9" x14ac:dyDescent="0.25">
      <c r="A755" t="s">
        <v>3435</v>
      </c>
      <c r="B755" s="4">
        <v>426</v>
      </c>
      <c r="C755">
        <v>3</v>
      </c>
      <c r="D755">
        <v>205.6</v>
      </c>
      <c r="E755" cm="1">
        <f t="array" ref="E755">_xlfn.IFS(B755&lt;=_xlfn.PERCENTILE.INC($B$2:$B$726,0.2),5, B755&lt;=_xlfn.PERCENTILE.INC($B$2:$B$726,0.4),4,B755&lt;=_xlfn.PERCENTILE.INC($B$2:$B$726,0.6),3,B755&lt;=_xlfn.PERCENTILE.INC($B$2:$B$726,0.8),4,TRUE,1)</f>
        <v>4</v>
      </c>
      <c r="F755" cm="1">
        <f t="array" ref="F755">_xlfn.IFS(C755&gt;=_xlfn.PERCENTILE.INC($C$2:$C$726,0.8),5,C755&gt;=_xlfn.PERCENTILE.INC($C$2:$C$726,0.6),4,C755&gt;=_xlfn.PERCENTILE.INC($C$2:$C$726,0.4),3,C755&gt;=_xlfn.PERCENTILE.INC($C$2:$C$726,0.2),2,TRUE,1)</f>
        <v>1</v>
      </c>
      <c r="G755" cm="1">
        <f t="array" ref="G755">_xlfn.IFS(D755&gt;=_xlfn.PERCENTILE.INC($D$2:$D$726,0.8),5,D755&gt;=_xlfn.PERCENTILE.INC($D$2:$D$726,0.6),4,D755&gt;=_xlfn.PERCENTILE.INC($D$2:$D$726,0.4),3,D755&gt;=_xlfn.PERCENTILE.INC($D$2:$D$726,0.2),2,TRUE,1)</f>
        <v>2</v>
      </c>
      <c r="H755">
        <f t="shared" si="11"/>
        <v>7</v>
      </c>
      <c r="I755" t="str" cm="1">
        <f t="array" ref="I755">_xlfn.IFS(H755&gt;=13,"Best Customers",H755&gt;=10,"Loyal Customers",H755&gt;=7,"Potential Loyal Customers",H755&gt;=4,"Need Attention",TRUE,"At Risk")</f>
        <v>Potential Loyal Customers</v>
      </c>
    </row>
    <row r="756" spans="1:9" x14ac:dyDescent="0.25">
      <c r="A756" t="s">
        <v>1514</v>
      </c>
      <c r="B756" s="4">
        <v>1059</v>
      </c>
      <c r="C756">
        <v>8</v>
      </c>
      <c r="D756">
        <v>303.8</v>
      </c>
      <c r="E756" cm="1">
        <f t="array" ref="E756">_xlfn.IFS(B756&lt;=_xlfn.PERCENTILE.INC($B$2:$B$726,0.2),5, B756&lt;=_xlfn.PERCENTILE.INC($B$2:$B$726,0.4),4,B756&lt;=_xlfn.PERCENTILE.INC($B$2:$B$726,0.6),3,B756&lt;=_xlfn.PERCENTILE.INC($B$2:$B$726,0.8),4,TRUE,1)</f>
        <v>1</v>
      </c>
      <c r="F756" cm="1">
        <f t="array" ref="F756">_xlfn.IFS(C756&gt;=_xlfn.PERCENTILE.INC($C$2:$C$726,0.8),5,C756&gt;=_xlfn.PERCENTILE.INC($C$2:$C$726,0.6),4,C756&gt;=_xlfn.PERCENTILE.INC($C$2:$C$726,0.4),3,C756&gt;=_xlfn.PERCENTILE.INC($C$2:$C$726,0.2),2,TRUE,1)</f>
        <v>5</v>
      </c>
      <c r="G756" cm="1">
        <f t="array" ref="G756">_xlfn.IFS(D756&gt;=_xlfn.PERCENTILE.INC($D$2:$D$726,0.8),5,D756&gt;=_xlfn.PERCENTILE.INC($D$2:$D$726,0.6),4,D756&gt;=_xlfn.PERCENTILE.INC($D$2:$D$726,0.4),3,D756&gt;=_xlfn.PERCENTILE.INC($D$2:$D$726,0.2),2,TRUE,1)</f>
        <v>3</v>
      </c>
      <c r="H756">
        <f t="shared" si="11"/>
        <v>9</v>
      </c>
      <c r="I756" t="str" cm="1">
        <f t="array" ref="I756">_xlfn.IFS(H756&gt;=13,"Best Customers",H756&gt;=10,"Loyal Customers",H756&gt;=7,"Potential Loyal Customers",H756&gt;=4,"Need Attention",TRUE,"At Risk")</f>
        <v>Potential Loyal Customers</v>
      </c>
    </row>
    <row r="757" spans="1:9" x14ac:dyDescent="0.25">
      <c r="A757" t="s">
        <v>2786</v>
      </c>
      <c r="B757" s="4">
        <v>621</v>
      </c>
      <c r="C757">
        <v>6</v>
      </c>
      <c r="D757">
        <v>241.89999999999998</v>
      </c>
      <c r="E757" cm="1">
        <f t="array" ref="E757">_xlfn.IFS(B757&lt;=_xlfn.PERCENTILE.INC($B$2:$B$726,0.2),5, B757&lt;=_xlfn.PERCENTILE.INC($B$2:$B$726,0.4),4,B757&lt;=_xlfn.PERCENTILE.INC($B$2:$B$726,0.6),3,B757&lt;=_xlfn.PERCENTILE.INC($B$2:$B$726,0.8),4,TRUE,1)</f>
        <v>4</v>
      </c>
      <c r="F757" cm="1">
        <f t="array" ref="F757">_xlfn.IFS(C757&gt;=_xlfn.PERCENTILE.INC($C$2:$C$726,0.8),5,C757&gt;=_xlfn.PERCENTILE.INC($C$2:$C$726,0.6),4,C757&gt;=_xlfn.PERCENTILE.INC($C$2:$C$726,0.4),3,C757&gt;=_xlfn.PERCENTILE.INC($C$2:$C$726,0.2),2,TRUE,1)</f>
        <v>4</v>
      </c>
      <c r="G757" cm="1">
        <f t="array" ref="G757">_xlfn.IFS(D757&gt;=_xlfn.PERCENTILE.INC($D$2:$D$726,0.8),5,D757&gt;=_xlfn.PERCENTILE.INC($D$2:$D$726,0.6),4,D757&gt;=_xlfn.PERCENTILE.INC($D$2:$D$726,0.4),3,D757&gt;=_xlfn.PERCENTILE.INC($D$2:$D$726,0.2),2,TRUE,1)</f>
        <v>3</v>
      </c>
      <c r="H757">
        <f t="shared" si="11"/>
        <v>11</v>
      </c>
      <c r="I757" t="str" cm="1">
        <f t="array" ref="I757">_xlfn.IFS(H757&gt;=13,"Best Customers",H757&gt;=10,"Loyal Customers",H757&gt;=7,"Potential Loyal Customers",H757&gt;=4,"Need Attention",TRUE,"At Risk")</f>
        <v>Loyal Customers</v>
      </c>
    </row>
    <row r="758" spans="1:9" x14ac:dyDescent="0.25">
      <c r="A758" t="s">
        <v>3366</v>
      </c>
      <c r="B758" s="4">
        <v>544</v>
      </c>
      <c r="C758">
        <v>9</v>
      </c>
      <c r="D758">
        <v>368.70000000000005</v>
      </c>
      <c r="E758" cm="1">
        <f t="array" ref="E758">_xlfn.IFS(B758&lt;=_xlfn.PERCENTILE.INC($B$2:$B$726,0.2),5, B758&lt;=_xlfn.PERCENTILE.INC($B$2:$B$726,0.4),4,B758&lt;=_xlfn.PERCENTILE.INC($B$2:$B$726,0.6),3,B758&lt;=_xlfn.PERCENTILE.INC($B$2:$B$726,0.8),4,TRUE,1)</f>
        <v>3</v>
      </c>
      <c r="F758" cm="1">
        <f t="array" ref="F758">_xlfn.IFS(C758&gt;=_xlfn.PERCENTILE.INC($C$2:$C$726,0.8),5,C758&gt;=_xlfn.PERCENTILE.INC($C$2:$C$726,0.6),4,C758&gt;=_xlfn.PERCENTILE.INC($C$2:$C$726,0.4),3,C758&gt;=_xlfn.PERCENTILE.INC($C$2:$C$726,0.2),2,TRUE,1)</f>
        <v>5</v>
      </c>
      <c r="G758" cm="1">
        <f t="array" ref="G758">_xlfn.IFS(D758&gt;=_xlfn.PERCENTILE.INC($D$2:$D$726,0.8),5,D758&gt;=_xlfn.PERCENTILE.INC($D$2:$D$726,0.6),4,D758&gt;=_xlfn.PERCENTILE.INC($D$2:$D$726,0.4),3,D758&gt;=_xlfn.PERCENTILE.INC($D$2:$D$726,0.2),2,TRUE,1)</f>
        <v>4</v>
      </c>
      <c r="H758">
        <f t="shared" si="11"/>
        <v>12</v>
      </c>
      <c r="I758" t="str" cm="1">
        <f t="array" ref="I758">_xlfn.IFS(H758&gt;=13,"Best Customers",H758&gt;=10,"Loyal Customers",H758&gt;=7,"Potential Loyal Customers",H758&gt;=4,"Need Attention",TRUE,"At Risk")</f>
        <v>Loyal Customers</v>
      </c>
    </row>
    <row r="759" spans="1:9" x14ac:dyDescent="0.25">
      <c r="A759" t="s">
        <v>835</v>
      </c>
      <c r="B759" s="4">
        <v>988</v>
      </c>
      <c r="C759">
        <v>4</v>
      </c>
      <c r="D759">
        <v>196</v>
      </c>
      <c r="E759" cm="1">
        <f t="array" ref="E759">_xlfn.IFS(B759&lt;=_xlfn.PERCENTILE.INC($B$2:$B$726,0.2),5, B759&lt;=_xlfn.PERCENTILE.INC($B$2:$B$726,0.4),4,B759&lt;=_xlfn.PERCENTILE.INC($B$2:$B$726,0.6),3,B759&lt;=_xlfn.PERCENTILE.INC($B$2:$B$726,0.8),4,TRUE,1)</f>
        <v>1</v>
      </c>
      <c r="F759" cm="1">
        <f t="array" ref="F759">_xlfn.IFS(C759&gt;=_xlfn.PERCENTILE.INC($C$2:$C$726,0.8),5,C759&gt;=_xlfn.PERCENTILE.INC($C$2:$C$726,0.6),4,C759&gt;=_xlfn.PERCENTILE.INC($C$2:$C$726,0.4),3,C759&gt;=_xlfn.PERCENTILE.INC($C$2:$C$726,0.2),2,TRUE,1)</f>
        <v>2</v>
      </c>
      <c r="G759" cm="1">
        <f t="array" ref="G759">_xlfn.IFS(D759&gt;=_xlfn.PERCENTILE.INC($D$2:$D$726,0.8),5,D759&gt;=_xlfn.PERCENTILE.INC($D$2:$D$726,0.6),4,D759&gt;=_xlfn.PERCENTILE.INC($D$2:$D$726,0.4),3,D759&gt;=_xlfn.PERCENTILE.INC($D$2:$D$726,0.2),2,TRUE,1)</f>
        <v>2</v>
      </c>
      <c r="H759">
        <f t="shared" si="11"/>
        <v>5</v>
      </c>
      <c r="I759" t="str" cm="1">
        <f t="array" ref="I759">_xlfn.IFS(H759&gt;=13,"Best Customers",H759&gt;=10,"Loyal Customers",H759&gt;=7,"Potential Loyal Customers",H759&gt;=4,"Need Attention",TRUE,"At Risk")</f>
        <v>Need Attention</v>
      </c>
    </row>
    <row r="760" spans="1:9" x14ac:dyDescent="0.25">
      <c r="A760" t="s">
        <v>1582</v>
      </c>
      <c r="B760" s="4">
        <v>336</v>
      </c>
      <c r="C760">
        <v>11</v>
      </c>
      <c r="D760">
        <v>506.2</v>
      </c>
      <c r="E760" cm="1">
        <f t="array" ref="E760">_xlfn.IFS(B760&lt;=_xlfn.PERCENTILE.INC($B$2:$B$726,0.2),5, B760&lt;=_xlfn.PERCENTILE.INC($B$2:$B$726,0.4),4,B760&lt;=_xlfn.PERCENTILE.INC($B$2:$B$726,0.6),3,B760&lt;=_xlfn.PERCENTILE.INC($B$2:$B$726,0.8),4,TRUE,1)</f>
        <v>5</v>
      </c>
      <c r="F760" cm="1">
        <f t="array" ref="F760">_xlfn.IFS(C760&gt;=_xlfn.PERCENTILE.INC($C$2:$C$726,0.8),5,C760&gt;=_xlfn.PERCENTILE.INC($C$2:$C$726,0.6),4,C760&gt;=_xlfn.PERCENTILE.INC($C$2:$C$726,0.4),3,C760&gt;=_xlfn.PERCENTILE.INC($C$2:$C$726,0.2),2,TRUE,1)</f>
        <v>5</v>
      </c>
      <c r="G760" cm="1">
        <f t="array" ref="G760">_xlfn.IFS(D760&gt;=_xlfn.PERCENTILE.INC($D$2:$D$726,0.8),5,D760&gt;=_xlfn.PERCENTILE.INC($D$2:$D$726,0.6),4,D760&gt;=_xlfn.PERCENTILE.INC($D$2:$D$726,0.4),3,D760&gt;=_xlfn.PERCENTILE.INC($D$2:$D$726,0.2),2,TRUE,1)</f>
        <v>5</v>
      </c>
      <c r="H760">
        <f t="shared" si="11"/>
        <v>15</v>
      </c>
      <c r="I760" t="str" cm="1">
        <f t="array" ref="I760">_xlfn.IFS(H760&gt;=13,"Best Customers",H760&gt;=10,"Loyal Customers",H760&gt;=7,"Potential Loyal Customers",H760&gt;=4,"Need Attention",TRUE,"At Risk")</f>
        <v>Best Customers</v>
      </c>
    </row>
    <row r="761" spans="1:9" x14ac:dyDescent="0.25">
      <c r="A761" t="s">
        <v>1199</v>
      </c>
      <c r="B761" s="4">
        <v>578</v>
      </c>
      <c r="C761">
        <v>5</v>
      </c>
      <c r="D761">
        <v>266</v>
      </c>
      <c r="E761" cm="1">
        <f t="array" ref="E761">_xlfn.IFS(B761&lt;=_xlfn.PERCENTILE.INC($B$2:$B$726,0.2),5, B761&lt;=_xlfn.PERCENTILE.INC($B$2:$B$726,0.4),4,B761&lt;=_xlfn.PERCENTILE.INC($B$2:$B$726,0.6),3,B761&lt;=_xlfn.PERCENTILE.INC($B$2:$B$726,0.8),4,TRUE,1)</f>
        <v>4</v>
      </c>
      <c r="F761" cm="1">
        <f t="array" ref="F761">_xlfn.IFS(C761&gt;=_xlfn.PERCENTILE.INC($C$2:$C$726,0.8),5,C761&gt;=_xlfn.PERCENTILE.INC($C$2:$C$726,0.6),4,C761&gt;=_xlfn.PERCENTILE.INC($C$2:$C$726,0.4),3,C761&gt;=_xlfn.PERCENTILE.INC($C$2:$C$726,0.2),2,TRUE,1)</f>
        <v>3</v>
      </c>
      <c r="G761" cm="1">
        <f t="array" ref="G761">_xlfn.IFS(D761&gt;=_xlfn.PERCENTILE.INC($D$2:$D$726,0.8),5,D761&gt;=_xlfn.PERCENTILE.INC($D$2:$D$726,0.6),4,D761&gt;=_xlfn.PERCENTILE.INC($D$2:$D$726,0.4),3,D761&gt;=_xlfn.PERCENTILE.INC($D$2:$D$726,0.2),2,TRUE,1)</f>
        <v>3</v>
      </c>
      <c r="H761">
        <f t="shared" si="11"/>
        <v>10</v>
      </c>
      <c r="I761" t="str" cm="1">
        <f t="array" ref="I761">_xlfn.IFS(H761&gt;=13,"Best Customers",H761&gt;=10,"Loyal Customers",H761&gt;=7,"Potential Loyal Customers",H761&gt;=4,"Need Attention",TRUE,"At Risk")</f>
        <v>Loyal Customers</v>
      </c>
    </row>
    <row r="762" spans="1:9" x14ac:dyDescent="0.25">
      <c r="A762" t="s">
        <v>3390</v>
      </c>
      <c r="B762" s="4">
        <v>516</v>
      </c>
      <c r="C762">
        <v>9</v>
      </c>
      <c r="D762">
        <v>387.09999999999997</v>
      </c>
      <c r="E762" cm="1">
        <f t="array" ref="E762">_xlfn.IFS(B762&lt;=_xlfn.PERCENTILE.INC($B$2:$B$726,0.2),5, B762&lt;=_xlfn.PERCENTILE.INC($B$2:$B$726,0.4),4,B762&lt;=_xlfn.PERCENTILE.INC($B$2:$B$726,0.6),3,B762&lt;=_xlfn.PERCENTILE.INC($B$2:$B$726,0.8),4,TRUE,1)</f>
        <v>3</v>
      </c>
      <c r="F762" cm="1">
        <f t="array" ref="F762">_xlfn.IFS(C762&gt;=_xlfn.PERCENTILE.INC($C$2:$C$726,0.8),5,C762&gt;=_xlfn.PERCENTILE.INC($C$2:$C$726,0.6),4,C762&gt;=_xlfn.PERCENTILE.INC($C$2:$C$726,0.4),3,C762&gt;=_xlfn.PERCENTILE.INC($C$2:$C$726,0.2),2,TRUE,1)</f>
        <v>5</v>
      </c>
      <c r="G762" cm="1">
        <f t="array" ref="G762">_xlfn.IFS(D762&gt;=_xlfn.PERCENTILE.INC($D$2:$D$726,0.8),5,D762&gt;=_xlfn.PERCENTILE.INC($D$2:$D$726,0.6),4,D762&gt;=_xlfn.PERCENTILE.INC($D$2:$D$726,0.4),3,D762&gt;=_xlfn.PERCENTILE.INC($D$2:$D$726,0.2),2,TRUE,1)</f>
        <v>4</v>
      </c>
      <c r="H762">
        <f t="shared" si="11"/>
        <v>12</v>
      </c>
      <c r="I762" t="str" cm="1">
        <f t="array" ref="I762">_xlfn.IFS(H762&gt;=13,"Best Customers",H762&gt;=10,"Loyal Customers",H762&gt;=7,"Potential Loyal Customers",H762&gt;=4,"Need Attention",TRUE,"At Risk")</f>
        <v>Loyal Customers</v>
      </c>
    </row>
    <row r="763" spans="1:9" x14ac:dyDescent="0.25">
      <c r="A763" t="s">
        <v>3101</v>
      </c>
      <c r="B763" s="4">
        <v>693</v>
      </c>
      <c r="C763">
        <v>6</v>
      </c>
      <c r="D763">
        <v>309.3</v>
      </c>
      <c r="E763" cm="1">
        <f t="array" ref="E763">_xlfn.IFS(B763&lt;=_xlfn.PERCENTILE.INC($B$2:$B$726,0.2),5, B763&lt;=_xlfn.PERCENTILE.INC($B$2:$B$726,0.4),4,B763&lt;=_xlfn.PERCENTILE.INC($B$2:$B$726,0.6),3,B763&lt;=_xlfn.PERCENTILE.INC($B$2:$B$726,0.8),4,TRUE,1)</f>
        <v>4</v>
      </c>
      <c r="F763" cm="1">
        <f t="array" ref="F763">_xlfn.IFS(C763&gt;=_xlfn.PERCENTILE.INC($C$2:$C$726,0.8),5,C763&gt;=_xlfn.PERCENTILE.INC($C$2:$C$726,0.6),4,C763&gt;=_xlfn.PERCENTILE.INC($C$2:$C$726,0.4),3,C763&gt;=_xlfn.PERCENTILE.INC($C$2:$C$726,0.2),2,TRUE,1)</f>
        <v>4</v>
      </c>
      <c r="G763" cm="1">
        <f t="array" ref="G763">_xlfn.IFS(D763&gt;=_xlfn.PERCENTILE.INC($D$2:$D$726,0.8),5,D763&gt;=_xlfn.PERCENTILE.INC($D$2:$D$726,0.6),4,D763&gt;=_xlfn.PERCENTILE.INC($D$2:$D$726,0.4),3,D763&gt;=_xlfn.PERCENTILE.INC($D$2:$D$726,0.2),2,TRUE,1)</f>
        <v>3</v>
      </c>
      <c r="H763">
        <f t="shared" si="11"/>
        <v>11</v>
      </c>
      <c r="I763" t="str" cm="1">
        <f t="array" ref="I763">_xlfn.IFS(H763&gt;=13,"Best Customers",H763&gt;=10,"Loyal Customers",H763&gt;=7,"Potential Loyal Customers",H763&gt;=4,"Need Attention",TRUE,"At Risk")</f>
        <v>Loyal Customers</v>
      </c>
    </row>
    <row r="764" spans="1:9" x14ac:dyDescent="0.25">
      <c r="A764" t="s">
        <v>2927</v>
      </c>
      <c r="B764" s="4">
        <v>398</v>
      </c>
      <c r="C764">
        <v>7</v>
      </c>
      <c r="D764">
        <v>143.69999999999999</v>
      </c>
      <c r="E764" cm="1">
        <f t="array" ref="E764">_xlfn.IFS(B764&lt;=_xlfn.PERCENTILE.INC($B$2:$B$726,0.2),5, B764&lt;=_xlfn.PERCENTILE.INC($B$2:$B$726,0.4),4,B764&lt;=_xlfn.PERCENTILE.INC($B$2:$B$726,0.6),3,B764&lt;=_xlfn.PERCENTILE.INC($B$2:$B$726,0.8),4,TRUE,1)</f>
        <v>4</v>
      </c>
      <c r="F764" cm="1">
        <f t="array" ref="F764">_xlfn.IFS(C764&gt;=_xlfn.PERCENTILE.INC($C$2:$C$726,0.8),5,C764&gt;=_xlfn.PERCENTILE.INC($C$2:$C$726,0.6),4,C764&gt;=_xlfn.PERCENTILE.INC($C$2:$C$726,0.4),3,C764&gt;=_xlfn.PERCENTILE.INC($C$2:$C$726,0.2),2,TRUE,1)</f>
        <v>4</v>
      </c>
      <c r="G764" cm="1">
        <f t="array" ref="G764">_xlfn.IFS(D764&gt;=_xlfn.PERCENTILE.INC($D$2:$D$726,0.8),5,D764&gt;=_xlfn.PERCENTILE.INC($D$2:$D$726,0.6),4,D764&gt;=_xlfn.PERCENTILE.INC($D$2:$D$726,0.4),3,D764&gt;=_xlfn.PERCENTILE.INC($D$2:$D$726,0.2),2,TRUE,1)</f>
        <v>1</v>
      </c>
      <c r="H764">
        <f t="shared" si="11"/>
        <v>9</v>
      </c>
      <c r="I764" t="str" cm="1">
        <f t="array" ref="I764">_xlfn.IFS(H764&gt;=13,"Best Customers",H764&gt;=10,"Loyal Customers",H764&gt;=7,"Potential Loyal Customers",H764&gt;=4,"Need Attention",TRUE,"At Risk")</f>
        <v>Potential Loyal Customers</v>
      </c>
    </row>
    <row r="765" spans="1:9" x14ac:dyDescent="0.25">
      <c r="A765" t="s">
        <v>1411</v>
      </c>
      <c r="B765" s="4">
        <v>541</v>
      </c>
      <c r="C765">
        <v>3</v>
      </c>
      <c r="D765">
        <v>44.8</v>
      </c>
      <c r="E765" cm="1">
        <f t="array" ref="E765">_xlfn.IFS(B765&lt;=_xlfn.PERCENTILE.INC($B$2:$B$726,0.2),5, B765&lt;=_xlfn.PERCENTILE.INC($B$2:$B$726,0.4),4,B765&lt;=_xlfn.PERCENTILE.INC($B$2:$B$726,0.6),3,B765&lt;=_xlfn.PERCENTILE.INC($B$2:$B$726,0.8),4,TRUE,1)</f>
        <v>3</v>
      </c>
      <c r="F765" cm="1">
        <f t="array" ref="F765">_xlfn.IFS(C765&gt;=_xlfn.PERCENTILE.INC($C$2:$C$726,0.8),5,C765&gt;=_xlfn.PERCENTILE.INC($C$2:$C$726,0.6),4,C765&gt;=_xlfn.PERCENTILE.INC($C$2:$C$726,0.4),3,C765&gt;=_xlfn.PERCENTILE.INC($C$2:$C$726,0.2),2,TRUE,1)</f>
        <v>1</v>
      </c>
      <c r="G765" cm="1">
        <f t="array" ref="G765">_xlfn.IFS(D765&gt;=_xlfn.PERCENTILE.INC($D$2:$D$726,0.8),5,D765&gt;=_xlfn.PERCENTILE.INC($D$2:$D$726,0.6),4,D765&gt;=_xlfn.PERCENTILE.INC($D$2:$D$726,0.4),3,D765&gt;=_xlfn.PERCENTILE.INC($D$2:$D$726,0.2),2,TRUE,1)</f>
        <v>1</v>
      </c>
      <c r="H765">
        <f t="shared" si="11"/>
        <v>5</v>
      </c>
      <c r="I765" t="str" cm="1">
        <f t="array" ref="I765">_xlfn.IFS(H765&gt;=13,"Best Customers",H765&gt;=10,"Loyal Customers",H765&gt;=7,"Potential Loyal Customers",H765&gt;=4,"Need Attention",TRUE,"At Risk")</f>
        <v>Need Attention</v>
      </c>
    </row>
    <row r="766" spans="1:9" x14ac:dyDescent="0.25">
      <c r="A766" t="s">
        <v>1112</v>
      </c>
      <c r="B766" s="4">
        <v>433</v>
      </c>
      <c r="C766">
        <v>8</v>
      </c>
      <c r="D766">
        <v>305.60000000000002</v>
      </c>
      <c r="E766" cm="1">
        <f t="array" ref="E766">_xlfn.IFS(B766&lt;=_xlfn.PERCENTILE.INC($B$2:$B$726,0.2),5, B766&lt;=_xlfn.PERCENTILE.INC($B$2:$B$726,0.4),4,B766&lt;=_xlfn.PERCENTILE.INC($B$2:$B$726,0.6),3,B766&lt;=_xlfn.PERCENTILE.INC($B$2:$B$726,0.8),4,TRUE,1)</f>
        <v>4</v>
      </c>
      <c r="F766" cm="1">
        <f t="array" ref="F766">_xlfn.IFS(C766&gt;=_xlfn.PERCENTILE.INC($C$2:$C$726,0.8),5,C766&gt;=_xlfn.PERCENTILE.INC($C$2:$C$726,0.6),4,C766&gt;=_xlfn.PERCENTILE.INC($C$2:$C$726,0.4),3,C766&gt;=_xlfn.PERCENTILE.INC($C$2:$C$726,0.2),2,TRUE,1)</f>
        <v>5</v>
      </c>
      <c r="G766" cm="1">
        <f t="array" ref="G766">_xlfn.IFS(D766&gt;=_xlfn.PERCENTILE.INC($D$2:$D$726,0.8),5,D766&gt;=_xlfn.PERCENTILE.INC($D$2:$D$726,0.6),4,D766&gt;=_xlfn.PERCENTILE.INC($D$2:$D$726,0.4),3,D766&gt;=_xlfn.PERCENTILE.INC($D$2:$D$726,0.2),2,TRUE,1)</f>
        <v>3</v>
      </c>
      <c r="H766">
        <f t="shared" si="11"/>
        <v>12</v>
      </c>
      <c r="I766" t="str" cm="1">
        <f t="array" ref="I766">_xlfn.IFS(H766&gt;=13,"Best Customers",H766&gt;=10,"Loyal Customers",H766&gt;=7,"Potential Loyal Customers",H766&gt;=4,"Need Attention",TRUE,"At Risk")</f>
        <v>Loyal Customers</v>
      </c>
    </row>
    <row r="767" spans="1:9" x14ac:dyDescent="0.25">
      <c r="A767" t="s">
        <v>1169</v>
      </c>
      <c r="B767" s="4">
        <v>651</v>
      </c>
      <c r="C767">
        <v>5</v>
      </c>
      <c r="D767">
        <v>172.79999999999998</v>
      </c>
      <c r="E767" cm="1">
        <f t="array" ref="E767">_xlfn.IFS(B767&lt;=_xlfn.PERCENTILE.INC($B$2:$B$726,0.2),5, B767&lt;=_xlfn.PERCENTILE.INC($B$2:$B$726,0.4),4,B767&lt;=_xlfn.PERCENTILE.INC($B$2:$B$726,0.6),3,B767&lt;=_xlfn.PERCENTILE.INC($B$2:$B$726,0.8),4,TRUE,1)</f>
        <v>4</v>
      </c>
      <c r="F767" cm="1">
        <f t="array" ref="F767">_xlfn.IFS(C767&gt;=_xlfn.PERCENTILE.INC($C$2:$C$726,0.8),5,C767&gt;=_xlfn.PERCENTILE.INC($C$2:$C$726,0.6),4,C767&gt;=_xlfn.PERCENTILE.INC($C$2:$C$726,0.4),3,C767&gt;=_xlfn.PERCENTILE.INC($C$2:$C$726,0.2),2,TRUE,1)</f>
        <v>3</v>
      </c>
      <c r="G767" cm="1">
        <f t="array" ref="G767">_xlfn.IFS(D767&gt;=_xlfn.PERCENTILE.INC($D$2:$D$726,0.8),5,D767&gt;=_xlfn.PERCENTILE.INC($D$2:$D$726,0.6),4,D767&gt;=_xlfn.PERCENTILE.INC($D$2:$D$726,0.4),3,D767&gt;=_xlfn.PERCENTILE.INC($D$2:$D$726,0.2),2,TRUE,1)</f>
        <v>2</v>
      </c>
      <c r="H767">
        <f t="shared" si="11"/>
        <v>9</v>
      </c>
      <c r="I767" t="str" cm="1">
        <f t="array" ref="I767">_xlfn.IFS(H767&gt;=13,"Best Customers",H767&gt;=10,"Loyal Customers",H767&gt;=7,"Potential Loyal Customers",H767&gt;=4,"Need Attention",TRUE,"At Risk")</f>
        <v>Potential Loyal Customers</v>
      </c>
    </row>
    <row r="768" spans="1:9" x14ac:dyDescent="0.25">
      <c r="A768" t="s">
        <v>1232</v>
      </c>
      <c r="B768" s="4">
        <v>352</v>
      </c>
      <c r="C768">
        <v>5</v>
      </c>
      <c r="D768">
        <v>224</v>
      </c>
      <c r="E768" cm="1">
        <f t="array" ref="E768">_xlfn.IFS(B768&lt;=_xlfn.PERCENTILE.INC($B$2:$B$726,0.2),5, B768&lt;=_xlfn.PERCENTILE.INC($B$2:$B$726,0.4),4,B768&lt;=_xlfn.PERCENTILE.INC($B$2:$B$726,0.6),3,B768&lt;=_xlfn.PERCENTILE.INC($B$2:$B$726,0.8),4,TRUE,1)</f>
        <v>5</v>
      </c>
      <c r="F768" cm="1">
        <f t="array" ref="F768">_xlfn.IFS(C768&gt;=_xlfn.PERCENTILE.INC($C$2:$C$726,0.8),5,C768&gt;=_xlfn.PERCENTILE.INC($C$2:$C$726,0.6),4,C768&gt;=_xlfn.PERCENTILE.INC($C$2:$C$726,0.4),3,C768&gt;=_xlfn.PERCENTILE.INC($C$2:$C$726,0.2),2,TRUE,1)</f>
        <v>3</v>
      </c>
      <c r="G768" cm="1">
        <f t="array" ref="G768">_xlfn.IFS(D768&gt;=_xlfn.PERCENTILE.INC($D$2:$D$726,0.8),5,D768&gt;=_xlfn.PERCENTILE.INC($D$2:$D$726,0.6),4,D768&gt;=_xlfn.PERCENTILE.INC($D$2:$D$726,0.4),3,D768&gt;=_xlfn.PERCENTILE.INC($D$2:$D$726,0.2),2,TRUE,1)</f>
        <v>2</v>
      </c>
      <c r="H768">
        <f t="shared" si="11"/>
        <v>10</v>
      </c>
      <c r="I768" t="str" cm="1">
        <f t="array" ref="I768">_xlfn.IFS(H768&gt;=13,"Best Customers",H768&gt;=10,"Loyal Customers",H768&gt;=7,"Potential Loyal Customers",H768&gt;=4,"Need Attention",TRUE,"At Risk")</f>
        <v>Loyal Customers</v>
      </c>
    </row>
    <row r="769" spans="1:9" x14ac:dyDescent="0.25">
      <c r="A769" t="s">
        <v>3432</v>
      </c>
      <c r="B769" s="4">
        <v>835</v>
      </c>
      <c r="C769">
        <v>6</v>
      </c>
      <c r="D769">
        <v>185</v>
      </c>
      <c r="E769" cm="1">
        <f t="array" ref="E769">_xlfn.IFS(B769&lt;=_xlfn.PERCENTILE.INC($B$2:$B$726,0.2),5, B769&lt;=_xlfn.PERCENTILE.INC($B$2:$B$726,0.4),4,B769&lt;=_xlfn.PERCENTILE.INC($B$2:$B$726,0.6),3,B769&lt;=_xlfn.PERCENTILE.INC($B$2:$B$726,0.8),4,TRUE,1)</f>
        <v>1</v>
      </c>
      <c r="F769" cm="1">
        <f t="array" ref="F769">_xlfn.IFS(C769&gt;=_xlfn.PERCENTILE.INC($C$2:$C$726,0.8),5,C769&gt;=_xlfn.PERCENTILE.INC($C$2:$C$726,0.6),4,C769&gt;=_xlfn.PERCENTILE.INC($C$2:$C$726,0.4),3,C769&gt;=_xlfn.PERCENTILE.INC($C$2:$C$726,0.2),2,TRUE,1)</f>
        <v>4</v>
      </c>
      <c r="G769" cm="1">
        <f t="array" ref="G769">_xlfn.IFS(D769&gt;=_xlfn.PERCENTILE.INC($D$2:$D$726,0.8),5,D769&gt;=_xlfn.PERCENTILE.INC($D$2:$D$726,0.6),4,D769&gt;=_xlfn.PERCENTILE.INC($D$2:$D$726,0.4),3,D769&gt;=_xlfn.PERCENTILE.INC($D$2:$D$726,0.2),2,TRUE,1)</f>
        <v>2</v>
      </c>
      <c r="H769">
        <f t="shared" si="11"/>
        <v>7</v>
      </c>
      <c r="I769" t="str" cm="1">
        <f t="array" ref="I769">_xlfn.IFS(H769&gt;=13,"Best Customers",H769&gt;=10,"Loyal Customers",H769&gt;=7,"Potential Loyal Customers",H769&gt;=4,"Need Attention",TRUE,"At Risk")</f>
        <v>Potential Loyal Customers</v>
      </c>
    </row>
    <row r="770" spans="1:9" x14ac:dyDescent="0.25">
      <c r="A770" t="s">
        <v>2030</v>
      </c>
      <c r="B770" s="4">
        <v>1798</v>
      </c>
      <c r="C770">
        <v>1</v>
      </c>
      <c r="D770">
        <v>139.69999999999999</v>
      </c>
      <c r="E770" cm="1">
        <f t="array" ref="E770">_xlfn.IFS(B770&lt;=_xlfn.PERCENTILE.INC($B$2:$B$726,0.2),5, B770&lt;=_xlfn.PERCENTILE.INC($B$2:$B$726,0.4),4,B770&lt;=_xlfn.PERCENTILE.INC($B$2:$B$726,0.6),3,B770&lt;=_xlfn.PERCENTILE.INC($B$2:$B$726,0.8),4,TRUE,1)</f>
        <v>1</v>
      </c>
      <c r="F770" cm="1">
        <f t="array" ref="F770">_xlfn.IFS(C770&gt;=_xlfn.PERCENTILE.INC($C$2:$C$726,0.8),5,C770&gt;=_xlfn.PERCENTILE.INC($C$2:$C$726,0.6),4,C770&gt;=_xlfn.PERCENTILE.INC($C$2:$C$726,0.4),3,C770&gt;=_xlfn.PERCENTILE.INC($C$2:$C$726,0.2),2,TRUE,1)</f>
        <v>1</v>
      </c>
      <c r="G770" cm="1">
        <f t="array" ref="G770">_xlfn.IFS(D770&gt;=_xlfn.PERCENTILE.INC($D$2:$D$726,0.8),5,D770&gt;=_xlfn.PERCENTILE.INC($D$2:$D$726,0.6),4,D770&gt;=_xlfn.PERCENTILE.INC($D$2:$D$726,0.4),3,D770&gt;=_xlfn.PERCENTILE.INC($D$2:$D$726,0.2),2,TRUE,1)</f>
        <v>1</v>
      </c>
      <c r="H770">
        <f t="shared" si="11"/>
        <v>3</v>
      </c>
      <c r="I770" t="str" cm="1">
        <f t="array" ref="I770">_xlfn.IFS(H770&gt;=13,"Best Customers",H770&gt;=10,"Loyal Customers",H770&gt;=7,"Potential Loyal Customers",H770&gt;=4,"Need Attention",TRUE,"At Risk")</f>
        <v>At Risk</v>
      </c>
    </row>
    <row r="771" spans="1:9" x14ac:dyDescent="0.25">
      <c r="A771" t="s">
        <v>2210</v>
      </c>
      <c r="B771" s="4">
        <v>704</v>
      </c>
      <c r="C771">
        <v>7</v>
      </c>
      <c r="D771">
        <v>208.4</v>
      </c>
      <c r="E771" cm="1">
        <f t="array" ref="E771">_xlfn.IFS(B771&lt;=_xlfn.PERCENTILE.INC($B$2:$B$726,0.2),5, B771&lt;=_xlfn.PERCENTILE.INC($B$2:$B$726,0.4),4,B771&lt;=_xlfn.PERCENTILE.INC($B$2:$B$726,0.6),3,B771&lt;=_xlfn.PERCENTILE.INC($B$2:$B$726,0.8),4,TRUE,1)</f>
        <v>4</v>
      </c>
      <c r="F771" cm="1">
        <f t="array" ref="F771">_xlfn.IFS(C771&gt;=_xlfn.PERCENTILE.INC($C$2:$C$726,0.8),5,C771&gt;=_xlfn.PERCENTILE.INC($C$2:$C$726,0.6),4,C771&gt;=_xlfn.PERCENTILE.INC($C$2:$C$726,0.4),3,C771&gt;=_xlfn.PERCENTILE.INC($C$2:$C$726,0.2),2,TRUE,1)</f>
        <v>4</v>
      </c>
      <c r="G771" cm="1">
        <f t="array" ref="G771">_xlfn.IFS(D771&gt;=_xlfn.PERCENTILE.INC($D$2:$D$726,0.8),5,D771&gt;=_xlfn.PERCENTILE.INC($D$2:$D$726,0.6),4,D771&gt;=_xlfn.PERCENTILE.INC($D$2:$D$726,0.4),3,D771&gt;=_xlfn.PERCENTILE.INC($D$2:$D$726,0.2),2,TRUE,1)</f>
        <v>2</v>
      </c>
      <c r="H771">
        <f t="shared" ref="H771:H834" si="12">SUM(E771,F771,G771)</f>
        <v>10</v>
      </c>
      <c r="I771" t="str" cm="1">
        <f t="array" ref="I771">_xlfn.IFS(H771&gt;=13,"Best Customers",H771&gt;=10,"Loyal Customers",H771&gt;=7,"Potential Loyal Customers",H771&gt;=4,"Need Attention",TRUE,"At Risk")</f>
        <v>Loyal Customers</v>
      </c>
    </row>
    <row r="772" spans="1:9" x14ac:dyDescent="0.25">
      <c r="A772" t="s">
        <v>2509</v>
      </c>
      <c r="B772" s="4">
        <v>422</v>
      </c>
      <c r="C772">
        <v>6</v>
      </c>
      <c r="D772">
        <v>395.59999999999997</v>
      </c>
      <c r="E772" cm="1">
        <f t="array" ref="E772">_xlfn.IFS(B772&lt;=_xlfn.PERCENTILE.INC($B$2:$B$726,0.2),5, B772&lt;=_xlfn.PERCENTILE.INC($B$2:$B$726,0.4),4,B772&lt;=_xlfn.PERCENTILE.INC($B$2:$B$726,0.6),3,B772&lt;=_xlfn.PERCENTILE.INC($B$2:$B$726,0.8),4,TRUE,1)</f>
        <v>4</v>
      </c>
      <c r="F772" cm="1">
        <f t="array" ref="F772">_xlfn.IFS(C772&gt;=_xlfn.PERCENTILE.INC($C$2:$C$726,0.8),5,C772&gt;=_xlfn.PERCENTILE.INC($C$2:$C$726,0.6),4,C772&gt;=_xlfn.PERCENTILE.INC($C$2:$C$726,0.4),3,C772&gt;=_xlfn.PERCENTILE.INC($C$2:$C$726,0.2),2,TRUE,1)</f>
        <v>4</v>
      </c>
      <c r="G772" cm="1">
        <f t="array" ref="G772">_xlfn.IFS(D772&gt;=_xlfn.PERCENTILE.INC($D$2:$D$726,0.8),5,D772&gt;=_xlfn.PERCENTILE.INC($D$2:$D$726,0.6),4,D772&gt;=_xlfn.PERCENTILE.INC($D$2:$D$726,0.4),3,D772&gt;=_xlfn.PERCENTILE.INC($D$2:$D$726,0.2),2,TRUE,1)</f>
        <v>5</v>
      </c>
      <c r="H772">
        <f t="shared" si="12"/>
        <v>13</v>
      </c>
      <c r="I772" t="str" cm="1">
        <f t="array" ref="I772">_xlfn.IFS(H772&gt;=13,"Best Customers",H772&gt;=10,"Loyal Customers",H772&gt;=7,"Potential Loyal Customers",H772&gt;=4,"Need Attention",TRUE,"At Risk")</f>
        <v>Best Customers</v>
      </c>
    </row>
    <row r="773" spans="1:9" x14ac:dyDescent="0.25">
      <c r="A773" t="s">
        <v>2666</v>
      </c>
      <c r="B773" s="4">
        <v>415</v>
      </c>
      <c r="C773">
        <v>7</v>
      </c>
      <c r="D773">
        <v>121.10000000000001</v>
      </c>
      <c r="E773" cm="1">
        <f t="array" ref="E773">_xlfn.IFS(B773&lt;=_xlfn.PERCENTILE.INC($B$2:$B$726,0.2),5, B773&lt;=_xlfn.PERCENTILE.INC($B$2:$B$726,0.4),4,B773&lt;=_xlfn.PERCENTILE.INC($B$2:$B$726,0.6),3,B773&lt;=_xlfn.PERCENTILE.INC($B$2:$B$726,0.8),4,TRUE,1)</f>
        <v>4</v>
      </c>
      <c r="F773" cm="1">
        <f t="array" ref="F773">_xlfn.IFS(C773&gt;=_xlfn.PERCENTILE.INC($C$2:$C$726,0.8),5,C773&gt;=_xlfn.PERCENTILE.INC($C$2:$C$726,0.6),4,C773&gt;=_xlfn.PERCENTILE.INC($C$2:$C$726,0.4),3,C773&gt;=_xlfn.PERCENTILE.INC($C$2:$C$726,0.2),2,TRUE,1)</f>
        <v>4</v>
      </c>
      <c r="G773" cm="1">
        <f t="array" ref="G773">_xlfn.IFS(D773&gt;=_xlfn.PERCENTILE.INC($D$2:$D$726,0.8),5,D773&gt;=_xlfn.PERCENTILE.INC($D$2:$D$726,0.6),4,D773&gt;=_xlfn.PERCENTILE.INC($D$2:$D$726,0.4),3,D773&gt;=_xlfn.PERCENTILE.INC($D$2:$D$726,0.2),2,TRUE,1)</f>
        <v>1</v>
      </c>
      <c r="H773">
        <f t="shared" si="12"/>
        <v>9</v>
      </c>
      <c r="I773" t="str" cm="1">
        <f t="array" ref="I773">_xlfn.IFS(H773&gt;=13,"Best Customers",H773&gt;=10,"Loyal Customers",H773&gt;=7,"Potential Loyal Customers",H773&gt;=4,"Need Attention",TRUE,"At Risk")</f>
        <v>Potential Loyal Customers</v>
      </c>
    </row>
    <row r="774" spans="1:9" x14ac:dyDescent="0.25">
      <c r="A774" t="s">
        <v>3142</v>
      </c>
      <c r="B774" s="4">
        <v>519</v>
      </c>
      <c r="C774">
        <v>6</v>
      </c>
      <c r="D774">
        <v>90.800000000000011</v>
      </c>
      <c r="E774" cm="1">
        <f t="array" ref="E774">_xlfn.IFS(B774&lt;=_xlfn.PERCENTILE.INC($B$2:$B$726,0.2),5, B774&lt;=_xlfn.PERCENTILE.INC($B$2:$B$726,0.4),4,B774&lt;=_xlfn.PERCENTILE.INC($B$2:$B$726,0.6),3,B774&lt;=_xlfn.PERCENTILE.INC($B$2:$B$726,0.8),4,TRUE,1)</f>
        <v>3</v>
      </c>
      <c r="F774" cm="1">
        <f t="array" ref="F774">_xlfn.IFS(C774&gt;=_xlfn.PERCENTILE.INC($C$2:$C$726,0.8),5,C774&gt;=_xlfn.PERCENTILE.INC($C$2:$C$726,0.6),4,C774&gt;=_xlfn.PERCENTILE.INC($C$2:$C$726,0.4),3,C774&gt;=_xlfn.PERCENTILE.INC($C$2:$C$726,0.2),2,TRUE,1)</f>
        <v>4</v>
      </c>
      <c r="G774" cm="1">
        <f t="array" ref="G774">_xlfn.IFS(D774&gt;=_xlfn.PERCENTILE.INC($D$2:$D$726,0.8),5,D774&gt;=_xlfn.PERCENTILE.INC($D$2:$D$726,0.6),4,D774&gt;=_xlfn.PERCENTILE.INC($D$2:$D$726,0.4),3,D774&gt;=_xlfn.PERCENTILE.INC($D$2:$D$726,0.2),2,TRUE,1)</f>
        <v>1</v>
      </c>
      <c r="H774">
        <f t="shared" si="12"/>
        <v>8</v>
      </c>
      <c r="I774" t="str" cm="1">
        <f t="array" ref="I774">_xlfn.IFS(H774&gt;=13,"Best Customers",H774&gt;=10,"Loyal Customers",H774&gt;=7,"Potential Loyal Customers",H774&gt;=4,"Need Attention",TRUE,"At Risk")</f>
        <v>Potential Loyal Customers</v>
      </c>
    </row>
    <row r="775" spans="1:9" x14ac:dyDescent="0.25">
      <c r="A775" t="s">
        <v>1103</v>
      </c>
      <c r="B775" s="4">
        <v>731</v>
      </c>
      <c r="C775">
        <v>5</v>
      </c>
      <c r="D775">
        <v>198.9</v>
      </c>
      <c r="E775" cm="1">
        <f t="array" ref="E775">_xlfn.IFS(B775&lt;=_xlfn.PERCENTILE.INC($B$2:$B$726,0.2),5, B775&lt;=_xlfn.PERCENTILE.INC($B$2:$B$726,0.4),4,B775&lt;=_xlfn.PERCENTILE.INC($B$2:$B$726,0.6),3,B775&lt;=_xlfn.PERCENTILE.INC($B$2:$B$726,0.8),4,TRUE,1)</f>
        <v>4</v>
      </c>
      <c r="F775" cm="1">
        <f t="array" ref="F775">_xlfn.IFS(C775&gt;=_xlfn.PERCENTILE.INC($C$2:$C$726,0.8),5,C775&gt;=_xlfn.PERCENTILE.INC($C$2:$C$726,0.6),4,C775&gt;=_xlfn.PERCENTILE.INC($C$2:$C$726,0.4),3,C775&gt;=_xlfn.PERCENTILE.INC($C$2:$C$726,0.2),2,TRUE,1)</f>
        <v>3</v>
      </c>
      <c r="G775" cm="1">
        <f t="array" ref="G775">_xlfn.IFS(D775&gt;=_xlfn.PERCENTILE.INC($D$2:$D$726,0.8),5,D775&gt;=_xlfn.PERCENTILE.INC($D$2:$D$726,0.6),4,D775&gt;=_xlfn.PERCENTILE.INC($D$2:$D$726,0.4),3,D775&gt;=_xlfn.PERCENTILE.INC($D$2:$D$726,0.2),2,TRUE,1)</f>
        <v>2</v>
      </c>
      <c r="H775">
        <f t="shared" si="12"/>
        <v>9</v>
      </c>
      <c r="I775" t="str" cm="1">
        <f t="array" ref="I775">_xlfn.IFS(H775&gt;=13,"Best Customers",H775&gt;=10,"Loyal Customers",H775&gt;=7,"Potential Loyal Customers",H775&gt;=4,"Need Attention",TRUE,"At Risk")</f>
        <v>Potential Loyal Customers</v>
      </c>
    </row>
    <row r="776" spans="1:9" x14ac:dyDescent="0.25">
      <c r="A776" t="s">
        <v>623</v>
      </c>
      <c r="B776" s="4">
        <v>509</v>
      </c>
      <c r="C776">
        <v>4</v>
      </c>
      <c r="D776">
        <v>187.8</v>
      </c>
      <c r="E776" cm="1">
        <f t="array" ref="E776">_xlfn.IFS(B776&lt;=_xlfn.PERCENTILE.INC($B$2:$B$726,0.2),5, B776&lt;=_xlfn.PERCENTILE.INC($B$2:$B$726,0.4),4,B776&lt;=_xlfn.PERCENTILE.INC($B$2:$B$726,0.6),3,B776&lt;=_xlfn.PERCENTILE.INC($B$2:$B$726,0.8),4,TRUE,1)</f>
        <v>3</v>
      </c>
      <c r="F776" cm="1">
        <f t="array" ref="F776">_xlfn.IFS(C776&gt;=_xlfn.PERCENTILE.INC($C$2:$C$726,0.8),5,C776&gt;=_xlfn.PERCENTILE.INC($C$2:$C$726,0.6),4,C776&gt;=_xlfn.PERCENTILE.INC($C$2:$C$726,0.4),3,C776&gt;=_xlfn.PERCENTILE.INC($C$2:$C$726,0.2),2,TRUE,1)</f>
        <v>2</v>
      </c>
      <c r="G776" cm="1">
        <f t="array" ref="G776">_xlfn.IFS(D776&gt;=_xlfn.PERCENTILE.INC($D$2:$D$726,0.8),5,D776&gt;=_xlfn.PERCENTILE.INC($D$2:$D$726,0.6),4,D776&gt;=_xlfn.PERCENTILE.INC($D$2:$D$726,0.4),3,D776&gt;=_xlfn.PERCENTILE.INC($D$2:$D$726,0.2),2,TRUE,1)</f>
        <v>2</v>
      </c>
      <c r="H776">
        <f t="shared" si="12"/>
        <v>7</v>
      </c>
      <c r="I776" t="str" cm="1">
        <f t="array" ref="I776">_xlfn.IFS(H776&gt;=13,"Best Customers",H776&gt;=10,"Loyal Customers",H776&gt;=7,"Potential Loyal Customers",H776&gt;=4,"Need Attention",TRUE,"At Risk")</f>
        <v>Potential Loyal Customers</v>
      </c>
    </row>
    <row r="777" spans="1:9" x14ac:dyDescent="0.25">
      <c r="A777" t="s">
        <v>2400</v>
      </c>
      <c r="B777" s="4">
        <v>431</v>
      </c>
      <c r="C777">
        <v>9</v>
      </c>
      <c r="D777">
        <v>493.3</v>
      </c>
      <c r="E777" cm="1">
        <f t="array" ref="E777">_xlfn.IFS(B777&lt;=_xlfn.PERCENTILE.INC($B$2:$B$726,0.2),5, B777&lt;=_xlfn.PERCENTILE.INC($B$2:$B$726,0.4),4,B777&lt;=_xlfn.PERCENTILE.INC($B$2:$B$726,0.6),3,B777&lt;=_xlfn.PERCENTILE.INC($B$2:$B$726,0.8),4,TRUE,1)</f>
        <v>4</v>
      </c>
      <c r="F777" cm="1">
        <f t="array" ref="F777">_xlfn.IFS(C777&gt;=_xlfn.PERCENTILE.INC($C$2:$C$726,0.8),5,C777&gt;=_xlfn.PERCENTILE.INC($C$2:$C$726,0.6),4,C777&gt;=_xlfn.PERCENTILE.INC($C$2:$C$726,0.4),3,C777&gt;=_xlfn.PERCENTILE.INC($C$2:$C$726,0.2),2,TRUE,1)</f>
        <v>5</v>
      </c>
      <c r="G777" cm="1">
        <f t="array" ref="G777">_xlfn.IFS(D777&gt;=_xlfn.PERCENTILE.INC($D$2:$D$726,0.8),5,D777&gt;=_xlfn.PERCENTILE.INC($D$2:$D$726,0.6),4,D777&gt;=_xlfn.PERCENTILE.INC($D$2:$D$726,0.4),3,D777&gt;=_xlfn.PERCENTILE.INC($D$2:$D$726,0.2),2,TRUE,1)</f>
        <v>5</v>
      </c>
      <c r="H777">
        <f t="shared" si="12"/>
        <v>14</v>
      </c>
      <c r="I777" t="str" cm="1">
        <f t="array" ref="I777">_xlfn.IFS(H777&gt;=13,"Best Customers",H777&gt;=10,"Loyal Customers",H777&gt;=7,"Potential Loyal Customers",H777&gt;=4,"Need Attention",TRUE,"At Risk")</f>
        <v>Best Customers</v>
      </c>
    </row>
    <row r="778" spans="1:9" x14ac:dyDescent="0.25">
      <c r="A778" t="s">
        <v>1029</v>
      </c>
      <c r="B778" s="4">
        <v>1598</v>
      </c>
      <c r="C778">
        <v>3</v>
      </c>
      <c r="D778">
        <v>103.6</v>
      </c>
      <c r="E778" cm="1">
        <f t="array" ref="E778">_xlfn.IFS(B778&lt;=_xlfn.PERCENTILE.INC($B$2:$B$726,0.2),5, B778&lt;=_xlfn.PERCENTILE.INC($B$2:$B$726,0.4),4,B778&lt;=_xlfn.PERCENTILE.INC($B$2:$B$726,0.6),3,B778&lt;=_xlfn.PERCENTILE.INC($B$2:$B$726,0.8),4,TRUE,1)</f>
        <v>1</v>
      </c>
      <c r="F778" cm="1">
        <f t="array" ref="F778">_xlfn.IFS(C778&gt;=_xlfn.PERCENTILE.INC($C$2:$C$726,0.8),5,C778&gt;=_xlfn.PERCENTILE.INC($C$2:$C$726,0.6),4,C778&gt;=_xlfn.PERCENTILE.INC($C$2:$C$726,0.4),3,C778&gt;=_xlfn.PERCENTILE.INC($C$2:$C$726,0.2),2,TRUE,1)</f>
        <v>1</v>
      </c>
      <c r="G778" cm="1">
        <f t="array" ref="G778">_xlfn.IFS(D778&gt;=_xlfn.PERCENTILE.INC($D$2:$D$726,0.8),5,D778&gt;=_xlfn.PERCENTILE.INC($D$2:$D$726,0.6),4,D778&gt;=_xlfn.PERCENTILE.INC($D$2:$D$726,0.4),3,D778&gt;=_xlfn.PERCENTILE.INC($D$2:$D$726,0.2),2,TRUE,1)</f>
        <v>1</v>
      </c>
      <c r="H778">
        <f t="shared" si="12"/>
        <v>3</v>
      </c>
      <c r="I778" t="str" cm="1">
        <f t="array" ref="I778">_xlfn.IFS(H778&gt;=13,"Best Customers",H778&gt;=10,"Loyal Customers",H778&gt;=7,"Potential Loyal Customers",H778&gt;=4,"Need Attention",TRUE,"At Risk")</f>
        <v>At Risk</v>
      </c>
    </row>
    <row r="779" spans="1:9" x14ac:dyDescent="0.25">
      <c r="A779" t="s">
        <v>3066</v>
      </c>
      <c r="B779" s="4">
        <v>639</v>
      </c>
      <c r="C779">
        <v>5</v>
      </c>
      <c r="D779">
        <v>112.5</v>
      </c>
      <c r="E779" cm="1">
        <f t="array" ref="E779">_xlfn.IFS(B779&lt;=_xlfn.PERCENTILE.INC($B$2:$B$726,0.2),5, B779&lt;=_xlfn.PERCENTILE.INC($B$2:$B$726,0.4),4,B779&lt;=_xlfn.PERCENTILE.INC($B$2:$B$726,0.6),3,B779&lt;=_xlfn.PERCENTILE.INC($B$2:$B$726,0.8),4,TRUE,1)</f>
        <v>4</v>
      </c>
      <c r="F779" cm="1">
        <f t="array" ref="F779">_xlfn.IFS(C779&gt;=_xlfn.PERCENTILE.INC($C$2:$C$726,0.8),5,C779&gt;=_xlfn.PERCENTILE.INC($C$2:$C$726,0.6),4,C779&gt;=_xlfn.PERCENTILE.INC($C$2:$C$726,0.4),3,C779&gt;=_xlfn.PERCENTILE.INC($C$2:$C$726,0.2),2,TRUE,1)</f>
        <v>3</v>
      </c>
      <c r="G779" cm="1">
        <f t="array" ref="G779">_xlfn.IFS(D779&gt;=_xlfn.PERCENTILE.INC($D$2:$D$726,0.8),5,D779&gt;=_xlfn.PERCENTILE.INC($D$2:$D$726,0.6),4,D779&gt;=_xlfn.PERCENTILE.INC($D$2:$D$726,0.4),3,D779&gt;=_xlfn.PERCENTILE.INC($D$2:$D$726,0.2),2,TRUE,1)</f>
        <v>1</v>
      </c>
      <c r="H779">
        <f t="shared" si="12"/>
        <v>8</v>
      </c>
      <c r="I779" t="str" cm="1">
        <f t="array" ref="I779">_xlfn.IFS(H779&gt;=13,"Best Customers",H779&gt;=10,"Loyal Customers",H779&gt;=7,"Potential Loyal Customers",H779&gt;=4,"Need Attention",TRUE,"At Risk")</f>
        <v>Potential Loyal Customers</v>
      </c>
    </row>
    <row r="780" spans="1:9" x14ac:dyDescent="0.25">
      <c r="A780" t="s">
        <v>1550</v>
      </c>
      <c r="B780" s="4">
        <v>363</v>
      </c>
      <c r="C780">
        <v>5</v>
      </c>
      <c r="D780">
        <v>405.2</v>
      </c>
      <c r="E780" cm="1">
        <f t="array" ref="E780">_xlfn.IFS(B780&lt;=_xlfn.PERCENTILE.INC($B$2:$B$726,0.2),5, B780&lt;=_xlfn.PERCENTILE.INC($B$2:$B$726,0.4),4,B780&lt;=_xlfn.PERCENTILE.INC($B$2:$B$726,0.6),3,B780&lt;=_xlfn.PERCENTILE.INC($B$2:$B$726,0.8),4,TRUE,1)</f>
        <v>5</v>
      </c>
      <c r="F780" cm="1">
        <f t="array" ref="F780">_xlfn.IFS(C780&gt;=_xlfn.PERCENTILE.INC($C$2:$C$726,0.8),5,C780&gt;=_xlfn.PERCENTILE.INC($C$2:$C$726,0.6),4,C780&gt;=_xlfn.PERCENTILE.INC($C$2:$C$726,0.4),3,C780&gt;=_xlfn.PERCENTILE.INC($C$2:$C$726,0.2),2,TRUE,1)</f>
        <v>3</v>
      </c>
      <c r="G780" cm="1">
        <f t="array" ref="G780">_xlfn.IFS(D780&gt;=_xlfn.PERCENTILE.INC($D$2:$D$726,0.8),5,D780&gt;=_xlfn.PERCENTILE.INC($D$2:$D$726,0.6),4,D780&gt;=_xlfn.PERCENTILE.INC($D$2:$D$726,0.4),3,D780&gt;=_xlfn.PERCENTILE.INC($D$2:$D$726,0.2),2,TRUE,1)</f>
        <v>5</v>
      </c>
      <c r="H780">
        <f t="shared" si="12"/>
        <v>13</v>
      </c>
      <c r="I780" t="str" cm="1">
        <f t="array" ref="I780">_xlfn.IFS(H780&gt;=13,"Best Customers",H780&gt;=10,"Loyal Customers",H780&gt;=7,"Potential Loyal Customers",H780&gt;=4,"Need Attention",TRUE,"At Risk")</f>
        <v>Best Customers</v>
      </c>
    </row>
    <row r="781" spans="1:9" x14ac:dyDescent="0.25">
      <c r="A781" t="s">
        <v>2864</v>
      </c>
      <c r="B781" s="4">
        <v>1264</v>
      </c>
      <c r="C781">
        <v>2</v>
      </c>
      <c r="D781">
        <v>27.1</v>
      </c>
      <c r="E781" cm="1">
        <f t="array" ref="E781">_xlfn.IFS(B781&lt;=_xlfn.PERCENTILE.INC($B$2:$B$726,0.2),5, B781&lt;=_xlfn.PERCENTILE.INC($B$2:$B$726,0.4),4,B781&lt;=_xlfn.PERCENTILE.INC($B$2:$B$726,0.6),3,B781&lt;=_xlfn.PERCENTILE.INC($B$2:$B$726,0.8),4,TRUE,1)</f>
        <v>1</v>
      </c>
      <c r="F781" cm="1">
        <f t="array" ref="F781">_xlfn.IFS(C781&gt;=_xlfn.PERCENTILE.INC($C$2:$C$726,0.8),5,C781&gt;=_xlfn.PERCENTILE.INC($C$2:$C$726,0.6),4,C781&gt;=_xlfn.PERCENTILE.INC($C$2:$C$726,0.4),3,C781&gt;=_xlfn.PERCENTILE.INC($C$2:$C$726,0.2),2,TRUE,1)</f>
        <v>1</v>
      </c>
      <c r="G781" cm="1">
        <f t="array" ref="G781">_xlfn.IFS(D781&gt;=_xlfn.PERCENTILE.INC($D$2:$D$726,0.8),5,D781&gt;=_xlfn.PERCENTILE.INC($D$2:$D$726,0.6),4,D781&gt;=_xlfn.PERCENTILE.INC($D$2:$D$726,0.4),3,D781&gt;=_xlfn.PERCENTILE.INC($D$2:$D$726,0.2),2,TRUE,1)</f>
        <v>1</v>
      </c>
      <c r="H781">
        <f t="shared" si="12"/>
        <v>3</v>
      </c>
      <c r="I781" t="str" cm="1">
        <f t="array" ref="I781">_xlfn.IFS(H781&gt;=13,"Best Customers",H781&gt;=10,"Loyal Customers",H781&gt;=7,"Potential Loyal Customers",H781&gt;=4,"Need Attention",TRUE,"At Risk")</f>
        <v>At Risk</v>
      </c>
    </row>
    <row r="782" spans="1:9" x14ac:dyDescent="0.25">
      <c r="A782" t="s">
        <v>1652</v>
      </c>
      <c r="B782" s="4">
        <v>437</v>
      </c>
      <c r="C782">
        <v>5</v>
      </c>
      <c r="D782">
        <v>70.300000000000011</v>
      </c>
      <c r="E782" cm="1">
        <f t="array" ref="E782">_xlfn.IFS(B782&lt;=_xlfn.PERCENTILE.INC($B$2:$B$726,0.2),5, B782&lt;=_xlfn.PERCENTILE.INC($B$2:$B$726,0.4),4,B782&lt;=_xlfn.PERCENTILE.INC($B$2:$B$726,0.6),3,B782&lt;=_xlfn.PERCENTILE.INC($B$2:$B$726,0.8),4,TRUE,1)</f>
        <v>4</v>
      </c>
      <c r="F782" cm="1">
        <f t="array" ref="F782">_xlfn.IFS(C782&gt;=_xlfn.PERCENTILE.INC($C$2:$C$726,0.8),5,C782&gt;=_xlfn.PERCENTILE.INC($C$2:$C$726,0.6),4,C782&gt;=_xlfn.PERCENTILE.INC($C$2:$C$726,0.4),3,C782&gt;=_xlfn.PERCENTILE.INC($C$2:$C$726,0.2),2,TRUE,1)</f>
        <v>3</v>
      </c>
      <c r="G782" cm="1">
        <f t="array" ref="G782">_xlfn.IFS(D782&gt;=_xlfn.PERCENTILE.INC($D$2:$D$726,0.8),5,D782&gt;=_xlfn.PERCENTILE.INC($D$2:$D$726,0.6),4,D782&gt;=_xlfn.PERCENTILE.INC($D$2:$D$726,0.4),3,D782&gt;=_xlfn.PERCENTILE.INC($D$2:$D$726,0.2),2,TRUE,1)</f>
        <v>1</v>
      </c>
      <c r="H782">
        <f t="shared" si="12"/>
        <v>8</v>
      </c>
      <c r="I782" t="str" cm="1">
        <f t="array" ref="I782">_xlfn.IFS(H782&gt;=13,"Best Customers",H782&gt;=10,"Loyal Customers",H782&gt;=7,"Potential Loyal Customers",H782&gt;=4,"Need Attention",TRUE,"At Risk")</f>
        <v>Potential Loyal Customers</v>
      </c>
    </row>
    <row r="783" spans="1:9" x14ac:dyDescent="0.25">
      <c r="A783" t="s">
        <v>716</v>
      </c>
      <c r="B783" s="4">
        <v>464</v>
      </c>
      <c r="C783">
        <v>8</v>
      </c>
      <c r="D783">
        <v>310.39999999999998</v>
      </c>
      <c r="E783" cm="1">
        <f t="array" ref="E783">_xlfn.IFS(B783&lt;=_xlfn.PERCENTILE.INC($B$2:$B$726,0.2),5, B783&lt;=_xlfn.PERCENTILE.INC($B$2:$B$726,0.4),4,B783&lt;=_xlfn.PERCENTILE.INC($B$2:$B$726,0.6),3,B783&lt;=_xlfn.PERCENTILE.INC($B$2:$B$726,0.8),4,TRUE,1)</f>
        <v>3</v>
      </c>
      <c r="F783" cm="1">
        <f t="array" ref="F783">_xlfn.IFS(C783&gt;=_xlfn.PERCENTILE.INC($C$2:$C$726,0.8),5,C783&gt;=_xlfn.PERCENTILE.INC($C$2:$C$726,0.6),4,C783&gt;=_xlfn.PERCENTILE.INC($C$2:$C$726,0.4),3,C783&gt;=_xlfn.PERCENTILE.INC($C$2:$C$726,0.2),2,TRUE,1)</f>
        <v>5</v>
      </c>
      <c r="G783" cm="1">
        <f t="array" ref="G783">_xlfn.IFS(D783&gt;=_xlfn.PERCENTILE.INC($D$2:$D$726,0.8),5,D783&gt;=_xlfn.PERCENTILE.INC($D$2:$D$726,0.6),4,D783&gt;=_xlfn.PERCENTILE.INC($D$2:$D$726,0.4),3,D783&gt;=_xlfn.PERCENTILE.INC($D$2:$D$726,0.2),2,TRUE,1)</f>
        <v>3</v>
      </c>
      <c r="H783">
        <f t="shared" si="12"/>
        <v>11</v>
      </c>
      <c r="I783" t="str" cm="1">
        <f t="array" ref="I783">_xlfn.IFS(H783&gt;=13,"Best Customers",H783&gt;=10,"Loyal Customers",H783&gt;=7,"Potential Loyal Customers",H783&gt;=4,"Need Attention",TRUE,"At Risk")</f>
        <v>Loyal Customers</v>
      </c>
    </row>
    <row r="784" spans="1:9" x14ac:dyDescent="0.25">
      <c r="A784" t="s">
        <v>997</v>
      </c>
      <c r="B784" s="4">
        <v>795</v>
      </c>
      <c r="C784">
        <v>8</v>
      </c>
      <c r="D784">
        <v>420.59999999999991</v>
      </c>
      <c r="E784" cm="1">
        <f t="array" ref="E784">_xlfn.IFS(B784&lt;=_xlfn.PERCENTILE.INC($B$2:$B$726,0.2),5, B784&lt;=_xlfn.PERCENTILE.INC($B$2:$B$726,0.4),4,B784&lt;=_xlfn.PERCENTILE.INC($B$2:$B$726,0.6),3,B784&lt;=_xlfn.PERCENTILE.INC($B$2:$B$726,0.8),4,TRUE,1)</f>
        <v>1</v>
      </c>
      <c r="F784" cm="1">
        <f t="array" ref="F784">_xlfn.IFS(C784&gt;=_xlfn.PERCENTILE.INC($C$2:$C$726,0.8),5,C784&gt;=_xlfn.PERCENTILE.INC($C$2:$C$726,0.6),4,C784&gt;=_xlfn.PERCENTILE.INC($C$2:$C$726,0.4),3,C784&gt;=_xlfn.PERCENTILE.INC($C$2:$C$726,0.2),2,TRUE,1)</f>
        <v>5</v>
      </c>
      <c r="G784" cm="1">
        <f t="array" ref="G784">_xlfn.IFS(D784&gt;=_xlfn.PERCENTILE.INC($D$2:$D$726,0.8),5,D784&gt;=_xlfn.PERCENTILE.INC($D$2:$D$726,0.6),4,D784&gt;=_xlfn.PERCENTILE.INC($D$2:$D$726,0.4),3,D784&gt;=_xlfn.PERCENTILE.INC($D$2:$D$726,0.2),2,TRUE,1)</f>
        <v>5</v>
      </c>
      <c r="H784">
        <f t="shared" si="12"/>
        <v>11</v>
      </c>
      <c r="I784" t="str" cm="1">
        <f t="array" ref="I784">_xlfn.IFS(H784&gt;=13,"Best Customers",H784&gt;=10,"Loyal Customers",H784&gt;=7,"Potential Loyal Customers",H784&gt;=4,"Need Attention",TRUE,"At Risk")</f>
        <v>Loyal Customers</v>
      </c>
    </row>
    <row r="785" spans="1:9" x14ac:dyDescent="0.25">
      <c r="A785" t="s">
        <v>1018</v>
      </c>
      <c r="B785" s="4">
        <v>528</v>
      </c>
      <c r="C785">
        <v>9</v>
      </c>
      <c r="D785">
        <v>473.79999999999995</v>
      </c>
      <c r="E785" cm="1">
        <f t="array" ref="E785">_xlfn.IFS(B785&lt;=_xlfn.PERCENTILE.INC($B$2:$B$726,0.2),5, B785&lt;=_xlfn.PERCENTILE.INC($B$2:$B$726,0.4),4,B785&lt;=_xlfn.PERCENTILE.INC($B$2:$B$726,0.6),3,B785&lt;=_xlfn.PERCENTILE.INC($B$2:$B$726,0.8),4,TRUE,1)</f>
        <v>3</v>
      </c>
      <c r="F785" cm="1">
        <f t="array" ref="F785">_xlfn.IFS(C785&gt;=_xlfn.PERCENTILE.INC($C$2:$C$726,0.8),5,C785&gt;=_xlfn.PERCENTILE.INC($C$2:$C$726,0.6),4,C785&gt;=_xlfn.PERCENTILE.INC($C$2:$C$726,0.4),3,C785&gt;=_xlfn.PERCENTILE.INC($C$2:$C$726,0.2),2,TRUE,1)</f>
        <v>5</v>
      </c>
      <c r="G785" cm="1">
        <f t="array" ref="G785">_xlfn.IFS(D785&gt;=_xlfn.PERCENTILE.INC($D$2:$D$726,0.8),5,D785&gt;=_xlfn.PERCENTILE.INC($D$2:$D$726,0.6),4,D785&gt;=_xlfn.PERCENTILE.INC($D$2:$D$726,0.4),3,D785&gt;=_xlfn.PERCENTILE.INC($D$2:$D$726,0.2),2,TRUE,1)</f>
        <v>5</v>
      </c>
      <c r="H785">
        <f t="shared" si="12"/>
        <v>13</v>
      </c>
      <c r="I785" t="str" cm="1">
        <f t="array" ref="I785">_xlfn.IFS(H785&gt;=13,"Best Customers",H785&gt;=10,"Loyal Customers",H785&gt;=7,"Potential Loyal Customers",H785&gt;=4,"Need Attention",TRUE,"At Risk")</f>
        <v>Best Customers</v>
      </c>
    </row>
    <row r="786" spans="1:9" x14ac:dyDescent="0.25">
      <c r="A786" t="s">
        <v>502</v>
      </c>
      <c r="B786" s="4">
        <v>466</v>
      </c>
      <c r="C786">
        <v>5</v>
      </c>
      <c r="D786">
        <v>242.40000000000003</v>
      </c>
      <c r="E786" cm="1">
        <f t="array" ref="E786">_xlfn.IFS(B786&lt;=_xlfn.PERCENTILE.INC($B$2:$B$726,0.2),5, B786&lt;=_xlfn.PERCENTILE.INC($B$2:$B$726,0.4),4,B786&lt;=_xlfn.PERCENTILE.INC($B$2:$B$726,0.6),3,B786&lt;=_xlfn.PERCENTILE.INC($B$2:$B$726,0.8),4,TRUE,1)</f>
        <v>3</v>
      </c>
      <c r="F786" cm="1">
        <f t="array" ref="F786">_xlfn.IFS(C786&gt;=_xlfn.PERCENTILE.INC($C$2:$C$726,0.8),5,C786&gt;=_xlfn.PERCENTILE.INC($C$2:$C$726,0.6),4,C786&gt;=_xlfn.PERCENTILE.INC($C$2:$C$726,0.4),3,C786&gt;=_xlfn.PERCENTILE.INC($C$2:$C$726,0.2),2,TRUE,1)</f>
        <v>3</v>
      </c>
      <c r="G786" cm="1">
        <f t="array" ref="G786">_xlfn.IFS(D786&gt;=_xlfn.PERCENTILE.INC($D$2:$D$726,0.8),5,D786&gt;=_xlfn.PERCENTILE.INC($D$2:$D$726,0.6),4,D786&gt;=_xlfn.PERCENTILE.INC($D$2:$D$726,0.4),3,D786&gt;=_xlfn.PERCENTILE.INC($D$2:$D$726,0.2),2,TRUE,1)</f>
        <v>3</v>
      </c>
      <c r="H786">
        <f t="shared" si="12"/>
        <v>9</v>
      </c>
      <c r="I786" t="str" cm="1">
        <f t="array" ref="I786">_xlfn.IFS(H786&gt;=13,"Best Customers",H786&gt;=10,"Loyal Customers",H786&gt;=7,"Potential Loyal Customers",H786&gt;=4,"Need Attention",TRUE,"At Risk")</f>
        <v>Potential Loyal Customers</v>
      </c>
    </row>
    <row r="787" spans="1:9" x14ac:dyDescent="0.25">
      <c r="A787" t="s">
        <v>3273</v>
      </c>
      <c r="B787" s="4">
        <v>708</v>
      </c>
      <c r="C787">
        <v>11</v>
      </c>
      <c r="D787">
        <v>402.7</v>
      </c>
      <c r="E787" cm="1">
        <f t="array" ref="E787">_xlfn.IFS(B787&lt;=_xlfn.PERCENTILE.INC($B$2:$B$726,0.2),5, B787&lt;=_xlfn.PERCENTILE.INC($B$2:$B$726,0.4),4,B787&lt;=_xlfn.PERCENTILE.INC($B$2:$B$726,0.6),3,B787&lt;=_xlfn.PERCENTILE.INC($B$2:$B$726,0.8),4,TRUE,1)</f>
        <v>4</v>
      </c>
      <c r="F787" cm="1">
        <f t="array" ref="F787">_xlfn.IFS(C787&gt;=_xlfn.PERCENTILE.INC($C$2:$C$726,0.8),5,C787&gt;=_xlfn.PERCENTILE.INC($C$2:$C$726,0.6),4,C787&gt;=_xlfn.PERCENTILE.INC($C$2:$C$726,0.4),3,C787&gt;=_xlfn.PERCENTILE.INC($C$2:$C$726,0.2),2,TRUE,1)</f>
        <v>5</v>
      </c>
      <c r="G787" cm="1">
        <f t="array" ref="G787">_xlfn.IFS(D787&gt;=_xlfn.PERCENTILE.INC($D$2:$D$726,0.8),5,D787&gt;=_xlfn.PERCENTILE.INC($D$2:$D$726,0.6),4,D787&gt;=_xlfn.PERCENTILE.INC($D$2:$D$726,0.4),3,D787&gt;=_xlfn.PERCENTILE.INC($D$2:$D$726,0.2),2,TRUE,1)</f>
        <v>5</v>
      </c>
      <c r="H787">
        <f t="shared" si="12"/>
        <v>14</v>
      </c>
      <c r="I787" t="str" cm="1">
        <f t="array" ref="I787">_xlfn.IFS(H787&gt;=13,"Best Customers",H787&gt;=10,"Loyal Customers",H787&gt;=7,"Potential Loyal Customers",H787&gt;=4,"Need Attention",TRUE,"At Risk")</f>
        <v>Best Customers</v>
      </c>
    </row>
    <row r="788" spans="1:9" x14ac:dyDescent="0.25">
      <c r="A788" t="s">
        <v>2149</v>
      </c>
      <c r="B788" s="4">
        <v>389</v>
      </c>
      <c r="C788">
        <v>6</v>
      </c>
      <c r="D788">
        <v>121.7</v>
      </c>
      <c r="E788" cm="1">
        <f t="array" ref="E788">_xlfn.IFS(B788&lt;=_xlfn.PERCENTILE.INC($B$2:$B$726,0.2),5, B788&lt;=_xlfn.PERCENTILE.INC($B$2:$B$726,0.4),4,B788&lt;=_xlfn.PERCENTILE.INC($B$2:$B$726,0.6),3,B788&lt;=_xlfn.PERCENTILE.INC($B$2:$B$726,0.8),4,TRUE,1)</f>
        <v>5</v>
      </c>
      <c r="F788" cm="1">
        <f t="array" ref="F788">_xlfn.IFS(C788&gt;=_xlfn.PERCENTILE.INC($C$2:$C$726,0.8),5,C788&gt;=_xlfn.PERCENTILE.INC($C$2:$C$726,0.6),4,C788&gt;=_xlfn.PERCENTILE.INC($C$2:$C$726,0.4),3,C788&gt;=_xlfn.PERCENTILE.INC($C$2:$C$726,0.2),2,TRUE,1)</f>
        <v>4</v>
      </c>
      <c r="G788" cm="1">
        <f t="array" ref="G788">_xlfn.IFS(D788&gt;=_xlfn.PERCENTILE.INC($D$2:$D$726,0.8),5,D788&gt;=_xlfn.PERCENTILE.INC($D$2:$D$726,0.6),4,D788&gt;=_xlfn.PERCENTILE.INC($D$2:$D$726,0.4),3,D788&gt;=_xlfn.PERCENTILE.INC($D$2:$D$726,0.2),2,TRUE,1)</f>
        <v>1</v>
      </c>
      <c r="H788">
        <f t="shared" si="12"/>
        <v>10</v>
      </c>
      <c r="I788" t="str" cm="1">
        <f t="array" ref="I788">_xlfn.IFS(H788&gt;=13,"Best Customers",H788&gt;=10,"Loyal Customers",H788&gt;=7,"Potential Loyal Customers",H788&gt;=4,"Need Attention",TRUE,"At Risk")</f>
        <v>Loyal Customers</v>
      </c>
    </row>
    <row r="789" spans="1:9" x14ac:dyDescent="0.25">
      <c r="A789" t="s">
        <v>1705</v>
      </c>
      <c r="B789" s="4">
        <v>348</v>
      </c>
      <c r="C789">
        <v>7</v>
      </c>
      <c r="D789">
        <v>295.40000000000003</v>
      </c>
      <c r="E789" cm="1">
        <f t="array" ref="E789">_xlfn.IFS(B789&lt;=_xlfn.PERCENTILE.INC($B$2:$B$726,0.2),5, B789&lt;=_xlfn.PERCENTILE.INC($B$2:$B$726,0.4),4,B789&lt;=_xlfn.PERCENTILE.INC($B$2:$B$726,0.6),3,B789&lt;=_xlfn.PERCENTILE.INC($B$2:$B$726,0.8),4,TRUE,1)</f>
        <v>5</v>
      </c>
      <c r="F789" cm="1">
        <f t="array" ref="F789">_xlfn.IFS(C789&gt;=_xlfn.PERCENTILE.INC($C$2:$C$726,0.8),5,C789&gt;=_xlfn.PERCENTILE.INC($C$2:$C$726,0.6),4,C789&gt;=_xlfn.PERCENTILE.INC($C$2:$C$726,0.4),3,C789&gt;=_xlfn.PERCENTILE.INC($C$2:$C$726,0.2),2,TRUE,1)</f>
        <v>4</v>
      </c>
      <c r="G789" cm="1">
        <f t="array" ref="G789">_xlfn.IFS(D789&gt;=_xlfn.PERCENTILE.INC($D$2:$D$726,0.8),5,D789&gt;=_xlfn.PERCENTILE.INC($D$2:$D$726,0.6),4,D789&gt;=_xlfn.PERCENTILE.INC($D$2:$D$726,0.4),3,D789&gt;=_xlfn.PERCENTILE.INC($D$2:$D$726,0.2),2,TRUE,1)</f>
        <v>3</v>
      </c>
      <c r="H789">
        <f t="shared" si="12"/>
        <v>12</v>
      </c>
      <c r="I789" t="str" cm="1">
        <f t="array" ref="I789">_xlfn.IFS(H789&gt;=13,"Best Customers",H789&gt;=10,"Loyal Customers",H789&gt;=7,"Potential Loyal Customers",H789&gt;=4,"Need Attention",TRUE,"At Risk")</f>
        <v>Loyal Customers</v>
      </c>
    </row>
    <row r="790" spans="1:9" x14ac:dyDescent="0.25">
      <c r="A790" t="s">
        <v>3261</v>
      </c>
      <c r="B790" s="4">
        <v>989</v>
      </c>
      <c r="C790">
        <v>6</v>
      </c>
      <c r="D790">
        <v>148.30000000000001</v>
      </c>
      <c r="E790" cm="1">
        <f t="array" ref="E790">_xlfn.IFS(B790&lt;=_xlfn.PERCENTILE.INC($B$2:$B$726,0.2),5, B790&lt;=_xlfn.PERCENTILE.INC($B$2:$B$726,0.4),4,B790&lt;=_xlfn.PERCENTILE.INC($B$2:$B$726,0.6),3,B790&lt;=_xlfn.PERCENTILE.INC($B$2:$B$726,0.8),4,TRUE,1)</f>
        <v>1</v>
      </c>
      <c r="F790" cm="1">
        <f t="array" ref="F790">_xlfn.IFS(C790&gt;=_xlfn.PERCENTILE.INC($C$2:$C$726,0.8),5,C790&gt;=_xlfn.PERCENTILE.INC($C$2:$C$726,0.6),4,C790&gt;=_xlfn.PERCENTILE.INC($C$2:$C$726,0.4),3,C790&gt;=_xlfn.PERCENTILE.INC($C$2:$C$726,0.2),2,TRUE,1)</f>
        <v>4</v>
      </c>
      <c r="G790" cm="1">
        <f t="array" ref="G790">_xlfn.IFS(D790&gt;=_xlfn.PERCENTILE.INC($D$2:$D$726,0.8),5,D790&gt;=_xlfn.PERCENTILE.INC($D$2:$D$726,0.6),4,D790&gt;=_xlfn.PERCENTILE.INC($D$2:$D$726,0.4),3,D790&gt;=_xlfn.PERCENTILE.INC($D$2:$D$726,0.2),2,TRUE,1)</f>
        <v>1</v>
      </c>
      <c r="H790">
        <f t="shared" si="12"/>
        <v>6</v>
      </c>
      <c r="I790" t="str" cm="1">
        <f t="array" ref="I790">_xlfn.IFS(H790&gt;=13,"Best Customers",H790&gt;=10,"Loyal Customers",H790&gt;=7,"Potential Loyal Customers",H790&gt;=4,"Need Attention",TRUE,"At Risk")</f>
        <v>Need Attention</v>
      </c>
    </row>
    <row r="791" spans="1:9" x14ac:dyDescent="0.25">
      <c r="A791" t="s">
        <v>1384</v>
      </c>
      <c r="B791" s="4">
        <v>404</v>
      </c>
      <c r="C791">
        <v>11</v>
      </c>
      <c r="D791">
        <v>764.4</v>
      </c>
      <c r="E791" cm="1">
        <f t="array" ref="E791">_xlfn.IFS(B791&lt;=_xlfn.PERCENTILE.INC($B$2:$B$726,0.2),5, B791&lt;=_xlfn.PERCENTILE.INC($B$2:$B$726,0.4),4,B791&lt;=_xlfn.PERCENTILE.INC($B$2:$B$726,0.6),3,B791&lt;=_xlfn.PERCENTILE.INC($B$2:$B$726,0.8),4,TRUE,1)</f>
        <v>4</v>
      </c>
      <c r="F791" cm="1">
        <f t="array" ref="F791">_xlfn.IFS(C791&gt;=_xlfn.PERCENTILE.INC($C$2:$C$726,0.8),5,C791&gt;=_xlfn.PERCENTILE.INC($C$2:$C$726,0.6),4,C791&gt;=_xlfn.PERCENTILE.INC($C$2:$C$726,0.4),3,C791&gt;=_xlfn.PERCENTILE.INC($C$2:$C$726,0.2),2,TRUE,1)</f>
        <v>5</v>
      </c>
      <c r="G791" cm="1">
        <f t="array" ref="G791">_xlfn.IFS(D791&gt;=_xlfn.PERCENTILE.INC($D$2:$D$726,0.8),5,D791&gt;=_xlfn.PERCENTILE.INC($D$2:$D$726,0.6),4,D791&gt;=_xlfn.PERCENTILE.INC($D$2:$D$726,0.4),3,D791&gt;=_xlfn.PERCENTILE.INC($D$2:$D$726,0.2),2,TRUE,1)</f>
        <v>5</v>
      </c>
      <c r="H791">
        <f t="shared" si="12"/>
        <v>14</v>
      </c>
      <c r="I791" t="str" cm="1">
        <f t="array" ref="I791">_xlfn.IFS(H791&gt;=13,"Best Customers",H791&gt;=10,"Loyal Customers",H791&gt;=7,"Potential Loyal Customers",H791&gt;=4,"Need Attention",TRUE,"At Risk")</f>
        <v>Best Customers</v>
      </c>
    </row>
    <row r="792" spans="1:9" x14ac:dyDescent="0.25">
      <c r="A792" t="s">
        <v>1062</v>
      </c>
      <c r="B792" s="4">
        <v>633</v>
      </c>
      <c r="C792">
        <v>4</v>
      </c>
      <c r="D792">
        <v>283.59999999999997</v>
      </c>
      <c r="E792" cm="1">
        <f t="array" ref="E792">_xlfn.IFS(B792&lt;=_xlfn.PERCENTILE.INC($B$2:$B$726,0.2),5, B792&lt;=_xlfn.PERCENTILE.INC($B$2:$B$726,0.4),4,B792&lt;=_xlfn.PERCENTILE.INC($B$2:$B$726,0.6),3,B792&lt;=_xlfn.PERCENTILE.INC($B$2:$B$726,0.8),4,TRUE,1)</f>
        <v>4</v>
      </c>
      <c r="F792" cm="1">
        <f t="array" ref="F792">_xlfn.IFS(C792&gt;=_xlfn.PERCENTILE.INC($C$2:$C$726,0.8),5,C792&gt;=_xlfn.PERCENTILE.INC($C$2:$C$726,0.6),4,C792&gt;=_xlfn.PERCENTILE.INC($C$2:$C$726,0.4),3,C792&gt;=_xlfn.PERCENTILE.INC($C$2:$C$726,0.2),2,TRUE,1)</f>
        <v>2</v>
      </c>
      <c r="G792" cm="1">
        <f t="array" ref="G792">_xlfn.IFS(D792&gt;=_xlfn.PERCENTILE.INC($D$2:$D$726,0.8),5,D792&gt;=_xlfn.PERCENTILE.INC($D$2:$D$726,0.6),4,D792&gt;=_xlfn.PERCENTILE.INC($D$2:$D$726,0.4),3,D792&gt;=_xlfn.PERCENTILE.INC($D$2:$D$726,0.2),2,TRUE,1)</f>
        <v>3</v>
      </c>
      <c r="H792">
        <f t="shared" si="12"/>
        <v>9</v>
      </c>
      <c r="I792" t="str" cm="1">
        <f t="array" ref="I792">_xlfn.IFS(H792&gt;=13,"Best Customers",H792&gt;=10,"Loyal Customers",H792&gt;=7,"Potential Loyal Customers",H792&gt;=4,"Need Attention",TRUE,"At Risk")</f>
        <v>Potential Loyal Customers</v>
      </c>
    </row>
    <row r="793" spans="1:9" x14ac:dyDescent="0.25">
      <c r="A793" t="s">
        <v>881</v>
      </c>
      <c r="B793" s="4">
        <v>341</v>
      </c>
      <c r="C793">
        <v>12</v>
      </c>
      <c r="D793">
        <v>706.90000000000009</v>
      </c>
      <c r="E793" cm="1">
        <f t="array" ref="E793">_xlfn.IFS(B793&lt;=_xlfn.PERCENTILE.INC($B$2:$B$726,0.2),5, B793&lt;=_xlfn.PERCENTILE.INC($B$2:$B$726,0.4),4,B793&lt;=_xlfn.PERCENTILE.INC($B$2:$B$726,0.6),3,B793&lt;=_xlfn.PERCENTILE.INC($B$2:$B$726,0.8),4,TRUE,1)</f>
        <v>5</v>
      </c>
      <c r="F793" cm="1">
        <f t="array" ref="F793">_xlfn.IFS(C793&gt;=_xlfn.PERCENTILE.INC($C$2:$C$726,0.8),5,C793&gt;=_xlfn.PERCENTILE.INC($C$2:$C$726,0.6),4,C793&gt;=_xlfn.PERCENTILE.INC($C$2:$C$726,0.4),3,C793&gt;=_xlfn.PERCENTILE.INC($C$2:$C$726,0.2),2,TRUE,1)</f>
        <v>5</v>
      </c>
      <c r="G793" cm="1">
        <f t="array" ref="G793">_xlfn.IFS(D793&gt;=_xlfn.PERCENTILE.INC($D$2:$D$726,0.8),5,D793&gt;=_xlfn.PERCENTILE.INC($D$2:$D$726,0.6),4,D793&gt;=_xlfn.PERCENTILE.INC($D$2:$D$726,0.4),3,D793&gt;=_xlfn.PERCENTILE.INC($D$2:$D$726,0.2),2,TRUE,1)</f>
        <v>5</v>
      </c>
      <c r="H793">
        <f t="shared" si="12"/>
        <v>15</v>
      </c>
      <c r="I793" t="str" cm="1">
        <f t="array" ref="I793">_xlfn.IFS(H793&gt;=13,"Best Customers",H793&gt;=10,"Loyal Customers",H793&gt;=7,"Potential Loyal Customers",H793&gt;=4,"Need Attention",TRUE,"At Risk")</f>
        <v>Best Customers</v>
      </c>
    </row>
    <row r="794" spans="1:9" x14ac:dyDescent="0.25">
      <c r="A794" t="s">
        <v>2895</v>
      </c>
      <c r="B794" s="4">
        <v>452</v>
      </c>
      <c r="C794">
        <v>4</v>
      </c>
      <c r="D794">
        <v>249.1</v>
      </c>
      <c r="E794" cm="1">
        <f t="array" ref="E794">_xlfn.IFS(B794&lt;=_xlfn.PERCENTILE.INC($B$2:$B$726,0.2),5, B794&lt;=_xlfn.PERCENTILE.INC($B$2:$B$726,0.4),4,B794&lt;=_xlfn.PERCENTILE.INC($B$2:$B$726,0.6),3,B794&lt;=_xlfn.PERCENTILE.INC($B$2:$B$726,0.8),4,TRUE,1)</f>
        <v>4</v>
      </c>
      <c r="F794" cm="1">
        <f t="array" ref="F794">_xlfn.IFS(C794&gt;=_xlfn.PERCENTILE.INC($C$2:$C$726,0.8),5,C794&gt;=_xlfn.PERCENTILE.INC($C$2:$C$726,0.6),4,C794&gt;=_xlfn.PERCENTILE.INC($C$2:$C$726,0.4),3,C794&gt;=_xlfn.PERCENTILE.INC($C$2:$C$726,0.2),2,TRUE,1)</f>
        <v>2</v>
      </c>
      <c r="G794" cm="1">
        <f t="array" ref="G794">_xlfn.IFS(D794&gt;=_xlfn.PERCENTILE.INC($D$2:$D$726,0.8),5,D794&gt;=_xlfn.PERCENTILE.INC($D$2:$D$726,0.6),4,D794&gt;=_xlfn.PERCENTILE.INC($D$2:$D$726,0.4),3,D794&gt;=_xlfn.PERCENTILE.INC($D$2:$D$726,0.2),2,TRUE,1)</f>
        <v>3</v>
      </c>
      <c r="H794">
        <f t="shared" si="12"/>
        <v>9</v>
      </c>
      <c r="I794" t="str" cm="1">
        <f t="array" ref="I794">_xlfn.IFS(H794&gt;=13,"Best Customers",H794&gt;=10,"Loyal Customers",H794&gt;=7,"Potential Loyal Customers",H794&gt;=4,"Need Attention",TRUE,"At Risk")</f>
        <v>Potential Loyal Customers</v>
      </c>
    </row>
    <row r="795" spans="1:9" x14ac:dyDescent="0.25">
      <c r="A795" t="s">
        <v>793</v>
      </c>
      <c r="B795" s="4">
        <v>653</v>
      </c>
      <c r="C795">
        <v>10</v>
      </c>
      <c r="D795">
        <v>336.40000000000009</v>
      </c>
      <c r="E795" cm="1">
        <f t="array" ref="E795">_xlfn.IFS(B795&lt;=_xlfn.PERCENTILE.INC($B$2:$B$726,0.2),5, B795&lt;=_xlfn.PERCENTILE.INC($B$2:$B$726,0.4),4,B795&lt;=_xlfn.PERCENTILE.INC($B$2:$B$726,0.6),3,B795&lt;=_xlfn.PERCENTILE.INC($B$2:$B$726,0.8),4,TRUE,1)</f>
        <v>4</v>
      </c>
      <c r="F795" cm="1">
        <f t="array" ref="F795">_xlfn.IFS(C795&gt;=_xlfn.PERCENTILE.INC($C$2:$C$726,0.8),5,C795&gt;=_xlfn.PERCENTILE.INC($C$2:$C$726,0.6),4,C795&gt;=_xlfn.PERCENTILE.INC($C$2:$C$726,0.4),3,C795&gt;=_xlfn.PERCENTILE.INC($C$2:$C$726,0.2),2,TRUE,1)</f>
        <v>5</v>
      </c>
      <c r="G795" cm="1">
        <f t="array" ref="G795">_xlfn.IFS(D795&gt;=_xlfn.PERCENTILE.INC($D$2:$D$726,0.8),5,D795&gt;=_xlfn.PERCENTILE.INC($D$2:$D$726,0.6),4,D795&gt;=_xlfn.PERCENTILE.INC($D$2:$D$726,0.4),3,D795&gt;=_xlfn.PERCENTILE.INC($D$2:$D$726,0.2),2,TRUE,1)</f>
        <v>4</v>
      </c>
      <c r="H795">
        <f t="shared" si="12"/>
        <v>13</v>
      </c>
      <c r="I795" t="str" cm="1">
        <f t="array" ref="I795">_xlfn.IFS(H795&gt;=13,"Best Customers",H795&gt;=10,"Loyal Customers",H795&gt;=7,"Potential Loyal Customers",H795&gt;=4,"Need Attention",TRUE,"At Risk")</f>
        <v>Best Customers</v>
      </c>
    </row>
    <row r="796" spans="1:9" x14ac:dyDescent="0.25">
      <c r="A796" t="s">
        <v>2110</v>
      </c>
      <c r="B796" s="4">
        <v>429</v>
      </c>
      <c r="C796">
        <v>8</v>
      </c>
      <c r="D796">
        <v>319.70000000000005</v>
      </c>
      <c r="E796" cm="1">
        <f t="array" ref="E796">_xlfn.IFS(B796&lt;=_xlfn.PERCENTILE.INC($B$2:$B$726,0.2),5, B796&lt;=_xlfn.PERCENTILE.INC($B$2:$B$726,0.4),4,B796&lt;=_xlfn.PERCENTILE.INC($B$2:$B$726,0.6),3,B796&lt;=_xlfn.PERCENTILE.INC($B$2:$B$726,0.8),4,TRUE,1)</f>
        <v>4</v>
      </c>
      <c r="F796" cm="1">
        <f t="array" ref="F796">_xlfn.IFS(C796&gt;=_xlfn.PERCENTILE.INC($C$2:$C$726,0.8),5,C796&gt;=_xlfn.PERCENTILE.INC($C$2:$C$726,0.6),4,C796&gt;=_xlfn.PERCENTILE.INC($C$2:$C$726,0.4),3,C796&gt;=_xlfn.PERCENTILE.INC($C$2:$C$726,0.2),2,TRUE,1)</f>
        <v>5</v>
      </c>
      <c r="G796" cm="1">
        <f t="array" ref="G796">_xlfn.IFS(D796&gt;=_xlfn.PERCENTILE.INC($D$2:$D$726,0.8),5,D796&gt;=_xlfn.PERCENTILE.INC($D$2:$D$726,0.6),4,D796&gt;=_xlfn.PERCENTILE.INC($D$2:$D$726,0.4),3,D796&gt;=_xlfn.PERCENTILE.INC($D$2:$D$726,0.2),2,TRUE,1)</f>
        <v>4</v>
      </c>
      <c r="H796">
        <f t="shared" si="12"/>
        <v>13</v>
      </c>
      <c r="I796" t="str" cm="1">
        <f t="array" ref="I796">_xlfn.IFS(H796&gt;=13,"Best Customers",H796&gt;=10,"Loyal Customers",H796&gt;=7,"Potential Loyal Customers",H796&gt;=4,"Need Attention",TRUE,"At Risk")</f>
        <v>Best Customers</v>
      </c>
    </row>
    <row r="797" spans="1:9" x14ac:dyDescent="0.25">
      <c r="A797" t="s">
        <v>2699</v>
      </c>
      <c r="B797" s="4">
        <v>507</v>
      </c>
      <c r="C797">
        <v>6</v>
      </c>
      <c r="D797">
        <v>350.79999999999995</v>
      </c>
      <c r="E797" cm="1">
        <f t="array" ref="E797">_xlfn.IFS(B797&lt;=_xlfn.PERCENTILE.INC($B$2:$B$726,0.2),5, B797&lt;=_xlfn.PERCENTILE.INC($B$2:$B$726,0.4),4,B797&lt;=_xlfn.PERCENTILE.INC($B$2:$B$726,0.6),3,B797&lt;=_xlfn.PERCENTILE.INC($B$2:$B$726,0.8),4,TRUE,1)</f>
        <v>3</v>
      </c>
      <c r="F797" cm="1">
        <f t="array" ref="F797">_xlfn.IFS(C797&gt;=_xlfn.PERCENTILE.INC($C$2:$C$726,0.8),5,C797&gt;=_xlfn.PERCENTILE.INC($C$2:$C$726,0.6),4,C797&gt;=_xlfn.PERCENTILE.INC($C$2:$C$726,0.4),3,C797&gt;=_xlfn.PERCENTILE.INC($C$2:$C$726,0.2),2,TRUE,1)</f>
        <v>4</v>
      </c>
      <c r="G797" cm="1">
        <f t="array" ref="G797">_xlfn.IFS(D797&gt;=_xlfn.PERCENTILE.INC($D$2:$D$726,0.8),5,D797&gt;=_xlfn.PERCENTILE.INC($D$2:$D$726,0.6),4,D797&gt;=_xlfn.PERCENTILE.INC($D$2:$D$726,0.4),3,D797&gt;=_xlfn.PERCENTILE.INC($D$2:$D$726,0.2),2,TRUE,1)</f>
        <v>4</v>
      </c>
      <c r="H797">
        <f t="shared" si="12"/>
        <v>11</v>
      </c>
      <c r="I797" t="str" cm="1">
        <f t="array" ref="I797">_xlfn.IFS(H797&gt;=13,"Best Customers",H797&gt;=10,"Loyal Customers",H797&gt;=7,"Potential Loyal Customers",H797&gt;=4,"Need Attention",TRUE,"At Risk")</f>
        <v>Loyal Customers</v>
      </c>
    </row>
    <row r="798" spans="1:9" x14ac:dyDescent="0.25">
      <c r="A798" t="s">
        <v>3057</v>
      </c>
      <c r="B798" s="4">
        <v>949</v>
      </c>
      <c r="C798">
        <v>4</v>
      </c>
      <c r="D798">
        <v>292.5</v>
      </c>
      <c r="E798" cm="1">
        <f t="array" ref="E798">_xlfn.IFS(B798&lt;=_xlfn.PERCENTILE.INC($B$2:$B$726,0.2),5, B798&lt;=_xlfn.PERCENTILE.INC($B$2:$B$726,0.4),4,B798&lt;=_xlfn.PERCENTILE.INC($B$2:$B$726,0.6),3,B798&lt;=_xlfn.PERCENTILE.INC($B$2:$B$726,0.8),4,TRUE,1)</f>
        <v>1</v>
      </c>
      <c r="F798" cm="1">
        <f t="array" ref="F798">_xlfn.IFS(C798&gt;=_xlfn.PERCENTILE.INC($C$2:$C$726,0.8),5,C798&gt;=_xlfn.PERCENTILE.INC($C$2:$C$726,0.6),4,C798&gt;=_xlfn.PERCENTILE.INC($C$2:$C$726,0.4),3,C798&gt;=_xlfn.PERCENTILE.INC($C$2:$C$726,0.2),2,TRUE,1)</f>
        <v>2</v>
      </c>
      <c r="G798" cm="1">
        <f t="array" ref="G798">_xlfn.IFS(D798&gt;=_xlfn.PERCENTILE.INC($D$2:$D$726,0.8),5,D798&gt;=_xlfn.PERCENTILE.INC($D$2:$D$726,0.6),4,D798&gt;=_xlfn.PERCENTILE.INC($D$2:$D$726,0.4),3,D798&gt;=_xlfn.PERCENTILE.INC($D$2:$D$726,0.2),2,TRUE,1)</f>
        <v>3</v>
      </c>
      <c r="H798">
        <f t="shared" si="12"/>
        <v>6</v>
      </c>
      <c r="I798" t="str" cm="1">
        <f t="array" ref="I798">_xlfn.IFS(H798&gt;=13,"Best Customers",H798&gt;=10,"Loyal Customers",H798&gt;=7,"Potential Loyal Customers",H798&gt;=4,"Need Attention",TRUE,"At Risk")</f>
        <v>Need Attention</v>
      </c>
    </row>
    <row r="799" spans="1:9" x14ac:dyDescent="0.25">
      <c r="A799" t="s">
        <v>751</v>
      </c>
      <c r="B799" s="4">
        <v>692</v>
      </c>
      <c r="C799">
        <v>8</v>
      </c>
      <c r="D799">
        <v>358.29999999999995</v>
      </c>
      <c r="E799" cm="1">
        <f t="array" ref="E799">_xlfn.IFS(B799&lt;=_xlfn.PERCENTILE.INC($B$2:$B$726,0.2),5, B799&lt;=_xlfn.PERCENTILE.INC($B$2:$B$726,0.4),4,B799&lt;=_xlfn.PERCENTILE.INC($B$2:$B$726,0.6),3,B799&lt;=_xlfn.PERCENTILE.INC($B$2:$B$726,0.8),4,TRUE,1)</f>
        <v>4</v>
      </c>
      <c r="F799" cm="1">
        <f t="array" ref="F799">_xlfn.IFS(C799&gt;=_xlfn.PERCENTILE.INC($C$2:$C$726,0.8),5,C799&gt;=_xlfn.PERCENTILE.INC($C$2:$C$726,0.6),4,C799&gt;=_xlfn.PERCENTILE.INC($C$2:$C$726,0.4),3,C799&gt;=_xlfn.PERCENTILE.INC($C$2:$C$726,0.2),2,TRUE,1)</f>
        <v>5</v>
      </c>
      <c r="G799" cm="1">
        <f t="array" ref="G799">_xlfn.IFS(D799&gt;=_xlfn.PERCENTILE.INC($D$2:$D$726,0.8),5,D799&gt;=_xlfn.PERCENTILE.INC($D$2:$D$726,0.6),4,D799&gt;=_xlfn.PERCENTILE.INC($D$2:$D$726,0.4),3,D799&gt;=_xlfn.PERCENTILE.INC($D$2:$D$726,0.2),2,TRUE,1)</f>
        <v>4</v>
      </c>
      <c r="H799">
        <f t="shared" si="12"/>
        <v>13</v>
      </c>
      <c r="I799" t="str" cm="1">
        <f t="array" ref="I799">_xlfn.IFS(H799&gt;=13,"Best Customers",H799&gt;=10,"Loyal Customers",H799&gt;=7,"Potential Loyal Customers",H799&gt;=4,"Need Attention",TRUE,"At Risk")</f>
        <v>Best Customers</v>
      </c>
    </row>
    <row r="800" spans="1:9" x14ac:dyDescent="0.25">
      <c r="A800" t="s">
        <v>2251</v>
      </c>
      <c r="B800" s="4">
        <v>499</v>
      </c>
      <c r="C800">
        <v>8</v>
      </c>
      <c r="D800">
        <v>418.5</v>
      </c>
      <c r="E800" cm="1">
        <f t="array" ref="E800">_xlfn.IFS(B800&lt;=_xlfn.PERCENTILE.INC($B$2:$B$726,0.2),5, B800&lt;=_xlfn.PERCENTILE.INC($B$2:$B$726,0.4),4,B800&lt;=_xlfn.PERCENTILE.INC($B$2:$B$726,0.6),3,B800&lt;=_xlfn.PERCENTILE.INC($B$2:$B$726,0.8),4,TRUE,1)</f>
        <v>3</v>
      </c>
      <c r="F800" cm="1">
        <f t="array" ref="F800">_xlfn.IFS(C800&gt;=_xlfn.PERCENTILE.INC($C$2:$C$726,0.8),5,C800&gt;=_xlfn.PERCENTILE.INC($C$2:$C$726,0.6),4,C800&gt;=_xlfn.PERCENTILE.INC($C$2:$C$726,0.4),3,C800&gt;=_xlfn.PERCENTILE.INC($C$2:$C$726,0.2),2,TRUE,1)</f>
        <v>5</v>
      </c>
      <c r="G800" cm="1">
        <f t="array" ref="G800">_xlfn.IFS(D800&gt;=_xlfn.PERCENTILE.INC($D$2:$D$726,0.8),5,D800&gt;=_xlfn.PERCENTILE.INC($D$2:$D$726,0.6),4,D800&gt;=_xlfn.PERCENTILE.INC($D$2:$D$726,0.4),3,D800&gt;=_xlfn.PERCENTILE.INC($D$2:$D$726,0.2),2,TRUE,1)</f>
        <v>5</v>
      </c>
      <c r="H800">
        <f t="shared" si="12"/>
        <v>13</v>
      </c>
      <c r="I800" t="str" cm="1">
        <f t="array" ref="I800">_xlfn.IFS(H800&gt;=13,"Best Customers",H800&gt;=10,"Loyal Customers",H800&gt;=7,"Potential Loyal Customers",H800&gt;=4,"Need Attention",TRUE,"At Risk")</f>
        <v>Best Customers</v>
      </c>
    </row>
    <row r="801" spans="1:9" x14ac:dyDescent="0.25">
      <c r="A801" t="s">
        <v>1779</v>
      </c>
      <c r="B801" s="4">
        <v>385</v>
      </c>
      <c r="C801">
        <v>3</v>
      </c>
      <c r="D801">
        <v>129.4</v>
      </c>
      <c r="E801" cm="1">
        <f t="array" ref="E801">_xlfn.IFS(B801&lt;=_xlfn.PERCENTILE.INC($B$2:$B$726,0.2),5, B801&lt;=_xlfn.PERCENTILE.INC($B$2:$B$726,0.4),4,B801&lt;=_xlfn.PERCENTILE.INC($B$2:$B$726,0.6),3,B801&lt;=_xlfn.PERCENTILE.INC($B$2:$B$726,0.8),4,TRUE,1)</f>
        <v>5</v>
      </c>
      <c r="F801" cm="1">
        <f t="array" ref="F801">_xlfn.IFS(C801&gt;=_xlfn.PERCENTILE.INC($C$2:$C$726,0.8),5,C801&gt;=_xlfn.PERCENTILE.INC($C$2:$C$726,0.6),4,C801&gt;=_xlfn.PERCENTILE.INC($C$2:$C$726,0.4),3,C801&gt;=_xlfn.PERCENTILE.INC($C$2:$C$726,0.2),2,TRUE,1)</f>
        <v>1</v>
      </c>
      <c r="G801" cm="1">
        <f t="array" ref="G801">_xlfn.IFS(D801&gt;=_xlfn.PERCENTILE.INC($D$2:$D$726,0.8),5,D801&gt;=_xlfn.PERCENTILE.INC($D$2:$D$726,0.6),4,D801&gt;=_xlfn.PERCENTILE.INC($D$2:$D$726,0.4),3,D801&gt;=_xlfn.PERCENTILE.INC($D$2:$D$726,0.2),2,TRUE,1)</f>
        <v>1</v>
      </c>
      <c r="H801">
        <f t="shared" si="12"/>
        <v>7</v>
      </c>
      <c r="I801" t="str" cm="1">
        <f t="array" ref="I801">_xlfn.IFS(H801&gt;=13,"Best Customers",H801&gt;=10,"Loyal Customers",H801&gt;=7,"Potential Loyal Customers",H801&gt;=4,"Need Attention",TRUE,"At Risk")</f>
        <v>Potential Loyal Customers</v>
      </c>
    </row>
    <row r="802" spans="1:9" x14ac:dyDescent="0.25">
      <c r="A802" t="s">
        <v>2462</v>
      </c>
      <c r="B802" s="4">
        <v>617</v>
      </c>
      <c r="C802">
        <v>6</v>
      </c>
      <c r="D802">
        <v>353</v>
      </c>
      <c r="E802" cm="1">
        <f t="array" ref="E802">_xlfn.IFS(B802&lt;=_xlfn.PERCENTILE.INC($B$2:$B$726,0.2),5, B802&lt;=_xlfn.PERCENTILE.INC($B$2:$B$726,0.4),4,B802&lt;=_xlfn.PERCENTILE.INC($B$2:$B$726,0.6),3,B802&lt;=_xlfn.PERCENTILE.INC($B$2:$B$726,0.8),4,TRUE,1)</f>
        <v>4</v>
      </c>
      <c r="F802" cm="1">
        <f t="array" ref="F802">_xlfn.IFS(C802&gt;=_xlfn.PERCENTILE.INC($C$2:$C$726,0.8),5,C802&gt;=_xlfn.PERCENTILE.INC($C$2:$C$726,0.6),4,C802&gt;=_xlfn.PERCENTILE.INC($C$2:$C$726,0.4),3,C802&gt;=_xlfn.PERCENTILE.INC($C$2:$C$726,0.2),2,TRUE,1)</f>
        <v>4</v>
      </c>
      <c r="G802" cm="1">
        <f t="array" ref="G802">_xlfn.IFS(D802&gt;=_xlfn.PERCENTILE.INC($D$2:$D$726,0.8),5,D802&gt;=_xlfn.PERCENTILE.INC($D$2:$D$726,0.6),4,D802&gt;=_xlfn.PERCENTILE.INC($D$2:$D$726,0.4),3,D802&gt;=_xlfn.PERCENTILE.INC($D$2:$D$726,0.2),2,TRUE,1)</f>
        <v>4</v>
      </c>
      <c r="H802">
        <f t="shared" si="12"/>
        <v>12</v>
      </c>
      <c r="I802" t="str" cm="1">
        <f t="array" ref="I802">_xlfn.IFS(H802&gt;=13,"Best Customers",H802&gt;=10,"Loyal Customers",H802&gt;=7,"Potential Loyal Customers",H802&gt;=4,"Need Attention",TRUE,"At Risk")</f>
        <v>Loyal Customers</v>
      </c>
    </row>
    <row r="803" spans="1:9" x14ac:dyDescent="0.25">
      <c r="A803" t="s">
        <v>854</v>
      </c>
      <c r="B803" s="4">
        <v>763</v>
      </c>
      <c r="C803">
        <v>3</v>
      </c>
      <c r="D803">
        <v>108.80000000000001</v>
      </c>
      <c r="E803" cm="1">
        <f t="array" ref="E803">_xlfn.IFS(B803&lt;=_xlfn.PERCENTILE.INC($B$2:$B$726,0.2),5, B803&lt;=_xlfn.PERCENTILE.INC($B$2:$B$726,0.4),4,B803&lt;=_xlfn.PERCENTILE.INC($B$2:$B$726,0.6),3,B803&lt;=_xlfn.PERCENTILE.INC($B$2:$B$726,0.8),4,TRUE,1)</f>
        <v>1</v>
      </c>
      <c r="F803" cm="1">
        <f t="array" ref="F803">_xlfn.IFS(C803&gt;=_xlfn.PERCENTILE.INC($C$2:$C$726,0.8),5,C803&gt;=_xlfn.PERCENTILE.INC($C$2:$C$726,0.6),4,C803&gt;=_xlfn.PERCENTILE.INC($C$2:$C$726,0.4),3,C803&gt;=_xlfn.PERCENTILE.INC($C$2:$C$726,0.2),2,TRUE,1)</f>
        <v>1</v>
      </c>
      <c r="G803" cm="1">
        <f t="array" ref="G803">_xlfn.IFS(D803&gt;=_xlfn.PERCENTILE.INC($D$2:$D$726,0.8),5,D803&gt;=_xlfn.PERCENTILE.INC($D$2:$D$726,0.6),4,D803&gt;=_xlfn.PERCENTILE.INC($D$2:$D$726,0.4),3,D803&gt;=_xlfn.PERCENTILE.INC($D$2:$D$726,0.2),2,TRUE,1)</f>
        <v>1</v>
      </c>
      <c r="H803">
        <f t="shared" si="12"/>
        <v>3</v>
      </c>
      <c r="I803" t="str" cm="1">
        <f t="array" ref="I803">_xlfn.IFS(H803&gt;=13,"Best Customers",H803&gt;=10,"Loyal Customers",H803&gt;=7,"Potential Loyal Customers",H803&gt;=4,"Need Attention",TRUE,"At Risk")</f>
        <v>At Risk</v>
      </c>
    </row>
    <row r="804" spans="1:9" x14ac:dyDescent="0.25">
      <c r="A804" t="s">
        <v>2798</v>
      </c>
      <c r="B804" s="4">
        <v>1014</v>
      </c>
      <c r="C804">
        <v>4</v>
      </c>
      <c r="D804">
        <v>94.9</v>
      </c>
      <c r="E804" cm="1">
        <f t="array" ref="E804">_xlfn.IFS(B804&lt;=_xlfn.PERCENTILE.INC($B$2:$B$726,0.2),5, B804&lt;=_xlfn.PERCENTILE.INC($B$2:$B$726,0.4),4,B804&lt;=_xlfn.PERCENTILE.INC($B$2:$B$726,0.6),3,B804&lt;=_xlfn.PERCENTILE.INC($B$2:$B$726,0.8),4,TRUE,1)</f>
        <v>1</v>
      </c>
      <c r="F804" cm="1">
        <f t="array" ref="F804">_xlfn.IFS(C804&gt;=_xlfn.PERCENTILE.INC($C$2:$C$726,0.8),5,C804&gt;=_xlfn.PERCENTILE.INC($C$2:$C$726,0.6),4,C804&gt;=_xlfn.PERCENTILE.INC($C$2:$C$726,0.4),3,C804&gt;=_xlfn.PERCENTILE.INC($C$2:$C$726,0.2),2,TRUE,1)</f>
        <v>2</v>
      </c>
      <c r="G804" cm="1">
        <f t="array" ref="G804">_xlfn.IFS(D804&gt;=_xlfn.PERCENTILE.INC($D$2:$D$726,0.8),5,D804&gt;=_xlfn.PERCENTILE.INC($D$2:$D$726,0.6),4,D804&gt;=_xlfn.PERCENTILE.INC($D$2:$D$726,0.4),3,D804&gt;=_xlfn.PERCENTILE.INC($D$2:$D$726,0.2),2,TRUE,1)</f>
        <v>1</v>
      </c>
      <c r="H804">
        <f t="shared" si="12"/>
        <v>4</v>
      </c>
      <c r="I804" t="str" cm="1">
        <f t="array" ref="I804">_xlfn.IFS(H804&gt;=13,"Best Customers",H804&gt;=10,"Loyal Customers",H804&gt;=7,"Potential Loyal Customers",H804&gt;=4,"Need Attention",TRUE,"At Risk")</f>
        <v>Need Attention</v>
      </c>
    </row>
    <row r="805" spans="1:9" x14ac:dyDescent="0.25">
      <c r="A805" t="s">
        <v>2983</v>
      </c>
      <c r="B805" s="4">
        <v>995</v>
      </c>
      <c r="C805">
        <v>4</v>
      </c>
      <c r="D805">
        <v>182.8</v>
      </c>
      <c r="E805" cm="1">
        <f t="array" ref="E805">_xlfn.IFS(B805&lt;=_xlfn.PERCENTILE.INC($B$2:$B$726,0.2),5, B805&lt;=_xlfn.PERCENTILE.INC($B$2:$B$726,0.4),4,B805&lt;=_xlfn.PERCENTILE.INC($B$2:$B$726,0.6),3,B805&lt;=_xlfn.PERCENTILE.INC($B$2:$B$726,0.8),4,TRUE,1)</f>
        <v>1</v>
      </c>
      <c r="F805" cm="1">
        <f t="array" ref="F805">_xlfn.IFS(C805&gt;=_xlfn.PERCENTILE.INC($C$2:$C$726,0.8),5,C805&gt;=_xlfn.PERCENTILE.INC($C$2:$C$726,0.6),4,C805&gt;=_xlfn.PERCENTILE.INC($C$2:$C$726,0.4),3,C805&gt;=_xlfn.PERCENTILE.INC($C$2:$C$726,0.2),2,TRUE,1)</f>
        <v>2</v>
      </c>
      <c r="G805" cm="1">
        <f t="array" ref="G805">_xlfn.IFS(D805&gt;=_xlfn.PERCENTILE.INC($D$2:$D$726,0.8),5,D805&gt;=_xlfn.PERCENTILE.INC($D$2:$D$726,0.6),4,D805&gt;=_xlfn.PERCENTILE.INC($D$2:$D$726,0.4),3,D805&gt;=_xlfn.PERCENTILE.INC($D$2:$D$726,0.2),2,TRUE,1)</f>
        <v>2</v>
      </c>
      <c r="H805">
        <f t="shared" si="12"/>
        <v>5</v>
      </c>
      <c r="I805" t="str" cm="1">
        <f t="array" ref="I805">_xlfn.IFS(H805&gt;=13,"Best Customers",H805&gt;=10,"Loyal Customers",H805&gt;=7,"Potential Loyal Customers",H805&gt;=4,"Need Attention",TRUE,"At Risk")</f>
        <v>Need Attention</v>
      </c>
    </row>
    <row r="806" spans="1:9" x14ac:dyDescent="0.25">
      <c r="A806" t="s">
        <v>1746</v>
      </c>
      <c r="B806" s="4">
        <v>346</v>
      </c>
      <c r="C806">
        <v>7</v>
      </c>
      <c r="D806">
        <v>187.4</v>
      </c>
      <c r="E806" cm="1">
        <f t="array" ref="E806">_xlfn.IFS(B806&lt;=_xlfn.PERCENTILE.INC($B$2:$B$726,0.2),5, B806&lt;=_xlfn.PERCENTILE.INC($B$2:$B$726,0.4),4,B806&lt;=_xlfn.PERCENTILE.INC($B$2:$B$726,0.6),3,B806&lt;=_xlfn.PERCENTILE.INC($B$2:$B$726,0.8),4,TRUE,1)</f>
        <v>5</v>
      </c>
      <c r="F806" cm="1">
        <f t="array" ref="F806">_xlfn.IFS(C806&gt;=_xlfn.PERCENTILE.INC($C$2:$C$726,0.8),5,C806&gt;=_xlfn.PERCENTILE.INC($C$2:$C$726,0.6),4,C806&gt;=_xlfn.PERCENTILE.INC($C$2:$C$726,0.4),3,C806&gt;=_xlfn.PERCENTILE.INC($C$2:$C$726,0.2),2,TRUE,1)</f>
        <v>4</v>
      </c>
      <c r="G806" cm="1">
        <f t="array" ref="G806">_xlfn.IFS(D806&gt;=_xlfn.PERCENTILE.INC($D$2:$D$726,0.8),5,D806&gt;=_xlfn.PERCENTILE.INC($D$2:$D$726,0.6),4,D806&gt;=_xlfn.PERCENTILE.INC($D$2:$D$726,0.4),3,D806&gt;=_xlfn.PERCENTILE.INC($D$2:$D$726,0.2),2,TRUE,1)</f>
        <v>2</v>
      </c>
      <c r="H806">
        <f t="shared" si="12"/>
        <v>11</v>
      </c>
      <c r="I806" t="str" cm="1">
        <f t="array" ref="I806">_xlfn.IFS(H806&gt;=13,"Best Customers",H806&gt;=10,"Loyal Customers",H806&gt;=7,"Potential Loyal Customers",H806&gt;=4,"Need Attention",TRUE,"At Risk")</f>
        <v>Loyal Customers</v>
      </c>
    </row>
    <row r="807" spans="1:9" x14ac:dyDescent="0.25">
      <c r="A807" t="s">
        <v>3027</v>
      </c>
      <c r="B807" s="4">
        <v>630</v>
      </c>
      <c r="C807">
        <v>3</v>
      </c>
      <c r="D807">
        <v>39.700000000000003</v>
      </c>
      <c r="E807" cm="1">
        <f t="array" ref="E807">_xlfn.IFS(B807&lt;=_xlfn.PERCENTILE.INC($B$2:$B$726,0.2),5, B807&lt;=_xlfn.PERCENTILE.INC($B$2:$B$726,0.4),4,B807&lt;=_xlfn.PERCENTILE.INC($B$2:$B$726,0.6),3,B807&lt;=_xlfn.PERCENTILE.INC($B$2:$B$726,0.8),4,TRUE,1)</f>
        <v>4</v>
      </c>
      <c r="F807" cm="1">
        <f t="array" ref="F807">_xlfn.IFS(C807&gt;=_xlfn.PERCENTILE.INC($C$2:$C$726,0.8),5,C807&gt;=_xlfn.PERCENTILE.INC($C$2:$C$726,0.6),4,C807&gt;=_xlfn.PERCENTILE.INC($C$2:$C$726,0.4),3,C807&gt;=_xlfn.PERCENTILE.INC($C$2:$C$726,0.2),2,TRUE,1)</f>
        <v>1</v>
      </c>
      <c r="G807" cm="1">
        <f t="array" ref="G807">_xlfn.IFS(D807&gt;=_xlfn.PERCENTILE.INC($D$2:$D$726,0.8),5,D807&gt;=_xlfn.PERCENTILE.INC($D$2:$D$726,0.6),4,D807&gt;=_xlfn.PERCENTILE.INC($D$2:$D$726,0.4),3,D807&gt;=_xlfn.PERCENTILE.INC($D$2:$D$726,0.2),2,TRUE,1)</f>
        <v>1</v>
      </c>
      <c r="H807">
        <f t="shared" si="12"/>
        <v>6</v>
      </c>
      <c r="I807" t="str" cm="1">
        <f t="array" ref="I807">_xlfn.IFS(H807&gt;=13,"Best Customers",H807&gt;=10,"Loyal Customers",H807&gt;=7,"Potential Loyal Customers",H807&gt;=4,"Need Attention",TRUE,"At Risk")</f>
        <v>Need Attention</v>
      </c>
    </row>
    <row r="808" spans="1:9" x14ac:dyDescent="0.25">
      <c r="A808" t="s">
        <v>935</v>
      </c>
      <c r="B808" s="4">
        <v>411</v>
      </c>
      <c r="C808">
        <v>9</v>
      </c>
      <c r="D808">
        <v>370.1</v>
      </c>
      <c r="E808" cm="1">
        <f t="array" ref="E808">_xlfn.IFS(B808&lt;=_xlfn.PERCENTILE.INC($B$2:$B$726,0.2),5, B808&lt;=_xlfn.PERCENTILE.INC($B$2:$B$726,0.4),4,B808&lt;=_xlfn.PERCENTILE.INC($B$2:$B$726,0.6),3,B808&lt;=_xlfn.PERCENTILE.INC($B$2:$B$726,0.8),4,TRUE,1)</f>
        <v>4</v>
      </c>
      <c r="F808" cm="1">
        <f t="array" ref="F808">_xlfn.IFS(C808&gt;=_xlfn.PERCENTILE.INC($C$2:$C$726,0.8),5,C808&gt;=_xlfn.PERCENTILE.INC($C$2:$C$726,0.6),4,C808&gt;=_xlfn.PERCENTILE.INC($C$2:$C$726,0.4),3,C808&gt;=_xlfn.PERCENTILE.INC($C$2:$C$726,0.2),2,TRUE,1)</f>
        <v>5</v>
      </c>
      <c r="G808" cm="1">
        <f t="array" ref="G808">_xlfn.IFS(D808&gt;=_xlfn.PERCENTILE.INC($D$2:$D$726,0.8),5,D808&gt;=_xlfn.PERCENTILE.INC($D$2:$D$726,0.6),4,D808&gt;=_xlfn.PERCENTILE.INC($D$2:$D$726,0.4),3,D808&gt;=_xlfn.PERCENTILE.INC($D$2:$D$726,0.2),2,TRUE,1)</f>
        <v>4</v>
      </c>
      <c r="H808">
        <f t="shared" si="12"/>
        <v>13</v>
      </c>
      <c r="I808" t="str" cm="1">
        <f t="array" ref="I808">_xlfn.IFS(H808&gt;=13,"Best Customers",H808&gt;=10,"Loyal Customers",H808&gt;=7,"Potential Loyal Customers",H808&gt;=4,"Need Attention",TRUE,"At Risk")</f>
        <v>Best Customers</v>
      </c>
    </row>
    <row r="809" spans="1:9" x14ac:dyDescent="0.25">
      <c r="A809" t="s">
        <v>3214</v>
      </c>
      <c r="B809" s="4">
        <v>403</v>
      </c>
      <c r="C809">
        <v>8</v>
      </c>
      <c r="D809">
        <v>238</v>
      </c>
      <c r="E809" cm="1">
        <f t="array" ref="E809">_xlfn.IFS(B809&lt;=_xlfn.PERCENTILE.INC($B$2:$B$726,0.2),5, B809&lt;=_xlfn.PERCENTILE.INC($B$2:$B$726,0.4),4,B809&lt;=_xlfn.PERCENTILE.INC($B$2:$B$726,0.6),3,B809&lt;=_xlfn.PERCENTILE.INC($B$2:$B$726,0.8),4,TRUE,1)</f>
        <v>4</v>
      </c>
      <c r="F809" cm="1">
        <f t="array" ref="F809">_xlfn.IFS(C809&gt;=_xlfn.PERCENTILE.INC($C$2:$C$726,0.8),5,C809&gt;=_xlfn.PERCENTILE.INC($C$2:$C$726,0.6),4,C809&gt;=_xlfn.PERCENTILE.INC($C$2:$C$726,0.4),3,C809&gt;=_xlfn.PERCENTILE.INC($C$2:$C$726,0.2),2,TRUE,1)</f>
        <v>5</v>
      </c>
      <c r="G809" cm="1">
        <f t="array" ref="G809">_xlfn.IFS(D809&gt;=_xlfn.PERCENTILE.INC($D$2:$D$726,0.8),5,D809&gt;=_xlfn.PERCENTILE.INC($D$2:$D$726,0.6),4,D809&gt;=_xlfn.PERCENTILE.INC($D$2:$D$726,0.4),3,D809&gt;=_xlfn.PERCENTILE.INC($D$2:$D$726,0.2),2,TRUE,1)</f>
        <v>3</v>
      </c>
      <c r="H809">
        <f t="shared" si="12"/>
        <v>12</v>
      </c>
      <c r="I809" t="str" cm="1">
        <f t="array" ref="I809">_xlfn.IFS(H809&gt;=13,"Best Customers",H809&gt;=10,"Loyal Customers",H809&gt;=7,"Potential Loyal Customers",H809&gt;=4,"Need Attention",TRUE,"At Risk")</f>
        <v>Loyal Customers</v>
      </c>
    </row>
    <row r="810" spans="1:9" x14ac:dyDescent="0.25">
      <c r="A810" t="s">
        <v>869</v>
      </c>
      <c r="B810" s="4">
        <v>377</v>
      </c>
      <c r="C810">
        <v>6</v>
      </c>
      <c r="D810">
        <v>301.00000000000006</v>
      </c>
      <c r="E810" cm="1">
        <f t="array" ref="E810">_xlfn.IFS(B810&lt;=_xlfn.PERCENTILE.INC($B$2:$B$726,0.2),5, B810&lt;=_xlfn.PERCENTILE.INC($B$2:$B$726,0.4),4,B810&lt;=_xlfn.PERCENTILE.INC($B$2:$B$726,0.6),3,B810&lt;=_xlfn.PERCENTILE.INC($B$2:$B$726,0.8),4,TRUE,1)</f>
        <v>5</v>
      </c>
      <c r="F810" cm="1">
        <f t="array" ref="F810">_xlfn.IFS(C810&gt;=_xlfn.PERCENTILE.INC($C$2:$C$726,0.8),5,C810&gt;=_xlfn.PERCENTILE.INC($C$2:$C$726,0.6),4,C810&gt;=_xlfn.PERCENTILE.INC($C$2:$C$726,0.4),3,C810&gt;=_xlfn.PERCENTILE.INC($C$2:$C$726,0.2),2,TRUE,1)</f>
        <v>4</v>
      </c>
      <c r="G810" cm="1">
        <f t="array" ref="G810">_xlfn.IFS(D810&gt;=_xlfn.PERCENTILE.INC($D$2:$D$726,0.8),5,D810&gt;=_xlfn.PERCENTILE.INC($D$2:$D$726,0.6),4,D810&gt;=_xlfn.PERCENTILE.INC($D$2:$D$726,0.4),3,D810&gt;=_xlfn.PERCENTILE.INC($D$2:$D$726,0.2),2,TRUE,1)</f>
        <v>3</v>
      </c>
      <c r="H810">
        <f t="shared" si="12"/>
        <v>12</v>
      </c>
      <c r="I810" t="str" cm="1">
        <f t="array" ref="I810">_xlfn.IFS(H810&gt;=13,"Best Customers",H810&gt;=10,"Loyal Customers",H810&gt;=7,"Potential Loyal Customers",H810&gt;=4,"Need Attention",TRUE,"At Risk")</f>
        <v>Loyal Customers</v>
      </c>
    </row>
    <row r="811" spans="1:9" x14ac:dyDescent="0.25">
      <c r="A811" t="s">
        <v>2233</v>
      </c>
      <c r="B811" s="4">
        <v>801</v>
      </c>
      <c r="C811">
        <v>4</v>
      </c>
      <c r="D811">
        <v>144.9</v>
      </c>
      <c r="E811" cm="1">
        <f t="array" ref="E811">_xlfn.IFS(B811&lt;=_xlfn.PERCENTILE.INC($B$2:$B$726,0.2),5, B811&lt;=_xlfn.PERCENTILE.INC($B$2:$B$726,0.4),4,B811&lt;=_xlfn.PERCENTILE.INC($B$2:$B$726,0.6),3,B811&lt;=_xlfn.PERCENTILE.INC($B$2:$B$726,0.8),4,TRUE,1)</f>
        <v>1</v>
      </c>
      <c r="F811" cm="1">
        <f t="array" ref="F811">_xlfn.IFS(C811&gt;=_xlfn.PERCENTILE.INC($C$2:$C$726,0.8),5,C811&gt;=_xlfn.PERCENTILE.INC($C$2:$C$726,0.6),4,C811&gt;=_xlfn.PERCENTILE.INC($C$2:$C$726,0.4),3,C811&gt;=_xlfn.PERCENTILE.INC($C$2:$C$726,0.2),2,TRUE,1)</f>
        <v>2</v>
      </c>
      <c r="G811" cm="1">
        <f t="array" ref="G811">_xlfn.IFS(D811&gt;=_xlfn.PERCENTILE.INC($D$2:$D$726,0.8),5,D811&gt;=_xlfn.PERCENTILE.INC($D$2:$D$726,0.6),4,D811&gt;=_xlfn.PERCENTILE.INC($D$2:$D$726,0.4),3,D811&gt;=_xlfn.PERCENTILE.INC($D$2:$D$726,0.2),2,TRUE,1)</f>
        <v>1</v>
      </c>
      <c r="H811">
        <f t="shared" si="12"/>
        <v>4</v>
      </c>
      <c r="I811" t="str" cm="1">
        <f t="array" ref="I811">_xlfn.IFS(H811&gt;=13,"Best Customers",H811&gt;=10,"Loyal Customers",H811&gt;=7,"Potential Loyal Customers",H811&gt;=4,"Need Attention",TRUE,"At Risk")</f>
        <v>Need Attention</v>
      </c>
    </row>
    <row r="812" spans="1:9" x14ac:dyDescent="0.25">
      <c r="A812" t="s">
        <v>1163</v>
      </c>
      <c r="B812" s="4">
        <v>494</v>
      </c>
      <c r="C812">
        <v>7</v>
      </c>
      <c r="D812">
        <v>420.8</v>
      </c>
      <c r="E812" cm="1">
        <f t="array" ref="E812">_xlfn.IFS(B812&lt;=_xlfn.PERCENTILE.INC($B$2:$B$726,0.2),5, B812&lt;=_xlfn.PERCENTILE.INC($B$2:$B$726,0.4),4,B812&lt;=_xlfn.PERCENTILE.INC($B$2:$B$726,0.6),3,B812&lt;=_xlfn.PERCENTILE.INC($B$2:$B$726,0.8),4,TRUE,1)</f>
        <v>3</v>
      </c>
      <c r="F812" cm="1">
        <f t="array" ref="F812">_xlfn.IFS(C812&gt;=_xlfn.PERCENTILE.INC($C$2:$C$726,0.8),5,C812&gt;=_xlfn.PERCENTILE.INC($C$2:$C$726,0.6),4,C812&gt;=_xlfn.PERCENTILE.INC($C$2:$C$726,0.4),3,C812&gt;=_xlfn.PERCENTILE.INC($C$2:$C$726,0.2),2,TRUE,1)</f>
        <v>4</v>
      </c>
      <c r="G812" cm="1">
        <f t="array" ref="G812">_xlfn.IFS(D812&gt;=_xlfn.PERCENTILE.INC($D$2:$D$726,0.8),5,D812&gt;=_xlfn.PERCENTILE.INC($D$2:$D$726,0.6),4,D812&gt;=_xlfn.PERCENTILE.INC($D$2:$D$726,0.4),3,D812&gt;=_xlfn.PERCENTILE.INC($D$2:$D$726,0.2),2,TRUE,1)</f>
        <v>5</v>
      </c>
      <c r="H812">
        <f t="shared" si="12"/>
        <v>12</v>
      </c>
      <c r="I812" t="str" cm="1">
        <f t="array" ref="I812">_xlfn.IFS(H812&gt;=13,"Best Customers",H812&gt;=10,"Loyal Customers",H812&gt;=7,"Potential Loyal Customers",H812&gt;=4,"Need Attention",TRUE,"At Risk")</f>
        <v>Loyal Customers</v>
      </c>
    </row>
    <row r="813" spans="1:9" x14ac:dyDescent="0.25">
      <c r="A813" t="s">
        <v>1178</v>
      </c>
      <c r="B813" s="4">
        <v>448</v>
      </c>
      <c r="C813">
        <v>7</v>
      </c>
      <c r="D813">
        <v>405</v>
      </c>
      <c r="E813" cm="1">
        <f t="array" ref="E813">_xlfn.IFS(B813&lt;=_xlfn.PERCENTILE.INC($B$2:$B$726,0.2),5, B813&lt;=_xlfn.PERCENTILE.INC($B$2:$B$726,0.4),4,B813&lt;=_xlfn.PERCENTILE.INC($B$2:$B$726,0.6),3,B813&lt;=_xlfn.PERCENTILE.INC($B$2:$B$726,0.8),4,TRUE,1)</f>
        <v>4</v>
      </c>
      <c r="F813" cm="1">
        <f t="array" ref="F813">_xlfn.IFS(C813&gt;=_xlfn.PERCENTILE.INC($C$2:$C$726,0.8),5,C813&gt;=_xlfn.PERCENTILE.INC($C$2:$C$726,0.6),4,C813&gt;=_xlfn.PERCENTILE.INC($C$2:$C$726,0.4),3,C813&gt;=_xlfn.PERCENTILE.INC($C$2:$C$726,0.2),2,TRUE,1)</f>
        <v>4</v>
      </c>
      <c r="G813" cm="1">
        <f t="array" ref="G813">_xlfn.IFS(D813&gt;=_xlfn.PERCENTILE.INC($D$2:$D$726,0.8),5,D813&gt;=_xlfn.PERCENTILE.INC($D$2:$D$726,0.6),4,D813&gt;=_xlfn.PERCENTILE.INC($D$2:$D$726,0.4),3,D813&gt;=_xlfn.PERCENTILE.INC($D$2:$D$726,0.2),2,TRUE,1)</f>
        <v>5</v>
      </c>
      <c r="H813">
        <f t="shared" si="12"/>
        <v>13</v>
      </c>
      <c r="I813" t="str" cm="1">
        <f t="array" ref="I813">_xlfn.IFS(H813&gt;=13,"Best Customers",H813&gt;=10,"Loyal Customers",H813&gt;=7,"Potential Loyal Customers",H813&gt;=4,"Need Attention",TRUE,"At Risk")</f>
        <v>Best Customers</v>
      </c>
    </row>
    <row r="814" spans="1:9" x14ac:dyDescent="0.25">
      <c r="A814" t="s">
        <v>1800</v>
      </c>
      <c r="B814" s="4">
        <v>431</v>
      </c>
      <c r="C814">
        <v>9</v>
      </c>
      <c r="D814">
        <v>242.79999999999998</v>
      </c>
      <c r="E814" cm="1">
        <f t="array" ref="E814">_xlfn.IFS(B814&lt;=_xlfn.PERCENTILE.INC($B$2:$B$726,0.2),5, B814&lt;=_xlfn.PERCENTILE.INC($B$2:$B$726,0.4),4,B814&lt;=_xlfn.PERCENTILE.INC($B$2:$B$726,0.6),3,B814&lt;=_xlfn.PERCENTILE.INC($B$2:$B$726,0.8),4,TRUE,1)</f>
        <v>4</v>
      </c>
      <c r="F814" cm="1">
        <f t="array" ref="F814">_xlfn.IFS(C814&gt;=_xlfn.PERCENTILE.INC($C$2:$C$726,0.8),5,C814&gt;=_xlfn.PERCENTILE.INC($C$2:$C$726,0.6),4,C814&gt;=_xlfn.PERCENTILE.INC($C$2:$C$726,0.4),3,C814&gt;=_xlfn.PERCENTILE.INC($C$2:$C$726,0.2),2,TRUE,1)</f>
        <v>5</v>
      </c>
      <c r="G814" cm="1">
        <f t="array" ref="G814">_xlfn.IFS(D814&gt;=_xlfn.PERCENTILE.INC($D$2:$D$726,0.8),5,D814&gt;=_xlfn.PERCENTILE.INC($D$2:$D$726,0.6),4,D814&gt;=_xlfn.PERCENTILE.INC($D$2:$D$726,0.4),3,D814&gt;=_xlfn.PERCENTILE.INC($D$2:$D$726,0.2),2,TRUE,1)</f>
        <v>3</v>
      </c>
      <c r="H814">
        <f t="shared" si="12"/>
        <v>12</v>
      </c>
      <c r="I814" t="str" cm="1">
        <f t="array" ref="I814">_xlfn.IFS(H814&gt;=13,"Best Customers",H814&gt;=10,"Loyal Customers",H814&gt;=7,"Potential Loyal Customers",H814&gt;=4,"Need Attention",TRUE,"At Risk")</f>
        <v>Loyal Customers</v>
      </c>
    </row>
    <row r="815" spans="1:9" x14ac:dyDescent="0.25">
      <c r="A815" t="s">
        <v>1056</v>
      </c>
      <c r="B815" s="4">
        <v>468</v>
      </c>
      <c r="C815">
        <v>7</v>
      </c>
      <c r="D815">
        <v>158.69999999999999</v>
      </c>
      <c r="E815" cm="1">
        <f t="array" ref="E815">_xlfn.IFS(B815&lt;=_xlfn.PERCENTILE.INC($B$2:$B$726,0.2),5, B815&lt;=_xlfn.PERCENTILE.INC($B$2:$B$726,0.4),4,B815&lt;=_xlfn.PERCENTILE.INC($B$2:$B$726,0.6),3,B815&lt;=_xlfn.PERCENTILE.INC($B$2:$B$726,0.8),4,TRUE,1)</f>
        <v>3</v>
      </c>
      <c r="F815" cm="1">
        <f t="array" ref="F815">_xlfn.IFS(C815&gt;=_xlfn.PERCENTILE.INC($C$2:$C$726,0.8),5,C815&gt;=_xlfn.PERCENTILE.INC($C$2:$C$726,0.6),4,C815&gt;=_xlfn.PERCENTILE.INC($C$2:$C$726,0.4),3,C815&gt;=_xlfn.PERCENTILE.INC($C$2:$C$726,0.2),2,TRUE,1)</f>
        <v>4</v>
      </c>
      <c r="G815" cm="1">
        <f t="array" ref="G815">_xlfn.IFS(D815&gt;=_xlfn.PERCENTILE.INC($D$2:$D$726,0.8),5,D815&gt;=_xlfn.PERCENTILE.INC($D$2:$D$726,0.6),4,D815&gt;=_xlfn.PERCENTILE.INC($D$2:$D$726,0.4),3,D815&gt;=_xlfn.PERCENTILE.INC($D$2:$D$726,0.2),2,TRUE,1)</f>
        <v>2</v>
      </c>
      <c r="H815">
        <f t="shared" si="12"/>
        <v>9</v>
      </c>
      <c r="I815" t="str" cm="1">
        <f t="array" ref="I815">_xlfn.IFS(H815&gt;=13,"Best Customers",H815&gt;=10,"Loyal Customers",H815&gt;=7,"Potential Loyal Customers",H815&gt;=4,"Need Attention",TRUE,"At Risk")</f>
        <v>Potential Loyal Customers</v>
      </c>
    </row>
    <row r="816" spans="1:9" x14ac:dyDescent="0.25">
      <c r="A816" t="s">
        <v>763</v>
      </c>
      <c r="B816" s="4">
        <v>636</v>
      </c>
      <c r="C816">
        <v>8</v>
      </c>
      <c r="D816">
        <v>405.4</v>
      </c>
      <c r="E816" cm="1">
        <f t="array" ref="E816">_xlfn.IFS(B816&lt;=_xlfn.PERCENTILE.INC($B$2:$B$726,0.2),5, B816&lt;=_xlfn.PERCENTILE.INC($B$2:$B$726,0.4),4,B816&lt;=_xlfn.PERCENTILE.INC($B$2:$B$726,0.6),3,B816&lt;=_xlfn.PERCENTILE.INC($B$2:$B$726,0.8),4,TRUE,1)</f>
        <v>4</v>
      </c>
      <c r="F816" cm="1">
        <f t="array" ref="F816">_xlfn.IFS(C816&gt;=_xlfn.PERCENTILE.INC($C$2:$C$726,0.8),5,C816&gt;=_xlfn.PERCENTILE.INC($C$2:$C$726,0.6),4,C816&gt;=_xlfn.PERCENTILE.INC($C$2:$C$726,0.4),3,C816&gt;=_xlfn.PERCENTILE.INC($C$2:$C$726,0.2),2,TRUE,1)</f>
        <v>5</v>
      </c>
      <c r="G816" cm="1">
        <f t="array" ref="G816">_xlfn.IFS(D816&gt;=_xlfn.PERCENTILE.INC($D$2:$D$726,0.8),5,D816&gt;=_xlfn.PERCENTILE.INC($D$2:$D$726,0.6),4,D816&gt;=_xlfn.PERCENTILE.INC($D$2:$D$726,0.4),3,D816&gt;=_xlfn.PERCENTILE.INC($D$2:$D$726,0.2),2,TRUE,1)</f>
        <v>5</v>
      </c>
      <c r="H816">
        <f t="shared" si="12"/>
        <v>14</v>
      </c>
      <c r="I816" t="str" cm="1">
        <f t="array" ref="I816">_xlfn.IFS(H816&gt;=13,"Best Customers",H816&gt;=10,"Loyal Customers",H816&gt;=7,"Potential Loyal Customers",H816&gt;=4,"Need Attention",TRUE,"At Risk")</f>
        <v>Best Customers</v>
      </c>
    </row>
    <row r="817" spans="1:9" x14ac:dyDescent="0.25">
      <c r="A817" t="s">
        <v>3205</v>
      </c>
      <c r="B817" s="4">
        <v>453</v>
      </c>
      <c r="C817">
        <v>10</v>
      </c>
      <c r="D817">
        <v>458.3</v>
      </c>
      <c r="E817" cm="1">
        <f t="array" ref="E817">_xlfn.IFS(B817&lt;=_xlfn.PERCENTILE.INC($B$2:$B$726,0.2),5, B817&lt;=_xlfn.PERCENTILE.INC($B$2:$B$726,0.4),4,B817&lt;=_xlfn.PERCENTILE.INC($B$2:$B$726,0.6),3,B817&lt;=_xlfn.PERCENTILE.INC($B$2:$B$726,0.8),4,TRUE,1)</f>
        <v>4</v>
      </c>
      <c r="F817" cm="1">
        <f t="array" ref="F817">_xlfn.IFS(C817&gt;=_xlfn.PERCENTILE.INC($C$2:$C$726,0.8),5,C817&gt;=_xlfn.PERCENTILE.INC($C$2:$C$726,0.6),4,C817&gt;=_xlfn.PERCENTILE.INC($C$2:$C$726,0.4),3,C817&gt;=_xlfn.PERCENTILE.INC($C$2:$C$726,0.2),2,TRUE,1)</f>
        <v>5</v>
      </c>
      <c r="G817" cm="1">
        <f t="array" ref="G817">_xlfn.IFS(D817&gt;=_xlfn.PERCENTILE.INC($D$2:$D$726,0.8),5,D817&gt;=_xlfn.PERCENTILE.INC($D$2:$D$726,0.6),4,D817&gt;=_xlfn.PERCENTILE.INC($D$2:$D$726,0.4),3,D817&gt;=_xlfn.PERCENTILE.INC($D$2:$D$726,0.2),2,TRUE,1)</f>
        <v>5</v>
      </c>
      <c r="H817">
        <f t="shared" si="12"/>
        <v>14</v>
      </c>
      <c r="I817" t="str" cm="1">
        <f t="array" ref="I817">_xlfn.IFS(H817&gt;=13,"Best Customers",H817&gt;=10,"Loyal Customers",H817&gt;=7,"Potential Loyal Customers",H817&gt;=4,"Need Attention",TRUE,"At Risk")</f>
        <v>Best Customers</v>
      </c>
    </row>
    <row r="818" spans="1:9" x14ac:dyDescent="0.25">
      <c r="A818" t="s">
        <v>2801</v>
      </c>
      <c r="B818" s="4">
        <v>1236</v>
      </c>
      <c r="C818">
        <v>3</v>
      </c>
      <c r="D818">
        <v>39.9</v>
      </c>
      <c r="E818" cm="1">
        <f t="array" ref="E818">_xlfn.IFS(B818&lt;=_xlfn.PERCENTILE.INC($B$2:$B$726,0.2),5, B818&lt;=_xlfn.PERCENTILE.INC($B$2:$B$726,0.4),4,B818&lt;=_xlfn.PERCENTILE.INC($B$2:$B$726,0.6),3,B818&lt;=_xlfn.PERCENTILE.INC($B$2:$B$726,0.8),4,TRUE,1)</f>
        <v>1</v>
      </c>
      <c r="F818" cm="1">
        <f t="array" ref="F818">_xlfn.IFS(C818&gt;=_xlfn.PERCENTILE.INC($C$2:$C$726,0.8),5,C818&gt;=_xlfn.PERCENTILE.INC($C$2:$C$726,0.6),4,C818&gt;=_xlfn.PERCENTILE.INC($C$2:$C$726,0.4),3,C818&gt;=_xlfn.PERCENTILE.INC($C$2:$C$726,0.2),2,TRUE,1)</f>
        <v>1</v>
      </c>
      <c r="G818" cm="1">
        <f t="array" ref="G818">_xlfn.IFS(D818&gt;=_xlfn.PERCENTILE.INC($D$2:$D$726,0.8),5,D818&gt;=_xlfn.PERCENTILE.INC($D$2:$D$726,0.6),4,D818&gt;=_xlfn.PERCENTILE.INC($D$2:$D$726,0.4),3,D818&gt;=_xlfn.PERCENTILE.INC($D$2:$D$726,0.2),2,TRUE,1)</f>
        <v>1</v>
      </c>
      <c r="H818">
        <f t="shared" si="12"/>
        <v>3</v>
      </c>
      <c r="I818" t="str" cm="1">
        <f t="array" ref="I818">_xlfn.IFS(H818&gt;=13,"Best Customers",H818&gt;=10,"Loyal Customers",H818&gt;=7,"Potential Loyal Customers",H818&gt;=4,"Need Attention",TRUE,"At Risk")</f>
        <v>At Risk</v>
      </c>
    </row>
    <row r="819" spans="1:9" x14ac:dyDescent="0.25">
      <c r="A819" t="s">
        <v>2608</v>
      </c>
      <c r="B819" s="4">
        <v>1392</v>
      </c>
      <c r="C819">
        <v>1</v>
      </c>
      <c r="D819">
        <v>17.899999999999999</v>
      </c>
      <c r="E819" cm="1">
        <f t="array" ref="E819">_xlfn.IFS(B819&lt;=_xlfn.PERCENTILE.INC($B$2:$B$726,0.2),5, B819&lt;=_xlfn.PERCENTILE.INC($B$2:$B$726,0.4),4,B819&lt;=_xlfn.PERCENTILE.INC($B$2:$B$726,0.6),3,B819&lt;=_xlfn.PERCENTILE.INC($B$2:$B$726,0.8),4,TRUE,1)</f>
        <v>1</v>
      </c>
      <c r="F819" cm="1">
        <f t="array" ref="F819">_xlfn.IFS(C819&gt;=_xlfn.PERCENTILE.INC($C$2:$C$726,0.8),5,C819&gt;=_xlfn.PERCENTILE.INC($C$2:$C$726,0.6),4,C819&gt;=_xlfn.PERCENTILE.INC($C$2:$C$726,0.4),3,C819&gt;=_xlfn.PERCENTILE.INC($C$2:$C$726,0.2),2,TRUE,1)</f>
        <v>1</v>
      </c>
      <c r="G819" cm="1">
        <f t="array" ref="G819">_xlfn.IFS(D819&gt;=_xlfn.PERCENTILE.INC($D$2:$D$726,0.8),5,D819&gt;=_xlfn.PERCENTILE.INC($D$2:$D$726,0.6),4,D819&gt;=_xlfn.PERCENTILE.INC($D$2:$D$726,0.4),3,D819&gt;=_xlfn.PERCENTILE.INC($D$2:$D$726,0.2),2,TRUE,1)</f>
        <v>1</v>
      </c>
      <c r="H819">
        <f t="shared" si="12"/>
        <v>3</v>
      </c>
      <c r="I819" t="str" cm="1">
        <f t="array" ref="I819">_xlfn.IFS(H819&gt;=13,"Best Customers",H819&gt;=10,"Loyal Customers",H819&gt;=7,"Potential Loyal Customers",H819&gt;=4,"Need Attention",TRUE,"At Risk")</f>
        <v>At Risk</v>
      </c>
    </row>
    <row r="820" spans="1:9" x14ac:dyDescent="0.25">
      <c r="A820" t="s">
        <v>1193</v>
      </c>
      <c r="B820" s="4">
        <v>426</v>
      </c>
      <c r="C820">
        <v>5</v>
      </c>
      <c r="D820">
        <v>352.20000000000005</v>
      </c>
      <c r="E820" cm="1">
        <f t="array" ref="E820">_xlfn.IFS(B820&lt;=_xlfn.PERCENTILE.INC($B$2:$B$726,0.2),5, B820&lt;=_xlfn.PERCENTILE.INC($B$2:$B$726,0.4),4,B820&lt;=_xlfn.PERCENTILE.INC($B$2:$B$726,0.6),3,B820&lt;=_xlfn.PERCENTILE.INC($B$2:$B$726,0.8),4,TRUE,1)</f>
        <v>4</v>
      </c>
      <c r="F820" cm="1">
        <f t="array" ref="F820">_xlfn.IFS(C820&gt;=_xlfn.PERCENTILE.INC($C$2:$C$726,0.8),5,C820&gt;=_xlfn.PERCENTILE.INC($C$2:$C$726,0.6),4,C820&gt;=_xlfn.PERCENTILE.INC($C$2:$C$726,0.4),3,C820&gt;=_xlfn.PERCENTILE.INC($C$2:$C$726,0.2),2,TRUE,1)</f>
        <v>3</v>
      </c>
      <c r="G820" cm="1">
        <f t="array" ref="G820">_xlfn.IFS(D820&gt;=_xlfn.PERCENTILE.INC($D$2:$D$726,0.8),5,D820&gt;=_xlfn.PERCENTILE.INC($D$2:$D$726,0.6),4,D820&gt;=_xlfn.PERCENTILE.INC($D$2:$D$726,0.4),3,D820&gt;=_xlfn.PERCENTILE.INC($D$2:$D$726,0.2),2,TRUE,1)</f>
        <v>4</v>
      </c>
      <c r="H820">
        <f t="shared" si="12"/>
        <v>11</v>
      </c>
      <c r="I820" t="str" cm="1">
        <f t="array" ref="I820">_xlfn.IFS(H820&gt;=13,"Best Customers",H820&gt;=10,"Loyal Customers",H820&gt;=7,"Potential Loyal Customers",H820&gt;=4,"Need Attention",TRUE,"At Risk")</f>
        <v>Loyal Customers</v>
      </c>
    </row>
    <row r="821" spans="1:9" x14ac:dyDescent="0.25">
      <c r="A821" t="s">
        <v>851</v>
      </c>
      <c r="B821" s="4">
        <v>681</v>
      </c>
      <c r="C821">
        <v>5</v>
      </c>
      <c r="D821">
        <v>666.09999999999991</v>
      </c>
      <c r="E821" cm="1">
        <f t="array" ref="E821">_xlfn.IFS(B821&lt;=_xlfn.PERCENTILE.INC($B$2:$B$726,0.2),5, B821&lt;=_xlfn.PERCENTILE.INC($B$2:$B$726,0.4),4,B821&lt;=_xlfn.PERCENTILE.INC($B$2:$B$726,0.6),3,B821&lt;=_xlfn.PERCENTILE.INC($B$2:$B$726,0.8),4,TRUE,1)</f>
        <v>4</v>
      </c>
      <c r="F821" cm="1">
        <f t="array" ref="F821">_xlfn.IFS(C821&gt;=_xlfn.PERCENTILE.INC($C$2:$C$726,0.8),5,C821&gt;=_xlfn.PERCENTILE.INC($C$2:$C$726,0.6),4,C821&gt;=_xlfn.PERCENTILE.INC($C$2:$C$726,0.4),3,C821&gt;=_xlfn.PERCENTILE.INC($C$2:$C$726,0.2),2,TRUE,1)</f>
        <v>3</v>
      </c>
      <c r="G821" cm="1">
        <f t="array" ref="G821">_xlfn.IFS(D821&gt;=_xlfn.PERCENTILE.INC($D$2:$D$726,0.8),5,D821&gt;=_xlfn.PERCENTILE.INC($D$2:$D$726,0.6),4,D821&gt;=_xlfn.PERCENTILE.INC($D$2:$D$726,0.4),3,D821&gt;=_xlfn.PERCENTILE.INC($D$2:$D$726,0.2),2,TRUE,1)</f>
        <v>5</v>
      </c>
      <c r="H821">
        <f t="shared" si="12"/>
        <v>12</v>
      </c>
      <c r="I821" t="str" cm="1">
        <f t="array" ref="I821">_xlfn.IFS(H821&gt;=13,"Best Customers",H821&gt;=10,"Loyal Customers",H821&gt;=7,"Potential Loyal Customers",H821&gt;=4,"Need Attention",TRUE,"At Risk")</f>
        <v>Loyal Customers</v>
      </c>
    </row>
    <row r="822" spans="1:9" x14ac:dyDescent="0.25">
      <c r="A822" t="s">
        <v>2128</v>
      </c>
      <c r="B822" s="4">
        <v>833</v>
      </c>
      <c r="C822">
        <v>8</v>
      </c>
      <c r="D822">
        <v>478</v>
      </c>
      <c r="E822" cm="1">
        <f t="array" ref="E822">_xlfn.IFS(B822&lt;=_xlfn.PERCENTILE.INC($B$2:$B$726,0.2),5, B822&lt;=_xlfn.PERCENTILE.INC($B$2:$B$726,0.4),4,B822&lt;=_xlfn.PERCENTILE.INC($B$2:$B$726,0.6),3,B822&lt;=_xlfn.PERCENTILE.INC($B$2:$B$726,0.8),4,TRUE,1)</f>
        <v>1</v>
      </c>
      <c r="F822" cm="1">
        <f t="array" ref="F822">_xlfn.IFS(C822&gt;=_xlfn.PERCENTILE.INC($C$2:$C$726,0.8),5,C822&gt;=_xlfn.PERCENTILE.INC($C$2:$C$726,0.6),4,C822&gt;=_xlfn.PERCENTILE.INC($C$2:$C$726,0.4),3,C822&gt;=_xlfn.PERCENTILE.INC($C$2:$C$726,0.2),2,TRUE,1)</f>
        <v>5</v>
      </c>
      <c r="G822" cm="1">
        <f t="array" ref="G822">_xlfn.IFS(D822&gt;=_xlfn.PERCENTILE.INC($D$2:$D$726,0.8),5,D822&gt;=_xlfn.PERCENTILE.INC($D$2:$D$726,0.6),4,D822&gt;=_xlfn.PERCENTILE.INC($D$2:$D$726,0.4),3,D822&gt;=_xlfn.PERCENTILE.INC($D$2:$D$726,0.2),2,TRUE,1)</f>
        <v>5</v>
      </c>
      <c r="H822">
        <f t="shared" si="12"/>
        <v>11</v>
      </c>
      <c r="I822" t="str" cm="1">
        <f t="array" ref="I822">_xlfn.IFS(H822&gt;=13,"Best Customers",H822&gt;=10,"Loyal Customers",H822&gt;=7,"Potential Loyal Customers",H822&gt;=4,"Need Attention",TRUE,"At Risk")</f>
        <v>Loyal Customers</v>
      </c>
    </row>
    <row r="823" spans="1:9" x14ac:dyDescent="0.25">
      <c r="A823" t="s">
        <v>2527</v>
      </c>
      <c r="B823" s="4">
        <v>566</v>
      </c>
      <c r="C823">
        <v>7</v>
      </c>
      <c r="D823">
        <v>421.2</v>
      </c>
      <c r="E823" cm="1">
        <f t="array" ref="E823">_xlfn.IFS(B823&lt;=_xlfn.PERCENTILE.INC($B$2:$B$726,0.2),5, B823&lt;=_xlfn.PERCENTILE.INC($B$2:$B$726,0.4),4,B823&lt;=_xlfn.PERCENTILE.INC($B$2:$B$726,0.6),3,B823&lt;=_xlfn.PERCENTILE.INC($B$2:$B$726,0.8),4,TRUE,1)</f>
        <v>3</v>
      </c>
      <c r="F823" cm="1">
        <f t="array" ref="F823">_xlfn.IFS(C823&gt;=_xlfn.PERCENTILE.INC($C$2:$C$726,0.8),5,C823&gt;=_xlfn.PERCENTILE.INC($C$2:$C$726,0.6),4,C823&gt;=_xlfn.PERCENTILE.INC($C$2:$C$726,0.4),3,C823&gt;=_xlfn.PERCENTILE.INC($C$2:$C$726,0.2),2,TRUE,1)</f>
        <v>4</v>
      </c>
      <c r="G823" cm="1">
        <f t="array" ref="G823">_xlfn.IFS(D823&gt;=_xlfn.PERCENTILE.INC($D$2:$D$726,0.8),5,D823&gt;=_xlfn.PERCENTILE.INC($D$2:$D$726,0.6),4,D823&gt;=_xlfn.PERCENTILE.INC($D$2:$D$726,0.4),3,D823&gt;=_xlfn.PERCENTILE.INC($D$2:$D$726,0.2),2,TRUE,1)</f>
        <v>5</v>
      </c>
      <c r="H823">
        <f t="shared" si="12"/>
        <v>12</v>
      </c>
      <c r="I823" t="str" cm="1">
        <f t="array" ref="I823">_xlfn.IFS(H823&gt;=13,"Best Customers",H823&gt;=10,"Loyal Customers",H823&gt;=7,"Potential Loyal Customers",H823&gt;=4,"Need Attention",TRUE,"At Risk")</f>
        <v>Loyal Customers</v>
      </c>
    </row>
    <row r="824" spans="1:9" x14ac:dyDescent="0.25">
      <c r="A824" t="s">
        <v>1097</v>
      </c>
      <c r="B824" s="4">
        <v>448</v>
      </c>
      <c r="C824">
        <v>6</v>
      </c>
      <c r="D824">
        <v>232.7</v>
      </c>
      <c r="E824" cm="1">
        <f t="array" ref="E824">_xlfn.IFS(B824&lt;=_xlfn.PERCENTILE.INC($B$2:$B$726,0.2),5, B824&lt;=_xlfn.PERCENTILE.INC($B$2:$B$726,0.4),4,B824&lt;=_xlfn.PERCENTILE.INC($B$2:$B$726,0.6),3,B824&lt;=_xlfn.PERCENTILE.INC($B$2:$B$726,0.8),4,TRUE,1)</f>
        <v>4</v>
      </c>
      <c r="F824" cm="1">
        <f t="array" ref="F824">_xlfn.IFS(C824&gt;=_xlfn.PERCENTILE.INC($C$2:$C$726,0.8),5,C824&gt;=_xlfn.PERCENTILE.INC($C$2:$C$726,0.6),4,C824&gt;=_xlfn.PERCENTILE.INC($C$2:$C$726,0.4),3,C824&gt;=_xlfn.PERCENTILE.INC($C$2:$C$726,0.2),2,TRUE,1)</f>
        <v>4</v>
      </c>
      <c r="G824" cm="1">
        <f t="array" ref="G824">_xlfn.IFS(D824&gt;=_xlfn.PERCENTILE.INC($D$2:$D$726,0.8),5,D824&gt;=_xlfn.PERCENTILE.INC($D$2:$D$726,0.6),4,D824&gt;=_xlfn.PERCENTILE.INC($D$2:$D$726,0.4),3,D824&gt;=_xlfn.PERCENTILE.INC($D$2:$D$726,0.2),2,TRUE,1)</f>
        <v>3</v>
      </c>
      <c r="H824">
        <f t="shared" si="12"/>
        <v>11</v>
      </c>
      <c r="I824" t="str" cm="1">
        <f t="array" ref="I824">_xlfn.IFS(H824&gt;=13,"Best Customers",H824&gt;=10,"Loyal Customers",H824&gt;=7,"Potential Loyal Customers",H824&gt;=4,"Need Attention",TRUE,"At Risk")</f>
        <v>Loyal Customers</v>
      </c>
    </row>
    <row r="825" spans="1:9" x14ac:dyDescent="0.25">
      <c r="A825" t="s">
        <v>2921</v>
      </c>
      <c r="B825" s="4">
        <v>479</v>
      </c>
      <c r="C825">
        <v>4</v>
      </c>
      <c r="D825">
        <v>86.699999999999989</v>
      </c>
      <c r="E825" cm="1">
        <f t="array" ref="E825">_xlfn.IFS(B825&lt;=_xlfn.PERCENTILE.INC($B$2:$B$726,0.2),5, B825&lt;=_xlfn.PERCENTILE.INC($B$2:$B$726,0.4),4,B825&lt;=_xlfn.PERCENTILE.INC($B$2:$B$726,0.6),3,B825&lt;=_xlfn.PERCENTILE.INC($B$2:$B$726,0.8),4,TRUE,1)</f>
        <v>3</v>
      </c>
      <c r="F825" cm="1">
        <f t="array" ref="F825">_xlfn.IFS(C825&gt;=_xlfn.PERCENTILE.INC($C$2:$C$726,0.8),5,C825&gt;=_xlfn.PERCENTILE.INC($C$2:$C$726,0.6),4,C825&gt;=_xlfn.PERCENTILE.INC($C$2:$C$726,0.4),3,C825&gt;=_xlfn.PERCENTILE.INC($C$2:$C$726,0.2),2,TRUE,1)</f>
        <v>2</v>
      </c>
      <c r="G825" cm="1">
        <f t="array" ref="G825">_xlfn.IFS(D825&gt;=_xlfn.PERCENTILE.INC($D$2:$D$726,0.8),5,D825&gt;=_xlfn.PERCENTILE.INC($D$2:$D$726,0.6),4,D825&gt;=_xlfn.PERCENTILE.INC($D$2:$D$726,0.4),3,D825&gt;=_xlfn.PERCENTILE.INC($D$2:$D$726,0.2),2,TRUE,1)</f>
        <v>1</v>
      </c>
      <c r="H825">
        <f t="shared" si="12"/>
        <v>6</v>
      </c>
      <c r="I825" t="str" cm="1">
        <f t="array" ref="I825">_xlfn.IFS(H825&gt;=13,"Best Customers",H825&gt;=10,"Loyal Customers",H825&gt;=7,"Potential Loyal Customers",H825&gt;=4,"Need Attention",TRUE,"At Risk")</f>
        <v>Need Attention</v>
      </c>
    </row>
    <row r="826" spans="1:9" x14ac:dyDescent="0.25">
      <c r="A826" t="s">
        <v>799</v>
      </c>
      <c r="B826" s="4">
        <v>974</v>
      </c>
      <c r="C826">
        <v>6</v>
      </c>
      <c r="D826">
        <v>317.39999999999998</v>
      </c>
      <c r="E826" cm="1">
        <f t="array" ref="E826">_xlfn.IFS(B826&lt;=_xlfn.PERCENTILE.INC($B$2:$B$726,0.2),5, B826&lt;=_xlfn.PERCENTILE.INC($B$2:$B$726,0.4),4,B826&lt;=_xlfn.PERCENTILE.INC($B$2:$B$726,0.6),3,B826&lt;=_xlfn.PERCENTILE.INC($B$2:$B$726,0.8),4,TRUE,1)</f>
        <v>1</v>
      </c>
      <c r="F826" cm="1">
        <f t="array" ref="F826">_xlfn.IFS(C826&gt;=_xlfn.PERCENTILE.INC($C$2:$C$726,0.8),5,C826&gt;=_xlfn.PERCENTILE.INC($C$2:$C$726,0.6),4,C826&gt;=_xlfn.PERCENTILE.INC($C$2:$C$726,0.4),3,C826&gt;=_xlfn.PERCENTILE.INC($C$2:$C$726,0.2),2,TRUE,1)</f>
        <v>4</v>
      </c>
      <c r="G826" cm="1">
        <f t="array" ref="G826">_xlfn.IFS(D826&gt;=_xlfn.PERCENTILE.INC($D$2:$D$726,0.8),5,D826&gt;=_xlfn.PERCENTILE.INC($D$2:$D$726,0.6),4,D826&gt;=_xlfn.PERCENTILE.INC($D$2:$D$726,0.4),3,D826&gt;=_xlfn.PERCENTILE.INC($D$2:$D$726,0.2),2,TRUE,1)</f>
        <v>4</v>
      </c>
      <c r="H826">
        <f t="shared" si="12"/>
        <v>9</v>
      </c>
      <c r="I826" t="str" cm="1">
        <f t="array" ref="I826">_xlfn.IFS(H826&gt;=13,"Best Customers",H826&gt;=10,"Loyal Customers",H826&gt;=7,"Potential Loyal Customers",H826&gt;=4,"Need Attention",TRUE,"At Risk")</f>
        <v>Potential Loyal Customers</v>
      </c>
    </row>
    <row r="827" spans="1:9" x14ac:dyDescent="0.25">
      <c r="A827" t="s">
        <v>890</v>
      </c>
      <c r="B827" s="4">
        <v>369</v>
      </c>
      <c r="C827">
        <v>7</v>
      </c>
      <c r="D827">
        <v>430.29999999999995</v>
      </c>
      <c r="E827" cm="1">
        <f t="array" ref="E827">_xlfn.IFS(B827&lt;=_xlfn.PERCENTILE.INC($B$2:$B$726,0.2),5, B827&lt;=_xlfn.PERCENTILE.INC($B$2:$B$726,0.4),4,B827&lt;=_xlfn.PERCENTILE.INC($B$2:$B$726,0.6),3,B827&lt;=_xlfn.PERCENTILE.INC($B$2:$B$726,0.8),4,TRUE,1)</f>
        <v>5</v>
      </c>
      <c r="F827" cm="1">
        <f t="array" ref="F827">_xlfn.IFS(C827&gt;=_xlfn.PERCENTILE.INC($C$2:$C$726,0.8),5,C827&gt;=_xlfn.PERCENTILE.INC($C$2:$C$726,0.6),4,C827&gt;=_xlfn.PERCENTILE.INC($C$2:$C$726,0.4),3,C827&gt;=_xlfn.PERCENTILE.INC($C$2:$C$726,0.2),2,TRUE,1)</f>
        <v>4</v>
      </c>
      <c r="G827" cm="1">
        <f t="array" ref="G827">_xlfn.IFS(D827&gt;=_xlfn.PERCENTILE.INC($D$2:$D$726,0.8),5,D827&gt;=_xlfn.PERCENTILE.INC($D$2:$D$726,0.6),4,D827&gt;=_xlfn.PERCENTILE.INC($D$2:$D$726,0.4),3,D827&gt;=_xlfn.PERCENTILE.INC($D$2:$D$726,0.2),2,TRUE,1)</f>
        <v>5</v>
      </c>
      <c r="H827">
        <f t="shared" si="12"/>
        <v>14</v>
      </c>
      <c r="I827" t="str" cm="1">
        <f t="array" ref="I827">_xlfn.IFS(H827&gt;=13,"Best Customers",H827&gt;=10,"Loyal Customers",H827&gt;=7,"Potential Loyal Customers",H827&gt;=4,"Need Attention",TRUE,"At Risk")</f>
        <v>Best Customers</v>
      </c>
    </row>
    <row r="828" spans="1:9" x14ac:dyDescent="0.25">
      <c r="A828" t="s">
        <v>2690</v>
      </c>
      <c r="B828" s="4">
        <v>443</v>
      </c>
      <c r="C828">
        <v>10</v>
      </c>
      <c r="D828">
        <v>368.79999999999995</v>
      </c>
      <c r="E828" cm="1">
        <f t="array" ref="E828">_xlfn.IFS(B828&lt;=_xlfn.PERCENTILE.INC($B$2:$B$726,0.2),5, B828&lt;=_xlfn.PERCENTILE.INC($B$2:$B$726,0.4),4,B828&lt;=_xlfn.PERCENTILE.INC($B$2:$B$726,0.6),3,B828&lt;=_xlfn.PERCENTILE.INC($B$2:$B$726,0.8),4,TRUE,1)</f>
        <v>4</v>
      </c>
      <c r="F828" cm="1">
        <f t="array" ref="F828">_xlfn.IFS(C828&gt;=_xlfn.PERCENTILE.INC($C$2:$C$726,0.8),5,C828&gt;=_xlfn.PERCENTILE.INC($C$2:$C$726,0.6),4,C828&gt;=_xlfn.PERCENTILE.INC($C$2:$C$726,0.4),3,C828&gt;=_xlfn.PERCENTILE.INC($C$2:$C$726,0.2),2,TRUE,1)</f>
        <v>5</v>
      </c>
      <c r="G828" cm="1">
        <f t="array" ref="G828">_xlfn.IFS(D828&gt;=_xlfn.PERCENTILE.INC($D$2:$D$726,0.8),5,D828&gt;=_xlfn.PERCENTILE.INC($D$2:$D$726,0.6),4,D828&gt;=_xlfn.PERCENTILE.INC($D$2:$D$726,0.4),3,D828&gt;=_xlfn.PERCENTILE.INC($D$2:$D$726,0.2),2,TRUE,1)</f>
        <v>4</v>
      </c>
      <c r="H828">
        <f t="shared" si="12"/>
        <v>13</v>
      </c>
      <c r="I828" t="str" cm="1">
        <f t="array" ref="I828">_xlfn.IFS(H828&gt;=13,"Best Customers",H828&gt;=10,"Loyal Customers",H828&gt;=7,"Potential Loyal Customers",H828&gt;=4,"Need Attention",TRUE,"At Risk")</f>
        <v>Best Customers</v>
      </c>
    </row>
    <row r="829" spans="1:9" x14ac:dyDescent="0.25">
      <c r="A829" t="s">
        <v>1890</v>
      </c>
      <c r="B829" s="4">
        <v>406</v>
      </c>
      <c r="C829">
        <v>6</v>
      </c>
      <c r="D829">
        <v>304.60000000000002</v>
      </c>
      <c r="E829" cm="1">
        <f t="array" ref="E829">_xlfn.IFS(B829&lt;=_xlfn.PERCENTILE.INC($B$2:$B$726,0.2),5, B829&lt;=_xlfn.PERCENTILE.INC($B$2:$B$726,0.4),4,B829&lt;=_xlfn.PERCENTILE.INC($B$2:$B$726,0.6),3,B829&lt;=_xlfn.PERCENTILE.INC($B$2:$B$726,0.8),4,TRUE,1)</f>
        <v>4</v>
      </c>
      <c r="F829" cm="1">
        <f t="array" ref="F829">_xlfn.IFS(C829&gt;=_xlfn.PERCENTILE.INC($C$2:$C$726,0.8),5,C829&gt;=_xlfn.PERCENTILE.INC($C$2:$C$726,0.6),4,C829&gt;=_xlfn.PERCENTILE.INC($C$2:$C$726,0.4),3,C829&gt;=_xlfn.PERCENTILE.INC($C$2:$C$726,0.2),2,TRUE,1)</f>
        <v>4</v>
      </c>
      <c r="G829" cm="1">
        <f t="array" ref="G829">_xlfn.IFS(D829&gt;=_xlfn.PERCENTILE.INC($D$2:$D$726,0.8),5,D829&gt;=_xlfn.PERCENTILE.INC($D$2:$D$726,0.6),4,D829&gt;=_xlfn.PERCENTILE.INC($D$2:$D$726,0.4),3,D829&gt;=_xlfn.PERCENTILE.INC($D$2:$D$726,0.2),2,TRUE,1)</f>
        <v>3</v>
      </c>
      <c r="H829">
        <f t="shared" si="12"/>
        <v>11</v>
      </c>
      <c r="I829" t="str" cm="1">
        <f t="array" ref="I829">_xlfn.IFS(H829&gt;=13,"Best Customers",H829&gt;=10,"Loyal Customers",H829&gt;=7,"Potential Loyal Customers",H829&gt;=4,"Need Attention",TRUE,"At Risk")</f>
        <v>Loyal Customers</v>
      </c>
    </row>
    <row r="830" spans="1:9" x14ac:dyDescent="0.25">
      <c r="A830" t="s">
        <v>3279</v>
      </c>
      <c r="B830" s="4">
        <v>358</v>
      </c>
      <c r="C830">
        <v>6</v>
      </c>
      <c r="D830">
        <v>491.59999999999997</v>
      </c>
      <c r="E830" cm="1">
        <f t="array" ref="E830">_xlfn.IFS(B830&lt;=_xlfn.PERCENTILE.INC($B$2:$B$726,0.2),5, B830&lt;=_xlfn.PERCENTILE.INC($B$2:$B$726,0.4),4,B830&lt;=_xlfn.PERCENTILE.INC($B$2:$B$726,0.6),3,B830&lt;=_xlfn.PERCENTILE.INC($B$2:$B$726,0.8),4,TRUE,1)</f>
        <v>5</v>
      </c>
      <c r="F830" cm="1">
        <f t="array" ref="F830">_xlfn.IFS(C830&gt;=_xlfn.PERCENTILE.INC($C$2:$C$726,0.8),5,C830&gt;=_xlfn.PERCENTILE.INC($C$2:$C$726,0.6),4,C830&gt;=_xlfn.PERCENTILE.INC($C$2:$C$726,0.4),3,C830&gt;=_xlfn.PERCENTILE.INC($C$2:$C$726,0.2),2,TRUE,1)</f>
        <v>4</v>
      </c>
      <c r="G830" cm="1">
        <f t="array" ref="G830">_xlfn.IFS(D830&gt;=_xlfn.PERCENTILE.INC($D$2:$D$726,0.8),5,D830&gt;=_xlfn.PERCENTILE.INC($D$2:$D$726,0.6),4,D830&gt;=_xlfn.PERCENTILE.INC($D$2:$D$726,0.4),3,D830&gt;=_xlfn.PERCENTILE.INC($D$2:$D$726,0.2),2,TRUE,1)</f>
        <v>5</v>
      </c>
      <c r="H830">
        <f t="shared" si="12"/>
        <v>14</v>
      </c>
      <c r="I830" t="str" cm="1">
        <f t="array" ref="I830">_xlfn.IFS(H830&gt;=13,"Best Customers",H830&gt;=10,"Loyal Customers",H830&gt;=7,"Potential Loyal Customers",H830&gt;=4,"Need Attention",TRUE,"At Risk")</f>
        <v>Best Customers</v>
      </c>
    </row>
    <row r="831" spans="1:9" x14ac:dyDescent="0.25">
      <c r="A831" t="s">
        <v>2720</v>
      </c>
      <c r="B831" s="4">
        <v>716</v>
      </c>
      <c r="C831">
        <v>4</v>
      </c>
      <c r="D831">
        <v>321</v>
      </c>
      <c r="E831" cm="1">
        <f t="array" ref="E831">_xlfn.IFS(B831&lt;=_xlfn.PERCENTILE.INC($B$2:$B$726,0.2),5, B831&lt;=_xlfn.PERCENTILE.INC($B$2:$B$726,0.4),4,B831&lt;=_xlfn.PERCENTILE.INC($B$2:$B$726,0.6),3,B831&lt;=_xlfn.PERCENTILE.INC($B$2:$B$726,0.8),4,TRUE,1)</f>
        <v>4</v>
      </c>
      <c r="F831" cm="1">
        <f t="array" ref="F831">_xlfn.IFS(C831&gt;=_xlfn.PERCENTILE.INC($C$2:$C$726,0.8),5,C831&gt;=_xlfn.PERCENTILE.INC($C$2:$C$726,0.6),4,C831&gt;=_xlfn.PERCENTILE.INC($C$2:$C$726,0.4),3,C831&gt;=_xlfn.PERCENTILE.INC($C$2:$C$726,0.2),2,TRUE,1)</f>
        <v>2</v>
      </c>
      <c r="G831" cm="1">
        <f t="array" ref="G831">_xlfn.IFS(D831&gt;=_xlfn.PERCENTILE.INC($D$2:$D$726,0.8),5,D831&gt;=_xlfn.PERCENTILE.INC($D$2:$D$726,0.6),4,D831&gt;=_xlfn.PERCENTILE.INC($D$2:$D$726,0.4),3,D831&gt;=_xlfn.PERCENTILE.INC($D$2:$D$726,0.2),2,TRUE,1)</f>
        <v>4</v>
      </c>
      <c r="H831">
        <f t="shared" si="12"/>
        <v>10</v>
      </c>
      <c r="I831" t="str" cm="1">
        <f t="array" ref="I831">_xlfn.IFS(H831&gt;=13,"Best Customers",H831&gt;=10,"Loyal Customers",H831&gt;=7,"Potential Loyal Customers",H831&gt;=4,"Need Attention",TRUE,"At Risk")</f>
        <v>Loyal Customers</v>
      </c>
    </row>
    <row r="832" spans="1:9" x14ac:dyDescent="0.25">
      <c r="A832" t="s">
        <v>2299</v>
      </c>
      <c r="B832" s="4">
        <v>749</v>
      </c>
      <c r="C832">
        <v>5</v>
      </c>
      <c r="D832">
        <v>408.1</v>
      </c>
      <c r="E832" cm="1">
        <f t="array" ref="E832">_xlfn.IFS(B832&lt;=_xlfn.PERCENTILE.INC($B$2:$B$726,0.2),5, B832&lt;=_xlfn.PERCENTILE.INC($B$2:$B$726,0.4),4,B832&lt;=_xlfn.PERCENTILE.INC($B$2:$B$726,0.6),3,B832&lt;=_xlfn.PERCENTILE.INC($B$2:$B$726,0.8),4,TRUE,1)</f>
        <v>1</v>
      </c>
      <c r="F832" cm="1">
        <f t="array" ref="F832">_xlfn.IFS(C832&gt;=_xlfn.PERCENTILE.INC($C$2:$C$726,0.8),5,C832&gt;=_xlfn.PERCENTILE.INC($C$2:$C$726,0.6),4,C832&gt;=_xlfn.PERCENTILE.INC($C$2:$C$726,0.4),3,C832&gt;=_xlfn.PERCENTILE.INC($C$2:$C$726,0.2),2,TRUE,1)</f>
        <v>3</v>
      </c>
      <c r="G832" cm="1">
        <f t="array" ref="G832">_xlfn.IFS(D832&gt;=_xlfn.PERCENTILE.INC($D$2:$D$726,0.8),5,D832&gt;=_xlfn.PERCENTILE.INC($D$2:$D$726,0.6),4,D832&gt;=_xlfn.PERCENTILE.INC($D$2:$D$726,0.4),3,D832&gt;=_xlfn.PERCENTILE.INC($D$2:$D$726,0.2),2,TRUE,1)</f>
        <v>5</v>
      </c>
      <c r="H832">
        <f t="shared" si="12"/>
        <v>9</v>
      </c>
      <c r="I832" t="str" cm="1">
        <f t="array" ref="I832">_xlfn.IFS(H832&gt;=13,"Best Customers",H832&gt;=10,"Loyal Customers",H832&gt;=7,"Potential Loyal Customers",H832&gt;=4,"Need Attention",TRUE,"At Risk")</f>
        <v>Potential Loyal Customers</v>
      </c>
    </row>
    <row r="833" spans="1:9" x14ac:dyDescent="0.25">
      <c r="A833" t="s">
        <v>3106</v>
      </c>
      <c r="B833" s="4">
        <v>734</v>
      </c>
      <c r="C833">
        <v>11</v>
      </c>
      <c r="D833">
        <v>507.9</v>
      </c>
      <c r="E833" cm="1">
        <f t="array" ref="E833">_xlfn.IFS(B833&lt;=_xlfn.PERCENTILE.INC($B$2:$B$726,0.2),5, B833&lt;=_xlfn.PERCENTILE.INC($B$2:$B$726,0.4),4,B833&lt;=_xlfn.PERCENTILE.INC($B$2:$B$726,0.6),3,B833&lt;=_xlfn.PERCENTILE.INC($B$2:$B$726,0.8),4,TRUE,1)</f>
        <v>4</v>
      </c>
      <c r="F833" cm="1">
        <f t="array" ref="F833">_xlfn.IFS(C833&gt;=_xlfn.PERCENTILE.INC($C$2:$C$726,0.8),5,C833&gt;=_xlfn.PERCENTILE.INC($C$2:$C$726,0.6),4,C833&gt;=_xlfn.PERCENTILE.INC($C$2:$C$726,0.4),3,C833&gt;=_xlfn.PERCENTILE.INC($C$2:$C$726,0.2),2,TRUE,1)</f>
        <v>5</v>
      </c>
      <c r="G833" cm="1">
        <f t="array" ref="G833">_xlfn.IFS(D833&gt;=_xlfn.PERCENTILE.INC($D$2:$D$726,0.8),5,D833&gt;=_xlfn.PERCENTILE.INC($D$2:$D$726,0.6),4,D833&gt;=_xlfn.PERCENTILE.INC($D$2:$D$726,0.4),3,D833&gt;=_xlfn.PERCENTILE.INC($D$2:$D$726,0.2),2,TRUE,1)</f>
        <v>5</v>
      </c>
      <c r="H833">
        <f t="shared" si="12"/>
        <v>14</v>
      </c>
      <c r="I833" t="str" cm="1">
        <f t="array" ref="I833">_xlfn.IFS(H833&gt;=13,"Best Customers",H833&gt;=10,"Loyal Customers",H833&gt;=7,"Potential Loyal Customers",H833&gt;=4,"Need Attention",TRUE,"At Risk")</f>
        <v>Best Customers</v>
      </c>
    </row>
    <row r="834" spans="1:9" x14ac:dyDescent="0.25">
      <c r="A834" t="s">
        <v>2174</v>
      </c>
      <c r="B834" s="4">
        <v>384</v>
      </c>
      <c r="C834">
        <v>9</v>
      </c>
      <c r="D834">
        <v>294.29999999999995</v>
      </c>
      <c r="E834" cm="1">
        <f t="array" ref="E834">_xlfn.IFS(B834&lt;=_xlfn.PERCENTILE.INC($B$2:$B$726,0.2),5, B834&lt;=_xlfn.PERCENTILE.INC($B$2:$B$726,0.4),4,B834&lt;=_xlfn.PERCENTILE.INC($B$2:$B$726,0.6),3,B834&lt;=_xlfn.PERCENTILE.INC($B$2:$B$726,0.8),4,TRUE,1)</f>
        <v>5</v>
      </c>
      <c r="F834" cm="1">
        <f t="array" ref="F834">_xlfn.IFS(C834&gt;=_xlfn.PERCENTILE.INC($C$2:$C$726,0.8),5,C834&gt;=_xlfn.PERCENTILE.INC($C$2:$C$726,0.6),4,C834&gt;=_xlfn.PERCENTILE.INC($C$2:$C$726,0.4),3,C834&gt;=_xlfn.PERCENTILE.INC($C$2:$C$726,0.2),2,TRUE,1)</f>
        <v>5</v>
      </c>
      <c r="G834" cm="1">
        <f t="array" ref="G834">_xlfn.IFS(D834&gt;=_xlfn.PERCENTILE.INC($D$2:$D$726,0.8),5,D834&gt;=_xlfn.PERCENTILE.INC($D$2:$D$726,0.6),4,D834&gt;=_xlfn.PERCENTILE.INC($D$2:$D$726,0.4),3,D834&gt;=_xlfn.PERCENTILE.INC($D$2:$D$726,0.2),2,TRUE,1)</f>
        <v>3</v>
      </c>
      <c r="H834">
        <f t="shared" si="12"/>
        <v>13</v>
      </c>
      <c r="I834" t="str" cm="1">
        <f t="array" ref="I834">_xlfn.IFS(H834&gt;=13,"Best Customers",H834&gt;=10,"Loyal Customers",H834&gt;=7,"Potential Loyal Customers",H834&gt;=4,"Need Attention",TRUE,"At Risk")</f>
        <v>Best Customers</v>
      </c>
    </row>
    <row r="835" spans="1:9" x14ac:dyDescent="0.25">
      <c r="A835" t="s">
        <v>1157</v>
      </c>
      <c r="B835" s="4">
        <v>586</v>
      </c>
      <c r="C835">
        <v>5</v>
      </c>
      <c r="D835">
        <v>286.90000000000003</v>
      </c>
      <c r="E835" cm="1">
        <f t="array" ref="E835">_xlfn.IFS(B835&lt;=_xlfn.PERCENTILE.INC($B$2:$B$726,0.2),5, B835&lt;=_xlfn.PERCENTILE.INC($B$2:$B$726,0.4),4,B835&lt;=_xlfn.PERCENTILE.INC($B$2:$B$726,0.6),3,B835&lt;=_xlfn.PERCENTILE.INC($B$2:$B$726,0.8),4,TRUE,1)</f>
        <v>4</v>
      </c>
      <c r="F835" cm="1">
        <f t="array" ref="F835">_xlfn.IFS(C835&gt;=_xlfn.PERCENTILE.INC($C$2:$C$726,0.8),5,C835&gt;=_xlfn.PERCENTILE.INC($C$2:$C$726,0.6),4,C835&gt;=_xlfn.PERCENTILE.INC($C$2:$C$726,0.4),3,C835&gt;=_xlfn.PERCENTILE.INC($C$2:$C$726,0.2),2,TRUE,1)</f>
        <v>3</v>
      </c>
      <c r="G835" cm="1">
        <f t="array" ref="G835">_xlfn.IFS(D835&gt;=_xlfn.PERCENTILE.INC($D$2:$D$726,0.8),5,D835&gt;=_xlfn.PERCENTILE.INC($D$2:$D$726,0.6),4,D835&gt;=_xlfn.PERCENTILE.INC($D$2:$D$726,0.4),3,D835&gt;=_xlfn.PERCENTILE.INC($D$2:$D$726,0.2),2,TRUE,1)</f>
        <v>3</v>
      </c>
      <c r="H835">
        <f t="shared" ref="H835:H898" si="13">SUM(E835,F835,G835)</f>
        <v>10</v>
      </c>
      <c r="I835" t="str" cm="1">
        <f t="array" ref="I835">_xlfn.IFS(H835&gt;=13,"Best Customers",H835&gt;=10,"Loyal Customers",H835&gt;=7,"Potential Loyal Customers",H835&gt;=4,"Need Attention",TRUE,"At Risk")</f>
        <v>Loyal Customers</v>
      </c>
    </row>
    <row r="836" spans="1:9" x14ac:dyDescent="0.25">
      <c r="A836" t="s">
        <v>2290</v>
      </c>
      <c r="B836" s="4">
        <v>524</v>
      </c>
      <c r="C836">
        <v>5</v>
      </c>
      <c r="D836">
        <v>273.3</v>
      </c>
      <c r="E836" cm="1">
        <f t="array" ref="E836">_xlfn.IFS(B836&lt;=_xlfn.PERCENTILE.INC($B$2:$B$726,0.2),5, B836&lt;=_xlfn.PERCENTILE.INC($B$2:$B$726,0.4),4,B836&lt;=_xlfn.PERCENTILE.INC($B$2:$B$726,0.6),3,B836&lt;=_xlfn.PERCENTILE.INC($B$2:$B$726,0.8),4,TRUE,1)</f>
        <v>3</v>
      </c>
      <c r="F836" cm="1">
        <f t="array" ref="F836">_xlfn.IFS(C836&gt;=_xlfn.PERCENTILE.INC($C$2:$C$726,0.8),5,C836&gt;=_xlfn.PERCENTILE.INC($C$2:$C$726,0.6),4,C836&gt;=_xlfn.PERCENTILE.INC($C$2:$C$726,0.4),3,C836&gt;=_xlfn.PERCENTILE.INC($C$2:$C$726,0.2),2,TRUE,1)</f>
        <v>3</v>
      </c>
      <c r="G836" cm="1">
        <f t="array" ref="G836">_xlfn.IFS(D836&gt;=_xlfn.PERCENTILE.INC($D$2:$D$726,0.8),5,D836&gt;=_xlfn.PERCENTILE.INC($D$2:$D$726,0.6),4,D836&gt;=_xlfn.PERCENTILE.INC($D$2:$D$726,0.4),3,D836&gt;=_xlfn.PERCENTILE.INC($D$2:$D$726,0.2),2,TRUE,1)</f>
        <v>3</v>
      </c>
      <c r="H836">
        <f t="shared" si="13"/>
        <v>9</v>
      </c>
      <c r="I836" t="str" cm="1">
        <f t="array" ref="I836">_xlfn.IFS(H836&gt;=13,"Best Customers",H836&gt;=10,"Loyal Customers",H836&gt;=7,"Potential Loyal Customers",H836&gt;=4,"Need Attention",TRUE,"At Risk")</f>
        <v>Potential Loyal Customers</v>
      </c>
    </row>
    <row r="837" spans="1:9" x14ac:dyDescent="0.25">
      <c r="A837" t="s">
        <v>1954</v>
      </c>
      <c r="B837" s="4">
        <v>502</v>
      </c>
      <c r="C837">
        <v>4</v>
      </c>
      <c r="D837">
        <v>133</v>
      </c>
      <c r="E837" cm="1">
        <f t="array" ref="E837">_xlfn.IFS(B837&lt;=_xlfn.PERCENTILE.INC($B$2:$B$726,0.2),5, B837&lt;=_xlfn.PERCENTILE.INC($B$2:$B$726,0.4),4,B837&lt;=_xlfn.PERCENTILE.INC($B$2:$B$726,0.6),3,B837&lt;=_xlfn.PERCENTILE.INC($B$2:$B$726,0.8),4,TRUE,1)</f>
        <v>3</v>
      </c>
      <c r="F837" cm="1">
        <f t="array" ref="F837">_xlfn.IFS(C837&gt;=_xlfn.PERCENTILE.INC($C$2:$C$726,0.8),5,C837&gt;=_xlfn.PERCENTILE.INC($C$2:$C$726,0.6),4,C837&gt;=_xlfn.PERCENTILE.INC($C$2:$C$726,0.4),3,C837&gt;=_xlfn.PERCENTILE.INC($C$2:$C$726,0.2),2,TRUE,1)</f>
        <v>2</v>
      </c>
      <c r="G837" cm="1">
        <f t="array" ref="G837">_xlfn.IFS(D837&gt;=_xlfn.PERCENTILE.INC($D$2:$D$726,0.8),5,D837&gt;=_xlfn.PERCENTILE.INC($D$2:$D$726,0.6),4,D837&gt;=_xlfn.PERCENTILE.INC($D$2:$D$726,0.4),3,D837&gt;=_xlfn.PERCENTILE.INC($D$2:$D$726,0.2),2,TRUE,1)</f>
        <v>1</v>
      </c>
      <c r="H837">
        <f t="shared" si="13"/>
        <v>6</v>
      </c>
      <c r="I837" t="str" cm="1">
        <f t="array" ref="I837">_xlfn.IFS(H837&gt;=13,"Best Customers",H837&gt;=10,"Loyal Customers",H837&gt;=7,"Potential Loyal Customers",H837&gt;=4,"Need Attention",TRUE,"At Risk")</f>
        <v>Need Attention</v>
      </c>
    </row>
    <row r="838" spans="1:9" x14ac:dyDescent="0.25">
      <c r="A838" t="s">
        <v>896</v>
      </c>
      <c r="B838" s="4">
        <v>490</v>
      </c>
      <c r="C838">
        <v>5</v>
      </c>
      <c r="D838">
        <v>148</v>
      </c>
      <c r="E838" cm="1">
        <f t="array" ref="E838">_xlfn.IFS(B838&lt;=_xlfn.PERCENTILE.INC($B$2:$B$726,0.2),5, B838&lt;=_xlfn.PERCENTILE.INC($B$2:$B$726,0.4),4,B838&lt;=_xlfn.PERCENTILE.INC($B$2:$B$726,0.6),3,B838&lt;=_xlfn.PERCENTILE.INC($B$2:$B$726,0.8),4,TRUE,1)</f>
        <v>3</v>
      </c>
      <c r="F838" cm="1">
        <f t="array" ref="F838">_xlfn.IFS(C838&gt;=_xlfn.PERCENTILE.INC($C$2:$C$726,0.8),5,C838&gt;=_xlfn.PERCENTILE.INC($C$2:$C$726,0.6),4,C838&gt;=_xlfn.PERCENTILE.INC($C$2:$C$726,0.4),3,C838&gt;=_xlfn.PERCENTILE.INC($C$2:$C$726,0.2),2,TRUE,1)</f>
        <v>3</v>
      </c>
      <c r="G838" cm="1">
        <f t="array" ref="G838">_xlfn.IFS(D838&gt;=_xlfn.PERCENTILE.INC($D$2:$D$726,0.8),5,D838&gt;=_xlfn.PERCENTILE.INC($D$2:$D$726,0.6),4,D838&gt;=_xlfn.PERCENTILE.INC($D$2:$D$726,0.4),3,D838&gt;=_xlfn.PERCENTILE.INC($D$2:$D$726,0.2),2,TRUE,1)</f>
        <v>1</v>
      </c>
      <c r="H838">
        <f t="shared" si="13"/>
        <v>7</v>
      </c>
      <c r="I838" t="str" cm="1">
        <f t="array" ref="I838">_xlfn.IFS(H838&gt;=13,"Best Customers",H838&gt;=10,"Loyal Customers",H838&gt;=7,"Potential Loyal Customers",H838&gt;=4,"Need Attention",TRUE,"At Risk")</f>
        <v>Potential Loyal Customers</v>
      </c>
    </row>
    <row r="839" spans="1:9" x14ac:dyDescent="0.25">
      <c r="A839" t="s">
        <v>1497</v>
      </c>
      <c r="B839" s="4">
        <v>677</v>
      </c>
      <c r="C839">
        <v>4</v>
      </c>
      <c r="D839">
        <v>396.6</v>
      </c>
      <c r="E839" cm="1">
        <f t="array" ref="E839">_xlfn.IFS(B839&lt;=_xlfn.PERCENTILE.INC($B$2:$B$726,0.2),5, B839&lt;=_xlfn.PERCENTILE.INC($B$2:$B$726,0.4),4,B839&lt;=_xlfn.PERCENTILE.INC($B$2:$B$726,0.6),3,B839&lt;=_xlfn.PERCENTILE.INC($B$2:$B$726,0.8),4,TRUE,1)</f>
        <v>4</v>
      </c>
      <c r="F839" cm="1">
        <f t="array" ref="F839">_xlfn.IFS(C839&gt;=_xlfn.PERCENTILE.INC($C$2:$C$726,0.8),5,C839&gt;=_xlfn.PERCENTILE.INC($C$2:$C$726,0.6),4,C839&gt;=_xlfn.PERCENTILE.INC($C$2:$C$726,0.4),3,C839&gt;=_xlfn.PERCENTILE.INC($C$2:$C$726,0.2),2,TRUE,1)</f>
        <v>2</v>
      </c>
      <c r="G839" cm="1">
        <f t="array" ref="G839">_xlfn.IFS(D839&gt;=_xlfn.PERCENTILE.INC($D$2:$D$726,0.8),5,D839&gt;=_xlfn.PERCENTILE.INC($D$2:$D$726,0.6),4,D839&gt;=_xlfn.PERCENTILE.INC($D$2:$D$726,0.4),3,D839&gt;=_xlfn.PERCENTILE.INC($D$2:$D$726,0.2),2,TRUE,1)</f>
        <v>5</v>
      </c>
      <c r="H839">
        <f t="shared" si="13"/>
        <v>11</v>
      </c>
      <c r="I839" t="str" cm="1">
        <f t="array" ref="I839">_xlfn.IFS(H839&gt;=13,"Best Customers",H839&gt;=10,"Loyal Customers",H839&gt;=7,"Potential Loyal Customers",H839&gt;=4,"Need Attention",TRUE,"At Risk")</f>
        <v>Loyal Customers</v>
      </c>
    </row>
    <row r="840" spans="1:9" x14ac:dyDescent="0.25">
      <c r="A840" t="s">
        <v>3154</v>
      </c>
      <c r="B840" s="4">
        <v>341</v>
      </c>
      <c r="C840">
        <v>10</v>
      </c>
      <c r="D840">
        <v>405.3</v>
      </c>
      <c r="E840" cm="1">
        <f t="array" ref="E840">_xlfn.IFS(B840&lt;=_xlfn.PERCENTILE.INC($B$2:$B$726,0.2),5, B840&lt;=_xlfn.PERCENTILE.INC($B$2:$B$726,0.4),4,B840&lt;=_xlfn.PERCENTILE.INC($B$2:$B$726,0.6),3,B840&lt;=_xlfn.PERCENTILE.INC($B$2:$B$726,0.8),4,TRUE,1)</f>
        <v>5</v>
      </c>
      <c r="F840" cm="1">
        <f t="array" ref="F840">_xlfn.IFS(C840&gt;=_xlfn.PERCENTILE.INC($C$2:$C$726,0.8),5,C840&gt;=_xlfn.PERCENTILE.INC($C$2:$C$726,0.6),4,C840&gt;=_xlfn.PERCENTILE.INC($C$2:$C$726,0.4),3,C840&gt;=_xlfn.PERCENTILE.INC($C$2:$C$726,0.2),2,TRUE,1)</f>
        <v>5</v>
      </c>
      <c r="G840" cm="1">
        <f t="array" ref="G840">_xlfn.IFS(D840&gt;=_xlfn.PERCENTILE.INC($D$2:$D$726,0.8),5,D840&gt;=_xlfn.PERCENTILE.INC($D$2:$D$726,0.6),4,D840&gt;=_xlfn.PERCENTILE.INC($D$2:$D$726,0.4),3,D840&gt;=_xlfn.PERCENTILE.INC($D$2:$D$726,0.2),2,TRUE,1)</f>
        <v>5</v>
      </c>
      <c r="H840">
        <f t="shared" si="13"/>
        <v>15</v>
      </c>
      <c r="I840" t="str" cm="1">
        <f t="array" ref="I840">_xlfn.IFS(H840&gt;=13,"Best Customers",H840&gt;=10,"Loyal Customers",H840&gt;=7,"Potential Loyal Customers",H840&gt;=4,"Need Attention",TRUE,"At Risk")</f>
        <v>Best Customers</v>
      </c>
    </row>
    <row r="841" spans="1:9" x14ac:dyDescent="0.25">
      <c r="A841" t="s">
        <v>632</v>
      </c>
      <c r="B841" s="4">
        <v>502</v>
      </c>
      <c r="C841">
        <v>5</v>
      </c>
      <c r="D841">
        <v>212.20000000000002</v>
      </c>
      <c r="E841" cm="1">
        <f t="array" ref="E841">_xlfn.IFS(B841&lt;=_xlfn.PERCENTILE.INC($B$2:$B$726,0.2),5, B841&lt;=_xlfn.PERCENTILE.INC($B$2:$B$726,0.4),4,B841&lt;=_xlfn.PERCENTILE.INC($B$2:$B$726,0.6),3,B841&lt;=_xlfn.PERCENTILE.INC($B$2:$B$726,0.8),4,TRUE,1)</f>
        <v>3</v>
      </c>
      <c r="F841" cm="1">
        <f t="array" ref="F841">_xlfn.IFS(C841&gt;=_xlfn.PERCENTILE.INC($C$2:$C$726,0.8),5,C841&gt;=_xlfn.PERCENTILE.INC($C$2:$C$726,0.6),4,C841&gt;=_xlfn.PERCENTILE.INC($C$2:$C$726,0.4),3,C841&gt;=_xlfn.PERCENTILE.INC($C$2:$C$726,0.2),2,TRUE,1)</f>
        <v>3</v>
      </c>
      <c r="G841" cm="1">
        <f t="array" ref="G841">_xlfn.IFS(D841&gt;=_xlfn.PERCENTILE.INC($D$2:$D$726,0.8),5,D841&gt;=_xlfn.PERCENTILE.INC($D$2:$D$726,0.6),4,D841&gt;=_xlfn.PERCENTILE.INC($D$2:$D$726,0.4),3,D841&gt;=_xlfn.PERCENTILE.INC($D$2:$D$726,0.2),2,TRUE,1)</f>
        <v>2</v>
      </c>
      <c r="H841">
        <f t="shared" si="13"/>
        <v>8</v>
      </c>
      <c r="I841" t="str" cm="1">
        <f t="array" ref="I841">_xlfn.IFS(H841&gt;=13,"Best Customers",H841&gt;=10,"Loyal Customers",H841&gt;=7,"Potential Loyal Customers",H841&gt;=4,"Need Attention",TRUE,"At Risk")</f>
        <v>Potential Loyal Customers</v>
      </c>
    </row>
    <row r="842" spans="1:9" x14ac:dyDescent="0.25">
      <c r="A842" t="s">
        <v>2221</v>
      </c>
      <c r="B842" s="4">
        <v>350</v>
      </c>
      <c r="C842">
        <v>5</v>
      </c>
      <c r="D842">
        <v>213.7</v>
      </c>
      <c r="E842" cm="1">
        <f t="array" ref="E842">_xlfn.IFS(B842&lt;=_xlfn.PERCENTILE.INC($B$2:$B$726,0.2),5, B842&lt;=_xlfn.PERCENTILE.INC($B$2:$B$726,0.4),4,B842&lt;=_xlfn.PERCENTILE.INC($B$2:$B$726,0.6),3,B842&lt;=_xlfn.PERCENTILE.INC($B$2:$B$726,0.8),4,TRUE,1)</f>
        <v>5</v>
      </c>
      <c r="F842" cm="1">
        <f t="array" ref="F842">_xlfn.IFS(C842&gt;=_xlfn.PERCENTILE.INC($C$2:$C$726,0.8),5,C842&gt;=_xlfn.PERCENTILE.INC($C$2:$C$726,0.6),4,C842&gt;=_xlfn.PERCENTILE.INC($C$2:$C$726,0.4),3,C842&gt;=_xlfn.PERCENTILE.INC($C$2:$C$726,0.2),2,TRUE,1)</f>
        <v>3</v>
      </c>
      <c r="G842" cm="1">
        <f t="array" ref="G842">_xlfn.IFS(D842&gt;=_xlfn.PERCENTILE.INC($D$2:$D$726,0.8),5,D842&gt;=_xlfn.PERCENTILE.INC($D$2:$D$726,0.6),4,D842&gt;=_xlfn.PERCENTILE.INC($D$2:$D$726,0.4),3,D842&gt;=_xlfn.PERCENTILE.INC($D$2:$D$726,0.2),2,TRUE,1)</f>
        <v>2</v>
      </c>
      <c r="H842">
        <f t="shared" si="13"/>
        <v>10</v>
      </c>
      <c r="I842" t="str" cm="1">
        <f t="array" ref="I842">_xlfn.IFS(H842&gt;=13,"Best Customers",H842&gt;=10,"Loyal Customers",H842&gt;=7,"Potential Loyal Customers",H842&gt;=4,"Need Attention",TRUE,"At Risk")</f>
        <v>Loyal Customers</v>
      </c>
    </row>
    <row r="843" spans="1:9" x14ac:dyDescent="0.25">
      <c r="A843" t="s">
        <v>2783</v>
      </c>
      <c r="B843" s="4">
        <v>1367</v>
      </c>
      <c r="C843">
        <v>2</v>
      </c>
      <c r="D843">
        <v>148.60000000000002</v>
      </c>
      <c r="E843" cm="1">
        <f t="array" ref="E843">_xlfn.IFS(B843&lt;=_xlfn.PERCENTILE.INC($B$2:$B$726,0.2),5, B843&lt;=_xlfn.PERCENTILE.INC($B$2:$B$726,0.4),4,B843&lt;=_xlfn.PERCENTILE.INC($B$2:$B$726,0.6),3,B843&lt;=_xlfn.PERCENTILE.INC($B$2:$B$726,0.8),4,TRUE,1)</f>
        <v>1</v>
      </c>
      <c r="F843" cm="1">
        <f t="array" ref="F843">_xlfn.IFS(C843&gt;=_xlfn.PERCENTILE.INC($C$2:$C$726,0.8),5,C843&gt;=_xlfn.PERCENTILE.INC($C$2:$C$726,0.6),4,C843&gt;=_xlfn.PERCENTILE.INC($C$2:$C$726,0.4),3,C843&gt;=_xlfn.PERCENTILE.INC($C$2:$C$726,0.2),2,TRUE,1)</f>
        <v>1</v>
      </c>
      <c r="G843" cm="1">
        <f t="array" ref="G843">_xlfn.IFS(D843&gt;=_xlfn.PERCENTILE.INC($D$2:$D$726,0.8),5,D843&gt;=_xlfn.PERCENTILE.INC($D$2:$D$726,0.6),4,D843&gt;=_xlfn.PERCENTILE.INC($D$2:$D$726,0.4),3,D843&gt;=_xlfn.PERCENTILE.INC($D$2:$D$726,0.2),2,TRUE,1)</f>
        <v>1</v>
      </c>
      <c r="H843">
        <f t="shared" si="13"/>
        <v>3</v>
      </c>
      <c r="I843" t="str" cm="1">
        <f t="array" ref="I843">_xlfn.IFS(H843&gt;=13,"Best Customers",H843&gt;=10,"Loyal Customers",H843&gt;=7,"Potential Loyal Customers",H843&gt;=4,"Need Attention",TRUE,"At Risk")</f>
        <v>At Risk</v>
      </c>
    </row>
    <row r="844" spans="1:9" x14ac:dyDescent="0.25">
      <c r="A844" t="s">
        <v>734</v>
      </c>
      <c r="B844" s="4">
        <v>736</v>
      </c>
      <c r="C844">
        <v>4</v>
      </c>
      <c r="D844">
        <v>183.8</v>
      </c>
      <c r="E844" cm="1">
        <f t="array" ref="E844">_xlfn.IFS(B844&lt;=_xlfn.PERCENTILE.INC($B$2:$B$726,0.2),5, B844&lt;=_xlfn.PERCENTILE.INC($B$2:$B$726,0.4),4,B844&lt;=_xlfn.PERCENTILE.INC($B$2:$B$726,0.6),3,B844&lt;=_xlfn.PERCENTILE.INC($B$2:$B$726,0.8),4,TRUE,1)</f>
        <v>4</v>
      </c>
      <c r="F844" cm="1">
        <f t="array" ref="F844">_xlfn.IFS(C844&gt;=_xlfn.PERCENTILE.INC($C$2:$C$726,0.8),5,C844&gt;=_xlfn.PERCENTILE.INC($C$2:$C$726,0.6),4,C844&gt;=_xlfn.PERCENTILE.INC($C$2:$C$726,0.4),3,C844&gt;=_xlfn.PERCENTILE.INC($C$2:$C$726,0.2),2,TRUE,1)</f>
        <v>2</v>
      </c>
      <c r="G844" cm="1">
        <f t="array" ref="G844">_xlfn.IFS(D844&gt;=_xlfn.PERCENTILE.INC($D$2:$D$726,0.8),5,D844&gt;=_xlfn.PERCENTILE.INC($D$2:$D$726,0.6),4,D844&gt;=_xlfn.PERCENTILE.INC($D$2:$D$726,0.4),3,D844&gt;=_xlfn.PERCENTILE.INC($D$2:$D$726,0.2),2,TRUE,1)</f>
        <v>2</v>
      </c>
      <c r="H844">
        <f t="shared" si="13"/>
        <v>8</v>
      </c>
      <c r="I844" t="str" cm="1">
        <f t="array" ref="I844">_xlfn.IFS(H844&gt;=13,"Best Customers",H844&gt;=10,"Loyal Customers",H844&gt;=7,"Potential Loyal Customers",H844&gt;=4,"Need Attention",TRUE,"At Risk")</f>
        <v>Potential Loyal Customers</v>
      </c>
    </row>
    <row r="845" spans="1:9" x14ac:dyDescent="0.25">
      <c r="A845" t="s">
        <v>2757</v>
      </c>
      <c r="B845" s="4">
        <v>438</v>
      </c>
      <c r="C845">
        <v>4</v>
      </c>
      <c r="D845">
        <v>146</v>
      </c>
      <c r="E845" cm="1">
        <f t="array" ref="E845">_xlfn.IFS(B845&lt;=_xlfn.PERCENTILE.INC($B$2:$B$726,0.2),5, B845&lt;=_xlfn.PERCENTILE.INC($B$2:$B$726,0.4),4,B845&lt;=_xlfn.PERCENTILE.INC($B$2:$B$726,0.6),3,B845&lt;=_xlfn.PERCENTILE.INC($B$2:$B$726,0.8),4,TRUE,1)</f>
        <v>4</v>
      </c>
      <c r="F845" cm="1">
        <f t="array" ref="F845">_xlfn.IFS(C845&gt;=_xlfn.PERCENTILE.INC($C$2:$C$726,0.8),5,C845&gt;=_xlfn.PERCENTILE.INC($C$2:$C$726,0.6),4,C845&gt;=_xlfn.PERCENTILE.INC($C$2:$C$726,0.4),3,C845&gt;=_xlfn.PERCENTILE.INC($C$2:$C$726,0.2),2,TRUE,1)</f>
        <v>2</v>
      </c>
      <c r="G845" cm="1">
        <f t="array" ref="G845">_xlfn.IFS(D845&gt;=_xlfn.PERCENTILE.INC($D$2:$D$726,0.8),5,D845&gt;=_xlfn.PERCENTILE.INC($D$2:$D$726,0.6),4,D845&gt;=_xlfn.PERCENTILE.INC($D$2:$D$726,0.4),3,D845&gt;=_xlfn.PERCENTILE.INC($D$2:$D$726,0.2),2,TRUE,1)</f>
        <v>1</v>
      </c>
      <c r="H845">
        <f t="shared" si="13"/>
        <v>7</v>
      </c>
      <c r="I845" t="str" cm="1">
        <f t="array" ref="I845">_xlfn.IFS(H845&gt;=13,"Best Customers",H845&gt;=10,"Loyal Customers",H845&gt;=7,"Potential Loyal Customers",H845&gt;=4,"Need Attention",TRUE,"At Risk")</f>
        <v>Potential Loyal Customers</v>
      </c>
    </row>
    <row r="846" spans="1:9" x14ac:dyDescent="0.25">
      <c r="A846" t="s">
        <v>3139</v>
      </c>
      <c r="B846" s="4">
        <v>365</v>
      </c>
      <c r="C846">
        <v>8</v>
      </c>
      <c r="D846">
        <v>348.3</v>
      </c>
      <c r="E846" cm="1">
        <f t="array" ref="E846">_xlfn.IFS(B846&lt;=_xlfn.PERCENTILE.INC($B$2:$B$726,0.2),5, B846&lt;=_xlfn.PERCENTILE.INC($B$2:$B$726,0.4),4,B846&lt;=_xlfn.PERCENTILE.INC($B$2:$B$726,0.6),3,B846&lt;=_xlfn.PERCENTILE.INC($B$2:$B$726,0.8),4,TRUE,1)</f>
        <v>5</v>
      </c>
      <c r="F846" cm="1">
        <f t="array" ref="F846">_xlfn.IFS(C846&gt;=_xlfn.PERCENTILE.INC($C$2:$C$726,0.8),5,C846&gt;=_xlfn.PERCENTILE.INC($C$2:$C$726,0.6),4,C846&gt;=_xlfn.PERCENTILE.INC($C$2:$C$726,0.4),3,C846&gt;=_xlfn.PERCENTILE.INC($C$2:$C$726,0.2),2,TRUE,1)</f>
        <v>5</v>
      </c>
      <c r="G846" cm="1">
        <f t="array" ref="G846">_xlfn.IFS(D846&gt;=_xlfn.PERCENTILE.INC($D$2:$D$726,0.8),5,D846&gt;=_xlfn.PERCENTILE.INC($D$2:$D$726,0.6),4,D846&gt;=_xlfn.PERCENTILE.INC($D$2:$D$726,0.4),3,D846&gt;=_xlfn.PERCENTILE.INC($D$2:$D$726,0.2),2,TRUE,1)</f>
        <v>4</v>
      </c>
      <c r="H846">
        <f t="shared" si="13"/>
        <v>14</v>
      </c>
      <c r="I846" t="str" cm="1">
        <f t="array" ref="I846">_xlfn.IFS(H846&gt;=13,"Best Customers",H846&gt;=10,"Loyal Customers",H846&gt;=7,"Potential Loyal Customers",H846&gt;=4,"Need Attention",TRUE,"At Risk")</f>
        <v>Best Customers</v>
      </c>
    </row>
    <row r="847" spans="1:9" x14ac:dyDescent="0.25">
      <c r="A847" t="s">
        <v>1012</v>
      </c>
      <c r="B847" s="4">
        <v>627</v>
      </c>
      <c r="C847">
        <v>7</v>
      </c>
      <c r="D847">
        <v>332.09999999999997</v>
      </c>
      <c r="E847" cm="1">
        <f t="array" ref="E847">_xlfn.IFS(B847&lt;=_xlfn.PERCENTILE.INC($B$2:$B$726,0.2),5, B847&lt;=_xlfn.PERCENTILE.INC($B$2:$B$726,0.4),4,B847&lt;=_xlfn.PERCENTILE.INC($B$2:$B$726,0.6),3,B847&lt;=_xlfn.PERCENTILE.INC($B$2:$B$726,0.8),4,TRUE,1)</f>
        <v>4</v>
      </c>
      <c r="F847" cm="1">
        <f t="array" ref="F847">_xlfn.IFS(C847&gt;=_xlfn.PERCENTILE.INC($C$2:$C$726,0.8),5,C847&gt;=_xlfn.PERCENTILE.INC($C$2:$C$726,0.6),4,C847&gt;=_xlfn.PERCENTILE.INC($C$2:$C$726,0.4),3,C847&gt;=_xlfn.PERCENTILE.INC($C$2:$C$726,0.2),2,TRUE,1)</f>
        <v>4</v>
      </c>
      <c r="G847" cm="1">
        <f t="array" ref="G847">_xlfn.IFS(D847&gt;=_xlfn.PERCENTILE.INC($D$2:$D$726,0.8),5,D847&gt;=_xlfn.PERCENTILE.INC($D$2:$D$726,0.6),4,D847&gt;=_xlfn.PERCENTILE.INC($D$2:$D$726,0.4),3,D847&gt;=_xlfn.PERCENTILE.INC($D$2:$D$726,0.2),2,TRUE,1)</f>
        <v>4</v>
      </c>
      <c r="H847">
        <f t="shared" si="13"/>
        <v>12</v>
      </c>
      <c r="I847" t="str" cm="1">
        <f t="array" ref="I847">_xlfn.IFS(H847&gt;=13,"Best Customers",H847&gt;=10,"Loyal Customers",H847&gt;=7,"Potential Loyal Customers",H847&gt;=4,"Need Attention",TRUE,"At Risk")</f>
        <v>Loyal Customers</v>
      </c>
    </row>
    <row r="848" spans="1:9" x14ac:dyDescent="0.25">
      <c r="A848" t="s">
        <v>2189</v>
      </c>
      <c r="B848" s="4">
        <v>852</v>
      </c>
      <c r="C848">
        <v>6</v>
      </c>
      <c r="D848">
        <v>293.5</v>
      </c>
      <c r="E848" cm="1">
        <f t="array" ref="E848">_xlfn.IFS(B848&lt;=_xlfn.PERCENTILE.INC($B$2:$B$726,0.2),5, B848&lt;=_xlfn.PERCENTILE.INC($B$2:$B$726,0.4),4,B848&lt;=_xlfn.PERCENTILE.INC($B$2:$B$726,0.6),3,B848&lt;=_xlfn.PERCENTILE.INC($B$2:$B$726,0.8),4,TRUE,1)</f>
        <v>1</v>
      </c>
      <c r="F848" cm="1">
        <f t="array" ref="F848">_xlfn.IFS(C848&gt;=_xlfn.PERCENTILE.INC($C$2:$C$726,0.8),5,C848&gt;=_xlfn.PERCENTILE.INC($C$2:$C$726,0.6),4,C848&gt;=_xlfn.PERCENTILE.INC($C$2:$C$726,0.4),3,C848&gt;=_xlfn.PERCENTILE.INC($C$2:$C$726,0.2),2,TRUE,1)</f>
        <v>4</v>
      </c>
      <c r="G848" cm="1">
        <f t="array" ref="G848">_xlfn.IFS(D848&gt;=_xlfn.PERCENTILE.INC($D$2:$D$726,0.8),5,D848&gt;=_xlfn.PERCENTILE.INC($D$2:$D$726,0.6),4,D848&gt;=_xlfn.PERCENTILE.INC($D$2:$D$726,0.4),3,D848&gt;=_xlfn.PERCENTILE.INC($D$2:$D$726,0.2),2,TRUE,1)</f>
        <v>3</v>
      </c>
      <c r="H848">
        <f t="shared" si="13"/>
        <v>8</v>
      </c>
      <c r="I848" t="str" cm="1">
        <f t="array" ref="I848">_xlfn.IFS(H848&gt;=13,"Best Customers",H848&gt;=10,"Loyal Customers",H848&gt;=7,"Potential Loyal Customers",H848&gt;=4,"Need Attention",TRUE,"At Risk")</f>
        <v>Potential Loyal Customers</v>
      </c>
    </row>
    <row r="849" spans="1:9" x14ac:dyDescent="0.25">
      <c r="A849" t="s">
        <v>3402</v>
      </c>
      <c r="B849" s="4">
        <v>898</v>
      </c>
      <c r="C849">
        <v>4</v>
      </c>
      <c r="D849">
        <v>149.1</v>
      </c>
      <c r="E849" cm="1">
        <f t="array" ref="E849">_xlfn.IFS(B849&lt;=_xlfn.PERCENTILE.INC($B$2:$B$726,0.2),5, B849&lt;=_xlfn.PERCENTILE.INC($B$2:$B$726,0.4),4,B849&lt;=_xlfn.PERCENTILE.INC($B$2:$B$726,0.6),3,B849&lt;=_xlfn.PERCENTILE.INC($B$2:$B$726,0.8),4,TRUE,1)</f>
        <v>1</v>
      </c>
      <c r="F849" cm="1">
        <f t="array" ref="F849">_xlfn.IFS(C849&gt;=_xlfn.PERCENTILE.INC($C$2:$C$726,0.8),5,C849&gt;=_xlfn.PERCENTILE.INC($C$2:$C$726,0.6),4,C849&gt;=_xlfn.PERCENTILE.INC($C$2:$C$726,0.4),3,C849&gt;=_xlfn.PERCENTILE.INC($C$2:$C$726,0.2),2,TRUE,1)</f>
        <v>2</v>
      </c>
      <c r="G849" cm="1">
        <f t="array" ref="G849">_xlfn.IFS(D849&gt;=_xlfn.PERCENTILE.INC($D$2:$D$726,0.8),5,D849&gt;=_xlfn.PERCENTILE.INC($D$2:$D$726,0.6),4,D849&gt;=_xlfn.PERCENTILE.INC($D$2:$D$726,0.4),3,D849&gt;=_xlfn.PERCENTILE.INC($D$2:$D$726,0.2),2,TRUE,1)</f>
        <v>1</v>
      </c>
      <c r="H849">
        <f t="shared" si="13"/>
        <v>4</v>
      </c>
      <c r="I849" t="str" cm="1">
        <f t="array" ref="I849">_xlfn.IFS(H849&gt;=13,"Best Customers",H849&gt;=10,"Loyal Customers",H849&gt;=7,"Potential Loyal Customers",H849&gt;=4,"Need Attention",TRUE,"At Risk")</f>
        <v>Need Attention</v>
      </c>
    </row>
    <row r="850" spans="1:9" x14ac:dyDescent="0.25">
      <c r="A850" t="s">
        <v>2557</v>
      </c>
      <c r="B850" s="4">
        <v>532</v>
      </c>
      <c r="C850">
        <v>9</v>
      </c>
      <c r="D850">
        <v>721.80000000000007</v>
      </c>
      <c r="E850" cm="1">
        <f t="array" ref="E850">_xlfn.IFS(B850&lt;=_xlfn.PERCENTILE.INC($B$2:$B$726,0.2),5, B850&lt;=_xlfn.PERCENTILE.INC($B$2:$B$726,0.4),4,B850&lt;=_xlfn.PERCENTILE.INC($B$2:$B$726,0.6),3,B850&lt;=_xlfn.PERCENTILE.INC($B$2:$B$726,0.8),4,TRUE,1)</f>
        <v>3</v>
      </c>
      <c r="F850" cm="1">
        <f t="array" ref="F850">_xlfn.IFS(C850&gt;=_xlfn.PERCENTILE.INC($C$2:$C$726,0.8),5,C850&gt;=_xlfn.PERCENTILE.INC($C$2:$C$726,0.6),4,C850&gt;=_xlfn.PERCENTILE.INC($C$2:$C$726,0.4),3,C850&gt;=_xlfn.PERCENTILE.INC($C$2:$C$726,0.2),2,TRUE,1)</f>
        <v>5</v>
      </c>
      <c r="G850" cm="1">
        <f t="array" ref="G850">_xlfn.IFS(D850&gt;=_xlfn.PERCENTILE.INC($D$2:$D$726,0.8),5,D850&gt;=_xlfn.PERCENTILE.INC($D$2:$D$726,0.6),4,D850&gt;=_xlfn.PERCENTILE.INC($D$2:$D$726,0.4),3,D850&gt;=_xlfn.PERCENTILE.INC($D$2:$D$726,0.2),2,TRUE,1)</f>
        <v>5</v>
      </c>
      <c r="H850">
        <f t="shared" si="13"/>
        <v>13</v>
      </c>
      <c r="I850" t="str" cm="1">
        <f t="array" ref="I850">_xlfn.IFS(H850&gt;=13,"Best Customers",H850&gt;=10,"Loyal Customers",H850&gt;=7,"Potential Loyal Customers",H850&gt;=4,"Need Attention",TRUE,"At Risk")</f>
        <v>Best Customers</v>
      </c>
    </row>
    <row r="851" spans="1:9" x14ac:dyDescent="0.25">
      <c r="A851" t="s">
        <v>1726</v>
      </c>
      <c r="B851" s="4">
        <v>719</v>
      </c>
      <c r="C851">
        <v>3</v>
      </c>
      <c r="D851">
        <v>111.9</v>
      </c>
      <c r="E851" cm="1">
        <f t="array" ref="E851">_xlfn.IFS(B851&lt;=_xlfn.PERCENTILE.INC($B$2:$B$726,0.2),5, B851&lt;=_xlfn.PERCENTILE.INC($B$2:$B$726,0.4),4,B851&lt;=_xlfn.PERCENTILE.INC($B$2:$B$726,0.6),3,B851&lt;=_xlfn.PERCENTILE.INC($B$2:$B$726,0.8),4,TRUE,1)</f>
        <v>4</v>
      </c>
      <c r="F851" cm="1">
        <f t="array" ref="F851">_xlfn.IFS(C851&gt;=_xlfn.PERCENTILE.INC($C$2:$C$726,0.8),5,C851&gt;=_xlfn.PERCENTILE.INC($C$2:$C$726,0.6),4,C851&gt;=_xlfn.PERCENTILE.INC($C$2:$C$726,0.4),3,C851&gt;=_xlfn.PERCENTILE.INC($C$2:$C$726,0.2),2,TRUE,1)</f>
        <v>1</v>
      </c>
      <c r="G851" cm="1">
        <f t="array" ref="G851">_xlfn.IFS(D851&gt;=_xlfn.PERCENTILE.INC($D$2:$D$726,0.8),5,D851&gt;=_xlfn.PERCENTILE.INC($D$2:$D$726,0.6),4,D851&gt;=_xlfn.PERCENTILE.INC($D$2:$D$726,0.4),3,D851&gt;=_xlfn.PERCENTILE.INC($D$2:$D$726,0.2),2,TRUE,1)</f>
        <v>1</v>
      </c>
      <c r="H851">
        <f t="shared" si="13"/>
        <v>6</v>
      </c>
      <c r="I851" t="str" cm="1">
        <f t="array" ref="I851">_xlfn.IFS(H851&gt;=13,"Best Customers",H851&gt;=10,"Loyal Customers",H851&gt;=7,"Potential Loyal Customers",H851&gt;=4,"Need Attention",TRUE,"At Risk")</f>
        <v>Need Attention</v>
      </c>
    </row>
    <row r="852" spans="1:9" x14ac:dyDescent="0.25">
      <c r="A852" t="s">
        <v>2050</v>
      </c>
      <c r="B852" s="4">
        <v>383</v>
      </c>
      <c r="C852">
        <v>6</v>
      </c>
      <c r="D852">
        <v>297</v>
      </c>
      <c r="E852" cm="1">
        <f t="array" ref="E852">_xlfn.IFS(B852&lt;=_xlfn.PERCENTILE.INC($B$2:$B$726,0.2),5, B852&lt;=_xlfn.PERCENTILE.INC($B$2:$B$726,0.4),4,B852&lt;=_xlfn.PERCENTILE.INC($B$2:$B$726,0.6),3,B852&lt;=_xlfn.PERCENTILE.INC($B$2:$B$726,0.8),4,TRUE,1)</f>
        <v>5</v>
      </c>
      <c r="F852" cm="1">
        <f t="array" ref="F852">_xlfn.IFS(C852&gt;=_xlfn.PERCENTILE.INC($C$2:$C$726,0.8),5,C852&gt;=_xlfn.PERCENTILE.INC($C$2:$C$726,0.6),4,C852&gt;=_xlfn.PERCENTILE.INC($C$2:$C$726,0.4),3,C852&gt;=_xlfn.PERCENTILE.INC($C$2:$C$726,0.2),2,TRUE,1)</f>
        <v>4</v>
      </c>
      <c r="G852" cm="1">
        <f t="array" ref="G852">_xlfn.IFS(D852&gt;=_xlfn.PERCENTILE.INC($D$2:$D$726,0.8),5,D852&gt;=_xlfn.PERCENTILE.INC($D$2:$D$726,0.6),4,D852&gt;=_xlfn.PERCENTILE.INC($D$2:$D$726,0.4),3,D852&gt;=_xlfn.PERCENTILE.INC($D$2:$D$726,0.2),2,TRUE,1)</f>
        <v>3</v>
      </c>
      <c r="H852">
        <f t="shared" si="13"/>
        <v>12</v>
      </c>
      <c r="I852" t="str" cm="1">
        <f t="array" ref="I852">_xlfn.IFS(H852&gt;=13,"Best Customers",H852&gt;=10,"Loyal Customers",H852&gt;=7,"Potential Loyal Customers",H852&gt;=4,"Need Attention",TRUE,"At Risk")</f>
        <v>Loyal Customers</v>
      </c>
    </row>
    <row r="853" spans="1:9" x14ac:dyDescent="0.25">
      <c r="A853" t="s">
        <v>2263</v>
      </c>
      <c r="B853" s="4">
        <v>607</v>
      </c>
      <c r="C853">
        <v>7</v>
      </c>
      <c r="D853">
        <v>404.7</v>
      </c>
      <c r="E853" cm="1">
        <f t="array" ref="E853">_xlfn.IFS(B853&lt;=_xlfn.PERCENTILE.INC($B$2:$B$726,0.2),5, B853&lt;=_xlfn.PERCENTILE.INC($B$2:$B$726,0.4),4,B853&lt;=_xlfn.PERCENTILE.INC($B$2:$B$726,0.6),3,B853&lt;=_xlfn.PERCENTILE.INC($B$2:$B$726,0.8),4,TRUE,1)</f>
        <v>4</v>
      </c>
      <c r="F853" cm="1">
        <f t="array" ref="F853">_xlfn.IFS(C853&gt;=_xlfn.PERCENTILE.INC($C$2:$C$726,0.8),5,C853&gt;=_xlfn.PERCENTILE.INC($C$2:$C$726,0.6),4,C853&gt;=_xlfn.PERCENTILE.INC($C$2:$C$726,0.4),3,C853&gt;=_xlfn.PERCENTILE.INC($C$2:$C$726,0.2),2,TRUE,1)</f>
        <v>4</v>
      </c>
      <c r="G853" cm="1">
        <f t="array" ref="G853">_xlfn.IFS(D853&gt;=_xlfn.PERCENTILE.INC($D$2:$D$726,0.8),5,D853&gt;=_xlfn.PERCENTILE.INC($D$2:$D$726,0.6),4,D853&gt;=_xlfn.PERCENTILE.INC($D$2:$D$726,0.4),3,D853&gt;=_xlfn.PERCENTILE.INC($D$2:$D$726,0.2),2,TRUE,1)</f>
        <v>5</v>
      </c>
      <c r="H853">
        <f t="shared" si="13"/>
        <v>13</v>
      </c>
      <c r="I853" t="str" cm="1">
        <f t="array" ref="I853">_xlfn.IFS(H853&gt;=13,"Best Customers",H853&gt;=10,"Loyal Customers",H853&gt;=7,"Potential Loyal Customers",H853&gt;=4,"Need Attention",TRUE,"At Risk")</f>
        <v>Best Customers</v>
      </c>
    </row>
    <row r="854" spans="1:9" x14ac:dyDescent="0.25">
      <c r="A854" t="s">
        <v>2000</v>
      </c>
      <c r="B854" s="4">
        <v>340</v>
      </c>
      <c r="C854">
        <v>7</v>
      </c>
      <c r="D854">
        <v>368.3</v>
      </c>
      <c r="E854" cm="1">
        <f t="array" ref="E854">_xlfn.IFS(B854&lt;=_xlfn.PERCENTILE.INC($B$2:$B$726,0.2),5, B854&lt;=_xlfn.PERCENTILE.INC($B$2:$B$726,0.4),4,B854&lt;=_xlfn.PERCENTILE.INC($B$2:$B$726,0.6),3,B854&lt;=_xlfn.PERCENTILE.INC($B$2:$B$726,0.8),4,TRUE,1)</f>
        <v>5</v>
      </c>
      <c r="F854" cm="1">
        <f t="array" ref="F854">_xlfn.IFS(C854&gt;=_xlfn.PERCENTILE.INC($C$2:$C$726,0.8),5,C854&gt;=_xlfn.PERCENTILE.INC($C$2:$C$726,0.6),4,C854&gt;=_xlfn.PERCENTILE.INC($C$2:$C$726,0.4),3,C854&gt;=_xlfn.PERCENTILE.INC($C$2:$C$726,0.2),2,TRUE,1)</f>
        <v>4</v>
      </c>
      <c r="G854" cm="1">
        <f t="array" ref="G854">_xlfn.IFS(D854&gt;=_xlfn.PERCENTILE.INC($D$2:$D$726,0.8),5,D854&gt;=_xlfn.PERCENTILE.INC($D$2:$D$726,0.6),4,D854&gt;=_xlfn.PERCENTILE.INC($D$2:$D$726,0.4),3,D854&gt;=_xlfn.PERCENTILE.INC($D$2:$D$726,0.2),2,TRUE,1)</f>
        <v>4</v>
      </c>
      <c r="H854">
        <f t="shared" si="13"/>
        <v>13</v>
      </c>
      <c r="I854" t="str" cm="1">
        <f t="array" ref="I854">_xlfn.IFS(H854&gt;=13,"Best Customers",H854&gt;=10,"Loyal Customers",H854&gt;=7,"Potential Loyal Customers",H854&gt;=4,"Need Attention",TRUE,"At Risk")</f>
        <v>Best Customers</v>
      </c>
    </row>
    <row r="855" spans="1:9" x14ac:dyDescent="0.25">
      <c r="A855" t="s">
        <v>817</v>
      </c>
      <c r="B855" s="4">
        <v>501</v>
      </c>
      <c r="C855">
        <v>5</v>
      </c>
      <c r="D855">
        <v>218.3</v>
      </c>
      <c r="E855" cm="1">
        <f t="array" ref="E855">_xlfn.IFS(B855&lt;=_xlfn.PERCENTILE.INC($B$2:$B$726,0.2),5, B855&lt;=_xlfn.PERCENTILE.INC($B$2:$B$726,0.4),4,B855&lt;=_xlfn.PERCENTILE.INC($B$2:$B$726,0.6),3,B855&lt;=_xlfn.PERCENTILE.INC($B$2:$B$726,0.8),4,TRUE,1)</f>
        <v>3</v>
      </c>
      <c r="F855" cm="1">
        <f t="array" ref="F855">_xlfn.IFS(C855&gt;=_xlfn.PERCENTILE.INC($C$2:$C$726,0.8),5,C855&gt;=_xlfn.PERCENTILE.INC($C$2:$C$726,0.6),4,C855&gt;=_xlfn.PERCENTILE.INC($C$2:$C$726,0.4),3,C855&gt;=_xlfn.PERCENTILE.INC($C$2:$C$726,0.2),2,TRUE,1)</f>
        <v>3</v>
      </c>
      <c r="G855" cm="1">
        <f t="array" ref="G855">_xlfn.IFS(D855&gt;=_xlfn.PERCENTILE.INC($D$2:$D$726,0.8),5,D855&gt;=_xlfn.PERCENTILE.INC($D$2:$D$726,0.6),4,D855&gt;=_xlfn.PERCENTILE.INC($D$2:$D$726,0.4),3,D855&gt;=_xlfn.PERCENTILE.INC($D$2:$D$726,0.2),2,TRUE,1)</f>
        <v>2</v>
      </c>
      <c r="H855">
        <f t="shared" si="13"/>
        <v>8</v>
      </c>
      <c r="I855" t="str" cm="1">
        <f t="array" ref="I855">_xlfn.IFS(H855&gt;=13,"Best Customers",H855&gt;=10,"Loyal Customers",H855&gt;=7,"Potential Loyal Customers",H855&gt;=4,"Need Attention",TRUE,"At Risk")</f>
        <v>Potential Loyal Customers</v>
      </c>
    </row>
    <row r="856" spans="1:9" x14ac:dyDescent="0.25">
      <c r="A856" t="s">
        <v>2125</v>
      </c>
      <c r="B856" s="4">
        <v>497</v>
      </c>
      <c r="C856">
        <v>7</v>
      </c>
      <c r="D856">
        <v>205.90000000000003</v>
      </c>
      <c r="E856" cm="1">
        <f t="array" ref="E856">_xlfn.IFS(B856&lt;=_xlfn.PERCENTILE.INC($B$2:$B$726,0.2),5, B856&lt;=_xlfn.PERCENTILE.INC($B$2:$B$726,0.4),4,B856&lt;=_xlfn.PERCENTILE.INC($B$2:$B$726,0.6),3,B856&lt;=_xlfn.PERCENTILE.INC($B$2:$B$726,0.8),4,TRUE,1)</f>
        <v>3</v>
      </c>
      <c r="F856" cm="1">
        <f t="array" ref="F856">_xlfn.IFS(C856&gt;=_xlfn.PERCENTILE.INC($C$2:$C$726,0.8),5,C856&gt;=_xlfn.PERCENTILE.INC($C$2:$C$726,0.6),4,C856&gt;=_xlfn.PERCENTILE.INC($C$2:$C$726,0.4),3,C856&gt;=_xlfn.PERCENTILE.INC($C$2:$C$726,0.2),2,TRUE,1)</f>
        <v>4</v>
      </c>
      <c r="G856" cm="1">
        <f t="array" ref="G856">_xlfn.IFS(D856&gt;=_xlfn.PERCENTILE.INC($D$2:$D$726,0.8),5,D856&gt;=_xlfn.PERCENTILE.INC($D$2:$D$726,0.6),4,D856&gt;=_xlfn.PERCENTILE.INC($D$2:$D$726,0.4),3,D856&gt;=_xlfn.PERCENTILE.INC($D$2:$D$726,0.2),2,TRUE,1)</f>
        <v>2</v>
      </c>
      <c r="H856">
        <f t="shared" si="13"/>
        <v>9</v>
      </c>
      <c r="I856" t="str" cm="1">
        <f t="array" ref="I856">_xlfn.IFS(H856&gt;=13,"Best Customers",H856&gt;=10,"Loyal Customers",H856&gt;=7,"Potential Loyal Customers",H856&gt;=4,"Need Attention",TRUE,"At Risk")</f>
        <v>Potential Loyal Customers</v>
      </c>
    </row>
    <row r="857" spans="1:9" x14ac:dyDescent="0.25">
      <c r="A857" t="s">
        <v>1930</v>
      </c>
      <c r="B857" s="4">
        <v>705</v>
      </c>
      <c r="C857">
        <v>8</v>
      </c>
      <c r="D857">
        <v>345</v>
      </c>
      <c r="E857" cm="1">
        <f t="array" ref="E857">_xlfn.IFS(B857&lt;=_xlfn.PERCENTILE.INC($B$2:$B$726,0.2),5, B857&lt;=_xlfn.PERCENTILE.INC($B$2:$B$726,0.4),4,B857&lt;=_xlfn.PERCENTILE.INC($B$2:$B$726,0.6),3,B857&lt;=_xlfn.PERCENTILE.INC($B$2:$B$726,0.8),4,TRUE,1)</f>
        <v>4</v>
      </c>
      <c r="F857" cm="1">
        <f t="array" ref="F857">_xlfn.IFS(C857&gt;=_xlfn.PERCENTILE.INC($C$2:$C$726,0.8),5,C857&gt;=_xlfn.PERCENTILE.INC($C$2:$C$726,0.6),4,C857&gt;=_xlfn.PERCENTILE.INC($C$2:$C$726,0.4),3,C857&gt;=_xlfn.PERCENTILE.INC($C$2:$C$726,0.2),2,TRUE,1)</f>
        <v>5</v>
      </c>
      <c r="G857" cm="1">
        <f t="array" ref="G857">_xlfn.IFS(D857&gt;=_xlfn.PERCENTILE.INC($D$2:$D$726,0.8),5,D857&gt;=_xlfn.PERCENTILE.INC($D$2:$D$726,0.6),4,D857&gt;=_xlfn.PERCENTILE.INC($D$2:$D$726,0.4),3,D857&gt;=_xlfn.PERCENTILE.INC($D$2:$D$726,0.2),2,TRUE,1)</f>
        <v>4</v>
      </c>
      <c r="H857">
        <f t="shared" si="13"/>
        <v>13</v>
      </c>
      <c r="I857" t="str" cm="1">
        <f t="array" ref="I857">_xlfn.IFS(H857&gt;=13,"Best Customers",H857&gt;=10,"Loyal Customers",H857&gt;=7,"Potential Loyal Customers",H857&gt;=4,"Need Attention",TRUE,"At Risk")</f>
        <v>Best Customers</v>
      </c>
    </row>
    <row r="858" spans="1:9" x14ac:dyDescent="0.25">
      <c r="A858" t="s">
        <v>1735</v>
      </c>
      <c r="B858" s="4">
        <v>499</v>
      </c>
      <c r="C858">
        <v>3</v>
      </c>
      <c r="D858">
        <v>166.6</v>
      </c>
      <c r="E858" cm="1">
        <f t="array" ref="E858">_xlfn.IFS(B858&lt;=_xlfn.PERCENTILE.INC($B$2:$B$726,0.2),5, B858&lt;=_xlfn.PERCENTILE.INC($B$2:$B$726,0.4),4,B858&lt;=_xlfn.PERCENTILE.INC($B$2:$B$726,0.6),3,B858&lt;=_xlfn.PERCENTILE.INC($B$2:$B$726,0.8),4,TRUE,1)</f>
        <v>3</v>
      </c>
      <c r="F858" cm="1">
        <f t="array" ref="F858">_xlfn.IFS(C858&gt;=_xlfn.PERCENTILE.INC($C$2:$C$726,0.8),5,C858&gt;=_xlfn.PERCENTILE.INC($C$2:$C$726,0.6),4,C858&gt;=_xlfn.PERCENTILE.INC($C$2:$C$726,0.4),3,C858&gt;=_xlfn.PERCENTILE.INC($C$2:$C$726,0.2),2,TRUE,1)</f>
        <v>1</v>
      </c>
      <c r="G858" cm="1">
        <f t="array" ref="G858">_xlfn.IFS(D858&gt;=_xlfn.PERCENTILE.INC($D$2:$D$726,0.8),5,D858&gt;=_xlfn.PERCENTILE.INC($D$2:$D$726,0.6),4,D858&gt;=_xlfn.PERCENTILE.INC($D$2:$D$726,0.4),3,D858&gt;=_xlfn.PERCENTILE.INC($D$2:$D$726,0.2),2,TRUE,1)</f>
        <v>2</v>
      </c>
      <c r="H858">
        <f t="shared" si="13"/>
        <v>6</v>
      </c>
      <c r="I858" t="str" cm="1">
        <f t="array" ref="I858">_xlfn.IFS(H858&gt;=13,"Best Customers",H858&gt;=10,"Loyal Customers",H858&gt;=7,"Potential Loyal Customers",H858&gt;=4,"Need Attention",TRUE,"At Risk")</f>
        <v>Need Attention</v>
      </c>
    </row>
    <row r="859" spans="1:9" x14ac:dyDescent="0.25">
      <c r="A859" t="s">
        <v>1785</v>
      </c>
      <c r="B859" s="4">
        <v>357</v>
      </c>
      <c r="C859">
        <v>5</v>
      </c>
      <c r="D859">
        <v>354.7</v>
      </c>
      <c r="E859" cm="1">
        <f t="array" ref="E859">_xlfn.IFS(B859&lt;=_xlfn.PERCENTILE.INC($B$2:$B$726,0.2),5, B859&lt;=_xlfn.PERCENTILE.INC($B$2:$B$726,0.4),4,B859&lt;=_xlfn.PERCENTILE.INC($B$2:$B$726,0.6),3,B859&lt;=_xlfn.PERCENTILE.INC($B$2:$B$726,0.8),4,TRUE,1)</f>
        <v>5</v>
      </c>
      <c r="F859" cm="1">
        <f t="array" ref="F859">_xlfn.IFS(C859&gt;=_xlfn.PERCENTILE.INC($C$2:$C$726,0.8),5,C859&gt;=_xlfn.PERCENTILE.INC($C$2:$C$726,0.6),4,C859&gt;=_xlfn.PERCENTILE.INC($C$2:$C$726,0.4),3,C859&gt;=_xlfn.PERCENTILE.INC($C$2:$C$726,0.2),2,TRUE,1)</f>
        <v>3</v>
      </c>
      <c r="G859" cm="1">
        <f t="array" ref="G859">_xlfn.IFS(D859&gt;=_xlfn.PERCENTILE.INC($D$2:$D$726,0.8),5,D859&gt;=_xlfn.PERCENTILE.INC($D$2:$D$726,0.6),4,D859&gt;=_xlfn.PERCENTILE.INC($D$2:$D$726,0.4),3,D859&gt;=_xlfn.PERCENTILE.INC($D$2:$D$726,0.2),2,TRUE,1)</f>
        <v>4</v>
      </c>
      <c r="H859">
        <f t="shared" si="13"/>
        <v>12</v>
      </c>
      <c r="I859" t="str" cm="1">
        <f t="array" ref="I859">_xlfn.IFS(H859&gt;=13,"Best Customers",H859&gt;=10,"Loyal Customers",H859&gt;=7,"Potential Loyal Customers",H859&gt;=4,"Need Attention",TRUE,"At Risk")</f>
        <v>Loyal Customers</v>
      </c>
    </row>
    <row r="860" spans="1:9" x14ac:dyDescent="0.25">
      <c r="A860" t="s">
        <v>1214</v>
      </c>
      <c r="B860" s="4">
        <v>559</v>
      </c>
      <c r="C860">
        <v>10</v>
      </c>
      <c r="D860">
        <v>330.09999999999997</v>
      </c>
      <c r="E860" cm="1">
        <f t="array" ref="E860">_xlfn.IFS(B860&lt;=_xlfn.PERCENTILE.INC($B$2:$B$726,0.2),5, B860&lt;=_xlfn.PERCENTILE.INC($B$2:$B$726,0.4),4,B860&lt;=_xlfn.PERCENTILE.INC($B$2:$B$726,0.6),3,B860&lt;=_xlfn.PERCENTILE.INC($B$2:$B$726,0.8),4,TRUE,1)</f>
        <v>3</v>
      </c>
      <c r="F860" cm="1">
        <f t="array" ref="F860">_xlfn.IFS(C860&gt;=_xlfn.PERCENTILE.INC($C$2:$C$726,0.8),5,C860&gt;=_xlfn.PERCENTILE.INC($C$2:$C$726,0.6),4,C860&gt;=_xlfn.PERCENTILE.INC($C$2:$C$726,0.4),3,C860&gt;=_xlfn.PERCENTILE.INC($C$2:$C$726,0.2),2,TRUE,1)</f>
        <v>5</v>
      </c>
      <c r="G860" cm="1">
        <f t="array" ref="G860">_xlfn.IFS(D860&gt;=_xlfn.PERCENTILE.INC($D$2:$D$726,0.8),5,D860&gt;=_xlfn.PERCENTILE.INC($D$2:$D$726,0.6),4,D860&gt;=_xlfn.PERCENTILE.INC($D$2:$D$726,0.4),3,D860&gt;=_xlfn.PERCENTILE.INC($D$2:$D$726,0.2),2,TRUE,1)</f>
        <v>4</v>
      </c>
      <c r="H860">
        <f t="shared" si="13"/>
        <v>12</v>
      </c>
      <c r="I860" t="str" cm="1">
        <f t="array" ref="I860">_xlfn.IFS(H860&gt;=13,"Best Customers",H860&gt;=10,"Loyal Customers",H860&gt;=7,"Potential Loyal Customers",H860&gt;=4,"Need Attention",TRUE,"At Risk")</f>
        <v>Loyal Customers</v>
      </c>
    </row>
    <row r="861" spans="1:9" x14ac:dyDescent="0.25">
      <c r="A861" t="s">
        <v>2453</v>
      </c>
      <c r="B861" s="4">
        <v>787</v>
      </c>
      <c r="C861">
        <v>4</v>
      </c>
      <c r="D861">
        <v>545.79999999999995</v>
      </c>
      <c r="E861" cm="1">
        <f t="array" ref="E861">_xlfn.IFS(B861&lt;=_xlfn.PERCENTILE.INC($B$2:$B$726,0.2),5, B861&lt;=_xlfn.PERCENTILE.INC($B$2:$B$726,0.4),4,B861&lt;=_xlfn.PERCENTILE.INC($B$2:$B$726,0.6),3,B861&lt;=_xlfn.PERCENTILE.INC($B$2:$B$726,0.8),4,TRUE,1)</f>
        <v>1</v>
      </c>
      <c r="F861" cm="1">
        <f t="array" ref="F861">_xlfn.IFS(C861&gt;=_xlfn.PERCENTILE.INC($C$2:$C$726,0.8),5,C861&gt;=_xlfn.PERCENTILE.INC($C$2:$C$726,0.6),4,C861&gt;=_xlfn.PERCENTILE.INC($C$2:$C$726,0.4),3,C861&gt;=_xlfn.PERCENTILE.INC($C$2:$C$726,0.2),2,TRUE,1)</f>
        <v>2</v>
      </c>
      <c r="G861" cm="1">
        <f t="array" ref="G861">_xlfn.IFS(D861&gt;=_xlfn.PERCENTILE.INC($D$2:$D$726,0.8),5,D861&gt;=_xlfn.PERCENTILE.INC($D$2:$D$726,0.6),4,D861&gt;=_xlfn.PERCENTILE.INC($D$2:$D$726,0.4),3,D861&gt;=_xlfn.PERCENTILE.INC($D$2:$D$726,0.2),2,TRUE,1)</f>
        <v>5</v>
      </c>
      <c r="H861">
        <f t="shared" si="13"/>
        <v>8</v>
      </c>
      <c r="I861" t="str" cm="1">
        <f t="array" ref="I861">_xlfn.IFS(H861&gt;=13,"Best Customers",H861&gt;=10,"Loyal Customers",H861&gt;=7,"Potential Loyal Customers",H861&gt;=4,"Need Attention",TRUE,"At Risk")</f>
        <v>Potential Loyal Customers</v>
      </c>
    </row>
    <row r="862" spans="1:9" x14ac:dyDescent="0.25">
      <c r="A862" t="s">
        <v>3148</v>
      </c>
      <c r="B862" s="4">
        <v>381</v>
      </c>
      <c r="C862">
        <v>6</v>
      </c>
      <c r="D862">
        <v>524.5</v>
      </c>
      <c r="E862" cm="1">
        <f t="array" ref="E862">_xlfn.IFS(B862&lt;=_xlfn.PERCENTILE.INC($B$2:$B$726,0.2),5, B862&lt;=_xlfn.PERCENTILE.INC($B$2:$B$726,0.4),4,B862&lt;=_xlfn.PERCENTILE.INC($B$2:$B$726,0.6),3,B862&lt;=_xlfn.PERCENTILE.INC($B$2:$B$726,0.8),4,TRUE,1)</f>
        <v>5</v>
      </c>
      <c r="F862" cm="1">
        <f t="array" ref="F862">_xlfn.IFS(C862&gt;=_xlfn.PERCENTILE.INC($C$2:$C$726,0.8),5,C862&gt;=_xlfn.PERCENTILE.INC($C$2:$C$726,0.6),4,C862&gt;=_xlfn.PERCENTILE.INC($C$2:$C$726,0.4),3,C862&gt;=_xlfn.PERCENTILE.INC($C$2:$C$726,0.2),2,TRUE,1)</f>
        <v>4</v>
      </c>
      <c r="G862" cm="1">
        <f t="array" ref="G862">_xlfn.IFS(D862&gt;=_xlfn.PERCENTILE.INC($D$2:$D$726,0.8),5,D862&gt;=_xlfn.PERCENTILE.INC($D$2:$D$726,0.6),4,D862&gt;=_xlfn.PERCENTILE.INC($D$2:$D$726,0.4),3,D862&gt;=_xlfn.PERCENTILE.INC($D$2:$D$726,0.2),2,TRUE,1)</f>
        <v>5</v>
      </c>
      <c r="H862">
        <f t="shared" si="13"/>
        <v>14</v>
      </c>
      <c r="I862" t="str" cm="1">
        <f t="array" ref="I862">_xlfn.IFS(H862&gt;=13,"Best Customers",H862&gt;=10,"Loyal Customers",H862&gt;=7,"Potential Loyal Customers",H862&gt;=4,"Need Attention",TRUE,"At Risk")</f>
        <v>Best Customers</v>
      </c>
    </row>
    <row r="863" spans="1:9" x14ac:dyDescent="0.25">
      <c r="A863" t="s">
        <v>1100</v>
      </c>
      <c r="B863" s="4">
        <v>618</v>
      </c>
      <c r="C863">
        <v>6</v>
      </c>
      <c r="D863">
        <v>171.9</v>
      </c>
      <c r="E863" cm="1">
        <f t="array" ref="E863">_xlfn.IFS(B863&lt;=_xlfn.PERCENTILE.INC($B$2:$B$726,0.2),5, B863&lt;=_xlfn.PERCENTILE.INC($B$2:$B$726,0.4),4,B863&lt;=_xlfn.PERCENTILE.INC($B$2:$B$726,0.6),3,B863&lt;=_xlfn.PERCENTILE.INC($B$2:$B$726,0.8),4,TRUE,1)</f>
        <v>4</v>
      </c>
      <c r="F863" cm="1">
        <f t="array" ref="F863">_xlfn.IFS(C863&gt;=_xlfn.PERCENTILE.INC($C$2:$C$726,0.8),5,C863&gt;=_xlfn.PERCENTILE.INC($C$2:$C$726,0.6),4,C863&gt;=_xlfn.PERCENTILE.INC($C$2:$C$726,0.4),3,C863&gt;=_xlfn.PERCENTILE.INC($C$2:$C$726,0.2),2,TRUE,1)</f>
        <v>4</v>
      </c>
      <c r="G863" cm="1">
        <f t="array" ref="G863">_xlfn.IFS(D863&gt;=_xlfn.PERCENTILE.INC($D$2:$D$726,0.8),5,D863&gt;=_xlfn.PERCENTILE.INC($D$2:$D$726,0.6),4,D863&gt;=_xlfn.PERCENTILE.INC($D$2:$D$726,0.4),3,D863&gt;=_xlfn.PERCENTILE.INC($D$2:$D$726,0.2),2,TRUE,1)</f>
        <v>2</v>
      </c>
      <c r="H863">
        <f t="shared" si="13"/>
        <v>10</v>
      </c>
      <c r="I863" t="str" cm="1">
        <f t="array" ref="I863">_xlfn.IFS(H863&gt;=13,"Best Customers",H863&gt;=10,"Loyal Customers",H863&gt;=7,"Potential Loyal Customers",H863&gt;=4,"Need Attention",TRUE,"At Risk")</f>
        <v>Loyal Customers</v>
      </c>
    </row>
    <row r="864" spans="1:9" x14ac:dyDescent="0.25">
      <c r="A864" t="s">
        <v>2636</v>
      </c>
      <c r="B864" s="4">
        <v>412</v>
      </c>
      <c r="C864">
        <v>5</v>
      </c>
      <c r="D864">
        <v>345.6</v>
      </c>
      <c r="E864" cm="1">
        <f t="array" ref="E864">_xlfn.IFS(B864&lt;=_xlfn.PERCENTILE.INC($B$2:$B$726,0.2),5, B864&lt;=_xlfn.PERCENTILE.INC($B$2:$B$726,0.4),4,B864&lt;=_xlfn.PERCENTILE.INC($B$2:$B$726,0.6),3,B864&lt;=_xlfn.PERCENTILE.INC($B$2:$B$726,0.8),4,TRUE,1)</f>
        <v>4</v>
      </c>
      <c r="F864" cm="1">
        <f t="array" ref="F864">_xlfn.IFS(C864&gt;=_xlfn.PERCENTILE.INC($C$2:$C$726,0.8),5,C864&gt;=_xlfn.PERCENTILE.INC($C$2:$C$726,0.6),4,C864&gt;=_xlfn.PERCENTILE.INC($C$2:$C$726,0.4),3,C864&gt;=_xlfn.PERCENTILE.INC($C$2:$C$726,0.2),2,TRUE,1)</f>
        <v>3</v>
      </c>
      <c r="G864" cm="1">
        <f t="array" ref="G864">_xlfn.IFS(D864&gt;=_xlfn.PERCENTILE.INC($D$2:$D$726,0.8),5,D864&gt;=_xlfn.PERCENTILE.INC($D$2:$D$726,0.6),4,D864&gt;=_xlfn.PERCENTILE.INC($D$2:$D$726,0.4),3,D864&gt;=_xlfn.PERCENTILE.INC($D$2:$D$726,0.2),2,TRUE,1)</f>
        <v>4</v>
      </c>
      <c r="H864">
        <f t="shared" si="13"/>
        <v>11</v>
      </c>
      <c r="I864" t="str" cm="1">
        <f t="array" ref="I864">_xlfn.IFS(H864&gt;=13,"Best Customers",H864&gt;=10,"Loyal Customers",H864&gt;=7,"Potential Loyal Customers",H864&gt;=4,"Need Attention",TRUE,"At Risk")</f>
        <v>Loyal Customers</v>
      </c>
    </row>
    <row r="865" spans="1:9" x14ac:dyDescent="0.25">
      <c r="A865" t="s">
        <v>1576</v>
      </c>
      <c r="B865" s="4">
        <v>495</v>
      </c>
      <c r="C865">
        <v>4</v>
      </c>
      <c r="D865">
        <v>97.4</v>
      </c>
      <c r="E865" cm="1">
        <f t="array" ref="E865">_xlfn.IFS(B865&lt;=_xlfn.PERCENTILE.INC($B$2:$B$726,0.2),5, B865&lt;=_xlfn.PERCENTILE.INC($B$2:$B$726,0.4),4,B865&lt;=_xlfn.PERCENTILE.INC($B$2:$B$726,0.6),3,B865&lt;=_xlfn.PERCENTILE.INC($B$2:$B$726,0.8),4,TRUE,1)</f>
        <v>3</v>
      </c>
      <c r="F865" cm="1">
        <f t="array" ref="F865">_xlfn.IFS(C865&gt;=_xlfn.PERCENTILE.INC($C$2:$C$726,0.8),5,C865&gt;=_xlfn.PERCENTILE.INC($C$2:$C$726,0.6),4,C865&gt;=_xlfn.PERCENTILE.INC($C$2:$C$726,0.4),3,C865&gt;=_xlfn.PERCENTILE.INC($C$2:$C$726,0.2),2,TRUE,1)</f>
        <v>2</v>
      </c>
      <c r="G865" cm="1">
        <f t="array" ref="G865">_xlfn.IFS(D865&gt;=_xlfn.PERCENTILE.INC($D$2:$D$726,0.8),5,D865&gt;=_xlfn.PERCENTILE.INC($D$2:$D$726,0.6),4,D865&gt;=_xlfn.PERCENTILE.INC($D$2:$D$726,0.4),3,D865&gt;=_xlfn.PERCENTILE.INC($D$2:$D$726,0.2),2,TRUE,1)</f>
        <v>1</v>
      </c>
      <c r="H865">
        <f t="shared" si="13"/>
        <v>6</v>
      </c>
      <c r="I865" t="str" cm="1">
        <f t="array" ref="I865">_xlfn.IFS(H865&gt;=13,"Best Customers",H865&gt;=10,"Loyal Customers",H865&gt;=7,"Potential Loyal Customers",H865&gt;=4,"Need Attention",TRUE,"At Risk")</f>
        <v>Need Attention</v>
      </c>
    </row>
    <row r="866" spans="1:9" x14ac:dyDescent="0.25">
      <c r="A866" t="s">
        <v>2491</v>
      </c>
      <c r="B866" s="4">
        <v>384</v>
      </c>
      <c r="C866">
        <v>7</v>
      </c>
      <c r="D866">
        <v>528</v>
      </c>
      <c r="E866" cm="1">
        <f t="array" ref="E866">_xlfn.IFS(B866&lt;=_xlfn.PERCENTILE.INC($B$2:$B$726,0.2),5, B866&lt;=_xlfn.PERCENTILE.INC($B$2:$B$726,0.4),4,B866&lt;=_xlfn.PERCENTILE.INC($B$2:$B$726,0.6),3,B866&lt;=_xlfn.PERCENTILE.INC($B$2:$B$726,0.8),4,TRUE,1)</f>
        <v>5</v>
      </c>
      <c r="F866" cm="1">
        <f t="array" ref="F866">_xlfn.IFS(C866&gt;=_xlfn.PERCENTILE.INC($C$2:$C$726,0.8),5,C866&gt;=_xlfn.PERCENTILE.INC($C$2:$C$726,0.6),4,C866&gt;=_xlfn.PERCENTILE.INC($C$2:$C$726,0.4),3,C866&gt;=_xlfn.PERCENTILE.INC($C$2:$C$726,0.2),2,TRUE,1)</f>
        <v>4</v>
      </c>
      <c r="G866" cm="1">
        <f t="array" ref="G866">_xlfn.IFS(D866&gt;=_xlfn.PERCENTILE.INC($D$2:$D$726,0.8),5,D866&gt;=_xlfn.PERCENTILE.INC($D$2:$D$726,0.6),4,D866&gt;=_xlfn.PERCENTILE.INC($D$2:$D$726,0.4),3,D866&gt;=_xlfn.PERCENTILE.INC($D$2:$D$726,0.2),2,TRUE,1)</f>
        <v>5</v>
      </c>
      <c r="H866">
        <f t="shared" si="13"/>
        <v>14</v>
      </c>
      <c r="I866" t="str" cm="1">
        <f t="array" ref="I866">_xlfn.IFS(H866&gt;=13,"Best Customers",H866&gt;=10,"Loyal Customers",H866&gt;=7,"Potential Loyal Customers",H866&gt;=4,"Need Attention",TRUE,"At Risk")</f>
        <v>Best Customers</v>
      </c>
    </row>
    <row r="867" spans="1:9" x14ac:dyDescent="0.25">
      <c r="A867" t="s">
        <v>2569</v>
      </c>
      <c r="B867" s="4">
        <v>525</v>
      </c>
      <c r="C867">
        <v>8</v>
      </c>
      <c r="D867">
        <v>299.2</v>
      </c>
      <c r="E867" cm="1">
        <f t="array" ref="E867">_xlfn.IFS(B867&lt;=_xlfn.PERCENTILE.INC($B$2:$B$726,0.2),5, B867&lt;=_xlfn.PERCENTILE.INC($B$2:$B$726,0.4),4,B867&lt;=_xlfn.PERCENTILE.INC($B$2:$B$726,0.6),3,B867&lt;=_xlfn.PERCENTILE.INC($B$2:$B$726,0.8),4,TRUE,1)</f>
        <v>3</v>
      </c>
      <c r="F867" cm="1">
        <f t="array" ref="F867">_xlfn.IFS(C867&gt;=_xlfn.PERCENTILE.INC($C$2:$C$726,0.8),5,C867&gt;=_xlfn.PERCENTILE.INC($C$2:$C$726,0.6),4,C867&gt;=_xlfn.PERCENTILE.INC($C$2:$C$726,0.4),3,C867&gt;=_xlfn.PERCENTILE.INC($C$2:$C$726,0.2),2,TRUE,1)</f>
        <v>5</v>
      </c>
      <c r="G867" cm="1">
        <f t="array" ref="G867">_xlfn.IFS(D867&gt;=_xlfn.PERCENTILE.INC($D$2:$D$726,0.8),5,D867&gt;=_xlfn.PERCENTILE.INC($D$2:$D$726,0.6),4,D867&gt;=_xlfn.PERCENTILE.INC($D$2:$D$726,0.4),3,D867&gt;=_xlfn.PERCENTILE.INC($D$2:$D$726,0.2),2,TRUE,1)</f>
        <v>3</v>
      </c>
      <c r="H867">
        <f t="shared" si="13"/>
        <v>11</v>
      </c>
      <c r="I867" t="str" cm="1">
        <f t="array" ref="I867">_xlfn.IFS(H867&gt;=13,"Best Customers",H867&gt;=10,"Loyal Customers",H867&gt;=7,"Potential Loyal Customers",H867&gt;=4,"Need Attention",TRUE,"At Risk")</f>
        <v>Loyal Customers</v>
      </c>
    </row>
    <row r="868" spans="1:9" x14ac:dyDescent="0.25">
      <c r="A868" t="s">
        <v>2353</v>
      </c>
      <c r="B868" s="4">
        <v>368</v>
      </c>
      <c r="C868">
        <v>7</v>
      </c>
      <c r="D868">
        <v>153.19999999999996</v>
      </c>
      <c r="E868" cm="1">
        <f t="array" ref="E868">_xlfn.IFS(B868&lt;=_xlfn.PERCENTILE.INC($B$2:$B$726,0.2),5, B868&lt;=_xlfn.PERCENTILE.INC($B$2:$B$726,0.4),4,B868&lt;=_xlfn.PERCENTILE.INC($B$2:$B$726,0.6),3,B868&lt;=_xlfn.PERCENTILE.INC($B$2:$B$726,0.8),4,TRUE,1)</f>
        <v>5</v>
      </c>
      <c r="F868" cm="1">
        <f t="array" ref="F868">_xlfn.IFS(C868&gt;=_xlfn.PERCENTILE.INC($C$2:$C$726,0.8),5,C868&gt;=_xlfn.PERCENTILE.INC($C$2:$C$726,0.6),4,C868&gt;=_xlfn.PERCENTILE.INC($C$2:$C$726,0.4),3,C868&gt;=_xlfn.PERCENTILE.INC($C$2:$C$726,0.2),2,TRUE,1)</f>
        <v>4</v>
      </c>
      <c r="G868" cm="1">
        <f t="array" ref="G868">_xlfn.IFS(D868&gt;=_xlfn.PERCENTILE.INC($D$2:$D$726,0.8),5,D868&gt;=_xlfn.PERCENTILE.INC($D$2:$D$726,0.6),4,D868&gt;=_xlfn.PERCENTILE.INC($D$2:$D$726,0.4),3,D868&gt;=_xlfn.PERCENTILE.INC($D$2:$D$726,0.2),2,TRUE,1)</f>
        <v>1</v>
      </c>
      <c r="H868">
        <f t="shared" si="13"/>
        <v>10</v>
      </c>
      <c r="I868" t="str" cm="1">
        <f t="array" ref="I868">_xlfn.IFS(H868&gt;=13,"Best Customers",H868&gt;=10,"Loyal Customers",H868&gt;=7,"Potential Loyal Customers",H868&gt;=4,"Need Attention",TRUE,"At Risk")</f>
        <v>Loyal Customers</v>
      </c>
    </row>
    <row r="869" spans="1:9" x14ac:dyDescent="0.25">
      <c r="A869" t="s">
        <v>1532</v>
      </c>
      <c r="B869" s="4">
        <v>537</v>
      </c>
      <c r="C869">
        <v>7</v>
      </c>
      <c r="D869">
        <v>347.1</v>
      </c>
      <c r="E869" cm="1">
        <f t="array" ref="E869">_xlfn.IFS(B869&lt;=_xlfn.PERCENTILE.INC($B$2:$B$726,0.2),5, B869&lt;=_xlfn.PERCENTILE.INC($B$2:$B$726,0.4),4,B869&lt;=_xlfn.PERCENTILE.INC($B$2:$B$726,0.6),3,B869&lt;=_xlfn.PERCENTILE.INC($B$2:$B$726,0.8),4,TRUE,1)</f>
        <v>3</v>
      </c>
      <c r="F869" cm="1">
        <f t="array" ref="F869">_xlfn.IFS(C869&gt;=_xlfn.PERCENTILE.INC($C$2:$C$726,0.8),5,C869&gt;=_xlfn.PERCENTILE.INC($C$2:$C$726,0.6),4,C869&gt;=_xlfn.PERCENTILE.INC($C$2:$C$726,0.4),3,C869&gt;=_xlfn.PERCENTILE.INC($C$2:$C$726,0.2),2,TRUE,1)</f>
        <v>4</v>
      </c>
      <c r="G869" cm="1">
        <f t="array" ref="G869">_xlfn.IFS(D869&gt;=_xlfn.PERCENTILE.INC($D$2:$D$726,0.8),5,D869&gt;=_xlfn.PERCENTILE.INC($D$2:$D$726,0.6),4,D869&gt;=_xlfn.PERCENTILE.INC($D$2:$D$726,0.4),3,D869&gt;=_xlfn.PERCENTILE.INC($D$2:$D$726,0.2),2,TRUE,1)</f>
        <v>4</v>
      </c>
      <c r="H869">
        <f t="shared" si="13"/>
        <v>11</v>
      </c>
      <c r="I869" t="str" cm="1">
        <f t="array" ref="I869">_xlfn.IFS(H869&gt;=13,"Best Customers",H869&gt;=10,"Loyal Customers",H869&gt;=7,"Potential Loyal Customers",H869&gt;=4,"Need Attention",TRUE,"At Risk")</f>
        <v>Loyal Customers</v>
      </c>
    </row>
    <row r="870" spans="1:9" x14ac:dyDescent="0.25">
      <c r="A870" t="s">
        <v>3208</v>
      </c>
      <c r="B870" s="4">
        <v>363</v>
      </c>
      <c r="C870">
        <v>7</v>
      </c>
      <c r="D870">
        <v>270.5</v>
      </c>
      <c r="E870" cm="1">
        <f t="array" ref="E870">_xlfn.IFS(B870&lt;=_xlfn.PERCENTILE.INC($B$2:$B$726,0.2),5, B870&lt;=_xlfn.PERCENTILE.INC($B$2:$B$726,0.4),4,B870&lt;=_xlfn.PERCENTILE.INC($B$2:$B$726,0.6),3,B870&lt;=_xlfn.PERCENTILE.INC($B$2:$B$726,0.8),4,TRUE,1)</f>
        <v>5</v>
      </c>
      <c r="F870" cm="1">
        <f t="array" ref="F870">_xlfn.IFS(C870&gt;=_xlfn.PERCENTILE.INC($C$2:$C$726,0.8),5,C870&gt;=_xlfn.PERCENTILE.INC($C$2:$C$726,0.6),4,C870&gt;=_xlfn.PERCENTILE.INC($C$2:$C$726,0.4),3,C870&gt;=_xlfn.PERCENTILE.INC($C$2:$C$726,0.2),2,TRUE,1)</f>
        <v>4</v>
      </c>
      <c r="G870" cm="1">
        <f t="array" ref="G870">_xlfn.IFS(D870&gt;=_xlfn.PERCENTILE.INC($D$2:$D$726,0.8),5,D870&gt;=_xlfn.PERCENTILE.INC($D$2:$D$726,0.6),4,D870&gt;=_xlfn.PERCENTILE.INC($D$2:$D$726,0.4),3,D870&gt;=_xlfn.PERCENTILE.INC($D$2:$D$726,0.2),2,TRUE,1)</f>
        <v>3</v>
      </c>
      <c r="H870">
        <f t="shared" si="13"/>
        <v>12</v>
      </c>
      <c r="I870" t="str" cm="1">
        <f t="array" ref="I870">_xlfn.IFS(H870&gt;=13,"Best Customers",H870&gt;=10,"Loyal Customers",H870&gt;=7,"Potential Loyal Customers",H870&gt;=4,"Need Attention",TRUE,"At Risk")</f>
        <v>Loyal Customers</v>
      </c>
    </row>
    <row r="871" spans="1:9" x14ac:dyDescent="0.25">
      <c r="A871" t="s">
        <v>994</v>
      </c>
      <c r="B871" s="4">
        <v>808</v>
      </c>
      <c r="C871">
        <v>6</v>
      </c>
      <c r="D871">
        <v>288.60000000000002</v>
      </c>
      <c r="E871" cm="1">
        <f t="array" ref="E871">_xlfn.IFS(B871&lt;=_xlfn.PERCENTILE.INC($B$2:$B$726,0.2),5, B871&lt;=_xlfn.PERCENTILE.INC($B$2:$B$726,0.4),4,B871&lt;=_xlfn.PERCENTILE.INC($B$2:$B$726,0.6),3,B871&lt;=_xlfn.PERCENTILE.INC($B$2:$B$726,0.8),4,TRUE,1)</f>
        <v>1</v>
      </c>
      <c r="F871" cm="1">
        <f t="array" ref="F871">_xlfn.IFS(C871&gt;=_xlfn.PERCENTILE.INC($C$2:$C$726,0.8),5,C871&gt;=_xlfn.PERCENTILE.INC($C$2:$C$726,0.6),4,C871&gt;=_xlfn.PERCENTILE.INC($C$2:$C$726,0.4),3,C871&gt;=_xlfn.PERCENTILE.INC($C$2:$C$726,0.2),2,TRUE,1)</f>
        <v>4</v>
      </c>
      <c r="G871" cm="1">
        <f t="array" ref="G871">_xlfn.IFS(D871&gt;=_xlfn.PERCENTILE.INC($D$2:$D$726,0.8),5,D871&gt;=_xlfn.PERCENTILE.INC($D$2:$D$726,0.6),4,D871&gt;=_xlfn.PERCENTILE.INC($D$2:$D$726,0.4),3,D871&gt;=_xlfn.PERCENTILE.INC($D$2:$D$726,0.2),2,TRUE,1)</f>
        <v>3</v>
      </c>
      <c r="H871">
        <f t="shared" si="13"/>
        <v>8</v>
      </c>
      <c r="I871" t="str" cm="1">
        <f t="array" ref="I871">_xlfn.IFS(H871&gt;=13,"Best Customers",H871&gt;=10,"Loyal Customers",H871&gt;=7,"Potential Loyal Customers",H871&gt;=4,"Need Attention",TRUE,"At Risk")</f>
        <v>Potential Loyal Customers</v>
      </c>
    </row>
    <row r="872" spans="1:9" x14ac:dyDescent="0.25">
      <c r="A872" t="s">
        <v>1476</v>
      </c>
      <c r="B872" s="4">
        <v>509</v>
      </c>
      <c r="C872">
        <v>5</v>
      </c>
      <c r="D872">
        <v>125.6</v>
      </c>
      <c r="E872" cm="1">
        <f t="array" ref="E872">_xlfn.IFS(B872&lt;=_xlfn.PERCENTILE.INC($B$2:$B$726,0.2),5, B872&lt;=_xlfn.PERCENTILE.INC($B$2:$B$726,0.4),4,B872&lt;=_xlfn.PERCENTILE.INC($B$2:$B$726,0.6),3,B872&lt;=_xlfn.PERCENTILE.INC($B$2:$B$726,0.8),4,TRUE,1)</f>
        <v>3</v>
      </c>
      <c r="F872" cm="1">
        <f t="array" ref="F872">_xlfn.IFS(C872&gt;=_xlfn.PERCENTILE.INC($C$2:$C$726,0.8),5,C872&gt;=_xlfn.PERCENTILE.INC($C$2:$C$726,0.6),4,C872&gt;=_xlfn.PERCENTILE.INC($C$2:$C$726,0.4),3,C872&gt;=_xlfn.PERCENTILE.INC($C$2:$C$726,0.2),2,TRUE,1)</f>
        <v>3</v>
      </c>
      <c r="G872" cm="1">
        <f t="array" ref="G872">_xlfn.IFS(D872&gt;=_xlfn.PERCENTILE.INC($D$2:$D$726,0.8),5,D872&gt;=_xlfn.PERCENTILE.INC($D$2:$D$726,0.6),4,D872&gt;=_xlfn.PERCENTILE.INC($D$2:$D$726,0.4),3,D872&gt;=_xlfn.PERCENTILE.INC($D$2:$D$726,0.2),2,TRUE,1)</f>
        <v>1</v>
      </c>
      <c r="H872">
        <f t="shared" si="13"/>
        <v>7</v>
      </c>
      <c r="I872" t="str" cm="1">
        <f t="array" ref="I872">_xlfn.IFS(H872&gt;=13,"Best Customers",H872&gt;=10,"Loyal Customers",H872&gt;=7,"Potential Loyal Customers",H872&gt;=4,"Need Attention",TRUE,"At Risk")</f>
        <v>Potential Loyal Customers</v>
      </c>
    </row>
    <row r="873" spans="1:9" x14ac:dyDescent="0.25">
      <c r="A873" t="s">
        <v>3243</v>
      </c>
      <c r="B873" s="4">
        <v>724</v>
      </c>
      <c r="C873">
        <v>6</v>
      </c>
      <c r="D873">
        <v>172.70000000000002</v>
      </c>
      <c r="E873" cm="1">
        <f t="array" ref="E873">_xlfn.IFS(B873&lt;=_xlfn.PERCENTILE.INC($B$2:$B$726,0.2),5, B873&lt;=_xlfn.PERCENTILE.INC($B$2:$B$726,0.4),4,B873&lt;=_xlfn.PERCENTILE.INC($B$2:$B$726,0.6),3,B873&lt;=_xlfn.PERCENTILE.INC($B$2:$B$726,0.8),4,TRUE,1)</f>
        <v>4</v>
      </c>
      <c r="F873" cm="1">
        <f t="array" ref="F873">_xlfn.IFS(C873&gt;=_xlfn.PERCENTILE.INC($C$2:$C$726,0.8),5,C873&gt;=_xlfn.PERCENTILE.INC($C$2:$C$726,0.6),4,C873&gt;=_xlfn.PERCENTILE.INC($C$2:$C$726,0.4),3,C873&gt;=_xlfn.PERCENTILE.INC($C$2:$C$726,0.2),2,TRUE,1)</f>
        <v>4</v>
      </c>
      <c r="G873" cm="1">
        <f t="array" ref="G873">_xlfn.IFS(D873&gt;=_xlfn.PERCENTILE.INC($D$2:$D$726,0.8),5,D873&gt;=_xlfn.PERCENTILE.INC($D$2:$D$726,0.6),4,D873&gt;=_xlfn.PERCENTILE.INC($D$2:$D$726,0.4),3,D873&gt;=_xlfn.PERCENTILE.INC($D$2:$D$726,0.2),2,TRUE,1)</f>
        <v>2</v>
      </c>
      <c r="H873">
        <f t="shared" si="13"/>
        <v>10</v>
      </c>
      <c r="I873" t="str" cm="1">
        <f t="array" ref="I873">_xlfn.IFS(H873&gt;=13,"Best Customers",H873&gt;=10,"Loyal Customers",H873&gt;=7,"Potential Loyal Customers",H873&gt;=4,"Need Attention",TRUE,"At Risk")</f>
        <v>Loyal Customers</v>
      </c>
    </row>
    <row r="874" spans="1:9" x14ac:dyDescent="0.25">
      <c r="A874" t="s">
        <v>3360</v>
      </c>
      <c r="B874" s="4">
        <v>368</v>
      </c>
      <c r="C874">
        <v>4</v>
      </c>
      <c r="D874">
        <v>129.5</v>
      </c>
      <c r="E874" cm="1">
        <f t="array" ref="E874">_xlfn.IFS(B874&lt;=_xlfn.PERCENTILE.INC($B$2:$B$726,0.2),5, B874&lt;=_xlfn.PERCENTILE.INC($B$2:$B$726,0.4),4,B874&lt;=_xlfn.PERCENTILE.INC($B$2:$B$726,0.6),3,B874&lt;=_xlfn.PERCENTILE.INC($B$2:$B$726,0.8),4,TRUE,1)</f>
        <v>5</v>
      </c>
      <c r="F874" cm="1">
        <f t="array" ref="F874">_xlfn.IFS(C874&gt;=_xlfn.PERCENTILE.INC($C$2:$C$726,0.8),5,C874&gt;=_xlfn.PERCENTILE.INC($C$2:$C$726,0.6),4,C874&gt;=_xlfn.PERCENTILE.INC($C$2:$C$726,0.4),3,C874&gt;=_xlfn.PERCENTILE.INC($C$2:$C$726,0.2),2,TRUE,1)</f>
        <v>2</v>
      </c>
      <c r="G874" cm="1">
        <f t="array" ref="G874">_xlfn.IFS(D874&gt;=_xlfn.PERCENTILE.INC($D$2:$D$726,0.8),5,D874&gt;=_xlfn.PERCENTILE.INC($D$2:$D$726,0.6),4,D874&gt;=_xlfn.PERCENTILE.INC($D$2:$D$726,0.4),3,D874&gt;=_xlfn.PERCENTILE.INC($D$2:$D$726,0.2),2,TRUE,1)</f>
        <v>1</v>
      </c>
      <c r="H874">
        <f t="shared" si="13"/>
        <v>8</v>
      </c>
      <c r="I874" t="str" cm="1">
        <f t="array" ref="I874">_xlfn.IFS(H874&gt;=13,"Best Customers",H874&gt;=10,"Loyal Customers",H874&gt;=7,"Potential Loyal Customers",H874&gt;=4,"Need Attention",TRUE,"At Risk")</f>
        <v>Potential Loyal Customers</v>
      </c>
    </row>
    <row r="875" spans="1:9" x14ac:dyDescent="0.25">
      <c r="A875" t="s">
        <v>2554</v>
      </c>
      <c r="B875" s="4">
        <v>369</v>
      </c>
      <c r="C875">
        <v>7</v>
      </c>
      <c r="D875">
        <v>198.29999999999998</v>
      </c>
      <c r="E875" cm="1">
        <f t="array" ref="E875">_xlfn.IFS(B875&lt;=_xlfn.PERCENTILE.INC($B$2:$B$726,0.2),5, B875&lt;=_xlfn.PERCENTILE.INC($B$2:$B$726,0.4),4,B875&lt;=_xlfn.PERCENTILE.INC($B$2:$B$726,0.6),3,B875&lt;=_xlfn.PERCENTILE.INC($B$2:$B$726,0.8),4,TRUE,1)</f>
        <v>5</v>
      </c>
      <c r="F875" cm="1">
        <f t="array" ref="F875">_xlfn.IFS(C875&gt;=_xlfn.PERCENTILE.INC($C$2:$C$726,0.8),5,C875&gt;=_xlfn.PERCENTILE.INC($C$2:$C$726,0.6),4,C875&gt;=_xlfn.PERCENTILE.INC($C$2:$C$726,0.4),3,C875&gt;=_xlfn.PERCENTILE.INC($C$2:$C$726,0.2),2,TRUE,1)</f>
        <v>4</v>
      </c>
      <c r="G875" cm="1">
        <f t="array" ref="G875">_xlfn.IFS(D875&gt;=_xlfn.PERCENTILE.INC($D$2:$D$726,0.8),5,D875&gt;=_xlfn.PERCENTILE.INC($D$2:$D$726,0.6),4,D875&gt;=_xlfn.PERCENTILE.INC($D$2:$D$726,0.4),3,D875&gt;=_xlfn.PERCENTILE.INC($D$2:$D$726,0.2),2,TRUE,1)</f>
        <v>2</v>
      </c>
      <c r="H875">
        <f t="shared" si="13"/>
        <v>11</v>
      </c>
      <c r="I875" t="str" cm="1">
        <f t="array" ref="I875">_xlfn.IFS(H875&gt;=13,"Best Customers",H875&gt;=10,"Loyal Customers",H875&gt;=7,"Potential Loyal Customers",H875&gt;=4,"Need Attention",TRUE,"At Risk")</f>
        <v>Loyal Customers</v>
      </c>
    </row>
    <row r="876" spans="1:9" x14ac:dyDescent="0.25">
      <c r="A876" t="s">
        <v>555</v>
      </c>
      <c r="B876" s="4">
        <v>363</v>
      </c>
      <c r="C876">
        <v>6</v>
      </c>
      <c r="D876">
        <v>294.7</v>
      </c>
      <c r="E876" cm="1">
        <f t="array" ref="E876">_xlfn.IFS(B876&lt;=_xlfn.PERCENTILE.INC($B$2:$B$726,0.2),5, B876&lt;=_xlfn.PERCENTILE.INC($B$2:$B$726,0.4),4,B876&lt;=_xlfn.PERCENTILE.INC($B$2:$B$726,0.6),3,B876&lt;=_xlfn.PERCENTILE.INC($B$2:$B$726,0.8),4,TRUE,1)</f>
        <v>5</v>
      </c>
      <c r="F876" cm="1">
        <f t="array" ref="F876">_xlfn.IFS(C876&gt;=_xlfn.PERCENTILE.INC($C$2:$C$726,0.8),5,C876&gt;=_xlfn.PERCENTILE.INC($C$2:$C$726,0.6),4,C876&gt;=_xlfn.PERCENTILE.INC($C$2:$C$726,0.4),3,C876&gt;=_xlfn.PERCENTILE.INC($C$2:$C$726,0.2),2,TRUE,1)</f>
        <v>4</v>
      </c>
      <c r="G876" cm="1">
        <f t="array" ref="G876">_xlfn.IFS(D876&gt;=_xlfn.PERCENTILE.INC($D$2:$D$726,0.8),5,D876&gt;=_xlfn.PERCENTILE.INC($D$2:$D$726,0.6),4,D876&gt;=_xlfn.PERCENTILE.INC($D$2:$D$726,0.4),3,D876&gt;=_xlfn.PERCENTILE.INC($D$2:$D$726,0.2),2,TRUE,1)</f>
        <v>3</v>
      </c>
      <c r="H876">
        <f t="shared" si="13"/>
        <v>12</v>
      </c>
      <c r="I876" t="str" cm="1">
        <f t="array" ref="I876">_xlfn.IFS(H876&gt;=13,"Best Customers",H876&gt;=10,"Loyal Customers",H876&gt;=7,"Potential Loyal Customers",H876&gt;=4,"Need Attention",TRUE,"At Risk")</f>
        <v>Loyal Customers</v>
      </c>
    </row>
    <row r="877" spans="1:9" x14ac:dyDescent="0.25">
      <c r="A877" t="s">
        <v>2077</v>
      </c>
      <c r="B877" s="4">
        <v>602</v>
      </c>
      <c r="C877">
        <v>5</v>
      </c>
      <c r="D877">
        <v>246.8</v>
      </c>
      <c r="E877" cm="1">
        <f t="array" ref="E877">_xlfn.IFS(B877&lt;=_xlfn.PERCENTILE.INC($B$2:$B$726,0.2),5, B877&lt;=_xlfn.PERCENTILE.INC($B$2:$B$726,0.4),4,B877&lt;=_xlfn.PERCENTILE.INC($B$2:$B$726,0.6),3,B877&lt;=_xlfn.PERCENTILE.INC($B$2:$B$726,0.8),4,TRUE,1)</f>
        <v>4</v>
      </c>
      <c r="F877" cm="1">
        <f t="array" ref="F877">_xlfn.IFS(C877&gt;=_xlfn.PERCENTILE.INC($C$2:$C$726,0.8),5,C877&gt;=_xlfn.PERCENTILE.INC($C$2:$C$726,0.6),4,C877&gt;=_xlfn.PERCENTILE.INC($C$2:$C$726,0.4),3,C877&gt;=_xlfn.PERCENTILE.INC($C$2:$C$726,0.2),2,TRUE,1)</f>
        <v>3</v>
      </c>
      <c r="G877" cm="1">
        <f t="array" ref="G877">_xlfn.IFS(D877&gt;=_xlfn.PERCENTILE.INC($D$2:$D$726,0.8),5,D877&gt;=_xlfn.PERCENTILE.INC($D$2:$D$726,0.6),4,D877&gt;=_xlfn.PERCENTILE.INC($D$2:$D$726,0.4),3,D877&gt;=_xlfn.PERCENTILE.INC($D$2:$D$726,0.2),2,TRUE,1)</f>
        <v>3</v>
      </c>
      <c r="H877">
        <f t="shared" si="13"/>
        <v>10</v>
      </c>
      <c r="I877" t="str" cm="1">
        <f t="array" ref="I877">_xlfn.IFS(H877&gt;=13,"Best Customers",H877&gt;=10,"Loyal Customers",H877&gt;=7,"Potential Loyal Customers",H877&gt;=4,"Need Attention",TRUE,"At Risk")</f>
        <v>Loyal Customers</v>
      </c>
    </row>
    <row r="878" spans="1:9" x14ac:dyDescent="0.25">
      <c r="A878" t="s">
        <v>529</v>
      </c>
      <c r="B878" s="4">
        <v>695</v>
      </c>
      <c r="C878">
        <v>4</v>
      </c>
      <c r="D878">
        <v>90.9</v>
      </c>
      <c r="E878" cm="1">
        <f t="array" ref="E878">_xlfn.IFS(B878&lt;=_xlfn.PERCENTILE.INC($B$2:$B$726,0.2),5, B878&lt;=_xlfn.PERCENTILE.INC($B$2:$B$726,0.4),4,B878&lt;=_xlfn.PERCENTILE.INC($B$2:$B$726,0.6),3,B878&lt;=_xlfn.PERCENTILE.INC($B$2:$B$726,0.8),4,TRUE,1)</f>
        <v>4</v>
      </c>
      <c r="F878" cm="1">
        <f t="array" ref="F878">_xlfn.IFS(C878&gt;=_xlfn.PERCENTILE.INC($C$2:$C$726,0.8),5,C878&gt;=_xlfn.PERCENTILE.INC($C$2:$C$726,0.6),4,C878&gt;=_xlfn.PERCENTILE.INC($C$2:$C$726,0.4),3,C878&gt;=_xlfn.PERCENTILE.INC($C$2:$C$726,0.2),2,TRUE,1)</f>
        <v>2</v>
      </c>
      <c r="G878" cm="1">
        <f t="array" ref="G878">_xlfn.IFS(D878&gt;=_xlfn.PERCENTILE.INC($D$2:$D$726,0.8),5,D878&gt;=_xlfn.PERCENTILE.INC($D$2:$D$726,0.6),4,D878&gt;=_xlfn.PERCENTILE.INC($D$2:$D$726,0.4),3,D878&gt;=_xlfn.PERCENTILE.INC($D$2:$D$726,0.2),2,TRUE,1)</f>
        <v>1</v>
      </c>
      <c r="H878">
        <f t="shared" si="13"/>
        <v>7</v>
      </c>
      <c r="I878" t="str" cm="1">
        <f t="array" ref="I878">_xlfn.IFS(H878&gt;=13,"Best Customers",H878&gt;=10,"Loyal Customers",H878&gt;=7,"Potential Loyal Customers",H878&gt;=4,"Need Attention",TRUE,"At Risk")</f>
        <v>Potential Loyal Customers</v>
      </c>
    </row>
    <row r="879" spans="1:9" x14ac:dyDescent="0.25">
      <c r="A879" t="s">
        <v>3169</v>
      </c>
      <c r="B879" s="4">
        <v>568</v>
      </c>
      <c r="C879">
        <v>4</v>
      </c>
      <c r="D879">
        <v>100.9</v>
      </c>
      <c r="E879" cm="1">
        <f t="array" ref="E879">_xlfn.IFS(B879&lt;=_xlfn.PERCENTILE.INC($B$2:$B$726,0.2),5, B879&lt;=_xlfn.PERCENTILE.INC($B$2:$B$726,0.4),4,B879&lt;=_xlfn.PERCENTILE.INC($B$2:$B$726,0.6),3,B879&lt;=_xlfn.PERCENTILE.INC($B$2:$B$726,0.8),4,TRUE,1)</f>
        <v>3</v>
      </c>
      <c r="F879" cm="1">
        <f t="array" ref="F879">_xlfn.IFS(C879&gt;=_xlfn.PERCENTILE.INC($C$2:$C$726,0.8),5,C879&gt;=_xlfn.PERCENTILE.INC($C$2:$C$726,0.6),4,C879&gt;=_xlfn.PERCENTILE.INC($C$2:$C$726,0.4),3,C879&gt;=_xlfn.PERCENTILE.INC($C$2:$C$726,0.2),2,TRUE,1)</f>
        <v>2</v>
      </c>
      <c r="G879" cm="1">
        <f t="array" ref="G879">_xlfn.IFS(D879&gt;=_xlfn.PERCENTILE.INC($D$2:$D$726,0.8),5,D879&gt;=_xlfn.PERCENTILE.INC($D$2:$D$726,0.6),4,D879&gt;=_xlfn.PERCENTILE.INC($D$2:$D$726,0.4),3,D879&gt;=_xlfn.PERCENTILE.INC($D$2:$D$726,0.2),2,TRUE,1)</f>
        <v>1</v>
      </c>
      <c r="H879">
        <f t="shared" si="13"/>
        <v>6</v>
      </c>
      <c r="I879" t="str" cm="1">
        <f t="array" ref="I879">_xlfn.IFS(H879&gt;=13,"Best Customers",H879&gt;=10,"Loyal Customers",H879&gt;=7,"Potential Loyal Customers",H879&gt;=4,"Need Attention",TRUE,"At Risk")</f>
        <v>Need Attention</v>
      </c>
    </row>
    <row r="880" spans="1:9" x14ac:dyDescent="0.25">
      <c r="A880" t="s">
        <v>1324</v>
      </c>
      <c r="B880" s="4">
        <v>754</v>
      </c>
      <c r="C880">
        <v>6</v>
      </c>
      <c r="D880">
        <v>186.89999999999998</v>
      </c>
      <c r="E880" cm="1">
        <f t="array" ref="E880">_xlfn.IFS(B880&lt;=_xlfn.PERCENTILE.INC($B$2:$B$726,0.2),5, B880&lt;=_xlfn.PERCENTILE.INC($B$2:$B$726,0.4),4,B880&lt;=_xlfn.PERCENTILE.INC($B$2:$B$726,0.6),3,B880&lt;=_xlfn.PERCENTILE.INC($B$2:$B$726,0.8),4,TRUE,1)</f>
        <v>1</v>
      </c>
      <c r="F880" cm="1">
        <f t="array" ref="F880">_xlfn.IFS(C880&gt;=_xlfn.PERCENTILE.INC($C$2:$C$726,0.8),5,C880&gt;=_xlfn.PERCENTILE.INC($C$2:$C$726,0.6),4,C880&gt;=_xlfn.PERCENTILE.INC($C$2:$C$726,0.4),3,C880&gt;=_xlfn.PERCENTILE.INC($C$2:$C$726,0.2),2,TRUE,1)</f>
        <v>4</v>
      </c>
      <c r="G880" cm="1">
        <f t="array" ref="G880">_xlfn.IFS(D880&gt;=_xlfn.PERCENTILE.INC($D$2:$D$726,0.8),5,D880&gt;=_xlfn.PERCENTILE.INC($D$2:$D$726,0.6),4,D880&gt;=_xlfn.PERCENTILE.INC($D$2:$D$726,0.4),3,D880&gt;=_xlfn.PERCENTILE.INC($D$2:$D$726,0.2),2,TRUE,1)</f>
        <v>2</v>
      </c>
      <c r="H880">
        <f t="shared" si="13"/>
        <v>7</v>
      </c>
      <c r="I880" t="str" cm="1">
        <f t="array" ref="I880">_xlfn.IFS(H880&gt;=13,"Best Customers",H880&gt;=10,"Loyal Customers",H880&gt;=7,"Potential Loyal Customers",H880&gt;=4,"Need Attention",TRUE,"At Risk")</f>
        <v>Potential Loyal Customers</v>
      </c>
    </row>
    <row r="881" spans="1:9" x14ac:dyDescent="0.25">
      <c r="A881" t="s">
        <v>2369</v>
      </c>
      <c r="B881" s="4">
        <v>565</v>
      </c>
      <c r="C881">
        <v>3</v>
      </c>
      <c r="D881">
        <v>126.6</v>
      </c>
      <c r="E881" cm="1">
        <f t="array" ref="E881">_xlfn.IFS(B881&lt;=_xlfn.PERCENTILE.INC($B$2:$B$726,0.2),5, B881&lt;=_xlfn.PERCENTILE.INC($B$2:$B$726,0.4),4,B881&lt;=_xlfn.PERCENTILE.INC($B$2:$B$726,0.6),3,B881&lt;=_xlfn.PERCENTILE.INC($B$2:$B$726,0.8),4,TRUE,1)</f>
        <v>3</v>
      </c>
      <c r="F881" cm="1">
        <f t="array" ref="F881">_xlfn.IFS(C881&gt;=_xlfn.PERCENTILE.INC($C$2:$C$726,0.8),5,C881&gt;=_xlfn.PERCENTILE.INC($C$2:$C$726,0.6),4,C881&gt;=_xlfn.PERCENTILE.INC($C$2:$C$726,0.4),3,C881&gt;=_xlfn.PERCENTILE.INC($C$2:$C$726,0.2),2,TRUE,1)</f>
        <v>1</v>
      </c>
      <c r="G881" cm="1">
        <f t="array" ref="G881">_xlfn.IFS(D881&gt;=_xlfn.PERCENTILE.INC($D$2:$D$726,0.8),5,D881&gt;=_xlfn.PERCENTILE.INC($D$2:$D$726,0.6),4,D881&gt;=_xlfn.PERCENTILE.INC($D$2:$D$726,0.4),3,D881&gt;=_xlfn.PERCENTILE.INC($D$2:$D$726,0.2),2,TRUE,1)</f>
        <v>1</v>
      </c>
      <c r="H881">
        <f t="shared" si="13"/>
        <v>5</v>
      </c>
      <c r="I881" t="str" cm="1">
        <f t="array" ref="I881">_xlfn.IFS(H881&gt;=13,"Best Customers",H881&gt;=10,"Loyal Customers",H881&gt;=7,"Potential Loyal Customers",H881&gt;=4,"Need Attention",TRUE,"At Risk")</f>
        <v>Need Attention</v>
      </c>
    </row>
    <row r="882" spans="1:9" x14ac:dyDescent="0.25">
      <c r="A882" t="s">
        <v>2977</v>
      </c>
      <c r="B882" s="4">
        <v>979</v>
      </c>
      <c r="C882">
        <v>5</v>
      </c>
      <c r="D882">
        <v>196.9</v>
      </c>
      <c r="E882" cm="1">
        <f t="array" ref="E882">_xlfn.IFS(B882&lt;=_xlfn.PERCENTILE.INC($B$2:$B$726,0.2),5, B882&lt;=_xlfn.PERCENTILE.INC($B$2:$B$726,0.4),4,B882&lt;=_xlfn.PERCENTILE.INC($B$2:$B$726,0.6),3,B882&lt;=_xlfn.PERCENTILE.INC($B$2:$B$726,0.8),4,TRUE,1)</f>
        <v>1</v>
      </c>
      <c r="F882" cm="1">
        <f t="array" ref="F882">_xlfn.IFS(C882&gt;=_xlfn.PERCENTILE.INC($C$2:$C$726,0.8),5,C882&gt;=_xlfn.PERCENTILE.INC($C$2:$C$726,0.6),4,C882&gt;=_xlfn.PERCENTILE.INC($C$2:$C$726,0.4),3,C882&gt;=_xlfn.PERCENTILE.INC($C$2:$C$726,0.2),2,TRUE,1)</f>
        <v>3</v>
      </c>
      <c r="G882" cm="1">
        <f t="array" ref="G882">_xlfn.IFS(D882&gt;=_xlfn.PERCENTILE.INC($D$2:$D$726,0.8),5,D882&gt;=_xlfn.PERCENTILE.INC($D$2:$D$726,0.6),4,D882&gt;=_xlfn.PERCENTILE.INC($D$2:$D$726,0.4),3,D882&gt;=_xlfn.PERCENTILE.INC($D$2:$D$726,0.2),2,TRUE,1)</f>
        <v>2</v>
      </c>
      <c r="H882">
        <f t="shared" si="13"/>
        <v>6</v>
      </c>
      <c r="I882" t="str" cm="1">
        <f t="array" ref="I882">_xlfn.IFS(H882&gt;=13,"Best Customers",H882&gt;=10,"Loyal Customers",H882&gt;=7,"Potential Loyal Customers",H882&gt;=4,"Need Attention",TRUE,"At Risk")</f>
        <v>Need Attention</v>
      </c>
    </row>
    <row r="883" spans="1:9" x14ac:dyDescent="0.25">
      <c r="A883" t="s">
        <v>3396</v>
      </c>
      <c r="B883" s="4">
        <v>520</v>
      </c>
      <c r="C883">
        <v>6</v>
      </c>
      <c r="D883">
        <v>275.2</v>
      </c>
      <c r="E883" cm="1">
        <f t="array" ref="E883">_xlfn.IFS(B883&lt;=_xlfn.PERCENTILE.INC($B$2:$B$726,0.2),5, B883&lt;=_xlfn.PERCENTILE.INC($B$2:$B$726,0.4),4,B883&lt;=_xlfn.PERCENTILE.INC($B$2:$B$726,0.6),3,B883&lt;=_xlfn.PERCENTILE.INC($B$2:$B$726,0.8),4,TRUE,1)</f>
        <v>3</v>
      </c>
      <c r="F883" cm="1">
        <f t="array" ref="F883">_xlfn.IFS(C883&gt;=_xlfn.PERCENTILE.INC($C$2:$C$726,0.8),5,C883&gt;=_xlfn.PERCENTILE.INC($C$2:$C$726,0.6),4,C883&gt;=_xlfn.PERCENTILE.INC($C$2:$C$726,0.4),3,C883&gt;=_xlfn.PERCENTILE.INC($C$2:$C$726,0.2),2,TRUE,1)</f>
        <v>4</v>
      </c>
      <c r="G883" cm="1">
        <f t="array" ref="G883">_xlfn.IFS(D883&gt;=_xlfn.PERCENTILE.INC($D$2:$D$726,0.8),5,D883&gt;=_xlfn.PERCENTILE.INC($D$2:$D$726,0.6),4,D883&gt;=_xlfn.PERCENTILE.INC($D$2:$D$726,0.4),3,D883&gt;=_xlfn.PERCENTILE.INC($D$2:$D$726,0.2),2,TRUE,1)</f>
        <v>3</v>
      </c>
      <c r="H883">
        <f t="shared" si="13"/>
        <v>10</v>
      </c>
      <c r="I883" t="str" cm="1">
        <f t="array" ref="I883">_xlfn.IFS(H883&gt;=13,"Best Customers",H883&gt;=10,"Loyal Customers",H883&gt;=7,"Potential Loyal Customers",H883&gt;=4,"Need Attention",TRUE,"At Risk")</f>
        <v>Loyal Customers</v>
      </c>
    </row>
    <row r="884" spans="1:9" x14ac:dyDescent="0.25">
      <c r="A884" t="s">
        <v>1446</v>
      </c>
      <c r="B884" s="4">
        <v>575</v>
      </c>
      <c r="C884">
        <v>6</v>
      </c>
      <c r="D884">
        <v>229.70000000000002</v>
      </c>
      <c r="E884" cm="1">
        <f t="array" ref="E884">_xlfn.IFS(B884&lt;=_xlfn.PERCENTILE.INC($B$2:$B$726,0.2),5, B884&lt;=_xlfn.PERCENTILE.INC($B$2:$B$726,0.4),4,B884&lt;=_xlfn.PERCENTILE.INC($B$2:$B$726,0.6),3,B884&lt;=_xlfn.PERCENTILE.INC($B$2:$B$726,0.8),4,TRUE,1)</f>
        <v>4</v>
      </c>
      <c r="F884" cm="1">
        <f t="array" ref="F884">_xlfn.IFS(C884&gt;=_xlfn.PERCENTILE.INC($C$2:$C$726,0.8),5,C884&gt;=_xlfn.PERCENTILE.INC($C$2:$C$726,0.6),4,C884&gt;=_xlfn.PERCENTILE.INC($C$2:$C$726,0.4),3,C884&gt;=_xlfn.PERCENTILE.INC($C$2:$C$726,0.2),2,TRUE,1)</f>
        <v>4</v>
      </c>
      <c r="G884" cm="1">
        <f t="array" ref="G884">_xlfn.IFS(D884&gt;=_xlfn.PERCENTILE.INC($D$2:$D$726,0.8),5,D884&gt;=_xlfn.PERCENTILE.INC($D$2:$D$726,0.6),4,D884&gt;=_xlfn.PERCENTILE.INC($D$2:$D$726,0.4),3,D884&gt;=_xlfn.PERCENTILE.INC($D$2:$D$726,0.2),2,TRUE,1)</f>
        <v>2</v>
      </c>
      <c r="H884">
        <f t="shared" si="13"/>
        <v>10</v>
      </c>
      <c r="I884" t="str" cm="1">
        <f t="array" ref="I884">_xlfn.IFS(H884&gt;=13,"Best Customers",H884&gt;=10,"Loyal Customers",H884&gt;=7,"Potential Loyal Customers",H884&gt;=4,"Need Attention",TRUE,"At Risk")</f>
        <v>Loyal Customers</v>
      </c>
    </row>
    <row r="885" spans="1:9" x14ac:dyDescent="0.25">
      <c r="A885" t="s">
        <v>2918</v>
      </c>
      <c r="B885" s="4">
        <v>1750</v>
      </c>
      <c r="C885">
        <v>2</v>
      </c>
      <c r="D885">
        <v>28.9</v>
      </c>
      <c r="E885" cm="1">
        <f t="array" ref="E885">_xlfn.IFS(B885&lt;=_xlfn.PERCENTILE.INC($B$2:$B$726,0.2),5, B885&lt;=_xlfn.PERCENTILE.INC($B$2:$B$726,0.4),4,B885&lt;=_xlfn.PERCENTILE.INC($B$2:$B$726,0.6),3,B885&lt;=_xlfn.PERCENTILE.INC($B$2:$B$726,0.8),4,TRUE,1)</f>
        <v>1</v>
      </c>
      <c r="F885" cm="1">
        <f t="array" ref="F885">_xlfn.IFS(C885&gt;=_xlfn.PERCENTILE.INC($C$2:$C$726,0.8),5,C885&gt;=_xlfn.PERCENTILE.INC($C$2:$C$726,0.6),4,C885&gt;=_xlfn.PERCENTILE.INC($C$2:$C$726,0.4),3,C885&gt;=_xlfn.PERCENTILE.INC($C$2:$C$726,0.2),2,TRUE,1)</f>
        <v>1</v>
      </c>
      <c r="G885" cm="1">
        <f t="array" ref="G885">_xlfn.IFS(D885&gt;=_xlfn.PERCENTILE.INC($D$2:$D$726,0.8),5,D885&gt;=_xlfn.PERCENTILE.INC($D$2:$D$726,0.6),4,D885&gt;=_xlfn.PERCENTILE.INC($D$2:$D$726,0.4),3,D885&gt;=_xlfn.PERCENTILE.INC($D$2:$D$726,0.2),2,TRUE,1)</f>
        <v>1</v>
      </c>
      <c r="H885">
        <f t="shared" si="13"/>
        <v>3</v>
      </c>
      <c r="I885" t="str" cm="1">
        <f t="array" ref="I885">_xlfn.IFS(H885&gt;=13,"Best Customers",H885&gt;=10,"Loyal Customers",H885&gt;=7,"Potential Loyal Customers",H885&gt;=4,"Need Attention",TRUE,"At Risk")</f>
        <v>At Risk</v>
      </c>
    </row>
    <row r="886" spans="1:9" x14ac:dyDescent="0.25">
      <c r="A886" t="s">
        <v>971</v>
      </c>
      <c r="B886" s="4">
        <v>336</v>
      </c>
      <c r="C886">
        <v>9</v>
      </c>
      <c r="D886">
        <v>355.80000000000007</v>
      </c>
      <c r="E886" cm="1">
        <f t="array" ref="E886">_xlfn.IFS(B886&lt;=_xlfn.PERCENTILE.INC($B$2:$B$726,0.2),5, B886&lt;=_xlfn.PERCENTILE.INC($B$2:$B$726,0.4),4,B886&lt;=_xlfn.PERCENTILE.INC($B$2:$B$726,0.6),3,B886&lt;=_xlfn.PERCENTILE.INC($B$2:$B$726,0.8),4,TRUE,1)</f>
        <v>5</v>
      </c>
      <c r="F886" cm="1">
        <f t="array" ref="F886">_xlfn.IFS(C886&gt;=_xlfn.PERCENTILE.INC($C$2:$C$726,0.8),5,C886&gt;=_xlfn.PERCENTILE.INC($C$2:$C$726,0.6),4,C886&gt;=_xlfn.PERCENTILE.INC($C$2:$C$726,0.4),3,C886&gt;=_xlfn.PERCENTILE.INC($C$2:$C$726,0.2),2,TRUE,1)</f>
        <v>5</v>
      </c>
      <c r="G886" cm="1">
        <f t="array" ref="G886">_xlfn.IFS(D886&gt;=_xlfn.PERCENTILE.INC($D$2:$D$726,0.8),5,D886&gt;=_xlfn.PERCENTILE.INC($D$2:$D$726,0.6),4,D886&gt;=_xlfn.PERCENTILE.INC($D$2:$D$726,0.4),3,D886&gt;=_xlfn.PERCENTILE.INC($D$2:$D$726,0.2),2,TRUE,1)</f>
        <v>4</v>
      </c>
      <c r="H886">
        <f t="shared" si="13"/>
        <v>14</v>
      </c>
      <c r="I886" t="str" cm="1">
        <f t="array" ref="I886">_xlfn.IFS(H886&gt;=13,"Best Customers",H886&gt;=10,"Loyal Customers",H886&gt;=7,"Potential Loyal Customers",H886&gt;=4,"Need Attention",TRUE,"At Risk")</f>
        <v>Best Customers</v>
      </c>
    </row>
    <row r="887" spans="1:9" x14ac:dyDescent="0.25">
      <c r="A887" t="s">
        <v>2566</v>
      </c>
      <c r="B887" s="4">
        <v>915</v>
      </c>
      <c r="C887">
        <v>6</v>
      </c>
      <c r="D887">
        <v>91.399999999999991</v>
      </c>
      <c r="E887" cm="1">
        <f t="array" ref="E887">_xlfn.IFS(B887&lt;=_xlfn.PERCENTILE.INC($B$2:$B$726,0.2),5, B887&lt;=_xlfn.PERCENTILE.INC($B$2:$B$726,0.4),4,B887&lt;=_xlfn.PERCENTILE.INC($B$2:$B$726,0.6),3,B887&lt;=_xlfn.PERCENTILE.INC($B$2:$B$726,0.8),4,TRUE,1)</f>
        <v>1</v>
      </c>
      <c r="F887" cm="1">
        <f t="array" ref="F887">_xlfn.IFS(C887&gt;=_xlfn.PERCENTILE.INC($C$2:$C$726,0.8),5,C887&gt;=_xlfn.PERCENTILE.INC($C$2:$C$726,0.6),4,C887&gt;=_xlfn.PERCENTILE.INC($C$2:$C$726,0.4),3,C887&gt;=_xlfn.PERCENTILE.INC($C$2:$C$726,0.2),2,TRUE,1)</f>
        <v>4</v>
      </c>
      <c r="G887" cm="1">
        <f t="array" ref="G887">_xlfn.IFS(D887&gt;=_xlfn.PERCENTILE.INC($D$2:$D$726,0.8),5,D887&gt;=_xlfn.PERCENTILE.INC($D$2:$D$726,0.6),4,D887&gt;=_xlfn.PERCENTILE.INC($D$2:$D$726,0.4),3,D887&gt;=_xlfn.PERCENTILE.INC($D$2:$D$726,0.2),2,TRUE,1)</f>
        <v>1</v>
      </c>
      <c r="H887">
        <f t="shared" si="13"/>
        <v>6</v>
      </c>
      <c r="I887" t="str" cm="1">
        <f t="array" ref="I887">_xlfn.IFS(H887&gt;=13,"Best Customers",H887&gt;=10,"Loyal Customers",H887&gt;=7,"Potential Loyal Customers",H887&gt;=4,"Need Attention",TRUE,"At Risk")</f>
        <v>Need Attention</v>
      </c>
    </row>
    <row r="888" spans="1:9" x14ac:dyDescent="0.25">
      <c r="A888" t="s">
        <v>2852</v>
      </c>
      <c r="B888" s="4">
        <v>575</v>
      </c>
      <c r="C888">
        <v>4</v>
      </c>
      <c r="D888">
        <v>106.3</v>
      </c>
      <c r="E888" cm="1">
        <f t="array" ref="E888">_xlfn.IFS(B888&lt;=_xlfn.PERCENTILE.INC($B$2:$B$726,0.2),5, B888&lt;=_xlfn.PERCENTILE.INC($B$2:$B$726,0.4),4,B888&lt;=_xlfn.PERCENTILE.INC($B$2:$B$726,0.6),3,B888&lt;=_xlfn.PERCENTILE.INC($B$2:$B$726,0.8),4,TRUE,1)</f>
        <v>4</v>
      </c>
      <c r="F888" cm="1">
        <f t="array" ref="F888">_xlfn.IFS(C888&gt;=_xlfn.PERCENTILE.INC($C$2:$C$726,0.8),5,C888&gt;=_xlfn.PERCENTILE.INC($C$2:$C$726,0.6),4,C888&gt;=_xlfn.PERCENTILE.INC($C$2:$C$726,0.4),3,C888&gt;=_xlfn.PERCENTILE.INC($C$2:$C$726,0.2),2,TRUE,1)</f>
        <v>2</v>
      </c>
      <c r="G888" cm="1">
        <f t="array" ref="G888">_xlfn.IFS(D888&gt;=_xlfn.PERCENTILE.INC($D$2:$D$726,0.8),5,D888&gt;=_xlfn.PERCENTILE.INC($D$2:$D$726,0.6),4,D888&gt;=_xlfn.PERCENTILE.INC($D$2:$D$726,0.4),3,D888&gt;=_xlfn.PERCENTILE.INC($D$2:$D$726,0.2),2,TRUE,1)</f>
        <v>1</v>
      </c>
      <c r="H888">
        <f t="shared" si="13"/>
        <v>7</v>
      </c>
      <c r="I888" t="str" cm="1">
        <f t="array" ref="I888">_xlfn.IFS(H888&gt;=13,"Best Customers",H888&gt;=10,"Loyal Customers",H888&gt;=7,"Potential Loyal Customers",H888&gt;=4,"Need Attention",TRUE,"At Risk")</f>
        <v>Potential Loyal Customers</v>
      </c>
    </row>
    <row r="889" spans="1:9" x14ac:dyDescent="0.25">
      <c r="A889" t="s">
        <v>1467</v>
      </c>
      <c r="B889" s="4">
        <v>887</v>
      </c>
      <c r="C889">
        <v>3</v>
      </c>
      <c r="D889">
        <v>224.3</v>
      </c>
      <c r="E889" cm="1">
        <f t="array" ref="E889">_xlfn.IFS(B889&lt;=_xlfn.PERCENTILE.INC($B$2:$B$726,0.2),5, B889&lt;=_xlfn.PERCENTILE.INC($B$2:$B$726,0.4),4,B889&lt;=_xlfn.PERCENTILE.INC($B$2:$B$726,0.6),3,B889&lt;=_xlfn.PERCENTILE.INC($B$2:$B$726,0.8),4,TRUE,1)</f>
        <v>1</v>
      </c>
      <c r="F889" cm="1">
        <f t="array" ref="F889">_xlfn.IFS(C889&gt;=_xlfn.PERCENTILE.INC($C$2:$C$726,0.8),5,C889&gt;=_xlfn.PERCENTILE.INC($C$2:$C$726,0.6),4,C889&gt;=_xlfn.PERCENTILE.INC($C$2:$C$726,0.4),3,C889&gt;=_xlfn.PERCENTILE.INC($C$2:$C$726,0.2),2,TRUE,1)</f>
        <v>1</v>
      </c>
      <c r="G889" cm="1">
        <f t="array" ref="G889">_xlfn.IFS(D889&gt;=_xlfn.PERCENTILE.INC($D$2:$D$726,0.8),5,D889&gt;=_xlfn.PERCENTILE.INC($D$2:$D$726,0.6),4,D889&gt;=_xlfn.PERCENTILE.INC($D$2:$D$726,0.4),3,D889&gt;=_xlfn.PERCENTILE.INC($D$2:$D$726,0.2),2,TRUE,1)</f>
        <v>2</v>
      </c>
      <c r="H889">
        <f t="shared" si="13"/>
        <v>4</v>
      </c>
      <c r="I889" t="str" cm="1">
        <f t="array" ref="I889">_xlfn.IFS(H889&gt;=13,"Best Customers",H889&gt;=10,"Loyal Customers",H889&gt;=7,"Potential Loyal Customers",H889&gt;=4,"Need Attention",TRUE,"At Risk")</f>
        <v>Need Attention</v>
      </c>
    </row>
    <row r="890" spans="1:9" x14ac:dyDescent="0.25">
      <c r="A890" t="s">
        <v>3084</v>
      </c>
      <c r="B890" s="4">
        <v>1025</v>
      </c>
      <c r="C890">
        <v>4</v>
      </c>
      <c r="D890">
        <v>407.7</v>
      </c>
      <c r="E890" cm="1">
        <f t="array" ref="E890">_xlfn.IFS(B890&lt;=_xlfn.PERCENTILE.INC($B$2:$B$726,0.2),5, B890&lt;=_xlfn.PERCENTILE.INC($B$2:$B$726,0.4),4,B890&lt;=_xlfn.PERCENTILE.INC($B$2:$B$726,0.6),3,B890&lt;=_xlfn.PERCENTILE.INC($B$2:$B$726,0.8),4,TRUE,1)</f>
        <v>1</v>
      </c>
      <c r="F890" cm="1">
        <f t="array" ref="F890">_xlfn.IFS(C890&gt;=_xlfn.PERCENTILE.INC($C$2:$C$726,0.8),5,C890&gt;=_xlfn.PERCENTILE.INC($C$2:$C$726,0.6),4,C890&gt;=_xlfn.PERCENTILE.INC($C$2:$C$726,0.4),3,C890&gt;=_xlfn.PERCENTILE.INC($C$2:$C$726,0.2),2,TRUE,1)</f>
        <v>2</v>
      </c>
      <c r="G890" cm="1">
        <f t="array" ref="G890">_xlfn.IFS(D890&gt;=_xlfn.PERCENTILE.INC($D$2:$D$726,0.8),5,D890&gt;=_xlfn.PERCENTILE.INC($D$2:$D$726,0.6),4,D890&gt;=_xlfn.PERCENTILE.INC($D$2:$D$726,0.4),3,D890&gt;=_xlfn.PERCENTILE.INC($D$2:$D$726,0.2),2,TRUE,1)</f>
        <v>5</v>
      </c>
      <c r="H890">
        <f t="shared" si="13"/>
        <v>8</v>
      </c>
      <c r="I890" t="str" cm="1">
        <f t="array" ref="I890">_xlfn.IFS(H890&gt;=13,"Best Customers",H890&gt;=10,"Loyal Customers",H890&gt;=7,"Potential Loyal Customers",H890&gt;=4,"Need Attention",TRUE,"At Risk")</f>
        <v>Potential Loyal Customers</v>
      </c>
    </row>
    <row r="891" spans="1:9" x14ac:dyDescent="0.25">
      <c r="A891" t="s">
        <v>2488</v>
      </c>
      <c r="B891" s="4">
        <v>1094</v>
      </c>
      <c r="C891">
        <v>3</v>
      </c>
      <c r="D891">
        <v>126.2</v>
      </c>
      <c r="E891" cm="1">
        <f t="array" ref="E891">_xlfn.IFS(B891&lt;=_xlfn.PERCENTILE.INC($B$2:$B$726,0.2),5, B891&lt;=_xlfn.PERCENTILE.INC($B$2:$B$726,0.4),4,B891&lt;=_xlfn.PERCENTILE.INC($B$2:$B$726,0.6),3,B891&lt;=_xlfn.PERCENTILE.INC($B$2:$B$726,0.8),4,TRUE,1)</f>
        <v>1</v>
      </c>
      <c r="F891" cm="1">
        <f t="array" ref="F891">_xlfn.IFS(C891&gt;=_xlfn.PERCENTILE.INC($C$2:$C$726,0.8),5,C891&gt;=_xlfn.PERCENTILE.INC($C$2:$C$726,0.6),4,C891&gt;=_xlfn.PERCENTILE.INC($C$2:$C$726,0.4),3,C891&gt;=_xlfn.PERCENTILE.INC($C$2:$C$726,0.2),2,TRUE,1)</f>
        <v>1</v>
      </c>
      <c r="G891" cm="1">
        <f t="array" ref="G891">_xlfn.IFS(D891&gt;=_xlfn.PERCENTILE.INC($D$2:$D$726,0.8),5,D891&gt;=_xlfn.PERCENTILE.INC($D$2:$D$726,0.6),4,D891&gt;=_xlfn.PERCENTILE.INC($D$2:$D$726,0.4),3,D891&gt;=_xlfn.PERCENTILE.INC($D$2:$D$726,0.2),2,TRUE,1)</f>
        <v>1</v>
      </c>
      <c r="H891">
        <f t="shared" si="13"/>
        <v>3</v>
      </c>
      <c r="I891" t="str" cm="1">
        <f t="array" ref="I891">_xlfn.IFS(H891&gt;=13,"Best Customers",H891&gt;=10,"Loyal Customers",H891&gt;=7,"Potential Loyal Customers",H891&gt;=4,"Need Attention",TRUE,"At Risk")</f>
        <v>At Risk</v>
      </c>
    </row>
    <row r="892" spans="1:9" x14ac:dyDescent="0.25">
      <c r="A892" t="s">
        <v>1217</v>
      </c>
      <c r="B892" s="4">
        <v>533</v>
      </c>
      <c r="C892">
        <v>11</v>
      </c>
      <c r="D892">
        <v>909.6</v>
      </c>
      <c r="E892" cm="1">
        <f t="array" ref="E892">_xlfn.IFS(B892&lt;=_xlfn.PERCENTILE.INC($B$2:$B$726,0.2),5, B892&lt;=_xlfn.PERCENTILE.INC($B$2:$B$726,0.4),4,B892&lt;=_xlfn.PERCENTILE.INC($B$2:$B$726,0.6),3,B892&lt;=_xlfn.PERCENTILE.INC($B$2:$B$726,0.8),4,TRUE,1)</f>
        <v>3</v>
      </c>
      <c r="F892" cm="1">
        <f t="array" ref="F892">_xlfn.IFS(C892&gt;=_xlfn.PERCENTILE.INC($C$2:$C$726,0.8),5,C892&gt;=_xlfn.PERCENTILE.INC($C$2:$C$726,0.6),4,C892&gt;=_xlfn.PERCENTILE.INC($C$2:$C$726,0.4),3,C892&gt;=_xlfn.PERCENTILE.INC($C$2:$C$726,0.2),2,TRUE,1)</f>
        <v>5</v>
      </c>
      <c r="G892" cm="1">
        <f t="array" ref="G892">_xlfn.IFS(D892&gt;=_xlfn.PERCENTILE.INC($D$2:$D$726,0.8),5,D892&gt;=_xlfn.PERCENTILE.INC($D$2:$D$726,0.6),4,D892&gt;=_xlfn.PERCENTILE.INC($D$2:$D$726,0.4),3,D892&gt;=_xlfn.PERCENTILE.INC($D$2:$D$726,0.2),2,TRUE,1)</f>
        <v>5</v>
      </c>
      <c r="H892">
        <f t="shared" si="13"/>
        <v>13</v>
      </c>
      <c r="I892" t="str" cm="1">
        <f t="array" ref="I892">_xlfn.IFS(H892&gt;=13,"Best Customers",H892&gt;=10,"Loyal Customers",H892&gt;=7,"Potential Loyal Customers",H892&gt;=4,"Need Attention",TRUE,"At Risk")</f>
        <v>Best Customers</v>
      </c>
    </row>
    <row r="893" spans="1:9" x14ac:dyDescent="0.25">
      <c r="A893" t="s">
        <v>3190</v>
      </c>
      <c r="B893" s="4">
        <v>1181</v>
      </c>
      <c r="C893">
        <v>3</v>
      </c>
      <c r="D893">
        <v>68.7</v>
      </c>
      <c r="E893" cm="1">
        <f t="array" ref="E893">_xlfn.IFS(B893&lt;=_xlfn.PERCENTILE.INC($B$2:$B$726,0.2),5, B893&lt;=_xlfn.PERCENTILE.INC($B$2:$B$726,0.4),4,B893&lt;=_xlfn.PERCENTILE.INC($B$2:$B$726,0.6),3,B893&lt;=_xlfn.PERCENTILE.INC($B$2:$B$726,0.8),4,TRUE,1)</f>
        <v>1</v>
      </c>
      <c r="F893" cm="1">
        <f t="array" ref="F893">_xlfn.IFS(C893&gt;=_xlfn.PERCENTILE.INC($C$2:$C$726,0.8),5,C893&gt;=_xlfn.PERCENTILE.INC($C$2:$C$726,0.6),4,C893&gt;=_xlfn.PERCENTILE.INC($C$2:$C$726,0.4),3,C893&gt;=_xlfn.PERCENTILE.INC($C$2:$C$726,0.2),2,TRUE,1)</f>
        <v>1</v>
      </c>
      <c r="G893" cm="1">
        <f t="array" ref="G893">_xlfn.IFS(D893&gt;=_xlfn.PERCENTILE.INC($D$2:$D$726,0.8),5,D893&gt;=_xlfn.PERCENTILE.INC($D$2:$D$726,0.6),4,D893&gt;=_xlfn.PERCENTILE.INC($D$2:$D$726,0.4),3,D893&gt;=_xlfn.PERCENTILE.INC($D$2:$D$726,0.2),2,TRUE,1)</f>
        <v>1</v>
      </c>
      <c r="H893">
        <f t="shared" si="13"/>
        <v>3</v>
      </c>
      <c r="I893" t="str" cm="1">
        <f t="array" ref="I893">_xlfn.IFS(H893&gt;=13,"Best Customers",H893&gt;=10,"Loyal Customers",H893&gt;=7,"Potential Loyal Customers",H893&gt;=4,"Need Attention",TRUE,"At Risk")</f>
        <v>At Risk</v>
      </c>
    </row>
    <row r="894" spans="1:9" x14ac:dyDescent="0.25">
      <c r="A894" t="s">
        <v>1461</v>
      </c>
      <c r="B894" s="4">
        <v>530</v>
      </c>
      <c r="C894">
        <v>10</v>
      </c>
      <c r="D894">
        <v>258.89999999999998</v>
      </c>
      <c r="E894" cm="1">
        <f t="array" ref="E894">_xlfn.IFS(B894&lt;=_xlfn.PERCENTILE.INC($B$2:$B$726,0.2),5, B894&lt;=_xlfn.PERCENTILE.INC($B$2:$B$726,0.4),4,B894&lt;=_xlfn.PERCENTILE.INC($B$2:$B$726,0.6),3,B894&lt;=_xlfn.PERCENTILE.INC($B$2:$B$726,0.8),4,TRUE,1)</f>
        <v>3</v>
      </c>
      <c r="F894" cm="1">
        <f t="array" ref="F894">_xlfn.IFS(C894&gt;=_xlfn.PERCENTILE.INC($C$2:$C$726,0.8),5,C894&gt;=_xlfn.PERCENTILE.INC($C$2:$C$726,0.6),4,C894&gt;=_xlfn.PERCENTILE.INC($C$2:$C$726,0.4),3,C894&gt;=_xlfn.PERCENTILE.INC($C$2:$C$726,0.2),2,TRUE,1)</f>
        <v>5</v>
      </c>
      <c r="G894" cm="1">
        <f t="array" ref="G894">_xlfn.IFS(D894&gt;=_xlfn.PERCENTILE.INC($D$2:$D$726,0.8),5,D894&gt;=_xlfn.PERCENTILE.INC($D$2:$D$726,0.6),4,D894&gt;=_xlfn.PERCENTILE.INC($D$2:$D$726,0.4),3,D894&gt;=_xlfn.PERCENTILE.INC($D$2:$D$726,0.2),2,TRUE,1)</f>
        <v>3</v>
      </c>
      <c r="H894">
        <f t="shared" si="13"/>
        <v>11</v>
      </c>
      <c r="I894" t="str" cm="1">
        <f t="array" ref="I894">_xlfn.IFS(H894&gt;=13,"Best Customers",H894&gt;=10,"Loyal Customers",H894&gt;=7,"Potential Loyal Customers",H894&gt;=4,"Need Attention",TRUE,"At Risk")</f>
        <v>Loyal Customers</v>
      </c>
    </row>
    <row r="895" spans="1:9" x14ac:dyDescent="0.25">
      <c r="A895" t="s">
        <v>2627</v>
      </c>
      <c r="B895" s="4">
        <v>557</v>
      </c>
      <c r="C895">
        <v>2</v>
      </c>
      <c r="D895">
        <v>71.400000000000006</v>
      </c>
      <c r="E895" cm="1">
        <f t="array" ref="E895">_xlfn.IFS(B895&lt;=_xlfn.PERCENTILE.INC($B$2:$B$726,0.2),5, B895&lt;=_xlfn.PERCENTILE.INC($B$2:$B$726,0.4),4,B895&lt;=_xlfn.PERCENTILE.INC($B$2:$B$726,0.6),3,B895&lt;=_xlfn.PERCENTILE.INC($B$2:$B$726,0.8),4,TRUE,1)</f>
        <v>3</v>
      </c>
      <c r="F895" cm="1">
        <f t="array" ref="F895">_xlfn.IFS(C895&gt;=_xlfn.PERCENTILE.INC($C$2:$C$726,0.8),5,C895&gt;=_xlfn.PERCENTILE.INC($C$2:$C$726,0.6),4,C895&gt;=_xlfn.PERCENTILE.INC($C$2:$C$726,0.4),3,C895&gt;=_xlfn.PERCENTILE.INC($C$2:$C$726,0.2),2,TRUE,1)</f>
        <v>1</v>
      </c>
      <c r="G895" cm="1">
        <f t="array" ref="G895">_xlfn.IFS(D895&gt;=_xlfn.PERCENTILE.INC($D$2:$D$726,0.8),5,D895&gt;=_xlfn.PERCENTILE.INC($D$2:$D$726,0.6),4,D895&gt;=_xlfn.PERCENTILE.INC($D$2:$D$726,0.4),3,D895&gt;=_xlfn.PERCENTILE.INC($D$2:$D$726,0.2),2,TRUE,1)</f>
        <v>1</v>
      </c>
      <c r="H895">
        <f t="shared" si="13"/>
        <v>5</v>
      </c>
      <c r="I895" t="str" cm="1">
        <f t="array" ref="I895">_xlfn.IFS(H895&gt;=13,"Best Customers",H895&gt;=10,"Loyal Customers",H895&gt;=7,"Potential Loyal Customers",H895&gt;=4,"Need Attention",TRUE,"At Risk")</f>
        <v>Need Attention</v>
      </c>
    </row>
    <row r="896" spans="1:9" x14ac:dyDescent="0.25">
      <c r="A896" t="s">
        <v>968</v>
      </c>
      <c r="B896" s="4">
        <v>474</v>
      </c>
      <c r="C896">
        <v>5</v>
      </c>
      <c r="D896">
        <v>183.29999999999998</v>
      </c>
      <c r="E896" cm="1">
        <f t="array" ref="E896">_xlfn.IFS(B896&lt;=_xlfn.PERCENTILE.INC($B$2:$B$726,0.2),5, B896&lt;=_xlfn.PERCENTILE.INC($B$2:$B$726,0.4),4,B896&lt;=_xlfn.PERCENTILE.INC($B$2:$B$726,0.6),3,B896&lt;=_xlfn.PERCENTILE.INC($B$2:$B$726,0.8),4,TRUE,1)</f>
        <v>3</v>
      </c>
      <c r="F896" cm="1">
        <f t="array" ref="F896">_xlfn.IFS(C896&gt;=_xlfn.PERCENTILE.INC($C$2:$C$726,0.8),5,C896&gt;=_xlfn.PERCENTILE.INC($C$2:$C$726,0.6),4,C896&gt;=_xlfn.PERCENTILE.INC($C$2:$C$726,0.4),3,C896&gt;=_xlfn.PERCENTILE.INC($C$2:$C$726,0.2),2,TRUE,1)</f>
        <v>3</v>
      </c>
      <c r="G896" cm="1">
        <f t="array" ref="G896">_xlfn.IFS(D896&gt;=_xlfn.PERCENTILE.INC($D$2:$D$726,0.8),5,D896&gt;=_xlfn.PERCENTILE.INC($D$2:$D$726,0.6),4,D896&gt;=_xlfn.PERCENTILE.INC($D$2:$D$726,0.4),3,D896&gt;=_xlfn.PERCENTILE.INC($D$2:$D$726,0.2),2,TRUE,1)</f>
        <v>2</v>
      </c>
      <c r="H896">
        <f t="shared" si="13"/>
        <v>8</v>
      </c>
      <c r="I896" t="str" cm="1">
        <f t="array" ref="I896">_xlfn.IFS(H896&gt;=13,"Best Customers",H896&gt;=10,"Loyal Customers",H896&gt;=7,"Potential Loyal Customers",H896&gt;=4,"Need Attention",TRUE,"At Risk")</f>
        <v>Potential Loyal Customers</v>
      </c>
    </row>
    <row r="897" spans="1:9" x14ac:dyDescent="0.25">
      <c r="A897" t="s">
        <v>2891</v>
      </c>
      <c r="B897" s="4">
        <v>539</v>
      </c>
      <c r="C897">
        <v>6</v>
      </c>
      <c r="D897">
        <v>127.30000000000001</v>
      </c>
      <c r="E897" cm="1">
        <f t="array" ref="E897">_xlfn.IFS(B897&lt;=_xlfn.PERCENTILE.INC($B$2:$B$726,0.2),5, B897&lt;=_xlfn.PERCENTILE.INC($B$2:$B$726,0.4),4,B897&lt;=_xlfn.PERCENTILE.INC($B$2:$B$726,0.6),3,B897&lt;=_xlfn.PERCENTILE.INC($B$2:$B$726,0.8),4,TRUE,1)</f>
        <v>3</v>
      </c>
      <c r="F897" cm="1">
        <f t="array" ref="F897">_xlfn.IFS(C897&gt;=_xlfn.PERCENTILE.INC($C$2:$C$726,0.8),5,C897&gt;=_xlfn.PERCENTILE.INC($C$2:$C$726,0.6),4,C897&gt;=_xlfn.PERCENTILE.INC($C$2:$C$726,0.4),3,C897&gt;=_xlfn.PERCENTILE.INC($C$2:$C$726,0.2),2,TRUE,1)</f>
        <v>4</v>
      </c>
      <c r="G897" cm="1">
        <f t="array" ref="G897">_xlfn.IFS(D897&gt;=_xlfn.PERCENTILE.INC($D$2:$D$726,0.8),5,D897&gt;=_xlfn.PERCENTILE.INC($D$2:$D$726,0.6),4,D897&gt;=_xlfn.PERCENTILE.INC($D$2:$D$726,0.4),3,D897&gt;=_xlfn.PERCENTILE.INC($D$2:$D$726,0.2),2,TRUE,1)</f>
        <v>1</v>
      </c>
      <c r="H897">
        <f t="shared" si="13"/>
        <v>8</v>
      </c>
      <c r="I897" t="str" cm="1">
        <f t="array" ref="I897">_xlfn.IFS(H897&gt;=13,"Best Customers",H897&gt;=10,"Loyal Customers",H897&gt;=7,"Potential Loyal Customers",H897&gt;=4,"Need Attention",TRUE,"At Risk")</f>
        <v>Potential Loyal Customers</v>
      </c>
    </row>
    <row r="898" spans="1:9" x14ac:dyDescent="0.25">
      <c r="A898" t="s">
        <v>2533</v>
      </c>
      <c r="B898" s="4">
        <v>613</v>
      </c>
      <c r="C898">
        <v>7</v>
      </c>
      <c r="D898">
        <v>269.60000000000002</v>
      </c>
      <c r="E898" cm="1">
        <f t="array" ref="E898">_xlfn.IFS(B898&lt;=_xlfn.PERCENTILE.INC($B$2:$B$726,0.2),5, B898&lt;=_xlfn.PERCENTILE.INC($B$2:$B$726,0.4),4,B898&lt;=_xlfn.PERCENTILE.INC($B$2:$B$726,0.6),3,B898&lt;=_xlfn.PERCENTILE.INC($B$2:$B$726,0.8),4,TRUE,1)</f>
        <v>4</v>
      </c>
      <c r="F898" cm="1">
        <f t="array" ref="F898">_xlfn.IFS(C898&gt;=_xlfn.PERCENTILE.INC($C$2:$C$726,0.8),5,C898&gt;=_xlfn.PERCENTILE.INC($C$2:$C$726,0.6),4,C898&gt;=_xlfn.PERCENTILE.INC($C$2:$C$726,0.4),3,C898&gt;=_xlfn.PERCENTILE.INC($C$2:$C$726,0.2),2,TRUE,1)</f>
        <v>4</v>
      </c>
      <c r="G898" cm="1">
        <f t="array" ref="G898">_xlfn.IFS(D898&gt;=_xlfn.PERCENTILE.INC($D$2:$D$726,0.8),5,D898&gt;=_xlfn.PERCENTILE.INC($D$2:$D$726,0.6),4,D898&gt;=_xlfn.PERCENTILE.INC($D$2:$D$726,0.4),3,D898&gt;=_xlfn.PERCENTILE.INC($D$2:$D$726,0.2),2,TRUE,1)</f>
        <v>3</v>
      </c>
      <c r="H898">
        <f t="shared" si="13"/>
        <v>11</v>
      </c>
      <c r="I898" t="str" cm="1">
        <f t="array" ref="I898">_xlfn.IFS(H898&gt;=13,"Best Customers",H898&gt;=10,"Loyal Customers",H898&gt;=7,"Potential Loyal Customers",H898&gt;=4,"Need Attention",TRUE,"At Risk")</f>
        <v>Loyal Customers</v>
      </c>
    </row>
    <row r="899" spans="1:9" x14ac:dyDescent="0.25">
      <c r="A899" t="s">
        <v>3411</v>
      </c>
      <c r="B899" s="4">
        <v>554</v>
      </c>
      <c r="C899">
        <v>11</v>
      </c>
      <c r="D899">
        <v>763</v>
      </c>
      <c r="E899" cm="1">
        <f t="array" ref="E899">_xlfn.IFS(B899&lt;=_xlfn.PERCENTILE.INC($B$2:$B$726,0.2),5, B899&lt;=_xlfn.PERCENTILE.INC($B$2:$B$726,0.4),4,B899&lt;=_xlfn.PERCENTILE.INC($B$2:$B$726,0.6),3,B899&lt;=_xlfn.PERCENTILE.INC($B$2:$B$726,0.8),4,TRUE,1)</f>
        <v>3</v>
      </c>
      <c r="F899" cm="1">
        <f t="array" ref="F899">_xlfn.IFS(C899&gt;=_xlfn.PERCENTILE.INC($C$2:$C$726,0.8),5,C899&gt;=_xlfn.PERCENTILE.INC($C$2:$C$726,0.6),4,C899&gt;=_xlfn.PERCENTILE.INC($C$2:$C$726,0.4),3,C899&gt;=_xlfn.PERCENTILE.INC($C$2:$C$726,0.2),2,TRUE,1)</f>
        <v>5</v>
      </c>
      <c r="G899" cm="1">
        <f t="array" ref="G899">_xlfn.IFS(D899&gt;=_xlfn.PERCENTILE.INC($D$2:$D$726,0.8),5,D899&gt;=_xlfn.PERCENTILE.INC($D$2:$D$726,0.6),4,D899&gt;=_xlfn.PERCENTILE.INC($D$2:$D$726,0.4),3,D899&gt;=_xlfn.PERCENTILE.INC($D$2:$D$726,0.2),2,TRUE,1)</f>
        <v>5</v>
      </c>
      <c r="H899">
        <f t="shared" ref="H899:H914" si="14">SUM(E899,F899,G899)</f>
        <v>13</v>
      </c>
      <c r="I899" t="str" cm="1">
        <f t="array" ref="I899">_xlfn.IFS(H899&gt;=13,"Best Customers",H899&gt;=10,"Loyal Customers",H899&gt;=7,"Potential Loyal Customers",H899&gt;=4,"Need Attention",TRUE,"At Risk")</f>
        <v>Best Customers</v>
      </c>
    </row>
    <row r="900" spans="1:9" x14ac:dyDescent="0.25">
      <c r="A900" t="s">
        <v>2411</v>
      </c>
      <c r="B900" s="4">
        <v>795</v>
      </c>
      <c r="C900">
        <v>5</v>
      </c>
      <c r="D900">
        <v>119.8</v>
      </c>
      <c r="E900" cm="1">
        <f t="array" ref="E900">_xlfn.IFS(B900&lt;=_xlfn.PERCENTILE.INC($B$2:$B$726,0.2),5, B900&lt;=_xlfn.PERCENTILE.INC($B$2:$B$726,0.4),4,B900&lt;=_xlfn.PERCENTILE.INC($B$2:$B$726,0.6),3,B900&lt;=_xlfn.PERCENTILE.INC($B$2:$B$726,0.8),4,TRUE,1)</f>
        <v>1</v>
      </c>
      <c r="F900" cm="1">
        <f t="array" ref="F900">_xlfn.IFS(C900&gt;=_xlfn.PERCENTILE.INC($C$2:$C$726,0.8),5,C900&gt;=_xlfn.PERCENTILE.INC($C$2:$C$726,0.6),4,C900&gt;=_xlfn.PERCENTILE.INC($C$2:$C$726,0.4),3,C900&gt;=_xlfn.PERCENTILE.INC($C$2:$C$726,0.2),2,TRUE,1)</f>
        <v>3</v>
      </c>
      <c r="G900" cm="1">
        <f t="array" ref="G900">_xlfn.IFS(D900&gt;=_xlfn.PERCENTILE.INC($D$2:$D$726,0.8),5,D900&gt;=_xlfn.PERCENTILE.INC($D$2:$D$726,0.6),4,D900&gt;=_xlfn.PERCENTILE.INC($D$2:$D$726,0.4),3,D900&gt;=_xlfn.PERCENTILE.INC($D$2:$D$726,0.2),2,TRUE,1)</f>
        <v>1</v>
      </c>
      <c r="H900">
        <f t="shared" si="14"/>
        <v>5</v>
      </c>
      <c r="I900" t="str" cm="1">
        <f t="array" ref="I900">_xlfn.IFS(H900&gt;=13,"Best Customers",H900&gt;=10,"Loyal Customers",H900&gt;=7,"Potential Loyal Customers",H900&gt;=4,"Need Attention",TRUE,"At Risk")</f>
        <v>Need Attention</v>
      </c>
    </row>
    <row r="901" spans="1:9" x14ac:dyDescent="0.25">
      <c r="A901" t="s">
        <v>1134</v>
      </c>
      <c r="B901" s="4">
        <v>937</v>
      </c>
      <c r="C901">
        <v>5</v>
      </c>
      <c r="D901">
        <v>105.5</v>
      </c>
      <c r="E901" cm="1">
        <f t="array" ref="E901">_xlfn.IFS(B901&lt;=_xlfn.PERCENTILE.INC($B$2:$B$726,0.2),5, B901&lt;=_xlfn.PERCENTILE.INC($B$2:$B$726,0.4),4,B901&lt;=_xlfn.PERCENTILE.INC($B$2:$B$726,0.6),3,B901&lt;=_xlfn.PERCENTILE.INC($B$2:$B$726,0.8),4,TRUE,1)</f>
        <v>1</v>
      </c>
      <c r="F901" cm="1">
        <f t="array" ref="F901">_xlfn.IFS(C901&gt;=_xlfn.PERCENTILE.INC($C$2:$C$726,0.8),5,C901&gt;=_xlfn.PERCENTILE.INC($C$2:$C$726,0.6),4,C901&gt;=_xlfn.PERCENTILE.INC($C$2:$C$726,0.4),3,C901&gt;=_xlfn.PERCENTILE.INC($C$2:$C$726,0.2),2,TRUE,1)</f>
        <v>3</v>
      </c>
      <c r="G901" cm="1">
        <f t="array" ref="G901">_xlfn.IFS(D901&gt;=_xlfn.PERCENTILE.INC($D$2:$D$726,0.8),5,D901&gt;=_xlfn.PERCENTILE.INC($D$2:$D$726,0.6),4,D901&gt;=_xlfn.PERCENTILE.INC($D$2:$D$726,0.4),3,D901&gt;=_xlfn.PERCENTILE.INC($D$2:$D$726,0.2),2,TRUE,1)</f>
        <v>1</v>
      </c>
      <c r="H901">
        <f t="shared" si="14"/>
        <v>5</v>
      </c>
      <c r="I901" t="str" cm="1">
        <f t="array" ref="I901">_xlfn.IFS(H901&gt;=13,"Best Customers",H901&gt;=10,"Loyal Customers",H901&gt;=7,"Potential Loyal Customers",H901&gt;=4,"Need Attention",TRUE,"At Risk")</f>
        <v>Need Attention</v>
      </c>
    </row>
    <row r="902" spans="1:9" x14ac:dyDescent="0.25">
      <c r="A902" t="s">
        <v>2843</v>
      </c>
      <c r="B902" s="4">
        <v>563</v>
      </c>
      <c r="C902">
        <v>9</v>
      </c>
      <c r="D902">
        <v>470.29999999999995</v>
      </c>
      <c r="E902" cm="1">
        <f t="array" ref="E902">_xlfn.IFS(B902&lt;=_xlfn.PERCENTILE.INC($B$2:$B$726,0.2),5, B902&lt;=_xlfn.PERCENTILE.INC($B$2:$B$726,0.4),4,B902&lt;=_xlfn.PERCENTILE.INC($B$2:$B$726,0.6),3,B902&lt;=_xlfn.PERCENTILE.INC($B$2:$B$726,0.8),4,TRUE,1)</f>
        <v>3</v>
      </c>
      <c r="F902" cm="1">
        <f t="array" ref="F902">_xlfn.IFS(C902&gt;=_xlfn.PERCENTILE.INC($C$2:$C$726,0.8),5,C902&gt;=_xlfn.PERCENTILE.INC($C$2:$C$726,0.6),4,C902&gt;=_xlfn.PERCENTILE.INC($C$2:$C$726,0.4),3,C902&gt;=_xlfn.PERCENTILE.INC($C$2:$C$726,0.2),2,TRUE,1)</f>
        <v>5</v>
      </c>
      <c r="G902" cm="1">
        <f t="array" ref="G902">_xlfn.IFS(D902&gt;=_xlfn.PERCENTILE.INC($D$2:$D$726,0.8),5,D902&gt;=_xlfn.PERCENTILE.INC($D$2:$D$726,0.6),4,D902&gt;=_xlfn.PERCENTILE.INC($D$2:$D$726,0.4),3,D902&gt;=_xlfn.PERCENTILE.INC($D$2:$D$726,0.2),2,TRUE,1)</f>
        <v>5</v>
      </c>
      <c r="H902">
        <f t="shared" si="14"/>
        <v>13</v>
      </c>
      <c r="I902" t="str" cm="1">
        <f t="array" ref="I902">_xlfn.IFS(H902&gt;=13,"Best Customers",H902&gt;=10,"Loyal Customers",H902&gt;=7,"Potential Loyal Customers",H902&gt;=4,"Need Attention",TRUE,"At Risk")</f>
        <v>Best Customers</v>
      </c>
    </row>
    <row r="903" spans="1:9" x14ac:dyDescent="0.25">
      <c r="A903" t="s">
        <v>2012</v>
      </c>
      <c r="B903" s="4">
        <v>919</v>
      </c>
      <c r="C903">
        <v>4</v>
      </c>
      <c r="D903">
        <v>75.5</v>
      </c>
      <c r="E903" cm="1">
        <f t="array" ref="E903">_xlfn.IFS(B903&lt;=_xlfn.PERCENTILE.INC($B$2:$B$726,0.2),5, B903&lt;=_xlfn.PERCENTILE.INC($B$2:$B$726,0.4),4,B903&lt;=_xlfn.PERCENTILE.INC($B$2:$B$726,0.6),3,B903&lt;=_xlfn.PERCENTILE.INC($B$2:$B$726,0.8),4,TRUE,1)</f>
        <v>1</v>
      </c>
      <c r="F903" cm="1">
        <f t="array" ref="F903">_xlfn.IFS(C903&gt;=_xlfn.PERCENTILE.INC($C$2:$C$726,0.8),5,C903&gt;=_xlfn.PERCENTILE.INC($C$2:$C$726,0.6),4,C903&gt;=_xlfn.PERCENTILE.INC($C$2:$C$726,0.4),3,C903&gt;=_xlfn.PERCENTILE.INC($C$2:$C$726,0.2),2,TRUE,1)</f>
        <v>2</v>
      </c>
      <c r="G903" cm="1">
        <f t="array" ref="G903">_xlfn.IFS(D903&gt;=_xlfn.PERCENTILE.INC($D$2:$D$726,0.8),5,D903&gt;=_xlfn.PERCENTILE.INC($D$2:$D$726,0.6),4,D903&gt;=_xlfn.PERCENTILE.INC($D$2:$D$726,0.4),3,D903&gt;=_xlfn.PERCENTILE.INC($D$2:$D$726,0.2),2,TRUE,1)</f>
        <v>1</v>
      </c>
      <c r="H903">
        <f t="shared" si="14"/>
        <v>4</v>
      </c>
      <c r="I903" t="str" cm="1">
        <f t="array" ref="I903">_xlfn.IFS(H903&gt;=13,"Best Customers",H903&gt;=10,"Loyal Customers",H903&gt;=7,"Potential Loyal Customers",H903&gt;=4,"Need Attention",TRUE,"At Risk")</f>
        <v>Need Attention</v>
      </c>
    </row>
    <row r="904" spans="1:9" x14ac:dyDescent="0.25">
      <c r="A904" t="s">
        <v>2837</v>
      </c>
      <c r="B904" s="4">
        <v>925</v>
      </c>
      <c r="C904">
        <v>5</v>
      </c>
      <c r="D904">
        <v>347.6</v>
      </c>
      <c r="E904" cm="1">
        <f t="array" ref="E904">_xlfn.IFS(B904&lt;=_xlfn.PERCENTILE.INC($B$2:$B$726,0.2),5, B904&lt;=_xlfn.PERCENTILE.INC($B$2:$B$726,0.4),4,B904&lt;=_xlfn.PERCENTILE.INC($B$2:$B$726,0.6),3,B904&lt;=_xlfn.PERCENTILE.INC($B$2:$B$726,0.8),4,TRUE,1)</f>
        <v>1</v>
      </c>
      <c r="F904" cm="1">
        <f t="array" ref="F904">_xlfn.IFS(C904&gt;=_xlfn.PERCENTILE.INC($C$2:$C$726,0.8),5,C904&gt;=_xlfn.PERCENTILE.INC($C$2:$C$726,0.6),4,C904&gt;=_xlfn.PERCENTILE.INC($C$2:$C$726,0.4),3,C904&gt;=_xlfn.PERCENTILE.INC($C$2:$C$726,0.2),2,TRUE,1)</f>
        <v>3</v>
      </c>
      <c r="G904" cm="1">
        <f t="array" ref="G904">_xlfn.IFS(D904&gt;=_xlfn.PERCENTILE.INC($D$2:$D$726,0.8),5,D904&gt;=_xlfn.PERCENTILE.INC($D$2:$D$726,0.6),4,D904&gt;=_xlfn.PERCENTILE.INC($D$2:$D$726,0.4),3,D904&gt;=_xlfn.PERCENTILE.INC($D$2:$D$726,0.2),2,TRUE,1)</f>
        <v>4</v>
      </c>
      <c r="H904">
        <f t="shared" si="14"/>
        <v>8</v>
      </c>
      <c r="I904" t="str" cm="1">
        <f t="array" ref="I904">_xlfn.IFS(H904&gt;=13,"Best Customers",H904&gt;=10,"Loyal Customers",H904&gt;=7,"Potential Loyal Customers",H904&gt;=4,"Need Attention",TRUE,"At Risk")</f>
        <v>Potential Loyal Customers</v>
      </c>
    </row>
    <row r="905" spans="1:9" x14ac:dyDescent="0.25">
      <c r="A905" t="s">
        <v>1752</v>
      </c>
      <c r="B905" s="4">
        <v>361</v>
      </c>
      <c r="C905">
        <v>7</v>
      </c>
      <c r="D905">
        <v>255.90000000000003</v>
      </c>
      <c r="E905" cm="1">
        <f t="array" ref="E905">_xlfn.IFS(B905&lt;=_xlfn.PERCENTILE.INC($B$2:$B$726,0.2),5, B905&lt;=_xlfn.PERCENTILE.INC($B$2:$B$726,0.4),4,B905&lt;=_xlfn.PERCENTILE.INC($B$2:$B$726,0.6),3,B905&lt;=_xlfn.PERCENTILE.INC($B$2:$B$726,0.8),4,TRUE,1)</f>
        <v>5</v>
      </c>
      <c r="F905" cm="1">
        <f t="array" ref="F905">_xlfn.IFS(C905&gt;=_xlfn.PERCENTILE.INC($C$2:$C$726,0.8),5,C905&gt;=_xlfn.PERCENTILE.INC($C$2:$C$726,0.6),4,C905&gt;=_xlfn.PERCENTILE.INC($C$2:$C$726,0.4),3,C905&gt;=_xlfn.PERCENTILE.INC($C$2:$C$726,0.2),2,TRUE,1)</f>
        <v>4</v>
      </c>
      <c r="G905" cm="1">
        <f t="array" ref="G905">_xlfn.IFS(D905&gt;=_xlfn.PERCENTILE.INC($D$2:$D$726,0.8),5,D905&gt;=_xlfn.PERCENTILE.INC($D$2:$D$726,0.6),4,D905&gt;=_xlfn.PERCENTILE.INC($D$2:$D$726,0.4),3,D905&gt;=_xlfn.PERCENTILE.INC($D$2:$D$726,0.2),2,TRUE,1)</f>
        <v>3</v>
      </c>
      <c r="H905">
        <f t="shared" si="14"/>
        <v>12</v>
      </c>
      <c r="I905" t="str" cm="1">
        <f t="array" ref="I905">_xlfn.IFS(H905&gt;=13,"Best Customers",H905&gt;=10,"Loyal Customers",H905&gt;=7,"Potential Loyal Customers",H905&gt;=4,"Need Attention",TRUE,"At Risk")</f>
        <v>Loyal Customers</v>
      </c>
    </row>
    <row r="906" spans="1:9" x14ac:dyDescent="0.25">
      <c r="A906" t="s">
        <v>3178</v>
      </c>
      <c r="B906" s="4">
        <v>355</v>
      </c>
      <c r="C906">
        <v>3</v>
      </c>
      <c r="D906">
        <v>104.5</v>
      </c>
      <c r="E906" cm="1">
        <f t="array" ref="E906">_xlfn.IFS(B906&lt;=_xlfn.PERCENTILE.INC($B$2:$B$726,0.2),5, B906&lt;=_xlfn.PERCENTILE.INC($B$2:$B$726,0.4),4,B906&lt;=_xlfn.PERCENTILE.INC($B$2:$B$726,0.6),3,B906&lt;=_xlfn.PERCENTILE.INC($B$2:$B$726,0.8),4,TRUE,1)</f>
        <v>5</v>
      </c>
      <c r="F906" cm="1">
        <f t="array" ref="F906">_xlfn.IFS(C906&gt;=_xlfn.PERCENTILE.INC($C$2:$C$726,0.8),5,C906&gt;=_xlfn.PERCENTILE.INC($C$2:$C$726,0.6),4,C906&gt;=_xlfn.PERCENTILE.INC($C$2:$C$726,0.4),3,C906&gt;=_xlfn.PERCENTILE.INC($C$2:$C$726,0.2),2,TRUE,1)</f>
        <v>1</v>
      </c>
      <c r="G906" cm="1">
        <f t="array" ref="G906">_xlfn.IFS(D906&gt;=_xlfn.PERCENTILE.INC($D$2:$D$726,0.8),5,D906&gt;=_xlfn.PERCENTILE.INC($D$2:$D$726,0.6),4,D906&gt;=_xlfn.PERCENTILE.INC($D$2:$D$726,0.4),3,D906&gt;=_xlfn.PERCENTILE.INC($D$2:$D$726,0.2),2,TRUE,1)</f>
        <v>1</v>
      </c>
      <c r="H906">
        <f t="shared" si="14"/>
        <v>7</v>
      </c>
      <c r="I906" t="str" cm="1">
        <f t="array" ref="I906">_xlfn.IFS(H906&gt;=13,"Best Customers",H906&gt;=10,"Loyal Customers",H906&gt;=7,"Potential Loyal Customers",H906&gt;=4,"Need Attention",TRUE,"At Risk")</f>
        <v>Potential Loyal Customers</v>
      </c>
    </row>
    <row r="907" spans="1:9" x14ac:dyDescent="0.25">
      <c r="A907" t="s">
        <v>1529</v>
      </c>
      <c r="B907" s="4">
        <v>1726</v>
      </c>
      <c r="C907">
        <v>2</v>
      </c>
      <c r="D907">
        <v>67.699999999999989</v>
      </c>
      <c r="E907" cm="1">
        <f t="array" ref="E907">_xlfn.IFS(B907&lt;=_xlfn.PERCENTILE.INC($B$2:$B$726,0.2),5, B907&lt;=_xlfn.PERCENTILE.INC($B$2:$B$726,0.4),4,B907&lt;=_xlfn.PERCENTILE.INC($B$2:$B$726,0.6),3,B907&lt;=_xlfn.PERCENTILE.INC($B$2:$B$726,0.8),4,TRUE,1)</f>
        <v>1</v>
      </c>
      <c r="F907" cm="1">
        <f t="array" ref="F907">_xlfn.IFS(C907&gt;=_xlfn.PERCENTILE.INC($C$2:$C$726,0.8),5,C907&gt;=_xlfn.PERCENTILE.INC($C$2:$C$726,0.6),4,C907&gt;=_xlfn.PERCENTILE.INC($C$2:$C$726,0.4),3,C907&gt;=_xlfn.PERCENTILE.INC($C$2:$C$726,0.2),2,TRUE,1)</f>
        <v>1</v>
      </c>
      <c r="G907" cm="1">
        <f t="array" ref="G907">_xlfn.IFS(D907&gt;=_xlfn.PERCENTILE.INC($D$2:$D$726,0.8),5,D907&gt;=_xlfn.PERCENTILE.INC($D$2:$D$726,0.6),4,D907&gt;=_xlfn.PERCENTILE.INC($D$2:$D$726,0.4),3,D907&gt;=_xlfn.PERCENTILE.INC($D$2:$D$726,0.2),2,TRUE,1)</f>
        <v>1</v>
      </c>
      <c r="H907">
        <f t="shared" si="14"/>
        <v>3</v>
      </c>
      <c r="I907" t="str" cm="1">
        <f t="array" ref="I907">_xlfn.IFS(H907&gt;=13,"Best Customers",H907&gt;=10,"Loyal Customers",H907&gt;=7,"Potential Loyal Customers",H907&gt;=4,"Need Attention",TRUE,"At Risk")</f>
        <v>At Risk</v>
      </c>
    </row>
    <row r="908" spans="1:9" x14ac:dyDescent="0.25">
      <c r="A908" t="s">
        <v>1366</v>
      </c>
      <c r="B908" s="4">
        <v>336</v>
      </c>
      <c r="C908">
        <v>6</v>
      </c>
      <c r="D908">
        <v>456.5</v>
      </c>
      <c r="E908" cm="1">
        <f t="array" ref="E908">_xlfn.IFS(B908&lt;=_xlfn.PERCENTILE.INC($B$2:$B$726,0.2),5, B908&lt;=_xlfn.PERCENTILE.INC($B$2:$B$726,0.4),4,B908&lt;=_xlfn.PERCENTILE.INC($B$2:$B$726,0.6),3,B908&lt;=_xlfn.PERCENTILE.INC($B$2:$B$726,0.8),4,TRUE,1)</f>
        <v>5</v>
      </c>
      <c r="F908" cm="1">
        <f t="array" ref="F908">_xlfn.IFS(C908&gt;=_xlfn.PERCENTILE.INC($C$2:$C$726,0.8),5,C908&gt;=_xlfn.PERCENTILE.INC($C$2:$C$726,0.6),4,C908&gt;=_xlfn.PERCENTILE.INC($C$2:$C$726,0.4),3,C908&gt;=_xlfn.PERCENTILE.INC($C$2:$C$726,0.2),2,TRUE,1)</f>
        <v>4</v>
      </c>
      <c r="G908" cm="1">
        <f t="array" ref="G908">_xlfn.IFS(D908&gt;=_xlfn.PERCENTILE.INC($D$2:$D$726,0.8),5,D908&gt;=_xlfn.PERCENTILE.INC($D$2:$D$726,0.6),4,D908&gt;=_xlfn.PERCENTILE.INC($D$2:$D$726,0.4),3,D908&gt;=_xlfn.PERCENTILE.INC($D$2:$D$726,0.2),2,TRUE,1)</f>
        <v>5</v>
      </c>
      <c r="H908">
        <f t="shared" si="14"/>
        <v>14</v>
      </c>
      <c r="I908" t="str" cm="1">
        <f t="array" ref="I908">_xlfn.IFS(H908&gt;=13,"Best Customers",H908&gt;=10,"Loyal Customers",H908&gt;=7,"Potential Loyal Customers",H908&gt;=4,"Need Attention",TRUE,"At Risk")</f>
        <v>Best Customers</v>
      </c>
    </row>
    <row r="909" spans="1:9" x14ac:dyDescent="0.25">
      <c r="A909" t="s">
        <v>1238</v>
      </c>
      <c r="B909" s="4">
        <v>1188</v>
      </c>
      <c r="C909">
        <v>9</v>
      </c>
      <c r="D909">
        <v>412.3</v>
      </c>
      <c r="E909" cm="1">
        <f t="array" ref="E909">_xlfn.IFS(B909&lt;=_xlfn.PERCENTILE.INC($B$2:$B$726,0.2),5, B909&lt;=_xlfn.PERCENTILE.INC($B$2:$B$726,0.4),4,B909&lt;=_xlfn.PERCENTILE.INC($B$2:$B$726,0.6),3,B909&lt;=_xlfn.PERCENTILE.INC($B$2:$B$726,0.8),4,TRUE,1)</f>
        <v>1</v>
      </c>
      <c r="F909" cm="1">
        <f t="array" ref="F909">_xlfn.IFS(C909&gt;=_xlfn.PERCENTILE.INC($C$2:$C$726,0.8),5,C909&gt;=_xlfn.PERCENTILE.INC($C$2:$C$726,0.6),4,C909&gt;=_xlfn.PERCENTILE.INC($C$2:$C$726,0.4),3,C909&gt;=_xlfn.PERCENTILE.INC($C$2:$C$726,0.2),2,TRUE,1)</f>
        <v>5</v>
      </c>
      <c r="G909" cm="1">
        <f t="array" ref="G909">_xlfn.IFS(D909&gt;=_xlfn.PERCENTILE.INC($D$2:$D$726,0.8),5,D909&gt;=_xlfn.PERCENTILE.INC($D$2:$D$726,0.6),4,D909&gt;=_xlfn.PERCENTILE.INC($D$2:$D$726,0.4),3,D909&gt;=_xlfn.PERCENTILE.INC($D$2:$D$726,0.2),2,TRUE,1)</f>
        <v>5</v>
      </c>
      <c r="H909">
        <f t="shared" si="14"/>
        <v>11</v>
      </c>
      <c r="I909" t="str" cm="1">
        <f t="array" ref="I909">_xlfn.IFS(H909&gt;=13,"Best Customers",H909&gt;=10,"Loyal Customers",H909&gt;=7,"Potential Loyal Customers",H909&gt;=4,"Need Attention",TRUE,"At Risk")</f>
        <v>Loyal Customers</v>
      </c>
    </row>
    <row r="910" spans="1:9" x14ac:dyDescent="0.25">
      <c r="A910" t="s">
        <v>535</v>
      </c>
      <c r="B910" s="4">
        <v>379</v>
      </c>
      <c r="C910">
        <v>4</v>
      </c>
      <c r="D910">
        <v>262.09999999999997</v>
      </c>
      <c r="E910" cm="1">
        <f t="array" ref="E910">_xlfn.IFS(B910&lt;=_xlfn.PERCENTILE.INC($B$2:$B$726,0.2),5, B910&lt;=_xlfn.PERCENTILE.INC($B$2:$B$726,0.4),4,B910&lt;=_xlfn.PERCENTILE.INC($B$2:$B$726,0.6),3,B910&lt;=_xlfn.PERCENTILE.INC($B$2:$B$726,0.8),4,TRUE,1)</f>
        <v>5</v>
      </c>
      <c r="F910" cm="1">
        <f t="array" ref="F910">_xlfn.IFS(C910&gt;=_xlfn.PERCENTILE.INC($C$2:$C$726,0.8),5,C910&gt;=_xlfn.PERCENTILE.INC($C$2:$C$726,0.6),4,C910&gt;=_xlfn.PERCENTILE.INC($C$2:$C$726,0.4),3,C910&gt;=_xlfn.PERCENTILE.INC($C$2:$C$726,0.2),2,TRUE,1)</f>
        <v>2</v>
      </c>
      <c r="G910" cm="1">
        <f t="array" ref="G910">_xlfn.IFS(D910&gt;=_xlfn.PERCENTILE.INC($D$2:$D$726,0.8),5,D910&gt;=_xlfn.PERCENTILE.INC($D$2:$D$726,0.6),4,D910&gt;=_xlfn.PERCENTILE.INC($D$2:$D$726,0.4),3,D910&gt;=_xlfn.PERCENTILE.INC($D$2:$D$726,0.2),2,TRUE,1)</f>
        <v>3</v>
      </c>
      <c r="H910">
        <f t="shared" si="14"/>
        <v>10</v>
      </c>
      <c r="I910" t="str" cm="1">
        <f t="array" ref="I910">_xlfn.IFS(H910&gt;=13,"Best Customers",H910&gt;=10,"Loyal Customers",H910&gt;=7,"Potential Loyal Customers",H910&gt;=4,"Need Attention",TRUE,"At Risk")</f>
        <v>Loyal Customers</v>
      </c>
    </row>
    <row r="911" spans="1:9" x14ac:dyDescent="0.25">
      <c r="A911" t="s">
        <v>1884</v>
      </c>
      <c r="B911" s="4">
        <v>355</v>
      </c>
      <c r="C911">
        <v>8</v>
      </c>
      <c r="D911">
        <v>261.5</v>
      </c>
      <c r="E911" cm="1">
        <f t="array" ref="E911">_xlfn.IFS(B911&lt;=_xlfn.PERCENTILE.INC($B$2:$B$726,0.2),5, B911&lt;=_xlfn.PERCENTILE.INC($B$2:$B$726,0.4),4,B911&lt;=_xlfn.PERCENTILE.INC($B$2:$B$726,0.6),3,B911&lt;=_xlfn.PERCENTILE.INC($B$2:$B$726,0.8),4,TRUE,1)</f>
        <v>5</v>
      </c>
      <c r="F911" cm="1">
        <f t="array" ref="F911">_xlfn.IFS(C911&gt;=_xlfn.PERCENTILE.INC($C$2:$C$726,0.8),5,C911&gt;=_xlfn.PERCENTILE.INC($C$2:$C$726,0.6),4,C911&gt;=_xlfn.PERCENTILE.INC($C$2:$C$726,0.4),3,C911&gt;=_xlfn.PERCENTILE.INC($C$2:$C$726,0.2),2,TRUE,1)</f>
        <v>5</v>
      </c>
      <c r="G911" cm="1">
        <f t="array" ref="G911">_xlfn.IFS(D911&gt;=_xlfn.PERCENTILE.INC($D$2:$D$726,0.8),5,D911&gt;=_xlfn.PERCENTILE.INC($D$2:$D$726,0.6),4,D911&gt;=_xlfn.PERCENTILE.INC($D$2:$D$726,0.4),3,D911&gt;=_xlfn.PERCENTILE.INC($D$2:$D$726,0.2),2,TRUE,1)</f>
        <v>3</v>
      </c>
      <c r="H911">
        <f t="shared" si="14"/>
        <v>13</v>
      </c>
      <c r="I911" t="str" cm="1">
        <f t="array" ref="I911">_xlfn.IFS(H911&gt;=13,"Best Customers",H911&gt;=10,"Loyal Customers",H911&gt;=7,"Potential Loyal Customers",H911&gt;=4,"Need Attention",TRUE,"At Risk")</f>
        <v>Best Customers</v>
      </c>
    </row>
    <row r="912" spans="1:9" x14ac:dyDescent="0.25">
      <c r="A912" t="s">
        <v>1863</v>
      </c>
      <c r="B912" s="4">
        <v>848</v>
      </c>
      <c r="C912">
        <v>6</v>
      </c>
      <c r="D912">
        <v>171.20000000000002</v>
      </c>
      <c r="E912" cm="1">
        <f t="array" ref="E912">_xlfn.IFS(B912&lt;=_xlfn.PERCENTILE.INC($B$2:$B$726,0.2),5, B912&lt;=_xlfn.PERCENTILE.INC($B$2:$B$726,0.4),4,B912&lt;=_xlfn.PERCENTILE.INC($B$2:$B$726,0.6),3,B912&lt;=_xlfn.PERCENTILE.INC($B$2:$B$726,0.8),4,TRUE,1)</f>
        <v>1</v>
      </c>
      <c r="F912" cm="1">
        <f t="array" ref="F912">_xlfn.IFS(C912&gt;=_xlfn.PERCENTILE.INC($C$2:$C$726,0.8),5,C912&gt;=_xlfn.PERCENTILE.INC($C$2:$C$726,0.6),4,C912&gt;=_xlfn.PERCENTILE.INC($C$2:$C$726,0.4),3,C912&gt;=_xlfn.PERCENTILE.INC($C$2:$C$726,0.2),2,TRUE,1)</f>
        <v>4</v>
      </c>
      <c r="G912" cm="1">
        <f t="array" ref="G912">_xlfn.IFS(D912&gt;=_xlfn.PERCENTILE.INC($D$2:$D$726,0.8),5,D912&gt;=_xlfn.PERCENTILE.INC($D$2:$D$726,0.6),4,D912&gt;=_xlfn.PERCENTILE.INC($D$2:$D$726,0.4),3,D912&gt;=_xlfn.PERCENTILE.INC($D$2:$D$726,0.2),2,TRUE,1)</f>
        <v>2</v>
      </c>
      <c r="H912">
        <f t="shared" si="14"/>
        <v>7</v>
      </c>
      <c r="I912" t="str" cm="1">
        <f t="array" ref="I912">_xlfn.IFS(H912&gt;=13,"Best Customers",H912&gt;=10,"Loyal Customers",H912&gt;=7,"Potential Loyal Customers",H912&gt;=4,"Need Attention",TRUE,"At Risk")</f>
        <v>Potential Loyal Customers</v>
      </c>
    </row>
    <row r="913" spans="1:9" x14ac:dyDescent="0.25">
      <c r="A913" t="s">
        <v>2201</v>
      </c>
      <c r="B913" s="4">
        <v>579</v>
      </c>
      <c r="C913">
        <v>4</v>
      </c>
      <c r="D913">
        <v>240.10000000000002</v>
      </c>
      <c r="E913" cm="1">
        <f t="array" ref="E913">_xlfn.IFS(B913&lt;=_xlfn.PERCENTILE.INC($B$2:$B$726,0.2),5, B913&lt;=_xlfn.PERCENTILE.INC($B$2:$B$726,0.4),4,B913&lt;=_xlfn.PERCENTILE.INC($B$2:$B$726,0.6),3,B913&lt;=_xlfn.PERCENTILE.INC($B$2:$B$726,0.8),4,TRUE,1)</f>
        <v>4</v>
      </c>
      <c r="F913" cm="1">
        <f t="array" ref="F913">_xlfn.IFS(C913&gt;=_xlfn.PERCENTILE.INC($C$2:$C$726,0.8),5,C913&gt;=_xlfn.PERCENTILE.INC($C$2:$C$726,0.6),4,C913&gt;=_xlfn.PERCENTILE.INC($C$2:$C$726,0.4),3,C913&gt;=_xlfn.PERCENTILE.INC($C$2:$C$726,0.2),2,TRUE,1)</f>
        <v>2</v>
      </c>
      <c r="G913" cm="1">
        <f t="array" ref="G913">_xlfn.IFS(D913&gt;=_xlfn.PERCENTILE.INC($D$2:$D$726,0.8),5,D913&gt;=_xlfn.PERCENTILE.INC($D$2:$D$726,0.6),4,D913&gt;=_xlfn.PERCENTILE.INC($D$2:$D$726,0.4),3,D913&gt;=_xlfn.PERCENTILE.INC($D$2:$D$726,0.2),2,TRUE,1)</f>
        <v>3</v>
      </c>
      <c r="H913">
        <f t="shared" si="14"/>
        <v>9</v>
      </c>
      <c r="I913" t="str" cm="1">
        <f t="array" ref="I913">_xlfn.IFS(H913&gt;=13,"Best Customers",H913&gt;=10,"Loyal Customers",H913&gt;=7,"Potential Loyal Customers",H913&gt;=4,"Need Attention",TRUE,"At Risk")</f>
        <v>Potential Loyal Customers</v>
      </c>
    </row>
    <row r="914" spans="1:9" x14ac:dyDescent="0.25">
      <c r="A914" t="s">
        <v>2281</v>
      </c>
      <c r="B914" s="4">
        <v>694</v>
      </c>
      <c r="C914">
        <v>4</v>
      </c>
      <c r="D914">
        <v>86.6</v>
      </c>
      <c r="E914" cm="1">
        <f t="array" ref="E914">_xlfn.IFS(B914&lt;=_xlfn.PERCENTILE.INC($B$2:$B$726,0.2),5, B914&lt;=_xlfn.PERCENTILE.INC($B$2:$B$726,0.4),4,B914&lt;=_xlfn.PERCENTILE.INC($B$2:$B$726,0.6),3,B914&lt;=_xlfn.PERCENTILE.INC($B$2:$B$726,0.8),4,TRUE,1)</f>
        <v>4</v>
      </c>
      <c r="F914" cm="1">
        <f t="array" ref="F914">_xlfn.IFS(C914&gt;=_xlfn.PERCENTILE.INC($C$2:$C$726,0.8),5,C914&gt;=_xlfn.PERCENTILE.INC($C$2:$C$726,0.6),4,C914&gt;=_xlfn.PERCENTILE.INC($C$2:$C$726,0.4),3,C914&gt;=_xlfn.PERCENTILE.INC($C$2:$C$726,0.2),2,TRUE,1)</f>
        <v>2</v>
      </c>
      <c r="G914" cm="1">
        <f t="array" ref="G914">_xlfn.IFS(D914&gt;=_xlfn.PERCENTILE.INC($D$2:$D$726,0.8),5,D914&gt;=_xlfn.PERCENTILE.INC($D$2:$D$726,0.6),4,D914&gt;=_xlfn.PERCENTILE.INC($D$2:$D$726,0.4),3,D914&gt;=_xlfn.PERCENTILE.INC($D$2:$D$726,0.2),2,TRUE,1)</f>
        <v>1</v>
      </c>
      <c r="H914">
        <f t="shared" si="14"/>
        <v>7</v>
      </c>
      <c r="I914" t="str" cm="1">
        <f t="array" ref="I914">_xlfn.IFS(H914&gt;=13,"Best Customers",H914&gt;=10,"Loyal Customers",H914&gt;=7,"Potential Loyal Customers",H914&gt;=4,"Need Attention",TRUE,"At Risk")</f>
        <v>Potential Loyal Customers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E4EC74-DF9B-4FF8-B90F-7181296F35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RFM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Viktor Krstevski</dc:creator>
  <cp:keywords/>
  <dc:description/>
  <cp:lastModifiedBy>Viktor Krstevski</cp:lastModifiedBy>
  <cp:revision/>
  <dcterms:created xsi:type="dcterms:W3CDTF">2022-11-26T09:51:45Z</dcterms:created>
  <dcterms:modified xsi:type="dcterms:W3CDTF">2025-12-01T01:09:30Z</dcterms:modified>
  <cp:category/>
  <cp:contentStatus/>
</cp:coreProperties>
</file>